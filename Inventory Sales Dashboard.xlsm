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user\Desktop\DataPortfolio\Excel projects\Inventory Sales Dashboard\"/>
    </mc:Choice>
  </mc:AlternateContent>
  <bookViews>
    <workbookView xWindow="0" yWindow="0" windowWidth="14710" windowHeight="7470" activeTab="2"/>
  </bookViews>
  <sheets>
    <sheet name="Raw Data" sheetId="1" r:id="rId1"/>
    <sheet name="Pivot Table" sheetId="2" r:id="rId2"/>
    <sheet name="Dashboard" sheetId="3" r:id="rId3"/>
  </sheets>
  <definedNames>
    <definedName name="_xlnm._FilterDatabase" localSheetId="0" hidden="1">'Raw Data'!$A$1:$J$3001</definedName>
    <definedName name="Slicer_Category">#N/A</definedName>
  </definedNames>
  <calcPr calcId="162913"/>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X27" i="2" l="1"/>
  <c r="Y27" i="2"/>
  <c r="X28" i="2"/>
  <c r="X29" i="2"/>
  <c r="X30" i="2"/>
  <c r="X31" i="2"/>
  <c r="X32" i="2"/>
  <c r="X26" i="2"/>
  <c r="Y32" i="2"/>
  <c r="Y28" i="2"/>
  <c r="Y29" i="2"/>
  <c r="Y30" i="2"/>
  <c r="Y31" i="2"/>
  <c r="Y26" i="2"/>
  <c r="AC13" i="2" l="1"/>
  <c r="AC12" i="2"/>
  <c r="AC14" i="2" l="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M2" i="1"/>
  <c r="N2" i="1" s="1"/>
  <c r="M3" i="1"/>
  <c r="N3" i="1" s="1"/>
  <c r="M4" i="1"/>
  <c r="N4" i="1" s="1"/>
  <c r="M5" i="1"/>
  <c r="N5" i="1" s="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N22" i="1" s="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N72" i="1" s="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N166" i="1" s="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N190" i="1" s="1"/>
  <c r="M191" i="1"/>
  <c r="N191" i="1" s="1"/>
  <c r="M192" i="1"/>
  <c r="N192" i="1" s="1"/>
  <c r="M193" i="1"/>
  <c r="N193" i="1" s="1"/>
  <c r="M194" i="1"/>
  <c r="N194" i="1" s="1"/>
  <c r="M195" i="1"/>
  <c r="N195" i="1" s="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N214" i="1" s="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N274" i="1" s="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N332" i="1" s="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N356" i="1" s="1"/>
  <c r="M357" i="1"/>
  <c r="N357" i="1" s="1"/>
  <c r="M358" i="1"/>
  <c r="N358" i="1" s="1"/>
  <c r="M359" i="1"/>
  <c r="N359" i="1" s="1"/>
  <c r="M360" i="1"/>
  <c r="N360" i="1" s="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N382" i="1" s="1"/>
  <c r="M383" i="1"/>
  <c r="N383" i="1" s="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N403" i="1" s="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N418" i="1" s="1"/>
  <c r="M419" i="1"/>
  <c r="N419" i="1" s="1"/>
  <c r="M420" i="1"/>
  <c r="N420" i="1" s="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N442" i="1" s="1"/>
  <c r="M443" i="1"/>
  <c r="N443" i="1" s="1"/>
  <c r="M444" i="1"/>
  <c r="N444" i="1" s="1"/>
  <c r="M445" i="1"/>
  <c r="N445" i="1" s="1"/>
  <c r="M446" i="1"/>
  <c r="N446" i="1" s="1"/>
  <c r="M447" i="1"/>
  <c r="N447" i="1" s="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N467" i="1" s="1"/>
  <c r="M468" i="1"/>
  <c r="N468" i="1" s="1"/>
  <c r="M469" i="1"/>
  <c r="N469" i="1" s="1"/>
  <c r="M470" i="1"/>
  <c r="N470" i="1" s="1"/>
  <c r="M471" i="1"/>
  <c r="N471" i="1" s="1"/>
  <c r="M472" i="1"/>
  <c r="N472" i="1" s="1"/>
  <c r="M473" i="1"/>
  <c r="N473" i="1" s="1"/>
  <c r="M474" i="1"/>
  <c r="N474" i="1" s="1"/>
  <c r="M475" i="1"/>
  <c r="N475" i="1" s="1"/>
  <c r="M476" i="1"/>
  <c r="N476" i="1" s="1"/>
  <c r="M477" i="1"/>
  <c r="N477" i="1" s="1"/>
  <c r="M478" i="1"/>
  <c r="N478" i="1" s="1"/>
  <c r="M479" i="1"/>
  <c r="N479" i="1" s="1"/>
  <c r="M480" i="1"/>
  <c r="N480" i="1" s="1"/>
  <c r="M481" i="1"/>
  <c r="N481" i="1" s="1"/>
  <c r="M482" i="1"/>
  <c r="N482" i="1" s="1"/>
  <c r="M483" i="1"/>
  <c r="N483" i="1" s="1"/>
  <c r="M484" i="1"/>
  <c r="N484" i="1" s="1"/>
  <c r="M485" i="1"/>
  <c r="N485" i="1" s="1"/>
  <c r="M486" i="1"/>
  <c r="N486" i="1" s="1"/>
  <c r="M487" i="1"/>
  <c r="N487" i="1" s="1"/>
  <c r="M488" i="1"/>
  <c r="N488" i="1" s="1"/>
  <c r="M489" i="1"/>
  <c r="N489" i="1" s="1"/>
  <c r="M490" i="1"/>
  <c r="N490" i="1" s="1"/>
  <c r="M491" i="1"/>
  <c r="N491" i="1" s="1"/>
  <c r="M492" i="1"/>
  <c r="N492" i="1" s="1"/>
  <c r="M493" i="1"/>
  <c r="N493" i="1" s="1"/>
  <c r="M494" i="1"/>
  <c r="N494" i="1" s="1"/>
  <c r="M495" i="1"/>
  <c r="N495" i="1" s="1"/>
  <c r="M496" i="1"/>
  <c r="N496" i="1" s="1"/>
  <c r="M497" i="1"/>
  <c r="N497" i="1" s="1"/>
  <c r="M498" i="1"/>
  <c r="N498" i="1" s="1"/>
  <c r="M499" i="1"/>
  <c r="N499" i="1" s="1"/>
  <c r="M500" i="1"/>
  <c r="N500" i="1" s="1"/>
  <c r="M501" i="1"/>
  <c r="N501" i="1" s="1"/>
  <c r="M502" i="1"/>
  <c r="N502" i="1" s="1"/>
  <c r="M503" i="1"/>
  <c r="N503" i="1" s="1"/>
  <c r="M504" i="1"/>
  <c r="N504" i="1" s="1"/>
  <c r="M505" i="1"/>
  <c r="N505" i="1" s="1"/>
  <c r="M506" i="1"/>
  <c r="N506" i="1" s="1"/>
  <c r="M507" i="1"/>
  <c r="N507" i="1" s="1"/>
  <c r="M508" i="1"/>
  <c r="N508" i="1" s="1"/>
  <c r="M509" i="1"/>
  <c r="N509" i="1" s="1"/>
  <c r="M510" i="1"/>
  <c r="N510" i="1" s="1"/>
  <c r="M511" i="1"/>
  <c r="N511" i="1" s="1"/>
  <c r="M512" i="1"/>
  <c r="N512" i="1" s="1"/>
  <c r="M513" i="1"/>
  <c r="N513" i="1" s="1"/>
  <c r="M514" i="1"/>
  <c r="N514" i="1" s="1"/>
  <c r="M515" i="1"/>
  <c r="N515" i="1" s="1"/>
  <c r="M516" i="1"/>
  <c r="N516" i="1" s="1"/>
  <c r="M517" i="1"/>
  <c r="N517" i="1" s="1"/>
  <c r="M518" i="1"/>
  <c r="N518" i="1" s="1"/>
  <c r="M519" i="1"/>
  <c r="N519" i="1" s="1"/>
  <c r="M520" i="1"/>
  <c r="N520" i="1" s="1"/>
  <c r="M521" i="1"/>
  <c r="N521" i="1" s="1"/>
  <c r="M522" i="1"/>
  <c r="N522" i="1" s="1"/>
  <c r="M523" i="1"/>
  <c r="N523" i="1" s="1"/>
  <c r="M524" i="1"/>
  <c r="N524" i="1" s="1"/>
  <c r="M525" i="1"/>
  <c r="N525" i="1" s="1"/>
  <c r="M526" i="1"/>
  <c r="N526" i="1" s="1"/>
  <c r="M527" i="1"/>
  <c r="N527" i="1" s="1"/>
  <c r="M528" i="1"/>
  <c r="N528" i="1" s="1"/>
  <c r="M529" i="1"/>
  <c r="N529" i="1" s="1"/>
  <c r="M530" i="1"/>
  <c r="N530" i="1" s="1"/>
  <c r="M531" i="1"/>
  <c r="N531" i="1" s="1"/>
  <c r="M532" i="1"/>
  <c r="N532" i="1" s="1"/>
  <c r="M533" i="1"/>
  <c r="N533" i="1" s="1"/>
  <c r="M534" i="1"/>
  <c r="N534" i="1" s="1"/>
  <c r="M535" i="1"/>
  <c r="N535" i="1" s="1"/>
  <c r="M536" i="1"/>
  <c r="N536" i="1" s="1"/>
  <c r="M537" i="1"/>
  <c r="N537" i="1" s="1"/>
  <c r="M538" i="1"/>
  <c r="N538" i="1" s="1"/>
  <c r="M539" i="1"/>
  <c r="N539" i="1" s="1"/>
  <c r="M540" i="1"/>
  <c r="N540" i="1" s="1"/>
  <c r="M541" i="1"/>
  <c r="N541" i="1" s="1"/>
  <c r="M542" i="1"/>
  <c r="N542" i="1" s="1"/>
  <c r="M543" i="1"/>
  <c r="N543" i="1" s="1"/>
  <c r="M544" i="1"/>
  <c r="N544" i="1" s="1"/>
  <c r="M545" i="1"/>
  <c r="N545" i="1" s="1"/>
  <c r="M546" i="1"/>
  <c r="N546" i="1" s="1"/>
  <c r="M547" i="1"/>
  <c r="N547" i="1" s="1"/>
  <c r="M548" i="1"/>
  <c r="N548" i="1" s="1"/>
  <c r="M549" i="1"/>
  <c r="N549" i="1" s="1"/>
  <c r="M550" i="1"/>
  <c r="N550" i="1" s="1"/>
  <c r="M551" i="1"/>
  <c r="N551" i="1" s="1"/>
  <c r="M552" i="1"/>
  <c r="N552" i="1" s="1"/>
  <c r="M553" i="1"/>
  <c r="N553" i="1" s="1"/>
  <c r="M554" i="1"/>
  <c r="N554" i="1" s="1"/>
  <c r="M555" i="1"/>
  <c r="N555" i="1" s="1"/>
  <c r="M556" i="1"/>
  <c r="N556" i="1" s="1"/>
  <c r="M557" i="1"/>
  <c r="N557" i="1" s="1"/>
  <c r="M558" i="1"/>
  <c r="N558" i="1" s="1"/>
  <c r="M559" i="1"/>
  <c r="N559" i="1" s="1"/>
  <c r="M560" i="1"/>
  <c r="N560" i="1" s="1"/>
  <c r="M561" i="1"/>
  <c r="N561" i="1" s="1"/>
  <c r="M562" i="1"/>
  <c r="N562" i="1" s="1"/>
  <c r="M563" i="1"/>
  <c r="N563" i="1" s="1"/>
  <c r="M564" i="1"/>
  <c r="N564" i="1" s="1"/>
  <c r="M565" i="1"/>
  <c r="N565" i="1" s="1"/>
  <c r="M566" i="1"/>
  <c r="N566" i="1" s="1"/>
  <c r="M567" i="1"/>
  <c r="N567" i="1" s="1"/>
  <c r="M568" i="1"/>
  <c r="N568" i="1" s="1"/>
  <c r="M569" i="1"/>
  <c r="N569" i="1" s="1"/>
  <c r="M570" i="1"/>
  <c r="N570" i="1" s="1"/>
  <c r="M571" i="1"/>
  <c r="N571" i="1" s="1"/>
  <c r="M572" i="1"/>
  <c r="N572" i="1" s="1"/>
  <c r="M573" i="1"/>
  <c r="N573" i="1" s="1"/>
  <c r="M574" i="1"/>
  <c r="N574" i="1" s="1"/>
  <c r="M575" i="1"/>
  <c r="N575" i="1" s="1"/>
  <c r="M576" i="1"/>
  <c r="N576" i="1" s="1"/>
  <c r="M577" i="1"/>
  <c r="N577" i="1" s="1"/>
  <c r="M578" i="1"/>
  <c r="N578" i="1" s="1"/>
  <c r="M579" i="1"/>
  <c r="N579" i="1" s="1"/>
  <c r="M580" i="1"/>
  <c r="N580" i="1" s="1"/>
  <c r="M581" i="1"/>
  <c r="N581" i="1" s="1"/>
  <c r="M582" i="1"/>
  <c r="N582" i="1" s="1"/>
  <c r="M583" i="1"/>
  <c r="N583" i="1" s="1"/>
  <c r="M584" i="1"/>
  <c r="N584" i="1" s="1"/>
  <c r="M585" i="1"/>
  <c r="N585" i="1" s="1"/>
  <c r="M586" i="1"/>
  <c r="N586" i="1" s="1"/>
  <c r="M587" i="1"/>
  <c r="N587" i="1" s="1"/>
  <c r="M588" i="1"/>
  <c r="N588" i="1" s="1"/>
  <c r="M589" i="1"/>
  <c r="N589" i="1" s="1"/>
  <c r="M590" i="1"/>
  <c r="N590" i="1" s="1"/>
  <c r="M591" i="1"/>
  <c r="N591" i="1" s="1"/>
  <c r="M592" i="1"/>
  <c r="N592" i="1" s="1"/>
  <c r="M593" i="1"/>
  <c r="N593" i="1" s="1"/>
  <c r="M594" i="1"/>
  <c r="N594" i="1" s="1"/>
  <c r="M595" i="1"/>
  <c r="N595" i="1" s="1"/>
  <c r="M596" i="1"/>
  <c r="N596" i="1" s="1"/>
  <c r="M597" i="1"/>
  <c r="N597" i="1" s="1"/>
  <c r="M598" i="1"/>
  <c r="N598" i="1" s="1"/>
  <c r="M599" i="1"/>
  <c r="N599" i="1" s="1"/>
  <c r="M600" i="1"/>
  <c r="N600" i="1" s="1"/>
  <c r="M601" i="1"/>
  <c r="N601" i="1" s="1"/>
  <c r="M602" i="1"/>
  <c r="N602" i="1" s="1"/>
  <c r="M603" i="1"/>
  <c r="N603" i="1" s="1"/>
  <c r="M604" i="1"/>
  <c r="N604" i="1" s="1"/>
  <c r="M605" i="1"/>
  <c r="N605" i="1" s="1"/>
  <c r="M606" i="1"/>
  <c r="N606" i="1" s="1"/>
  <c r="M607" i="1"/>
  <c r="N607" i="1" s="1"/>
  <c r="M608" i="1"/>
  <c r="N608" i="1" s="1"/>
  <c r="M609" i="1"/>
  <c r="N609" i="1" s="1"/>
  <c r="M610" i="1"/>
  <c r="N610" i="1" s="1"/>
  <c r="M611" i="1"/>
  <c r="N611" i="1" s="1"/>
  <c r="M612" i="1"/>
  <c r="N612" i="1" s="1"/>
  <c r="M613" i="1"/>
  <c r="N613" i="1" s="1"/>
  <c r="M614" i="1"/>
  <c r="N614" i="1" s="1"/>
  <c r="M615" i="1"/>
  <c r="N615" i="1" s="1"/>
  <c r="M616" i="1"/>
  <c r="N616" i="1" s="1"/>
  <c r="M617" i="1"/>
  <c r="N617" i="1" s="1"/>
  <c r="M618" i="1"/>
  <c r="N618" i="1" s="1"/>
  <c r="M619" i="1"/>
  <c r="N619" i="1" s="1"/>
  <c r="M620" i="1"/>
  <c r="N620" i="1" s="1"/>
  <c r="M621" i="1"/>
  <c r="N621" i="1" s="1"/>
  <c r="M622" i="1"/>
  <c r="N622" i="1" s="1"/>
  <c r="M623" i="1"/>
  <c r="N623" i="1" s="1"/>
  <c r="M624" i="1"/>
  <c r="N624" i="1" s="1"/>
  <c r="M625" i="1"/>
  <c r="N625" i="1" s="1"/>
  <c r="M626" i="1"/>
  <c r="N626" i="1" s="1"/>
  <c r="M627" i="1"/>
  <c r="N627" i="1" s="1"/>
  <c r="M628" i="1"/>
  <c r="N628" i="1" s="1"/>
  <c r="M629" i="1"/>
  <c r="N629" i="1" s="1"/>
  <c r="M630" i="1"/>
  <c r="N630" i="1" s="1"/>
  <c r="M631" i="1"/>
  <c r="N631" i="1" s="1"/>
  <c r="M632" i="1"/>
  <c r="N632" i="1" s="1"/>
  <c r="M633" i="1"/>
  <c r="N633" i="1" s="1"/>
  <c r="M634" i="1"/>
  <c r="N634" i="1" s="1"/>
  <c r="M635" i="1"/>
  <c r="N635" i="1" s="1"/>
  <c r="M636" i="1"/>
  <c r="N636" i="1" s="1"/>
  <c r="M637" i="1"/>
  <c r="N637" i="1" s="1"/>
  <c r="M638" i="1"/>
  <c r="N638" i="1" s="1"/>
  <c r="M639" i="1"/>
  <c r="N639" i="1" s="1"/>
  <c r="M640" i="1"/>
  <c r="N640" i="1" s="1"/>
  <c r="M641" i="1"/>
  <c r="N641" i="1" s="1"/>
  <c r="M642" i="1"/>
  <c r="N642" i="1" s="1"/>
  <c r="M643" i="1"/>
  <c r="N643" i="1" s="1"/>
  <c r="M644" i="1"/>
  <c r="N644" i="1" s="1"/>
  <c r="M645" i="1"/>
  <c r="N645" i="1" s="1"/>
  <c r="M646" i="1"/>
  <c r="N646" i="1" s="1"/>
  <c r="M647" i="1"/>
  <c r="N647" i="1" s="1"/>
  <c r="M648" i="1"/>
  <c r="N648" i="1" s="1"/>
  <c r="M649" i="1"/>
  <c r="N649" i="1" s="1"/>
  <c r="M650" i="1"/>
  <c r="N650" i="1" s="1"/>
  <c r="M651" i="1"/>
  <c r="N651" i="1" s="1"/>
  <c r="M652" i="1"/>
  <c r="N652" i="1" s="1"/>
  <c r="M653" i="1"/>
  <c r="N653" i="1" s="1"/>
  <c r="M654" i="1"/>
  <c r="N654" i="1" s="1"/>
  <c r="M655" i="1"/>
  <c r="N655" i="1" s="1"/>
  <c r="M656" i="1"/>
  <c r="N656" i="1" s="1"/>
  <c r="M657" i="1"/>
  <c r="N657" i="1" s="1"/>
  <c r="M658" i="1"/>
  <c r="N658" i="1" s="1"/>
  <c r="M659" i="1"/>
  <c r="N659" i="1" s="1"/>
  <c r="M660" i="1"/>
  <c r="N660" i="1" s="1"/>
  <c r="M661" i="1"/>
  <c r="N661" i="1" s="1"/>
  <c r="M662" i="1"/>
  <c r="N662" i="1" s="1"/>
  <c r="M663" i="1"/>
  <c r="N663" i="1" s="1"/>
  <c r="M664" i="1"/>
  <c r="N664" i="1" s="1"/>
  <c r="M665" i="1"/>
  <c r="N665" i="1" s="1"/>
  <c r="M666" i="1"/>
  <c r="N666" i="1" s="1"/>
  <c r="M667" i="1"/>
  <c r="N667" i="1" s="1"/>
  <c r="M668" i="1"/>
  <c r="N668" i="1" s="1"/>
  <c r="M669" i="1"/>
  <c r="N669" i="1" s="1"/>
  <c r="M670" i="1"/>
  <c r="N670" i="1" s="1"/>
  <c r="M671" i="1"/>
  <c r="N671" i="1" s="1"/>
  <c r="M672" i="1"/>
  <c r="N672" i="1" s="1"/>
  <c r="M673" i="1"/>
  <c r="N673" i="1" s="1"/>
  <c r="M674" i="1"/>
  <c r="N674" i="1" s="1"/>
  <c r="M675" i="1"/>
  <c r="N675" i="1" s="1"/>
  <c r="M676" i="1"/>
  <c r="N676" i="1" s="1"/>
  <c r="M677" i="1"/>
  <c r="N677" i="1" s="1"/>
  <c r="M678" i="1"/>
  <c r="N678" i="1" s="1"/>
  <c r="M679" i="1"/>
  <c r="N679" i="1" s="1"/>
  <c r="M680" i="1"/>
  <c r="N680" i="1" s="1"/>
  <c r="M681" i="1"/>
  <c r="N681" i="1" s="1"/>
  <c r="M682" i="1"/>
  <c r="N682" i="1" s="1"/>
  <c r="M683" i="1"/>
  <c r="N683" i="1" s="1"/>
  <c r="M684" i="1"/>
  <c r="N684" i="1" s="1"/>
  <c r="M685" i="1"/>
  <c r="N685" i="1" s="1"/>
  <c r="M686" i="1"/>
  <c r="N686" i="1" s="1"/>
  <c r="M687" i="1"/>
  <c r="N687" i="1" s="1"/>
  <c r="M688" i="1"/>
  <c r="N688" i="1" s="1"/>
  <c r="M689" i="1"/>
  <c r="N689" i="1" s="1"/>
  <c r="M690" i="1"/>
  <c r="N690" i="1" s="1"/>
  <c r="M691" i="1"/>
  <c r="N691" i="1" s="1"/>
  <c r="M692" i="1"/>
  <c r="N692" i="1" s="1"/>
  <c r="M693" i="1"/>
  <c r="N693" i="1" s="1"/>
  <c r="M694" i="1"/>
  <c r="N694" i="1" s="1"/>
  <c r="M695" i="1"/>
  <c r="N695" i="1" s="1"/>
  <c r="M696" i="1"/>
  <c r="N696" i="1" s="1"/>
  <c r="M697" i="1"/>
  <c r="N697" i="1" s="1"/>
  <c r="M698" i="1"/>
  <c r="N698" i="1" s="1"/>
  <c r="M699" i="1"/>
  <c r="N699" i="1" s="1"/>
  <c r="M700" i="1"/>
  <c r="N700" i="1" s="1"/>
  <c r="M701" i="1"/>
  <c r="N701" i="1" s="1"/>
  <c r="M702" i="1"/>
  <c r="N702" i="1" s="1"/>
  <c r="M703" i="1"/>
  <c r="N703" i="1" s="1"/>
  <c r="M704" i="1"/>
  <c r="N704" i="1" s="1"/>
  <c r="M705" i="1"/>
  <c r="N705" i="1" s="1"/>
  <c r="M706" i="1"/>
  <c r="N706" i="1" s="1"/>
  <c r="M707" i="1"/>
  <c r="N707" i="1" s="1"/>
  <c r="M708" i="1"/>
  <c r="N708" i="1" s="1"/>
  <c r="M709" i="1"/>
  <c r="N709" i="1" s="1"/>
  <c r="M710" i="1"/>
  <c r="N710" i="1" s="1"/>
  <c r="M711" i="1"/>
  <c r="N711" i="1" s="1"/>
  <c r="M712" i="1"/>
  <c r="N712" i="1" s="1"/>
  <c r="M713" i="1"/>
  <c r="N713" i="1" s="1"/>
  <c r="M714" i="1"/>
  <c r="N714" i="1" s="1"/>
  <c r="M715" i="1"/>
  <c r="N715" i="1" s="1"/>
  <c r="M716" i="1"/>
  <c r="N716" i="1" s="1"/>
  <c r="M717" i="1"/>
  <c r="N717" i="1" s="1"/>
  <c r="M718" i="1"/>
  <c r="N718" i="1" s="1"/>
  <c r="M719" i="1"/>
  <c r="N719" i="1" s="1"/>
  <c r="M720" i="1"/>
  <c r="N720" i="1" s="1"/>
  <c r="M721" i="1"/>
  <c r="N721" i="1" s="1"/>
  <c r="M722" i="1"/>
  <c r="N722" i="1" s="1"/>
  <c r="M723" i="1"/>
  <c r="N723" i="1" s="1"/>
  <c r="M724" i="1"/>
  <c r="N724" i="1" s="1"/>
  <c r="M725" i="1"/>
  <c r="N725" i="1" s="1"/>
  <c r="M726" i="1"/>
  <c r="N726" i="1" s="1"/>
  <c r="M727" i="1"/>
  <c r="N727" i="1" s="1"/>
  <c r="M728" i="1"/>
  <c r="N728" i="1" s="1"/>
  <c r="M729" i="1"/>
  <c r="N729" i="1" s="1"/>
  <c r="M730" i="1"/>
  <c r="N730" i="1" s="1"/>
  <c r="M731" i="1"/>
  <c r="N731" i="1" s="1"/>
  <c r="M732" i="1"/>
  <c r="N732" i="1" s="1"/>
  <c r="M733" i="1"/>
  <c r="N733" i="1" s="1"/>
  <c r="M734" i="1"/>
  <c r="N734" i="1" s="1"/>
  <c r="M735" i="1"/>
  <c r="N735" i="1" s="1"/>
  <c r="M736" i="1"/>
  <c r="N736" i="1" s="1"/>
  <c r="M737" i="1"/>
  <c r="N737" i="1" s="1"/>
  <c r="M738" i="1"/>
  <c r="N738" i="1" s="1"/>
  <c r="M739" i="1"/>
  <c r="N739" i="1" s="1"/>
  <c r="M740" i="1"/>
  <c r="N740" i="1" s="1"/>
  <c r="M741" i="1"/>
  <c r="N741" i="1" s="1"/>
  <c r="M742" i="1"/>
  <c r="N742" i="1" s="1"/>
  <c r="M743" i="1"/>
  <c r="N743" i="1" s="1"/>
  <c r="M744" i="1"/>
  <c r="N744" i="1" s="1"/>
  <c r="M745" i="1"/>
  <c r="N745" i="1" s="1"/>
  <c r="M746" i="1"/>
  <c r="N746" i="1" s="1"/>
  <c r="M747" i="1"/>
  <c r="N747" i="1" s="1"/>
  <c r="M748" i="1"/>
  <c r="N748" i="1" s="1"/>
  <c r="M749" i="1"/>
  <c r="N749" i="1" s="1"/>
  <c r="M750" i="1"/>
  <c r="N750" i="1" s="1"/>
  <c r="M751" i="1"/>
  <c r="N751" i="1" s="1"/>
  <c r="M752" i="1"/>
  <c r="N752" i="1" s="1"/>
  <c r="M753" i="1"/>
  <c r="N753" i="1" s="1"/>
  <c r="M754" i="1"/>
  <c r="N754" i="1" s="1"/>
  <c r="M755" i="1"/>
  <c r="N755" i="1" s="1"/>
  <c r="M756" i="1"/>
  <c r="N756" i="1" s="1"/>
  <c r="M757" i="1"/>
  <c r="N757" i="1" s="1"/>
  <c r="M758" i="1"/>
  <c r="N758" i="1" s="1"/>
  <c r="M759" i="1"/>
  <c r="N759" i="1" s="1"/>
  <c r="M760" i="1"/>
  <c r="N760" i="1" s="1"/>
  <c r="M761" i="1"/>
  <c r="N761" i="1" s="1"/>
  <c r="M762" i="1"/>
  <c r="N762" i="1" s="1"/>
  <c r="M763" i="1"/>
  <c r="N763" i="1" s="1"/>
  <c r="M764" i="1"/>
  <c r="N764" i="1" s="1"/>
  <c r="M765" i="1"/>
  <c r="N765" i="1" s="1"/>
  <c r="M766" i="1"/>
  <c r="N766" i="1" s="1"/>
  <c r="M767" i="1"/>
  <c r="N767" i="1" s="1"/>
  <c r="M768" i="1"/>
  <c r="N768" i="1" s="1"/>
  <c r="M769" i="1"/>
  <c r="N769" i="1" s="1"/>
  <c r="M770" i="1"/>
  <c r="N770" i="1" s="1"/>
  <c r="M771" i="1"/>
  <c r="N771" i="1" s="1"/>
  <c r="M772" i="1"/>
  <c r="N772" i="1" s="1"/>
  <c r="M773" i="1"/>
  <c r="N773" i="1" s="1"/>
  <c r="M774" i="1"/>
  <c r="N774" i="1" s="1"/>
  <c r="M775" i="1"/>
  <c r="N775" i="1" s="1"/>
  <c r="M776" i="1"/>
  <c r="N776" i="1" s="1"/>
  <c r="M777" i="1"/>
  <c r="N777" i="1" s="1"/>
  <c r="M778" i="1"/>
  <c r="N778" i="1" s="1"/>
  <c r="M779" i="1"/>
  <c r="N779" i="1" s="1"/>
  <c r="M780" i="1"/>
  <c r="N780" i="1" s="1"/>
  <c r="M781" i="1"/>
  <c r="N781" i="1" s="1"/>
  <c r="M782" i="1"/>
  <c r="N782" i="1" s="1"/>
  <c r="M783" i="1"/>
  <c r="N783" i="1" s="1"/>
  <c r="M784" i="1"/>
  <c r="N784" i="1" s="1"/>
  <c r="M785" i="1"/>
  <c r="N785" i="1" s="1"/>
  <c r="M786" i="1"/>
  <c r="N786" i="1" s="1"/>
  <c r="M787" i="1"/>
  <c r="N787" i="1" s="1"/>
  <c r="M788" i="1"/>
  <c r="N788" i="1" s="1"/>
  <c r="M789" i="1"/>
  <c r="N789" i="1" s="1"/>
  <c r="M790" i="1"/>
  <c r="N790" i="1" s="1"/>
  <c r="M791" i="1"/>
  <c r="N791" i="1" s="1"/>
  <c r="M792" i="1"/>
  <c r="N792" i="1" s="1"/>
  <c r="M793" i="1"/>
  <c r="N793" i="1" s="1"/>
  <c r="M794" i="1"/>
  <c r="N794" i="1" s="1"/>
  <c r="M795" i="1"/>
  <c r="N795" i="1" s="1"/>
  <c r="M796" i="1"/>
  <c r="N796" i="1" s="1"/>
  <c r="M797" i="1"/>
  <c r="N797" i="1" s="1"/>
  <c r="M798" i="1"/>
  <c r="N798" i="1" s="1"/>
  <c r="M799" i="1"/>
  <c r="N799" i="1" s="1"/>
  <c r="M800" i="1"/>
  <c r="N800" i="1" s="1"/>
  <c r="M801" i="1"/>
  <c r="N801" i="1" s="1"/>
  <c r="M802" i="1"/>
  <c r="N802" i="1" s="1"/>
  <c r="M803" i="1"/>
  <c r="N803" i="1" s="1"/>
  <c r="M804" i="1"/>
  <c r="N804" i="1" s="1"/>
  <c r="M805" i="1"/>
  <c r="N805" i="1" s="1"/>
  <c r="M806" i="1"/>
  <c r="N806" i="1" s="1"/>
  <c r="M807" i="1"/>
  <c r="N807" i="1" s="1"/>
  <c r="M808" i="1"/>
  <c r="N808" i="1" s="1"/>
  <c r="M809" i="1"/>
  <c r="N809" i="1" s="1"/>
  <c r="M810" i="1"/>
  <c r="N810" i="1" s="1"/>
  <c r="M811" i="1"/>
  <c r="N811" i="1" s="1"/>
  <c r="M812" i="1"/>
  <c r="N812" i="1" s="1"/>
  <c r="M813" i="1"/>
  <c r="N813" i="1" s="1"/>
  <c r="M814" i="1"/>
  <c r="N814" i="1" s="1"/>
  <c r="M815" i="1"/>
  <c r="N815" i="1" s="1"/>
  <c r="M816" i="1"/>
  <c r="N816" i="1" s="1"/>
  <c r="M817" i="1"/>
  <c r="N817" i="1" s="1"/>
  <c r="M818" i="1"/>
  <c r="N818" i="1" s="1"/>
  <c r="M819" i="1"/>
  <c r="N819" i="1" s="1"/>
  <c r="M820" i="1"/>
  <c r="N820" i="1" s="1"/>
  <c r="M821" i="1"/>
  <c r="N821" i="1" s="1"/>
  <c r="M822" i="1"/>
  <c r="N822" i="1" s="1"/>
  <c r="M823" i="1"/>
  <c r="N823" i="1" s="1"/>
  <c r="M824" i="1"/>
  <c r="N824" i="1" s="1"/>
  <c r="M825" i="1"/>
  <c r="N825" i="1" s="1"/>
  <c r="M826" i="1"/>
  <c r="N826" i="1" s="1"/>
  <c r="M827" i="1"/>
  <c r="N827" i="1" s="1"/>
  <c r="M828" i="1"/>
  <c r="N828" i="1" s="1"/>
  <c r="M829" i="1"/>
  <c r="N829" i="1" s="1"/>
  <c r="M830" i="1"/>
  <c r="N830" i="1" s="1"/>
  <c r="M831" i="1"/>
  <c r="N831" i="1" s="1"/>
  <c r="M832" i="1"/>
  <c r="N832" i="1" s="1"/>
  <c r="M833" i="1"/>
  <c r="N833" i="1" s="1"/>
  <c r="M834" i="1"/>
  <c r="N834" i="1" s="1"/>
  <c r="M835" i="1"/>
  <c r="N835" i="1" s="1"/>
  <c r="M836" i="1"/>
  <c r="N836" i="1" s="1"/>
  <c r="M837" i="1"/>
  <c r="N837" i="1" s="1"/>
  <c r="M838" i="1"/>
  <c r="N838" i="1" s="1"/>
  <c r="M839" i="1"/>
  <c r="N839" i="1" s="1"/>
  <c r="M840" i="1"/>
  <c r="N840" i="1" s="1"/>
  <c r="M841" i="1"/>
  <c r="N841" i="1" s="1"/>
  <c r="M842" i="1"/>
  <c r="N842" i="1" s="1"/>
  <c r="M843" i="1"/>
  <c r="N843" i="1" s="1"/>
  <c r="M844" i="1"/>
  <c r="N844" i="1" s="1"/>
  <c r="M845" i="1"/>
  <c r="N845" i="1" s="1"/>
  <c r="M846" i="1"/>
  <c r="N846" i="1" s="1"/>
  <c r="M847" i="1"/>
  <c r="N847" i="1" s="1"/>
  <c r="M848" i="1"/>
  <c r="N848" i="1" s="1"/>
  <c r="M849" i="1"/>
  <c r="N849" i="1" s="1"/>
  <c r="M850" i="1"/>
  <c r="N850" i="1" s="1"/>
  <c r="M851" i="1"/>
  <c r="N851" i="1" s="1"/>
  <c r="M852" i="1"/>
  <c r="N852" i="1" s="1"/>
  <c r="M853" i="1"/>
  <c r="N853" i="1" s="1"/>
  <c r="M854" i="1"/>
  <c r="N854" i="1" s="1"/>
  <c r="M855" i="1"/>
  <c r="N855" i="1" s="1"/>
  <c r="M856" i="1"/>
  <c r="N856" i="1" s="1"/>
  <c r="M857" i="1"/>
  <c r="N857" i="1" s="1"/>
  <c r="M858" i="1"/>
  <c r="N858" i="1" s="1"/>
  <c r="M859" i="1"/>
  <c r="N859" i="1" s="1"/>
  <c r="M860" i="1"/>
  <c r="N860" i="1" s="1"/>
  <c r="M861" i="1"/>
  <c r="N861" i="1" s="1"/>
  <c r="M862" i="1"/>
  <c r="N862" i="1" s="1"/>
  <c r="M863" i="1"/>
  <c r="N863" i="1" s="1"/>
  <c r="M864" i="1"/>
  <c r="N864" i="1" s="1"/>
  <c r="M865" i="1"/>
  <c r="N865" i="1" s="1"/>
  <c r="M866" i="1"/>
  <c r="N866" i="1" s="1"/>
  <c r="M867" i="1"/>
  <c r="N867" i="1" s="1"/>
  <c r="M868" i="1"/>
  <c r="N868" i="1" s="1"/>
  <c r="M869" i="1"/>
  <c r="N869" i="1" s="1"/>
  <c r="M870" i="1"/>
  <c r="N870" i="1" s="1"/>
  <c r="M871" i="1"/>
  <c r="N871" i="1" s="1"/>
  <c r="M872" i="1"/>
  <c r="N872" i="1" s="1"/>
  <c r="M873" i="1"/>
  <c r="N873" i="1" s="1"/>
  <c r="M874" i="1"/>
  <c r="N874" i="1" s="1"/>
  <c r="M875" i="1"/>
  <c r="N875" i="1" s="1"/>
  <c r="M876" i="1"/>
  <c r="N876" i="1" s="1"/>
  <c r="M877" i="1"/>
  <c r="N877" i="1" s="1"/>
  <c r="M878" i="1"/>
  <c r="N878" i="1" s="1"/>
  <c r="M879" i="1"/>
  <c r="N879" i="1" s="1"/>
  <c r="M880" i="1"/>
  <c r="N880" i="1" s="1"/>
  <c r="M881" i="1"/>
  <c r="N881" i="1" s="1"/>
  <c r="M882" i="1"/>
  <c r="N882" i="1" s="1"/>
  <c r="M883" i="1"/>
  <c r="N883" i="1" s="1"/>
  <c r="M884" i="1"/>
  <c r="N884" i="1" s="1"/>
  <c r="M885" i="1"/>
  <c r="N885" i="1" s="1"/>
  <c r="M886" i="1"/>
  <c r="N886" i="1" s="1"/>
  <c r="M887" i="1"/>
  <c r="N887" i="1" s="1"/>
  <c r="M888" i="1"/>
  <c r="N888" i="1" s="1"/>
  <c r="M889" i="1"/>
  <c r="N889" i="1" s="1"/>
  <c r="M890" i="1"/>
  <c r="N890" i="1" s="1"/>
  <c r="M891" i="1"/>
  <c r="N891" i="1" s="1"/>
  <c r="M892" i="1"/>
  <c r="N892" i="1" s="1"/>
  <c r="M893" i="1"/>
  <c r="N893" i="1" s="1"/>
  <c r="M894" i="1"/>
  <c r="N894" i="1" s="1"/>
  <c r="M895" i="1"/>
  <c r="N895" i="1" s="1"/>
  <c r="M896" i="1"/>
  <c r="N896" i="1" s="1"/>
  <c r="M897" i="1"/>
  <c r="N897" i="1" s="1"/>
  <c r="M898" i="1"/>
  <c r="N898" i="1" s="1"/>
  <c r="M899" i="1"/>
  <c r="N899" i="1" s="1"/>
  <c r="M900" i="1"/>
  <c r="N900" i="1" s="1"/>
  <c r="M901" i="1"/>
  <c r="N901" i="1" s="1"/>
  <c r="M902" i="1"/>
  <c r="N902" i="1" s="1"/>
  <c r="M903" i="1"/>
  <c r="N903" i="1" s="1"/>
  <c r="M904" i="1"/>
  <c r="N904" i="1" s="1"/>
  <c r="M905" i="1"/>
  <c r="N905" i="1" s="1"/>
  <c r="M906" i="1"/>
  <c r="N906" i="1" s="1"/>
  <c r="M907" i="1"/>
  <c r="N907" i="1" s="1"/>
  <c r="M908" i="1"/>
  <c r="N908" i="1" s="1"/>
  <c r="M909" i="1"/>
  <c r="N909" i="1" s="1"/>
  <c r="M910" i="1"/>
  <c r="N910" i="1" s="1"/>
  <c r="M911" i="1"/>
  <c r="N911" i="1" s="1"/>
  <c r="M912" i="1"/>
  <c r="N912" i="1" s="1"/>
  <c r="M913" i="1"/>
  <c r="N913" i="1" s="1"/>
  <c r="M914" i="1"/>
  <c r="N914" i="1" s="1"/>
  <c r="M915" i="1"/>
  <c r="N915" i="1" s="1"/>
  <c r="M916" i="1"/>
  <c r="N916" i="1" s="1"/>
  <c r="M917" i="1"/>
  <c r="N917" i="1" s="1"/>
  <c r="M918" i="1"/>
  <c r="N918" i="1" s="1"/>
  <c r="M919" i="1"/>
  <c r="N919" i="1" s="1"/>
  <c r="M920" i="1"/>
  <c r="N920" i="1" s="1"/>
  <c r="M921" i="1"/>
  <c r="N921" i="1" s="1"/>
  <c r="M922" i="1"/>
  <c r="N922" i="1" s="1"/>
  <c r="M923" i="1"/>
  <c r="N923" i="1" s="1"/>
  <c r="M924" i="1"/>
  <c r="N924" i="1" s="1"/>
  <c r="M925" i="1"/>
  <c r="N925" i="1" s="1"/>
  <c r="M926" i="1"/>
  <c r="N926" i="1" s="1"/>
  <c r="M927" i="1"/>
  <c r="N927" i="1" s="1"/>
  <c r="M928" i="1"/>
  <c r="N928" i="1" s="1"/>
  <c r="M929" i="1"/>
  <c r="N929" i="1" s="1"/>
  <c r="M930" i="1"/>
  <c r="N930" i="1" s="1"/>
  <c r="M931" i="1"/>
  <c r="N931" i="1" s="1"/>
  <c r="M932" i="1"/>
  <c r="N932" i="1" s="1"/>
  <c r="M933" i="1"/>
  <c r="N933" i="1" s="1"/>
  <c r="M934" i="1"/>
  <c r="N934" i="1" s="1"/>
  <c r="M935" i="1"/>
  <c r="N935" i="1" s="1"/>
  <c r="M936" i="1"/>
  <c r="N936" i="1" s="1"/>
  <c r="M937" i="1"/>
  <c r="N937" i="1" s="1"/>
  <c r="M938" i="1"/>
  <c r="N938" i="1" s="1"/>
  <c r="M939" i="1"/>
  <c r="N939" i="1" s="1"/>
  <c r="M940" i="1"/>
  <c r="N940" i="1" s="1"/>
  <c r="M941" i="1"/>
  <c r="N941" i="1" s="1"/>
  <c r="M942" i="1"/>
  <c r="N942" i="1" s="1"/>
  <c r="M943" i="1"/>
  <c r="N943" i="1" s="1"/>
  <c r="M944" i="1"/>
  <c r="N944" i="1" s="1"/>
  <c r="M945" i="1"/>
  <c r="N945" i="1" s="1"/>
  <c r="M946" i="1"/>
  <c r="N946" i="1" s="1"/>
  <c r="M947" i="1"/>
  <c r="N947" i="1" s="1"/>
  <c r="M948" i="1"/>
  <c r="N948" i="1" s="1"/>
  <c r="M949" i="1"/>
  <c r="N949" i="1" s="1"/>
  <c r="M950" i="1"/>
  <c r="N950" i="1" s="1"/>
  <c r="M951" i="1"/>
  <c r="N951" i="1" s="1"/>
  <c r="M952" i="1"/>
  <c r="N952" i="1" s="1"/>
  <c r="M953" i="1"/>
  <c r="N953" i="1" s="1"/>
  <c r="M954" i="1"/>
  <c r="N954" i="1" s="1"/>
  <c r="M955" i="1"/>
  <c r="N955" i="1" s="1"/>
  <c r="M956" i="1"/>
  <c r="N956" i="1" s="1"/>
  <c r="M957" i="1"/>
  <c r="N957" i="1" s="1"/>
  <c r="M958" i="1"/>
  <c r="N958" i="1" s="1"/>
  <c r="M959" i="1"/>
  <c r="N959" i="1" s="1"/>
  <c r="M960" i="1"/>
  <c r="N960" i="1" s="1"/>
  <c r="M961" i="1"/>
  <c r="N961" i="1" s="1"/>
  <c r="M962" i="1"/>
  <c r="N962" i="1" s="1"/>
  <c r="M963" i="1"/>
  <c r="N963" i="1" s="1"/>
  <c r="M964" i="1"/>
  <c r="N964" i="1" s="1"/>
  <c r="M965" i="1"/>
  <c r="N965" i="1" s="1"/>
  <c r="M966" i="1"/>
  <c r="N966" i="1" s="1"/>
  <c r="M967" i="1"/>
  <c r="N967" i="1" s="1"/>
  <c r="M968" i="1"/>
  <c r="N968" i="1" s="1"/>
  <c r="M969" i="1"/>
  <c r="N969" i="1" s="1"/>
  <c r="M970" i="1"/>
  <c r="N970" i="1" s="1"/>
  <c r="M971" i="1"/>
  <c r="N971" i="1" s="1"/>
  <c r="M972" i="1"/>
  <c r="N972" i="1" s="1"/>
  <c r="M973" i="1"/>
  <c r="N973" i="1" s="1"/>
  <c r="M974" i="1"/>
  <c r="N974" i="1" s="1"/>
  <c r="M975" i="1"/>
  <c r="N975" i="1" s="1"/>
  <c r="M976" i="1"/>
  <c r="N976" i="1" s="1"/>
  <c r="M977" i="1"/>
  <c r="N977" i="1" s="1"/>
  <c r="M978" i="1"/>
  <c r="N978" i="1" s="1"/>
  <c r="M979" i="1"/>
  <c r="N979" i="1" s="1"/>
  <c r="M980" i="1"/>
  <c r="N980" i="1" s="1"/>
  <c r="M981" i="1"/>
  <c r="N981" i="1" s="1"/>
  <c r="M982" i="1"/>
  <c r="N982" i="1" s="1"/>
  <c r="M983" i="1"/>
  <c r="N983" i="1" s="1"/>
  <c r="M984" i="1"/>
  <c r="N984" i="1" s="1"/>
  <c r="M985" i="1"/>
  <c r="N985" i="1" s="1"/>
  <c r="M986" i="1"/>
  <c r="N986" i="1" s="1"/>
  <c r="M987" i="1"/>
  <c r="N987" i="1" s="1"/>
  <c r="M988" i="1"/>
  <c r="N988" i="1" s="1"/>
  <c r="M989" i="1"/>
  <c r="N989" i="1" s="1"/>
  <c r="M990" i="1"/>
  <c r="N990" i="1" s="1"/>
  <c r="M991" i="1"/>
  <c r="N991" i="1" s="1"/>
  <c r="M992" i="1"/>
  <c r="N992" i="1" s="1"/>
  <c r="M993" i="1"/>
  <c r="N993" i="1" s="1"/>
  <c r="M994" i="1"/>
  <c r="N994" i="1" s="1"/>
  <c r="M995" i="1"/>
  <c r="N995" i="1" s="1"/>
  <c r="M996" i="1"/>
  <c r="N996" i="1" s="1"/>
  <c r="M997" i="1"/>
  <c r="N997" i="1" s="1"/>
  <c r="M998" i="1"/>
  <c r="N998" i="1" s="1"/>
  <c r="M999" i="1"/>
  <c r="N999" i="1" s="1"/>
  <c r="M1000" i="1"/>
  <c r="N1000" i="1" s="1"/>
  <c r="M1001" i="1"/>
  <c r="N1001" i="1" s="1"/>
  <c r="M1002" i="1"/>
  <c r="N1002" i="1" s="1"/>
  <c r="M1003" i="1"/>
  <c r="N1003" i="1" s="1"/>
  <c r="M1004" i="1"/>
  <c r="N1004" i="1" s="1"/>
  <c r="M1005" i="1"/>
  <c r="N1005" i="1" s="1"/>
  <c r="M1006" i="1"/>
  <c r="N1006" i="1" s="1"/>
  <c r="M1007" i="1"/>
  <c r="N1007" i="1" s="1"/>
  <c r="M1008" i="1"/>
  <c r="N1008" i="1" s="1"/>
  <c r="M1009" i="1"/>
  <c r="N1009" i="1" s="1"/>
  <c r="M1010" i="1"/>
  <c r="N1010" i="1" s="1"/>
  <c r="M1011" i="1"/>
  <c r="N1011" i="1" s="1"/>
  <c r="M1012" i="1"/>
  <c r="N1012" i="1" s="1"/>
  <c r="M1013" i="1"/>
  <c r="N1013" i="1" s="1"/>
  <c r="M1014" i="1"/>
  <c r="N1014" i="1" s="1"/>
  <c r="M1015" i="1"/>
  <c r="N1015" i="1" s="1"/>
  <c r="M1016" i="1"/>
  <c r="N1016" i="1" s="1"/>
  <c r="M1017" i="1"/>
  <c r="N1017" i="1" s="1"/>
  <c r="M1018" i="1"/>
  <c r="N1018" i="1" s="1"/>
  <c r="M1019" i="1"/>
  <c r="N1019" i="1" s="1"/>
  <c r="M1020" i="1"/>
  <c r="N1020" i="1" s="1"/>
  <c r="M1021" i="1"/>
  <c r="N1021" i="1" s="1"/>
  <c r="M1022" i="1"/>
  <c r="N1022" i="1" s="1"/>
  <c r="M1023" i="1"/>
  <c r="N1023" i="1" s="1"/>
  <c r="M1024" i="1"/>
  <c r="N1024" i="1" s="1"/>
  <c r="M1025" i="1"/>
  <c r="N1025" i="1" s="1"/>
  <c r="M1026" i="1"/>
  <c r="N1026" i="1" s="1"/>
  <c r="M1027" i="1"/>
  <c r="N1027" i="1" s="1"/>
  <c r="M1028" i="1"/>
  <c r="N1028" i="1" s="1"/>
  <c r="M1029" i="1"/>
  <c r="N1029" i="1" s="1"/>
  <c r="M1030" i="1"/>
  <c r="N1030" i="1" s="1"/>
  <c r="M1031" i="1"/>
  <c r="N1031" i="1" s="1"/>
  <c r="M1032" i="1"/>
  <c r="N1032" i="1" s="1"/>
  <c r="M1033" i="1"/>
  <c r="N1033" i="1" s="1"/>
  <c r="M1034" i="1"/>
  <c r="N1034" i="1" s="1"/>
  <c r="M1035" i="1"/>
  <c r="N1035" i="1" s="1"/>
  <c r="M1036" i="1"/>
  <c r="N1036" i="1" s="1"/>
  <c r="M1037" i="1"/>
  <c r="N1037" i="1" s="1"/>
  <c r="M1038" i="1"/>
  <c r="N1038" i="1" s="1"/>
  <c r="M1039" i="1"/>
  <c r="N1039" i="1" s="1"/>
  <c r="M1040" i="1"/>
  <c r="N1040" i="1" s="1"/>
  <c r="M1041" i="1"/>
  <c r="N1041" i="1" s="1"/>
  <c r="M1042" i="1"/>
  <c r="N1042" i="1" s="1"/>
  <c r="M1043" i="1"/>
  <c r="N1043" i="1" s="1"/>
  <c r="M1044" i="1"/>
  <c r="N1044" i="1" s="1"/>
  <c r="M1045" i="1"/>
  <c r="N1045" i="1" s="1"/>
  <c r="M1046" i="1"/>
  <c r="N1046" i="1" s="1"/>
  <c r="M1047" i="1"/>
  <c r="N1047" i="1" s="1"/>
  <c r="M1048" i="1"/>
  <c r="N1048" i="1" s="1"/>
  <c r="M1049" i="1"/>
  <c r="N1049" i="1" s="1"/>
  <c r="M1050" i="1"/>
  <c r="N1050" i="1" s="1"/>
  <c r="M1051" i="1"/>
  <c r="N1051" i="1" s="1"/>
  <c r="M1052" i="1"/>
  <c r="N1052" i="1" s="1"/>
  <c r="M1053" i="1"/>
  <c r="N1053" i="1" s="1"/>
  <c r="M1054" i="1"/>
  <c r="N1054" i="1" s="1"/>
  <c r="M1055" i="1"/>
  <c r="N1055" i="1" s="1"/>
  <c r="M1056" i="1"/>
  <c r="N1056" i="1" s="1"/>
  <c r="M1057" i="1"/>
  <c r="N1057" i="1" s="1"/>
  <c r="M1058" i="1"/>
  <c r="N1058" i="1" s="1"/>
  <c r="M1059" i="1"/>
  <c r="N1059" i="1" s="1"/>
  <c r="M1060" i="1"/>
  <c r="N1060" i="1" s="1"/>
  <c r="M1061" i="1"/>
  <c r="N1061" i="1" s="1"/>
  <c r="M1062" i="1"/>
  <c r="N1062" i="1" s="1"/>
  <c r="M1063" i="1"/>
  <c r="N1063" i="1" s="1"/>
  <c r="M1064" i="1"/>
  <c r="N1064" i="1" s="1"/>
  <c r="M1065" i="1"/>
  <c r="N1065" i="1" s="1"/>
  <c r="M1066" i="1"/>
  <c r="N1066" i="1" s="1"/>
  <c r="M1067" i="1"/>
  <c r="N1067" i="1" s="1"/>
  <c r="M1068" i="1"/>
  <c r="N1068" i="1" s="1"/>
  <c r="M1069" i="1"/>
  <c r="N1069" i="1" s="1"/>
  <c r="M1070" i="1"/>
  <c r="N1070" i="1" s="1"/>
  <c r="M1071" i="1"/>
  <c r="N1071" i="1" s="1"/>
  <c r="M1072" i="1"/>
  <c r="N1072" i="1" s="1"/>
  <c r="M1073" i="1"/>
  <c r="N1073" i="1" s="1"/>
  <c r="M1074" i="1"/>
  <c r="N1074" i="1" s="1"/>
  <c r="M1075" i="1"/>
  <c r="N1075" i="1" s="1"/>
  <c r="M1076" i="1"/>
  <c r="N1076" i="1" s="1"/>
  <c r="M1077" i="1"/>
  <c r="N1077" i="1" s="1"/>
  <c r="M1078" i="1"/>
  <c r="N1078" i="1" s="1"/>
  <c r="M1079" i="1"/>
  <c r="N1079" i="1" s="1"/>
  <c r="M1080" i="1"/>
  <c r="N1080" i="1" s="1"/>
  <c r="M1081" i="1"/>
  <c r="N1081" i="1" s="1"/>
  <c r="M1082" i="1"/>
  <c r="N1082" i="1" s="1"/>
  <c r="M1083" i="1"/>
  <c r="N1083" i="1" s="1"/>
  <c r="M1084" i="1"/>
  <c r="N1084" i="1" s="1"/>
  <c r="M1085" i="1"/>
  <c r="N1085" i="1" s="1"/>
  <c r="M1086" i="1"/>
  <c r="N1086" i="1" s="1"/>
  <c r="M1087" i="1"/>
  <c r="N1087" i="1" s="1"/>
  <c r="M1088" i="1"/>
  <c r="N1088" i="1" s="1"/>
  <c r="M1089" i="1"/>
  <c r="N1089" i="1" s="1"/>
  <c r="M1090" i="1"/>
  <c r="N1090" i="1" s="1"/>
  <c r="M1091" i="1"/>
  <c r="N1091" i="1" s="1"/>
  <c r="M1092" i="1"/>
  <c r="N1092" i="1" s="1"/>
  <c r="M1093" i="1"/>
  <c r="N1093" i="1" s="1"/>
  <c r="M1094" i="1"/>
  <c r="N1094" i="1" s="1"/>
  <c r="M1095" i="1"/>
  <c r="N1095" i="1" s="1"/>
  <c r="M1096" i="1"/>
  <c r="N1096" i="1" s="1"/>
  <c r="M1097" i="1"/>
  <c r="N1097" i="1" s="1"/>
  <c r="M1098" i="1"/>
  <c r="N1098" i="1" s="1"/>
  <c r="M1099" i="1"/>
  <c r="N1099" i="1" s="1"/>
  <c r="M1100" i="1"/>
  <c r="N1100" i="1" s="1"/>
  <c r="M1101" i="1"/>
  <c r="N1101" i="1" s="1"/>
  <c r="M1102" i="1"/>
  <c r="N1102" i="1" s="1"/>
  <c r="M1103" i="1"/>
  <c r="N1103" i="1" s="1"/>
  <c r="M1104" i="1"/>
  <c r="N1104" i="1" s="1"/>
  <c r="M1105" i="1"/>
  <c r="N1105" i="1" s="1"/>
  <c r="M1106" i="1"/>
  <c r="N1106" i="1" s="1"/>
  <c r="M1107" i="1"/>
  <c r="N1107" i="1" s="1"/>
  <c r="M1108" i="1"/>
  <c r="N1108" i="1" s="1"/>
  <c r="M1109" i="1"/>
  <c r="N1109" i="1" s="1"/>
  <c r="M1110" i="1"/>
  <c r="N1110" i="1" s="1"/>
  <c r="M1111" i="1"/>
  <c r="N1111" i="1" s="1"/>
  <c r="M1112" i="1"/>
  <c r="N1112" i="1" s="1"/>
  <c r="M1113" i="1"/>
  <c r="N1113" i="1" s="1"/>
  <c r="M1114" i="1"/>
  <c r="N1114" i="1" s="1"/>
  <c r="M1115" i="1"/>
  <c r="N1115" i="1" s="1"/>
  <c r="M1116" i="1"/>
  <c r="N1116" i="1" s="1"/>
  <c r="M1117" i="1"/>
  <c r="N1117" i="1" s="1"/>
  <c r="M1118" i="1"/>
  <c r="N1118" i="1" s="1"/>
  <c r="M1119" i="1"/>
  <c r="N1119" i="1" s="1"/>
  <c r="M1120" i="1"/>
  <c r="N1120" i="1" s="1"/>
  <c r="M1121" i="1"/>
  <c r="N1121" i="1" s="1"/>
  <c r="M1122" i="1"/>
  <c r="N1122" i="1" s="1"/>
  <c r="M1123" i="1"/>
  <c r="N1123" i="1" s="1"/>
  <c r="M1124" i="1"/>
  <c r="N1124" i="1" s="1"/>
  <c r="M1125" i="1"/>
  <c r="N1125" i="1" s="1"/>
  <c r="M1126" i="1"/>
  <c r="N1126" i="1" s="1"/>
  <c r="M1127" i="1"/>
  <c r="N1127" i="1" s="1"/>
  <c r="M1128" i="1"/>
  <c r="N1128" i="1" s="1"/>
  <c r="M1129" i="1"/>
  <c r="N1129" i="1" s="1"/>
  <c r="M1130" i="1"/>
  <c r="N1130" i="1" s="1"/>
  <c r="M1131" i="1"/>
  <c r="N1131" i="1" s="1"/>
  <c r="M1132" i="1"/>
  <c r="N1132" i="1" s="1"/>
  <c r="M1133" i="1"/>
  <c r="N1133" i="1" s="1"/>
  <c r="M1134" i="1"/>
  <c r="N1134" i="1" s="1"/>
  <c r="M1135" i="1"/>
  <c r="N1135" i="1" s="1"/>
  <c r="M1136" i="1"/>
  <c r="N1136" i="1" s="1"/>
  <c r="M1137" i="1"/>
  <c r="N1137" i="1" s="1"/>
  <c r="M1138" i="1"/>
  <c r="N1138" i="1" s="1"/>
  <c r="M1139" i="1"/>
  <c r="N1139" i="1" s="1"/>
  <c r="M1140" i="1"/>
  <c r="N1140" i="1" s="1"/>
  <c r="M1141" i="1"/>
  <c r="N1141" i="1" s="1"/>
  <c r="M1142" i="1"/>
  <c r="N1142" i="1" s="1"/>
  <c r="M1143" i="1"/>
  <c r="N1143" i="1" s="1"/>
  <c r="M1144" i="1"/>
  <c r="N1144" i="1" s="1"/>
  <c r="M1145" i="1"/>
  <c r="N1145" i="1" s="1"/>
  <c r="M1146" i="1"/>
  <c r="N1146" i="1" s="1"/>
  <c r="M1147" i="1"/>
  <c r="N1147" i="1" s="1"/>
  <c r="M1148" i="1"/>
  <c r="N1148" i="1" s="1"/>
  <c r="M1149" i="1"/>
  <c r="N1149" i="1" s="1"/>
  <c r="M1150" i="1"/>
  <c r="N1150" i="1" s="1"/>
  <c r="M1151" i="1"/>
  <c r="N1151" i="1" s="1"/>
  <c r="M1152" i="1"/>
  <c r="N1152" i="1" s="1"/>
  <c r="M1153" i="1"/>
  <c r="N1153" i="1" s="1"/>
  <c r="M1154" i="1"/>
  <c r="N1154" i="1" s="1"/>
  <c r="M1155" i="1"/>
  <c r="N1155" i="1" s="1"/>
  <c r="M1156" i="1"/>
  <c r="N1156" i="1" s="1"/>
  <c r="M1157" i="1"/>
  <c r="N1157" i="1" s="1"/>
  <c r="M1158" i="1"/>
  <c r="N1158" i="1" s="1"/>
  <c r="M1159" i="1"/>
  <c r="N1159" i="1" s="1"/>
  <c r="M1160" i="1"/>
  <c r="N1160" i="1" s="1"/>
  <c r="M1161" i="1"/>
  <c r="N1161" i="1" s="1"/>
  <c r="M1162" i="1"/>
  <c r="N1162" i="1" s="1"/>
  <c r="M1163" i="1"/>
  <c r="N1163" i="1" s="1"/>
  <c r="M1164" i="1"/>
  <c r="N1164" i="1" s="1"/>
  <c r="M1165" i="1"/>
  <c r="N1165" i="1" s="1"/>
  <c r="M1166" i="1"/>
  <c r="N1166" i="1" s="1"/>
  <c r="M1167" i="1"/>
  <c r="N1167" i="1" s="1"/>
  <c r="M1168" i="1"/>
  <c r="N1168" i="1" s="1"/>
  <c r="M1169" i="1"/>
  <c r="N1169" i="1" s="1"/>
  <c r="M1170" i="1"/>
  <c r="N1170" i="1" s="1"/>
  <c r="M1171" i="1"/>
  <c r="N1171" i="1" s="1"/>
  <c r="M1172" i="1"/>
  <c r="N1172" i="1" s="1"/>
  <c r="M1173" i="1"/>
  <c r="N1173" i="1" s="1"/>
  <c r="M1174" i="1"/>
  <c r="N1174" i="1" s="1"/>
  <c r="M1175" i="1"/>
  <c r="N1175" i="1" s="1"/>
  <c r="M1176" i="1"/>
  <c r="N1176" i="1" s="1"/>
  <c r="M1177" i="1"/>
  <c r="N1177" i="1" s="1"/>
  <c r="M1178" i="1"/>
  <c r="N1178" i="1" s="1"/>
  <c r="M1179" i="1"/>
  <c r="N1179" i="1" s="1"/>
  <c r="M1180" i="1"/>
  <c r="N1180" i="1" s="1"/>
  <c r="M1181" i="1"/>
  <c r="N1181" i="1" s="1"/>
  <c r="M1182" i="1"/>
  <c r="N1182" i="1" s="1"/>
  <c r="M1183" i="1"/>
  <c r="N1183" i="1" s="1"/>
  <c r="M1184" i="1"/>
  <c r="N1184" i="1" s="1"/>
  <c r="M1185" i="1"/>
  <c r="N1185" i="1" s="1"/>
  <c r="M1186" i="1"/>
  <c r="N1186" i="1" s="1"/>
  <c r="M1187" i="1"/>
  <c r="N1187" i="1" s="1"/>
  <c r="M1188" i="1"/>
  <c r="N1188" i="1" s="1"/>
  <c r="M1189" i="1"/>
  <c r="N1189" i="1" s="1"/>
  <c r="M1190" i="1"/>
  <c r="N1190" i="1" s="1"/>
  <c r="M1191" i="1"/>
  <c r="N1191" i="1" s="1"/>
  <c r="M1192" i="1"/>
  <c r="N1192" i="1" s="1"/>
  <c r="M1193" i="1"/>
  <c r="N1193" i="1" s="1"/>
  <c r="M1194" i="1"/>
  <c r="N1194" i="1" s="1"/>
  <c r="M1195" i="1"/>
  <c r="N1195" i="1" s="1"/>
  <c r="M1196" i="1"/>
  <c r="N1196" i="1" s="1"/>
  <c r="M1197" i="1"/>
  <c r="N1197" i="1" s="1"/>
  <c r="M1198" i="1"/>
  <c r="N1198" i="1" s="1"/>
  <c r="M1199" i="1"/>
  <c r="N1199" i="1" s="1"/>
  <c r="M1200" i="1"/>
  <c r="N1200" i="1" s="1"/>
  <c r="M1201" i="1"/>
  <c r="N1201" i="1" s="1"/>
  <c r="M1202" i="1"/>
  <c r="N1202" i="1" s="1"/>
  <c r="M1203" i="1"/>
  <c r="N1203" i="1" s="1"/>
  <c r="M1204" i="1"/>
  <c r="N1204" i="1" s="1"/>
  <c r="M1205" i="1"/>
  <c r="N1205" i="1" s="1"/>
  <c r="M1206" i="1"/>
  <c r="N1206" i="1" s="1"/>
  <c r="M1207" i="1"/>
  <c r="N1207" i="1" s="1"/>
  <c r="M1208" i="1"/>
  <c r="N1208" i="1" s="1"/>
  <c r="M1209" i="1"/>
  <c r="N1209" i="1" s="1"/>
  <c r="M1210" i="1"/>
  <c r="N1210" i="1" s="1"/>
  <c r="M1211" i="1"/>
  <c r="N1211" i="1" s="1"/>
  <c r="M1212" i="1"/>
  <c r="N1212" i="1" s="1"/>
  <c r="M1213" i="1"/>
  <c r="N1213" i="1" s="1"/>
  <c r="M1214" i="1"/>
  <c r="N1214" i="1" s="1"/>
  <c r="M1215" i="1"/>
  <c r="N1215" i="1" s="1"/>
  <c r="M1216" i="1"/>
  <c r="N1216" i="1" s="1"/>
  <c r="M1217" i="1"/>
  <c r="N1217" i="1" s="1"/>
  <c r="M1218" i="1"/>
  <c r="N1218" i="1" s="1"/>
  <c r="M1219" i="1"/>
  <c r="N1219" i="1" s="1"/>
  <c r="M1220" i="1"/>
  <c r="N1220" i="1" s="1"/>
  <c r="M1221" i="1"/>
  <c r="N1221" i="1" s="1"/>
  <c r="M1222" i="1"/>
  <c r="N1222" i="1" s="1"/>
  <c r="M1223" i="1"/>
  <c r="N1223" i="1" s="1"/>
  <c r="M1224" i="1"/>
  <c r="N1224" i="1" s="1"/>
  <c r="M1225" i="1"/>
  <c r="N1225" i="1" s="1"/>
  <c r="M1226" i="1"/>
  <c r="N1226" i="1" s="1"/>
  <c r="M1227" i="1"/>
  <c r="N1227" i="1" s="1"/>
  <c r="M1228" i="1"/>
  <c r="N1228" i="1" s="1"/>
  <c r="M1229" i="1"/>
  <c r="N1229" i="1" s="1"/>
  <c r="M1230" i="1"/>
  <c r="N1230" i="1" s="1"/>
  <c r="M1231" i="1"/>
  <c r="N1231" i="1" s="1"/>
  <c r="M1232" i="1"/>
  <c r="N1232" i="1" s="1"/>
  <c r="M1233" i="1"/>
  <c r="N1233" i="1" s="1"/>
  <c r="M1234" i="1"/>
  <c r="N1234" i="1" s="1"/>
  <c r="M1235" i="1"/>
  <c r="N1235" i="1" s="1"/>
  <c r="M1236" i="1"/>
  <c r="N1236" i="1" s="1"/>
  <c r="M1237" i="1"/>
  <c r="N1237" i="1" s="1"/>
  <c r="M1238" i="1"/>
  <c r="N1238" i="1" s="1"/>
  <c r="M1239" i="1"/>
  <c r="N1239" i="1" s="1"/>
  <c r="M1240" i="1"/>
  <c r="N1240" i="1" s="1"/>
  <c r="M1241" i="1"/>
  <c r="N1241" i="1" s="1"/>
  <c r="M1242" i="1"/>
  <c r="N1242" i="1" s="1"/>
  <c r="M1243" i="1"/>
  <c r="N1243" i="1" s="1"/>
  <c r="M1244" i="1"/>
  <c r="N1244" i="1" s="1"/>
  <c r="M1245" i="1"/>
  <c r="N1245" i="1" s="1"/>
  <c r="M1246" i="1"/>
  <c r="N1246" i="1" s="1"/>
  <c r="M1247" i="1"/>
  <c r="N1247" i="1" s="1"/>
  <c r="M1248" i="1"/>
  <c r="N1248" i="1" s="1"/>
  <c r="M1249" i="1"/>
  <c r="N1249" i="1" s="1"/>
  <c r="M1250" i="1"/>
  <c r="N1250" i="1" s="1"/>
  <c r="M1251" i="1"/>
  <c r="N1251" i="1" s="1"/>
  <c r="M1252" i="1"/>
  <c r="N1252" i="1" s="1"/>
  <c r="M1253" i="1"/>
  <c r="N1253" i="1" s="1"/>
  <c r="M1254" i="1"/>
  <c r="N1254" i="1" s="1"/>
  <c r="M1255" i="1"/>
  <c r="N1255" i="1" s="1"/>
  <c r="M1256" i="1"/>
  <c r="N1256" i="1" s="1"/>
  <c r="M1257" i="1"/>
  <c r="N1257" i="1" s="1"/>
  <c r="M1258" i="1"/>
  <c r="N1258" i="1" s="1"/>
  <c r="M1259" i="1"/>
  <c r="N1259" i="1" s="1"/>
  <c r="M1260" i="1"/>
  <c r="N1260" i="1" s="1"/>
  <c r="M1261" i="1"/>
  <c r="N1261" i="1" s="1"/>
  <c r="M1262" i="1"/>
  <c r="N1262" i="1" s="1"/>
  <c r="M1263" i="1"/>
  <c r="N1263" i="1" s="1"/>
  <c r="M1264" i="1"/>
  <c r="N1264" i="1" s="1"/>
  <c r="M1265" i="1"/>
  <c r="N1265" i="1" s="1"/>
  <c r="M1266" i="1"/>
  <c r="N1266" i="1" s="1"/>
  <c r="M1267" i="1"/>
  <c r="N1267" i="1" s="1"/>
  <c r="M1268" i="1"/>
  <c r="N1268" i="1" s="1"/>
  <c r="M1269" i="1"/>
  <c r="N1269" i="1" s="1"/>
  <c r="M1270" i="1"/>
  <c r="N1270" i="1" s="1"/>
  <c r="M1271" i="1"/>
  <c r="N1271" i="1" s="1"/>
  <c r="M1272" i="1"/>
  <c r="N1272" i="1" s="1"/>
  <c r="M1273" i="1"/>
  <c r="N1273" i="1" s="1"/>
  <c r="M1274" i="1"/>
  <c r="N1274" i="1" s="1"/>
  <c r="M1275" i="1"/>
  <c r="N1275" i="1" s="1"/>
  <c r="M1276" i="1"/>
  <c r="N1276" i="1" s="1"/>
  <c r="M1277" i="1"/>
  <c r="N1277" i="1" s="1"/>
  <c r="M1278" i="1"/>
  <c r="N1278" i="1" s="1"/>
  <c r="M1279" i="1"/>
  <c r="N1279" i="1" s="1"/>
  <c r="M1280" i="1"/>
  <c r="N1280" i="1" s="1"/>
  <c r="M1281" i="1"/>
  <c r="N1281" i="1" s="1"/>
  <c r="M1282" i="1"/>
  <c r="N1282" i="1" s="1"/>
  <c r="M1283" i="1"/>
  <c r="N1283" i="1" s="1"/>
  <c r="M1284" i="1"/>
  <c r="N1284" i="1" s="1"/>
  <c r="M1285" i="1"/>
  <c r="N1285" i="1" s="1"/>
  <c r="M1286" i="1"/>
  <c r="N1286" i="1" s="1"/>
  <c r="M1287" i="1"/>
  <c r="N1287" i="1" s="1"/>
  <c r="M1288" i="1"/>
  <c r="N1288" i="1" s="1"/>
  <c r="M1289" i="1"/>
  <c r="N1289" i="1" s="1"/>
  <c r="M1290" i="1"/>
  <c r="N1290" i="1" s="1"/>
  <c r="M1291" i="1"/>
  <c r="N1291" i="1" s="1"/>
  <c r="M1292" i="1"/>
  <c r="N1292" i="1" s="1"/>
  <c r="M1293" i="1"/>
  <c r="N1293" i="1" s="1"/>
  <c r="M1294" i="1"/>
  <c r="N1294" i="1" s="1"/>
  <c r="M1295" i="1"/>
  <c r="N1295" i="1" s="1"/>
  <c r="M1296" i="1"/>
  <c r="N1296" i="1" s="1"/>
  <c r="M1297" i="1"/>
  <c r="N1297" i="1" s="1"/>
  <c r="M1298" i="1"/>
  <c r="N1298" i="1" s="1"/>
  <c r="M1299" i="1"/>
  <c r="N1299" i="1" s="1"/>
  <c r="M1300" i="1"/>
  <c r="N1300" i="1" s="1"/>
  <c r="M1301" i="1"/>
  <c r="N1301" i="1" s="1"/>
  <c r="M1302" i="1"/>
  <c r="N1302" i="1" s="1"/>
  <c r="M1303" i="1"/>
  <c r="N1303" i="1" s="1"/>
  <c r="M1304" i="1"/>
  <c r="N1304" i="1" s="1"/>
  <c r="M1305" i="1"/>
  <c r="N1305" i="1" s="1"/>
  <c r="M1306" i="1"/>
  <c r="N1306" i="1" s="1"/>
  <c r="M1307" i="1"/>
  <c r="N1307" i="1" s="1"/>
  <c r="M1308" i="1"/>
  <c r="N1308" i="1" s="1"/>
  <c r="M1309" i="1"/>
  <c r="N1309" i="1" s="1"/>
  <c r="M1310" i="1"/>
  <c r="N1310" i="1" s="1"/>
  <c r="M1311" i="1"/>
  <c r="N1311" i="1" s="1"/>
  <c r="M1312" i="1"/>
  <c r="N1312" i="1" s="1"/>
  <c r="M1313" i="1"/>
  <c r="N1313" i="1" s="1"/>
  <c r="M1314" i="1"/>
  <c r="N1314" i="1" s="1"/>
  <c r="M1315" i="1"/>
  <c r="N1315" i="1" s="1"/>
  <c r="M1316" i="1"/>
  <c r="N1316" i="1" s="1"/>
  <c r="M1317" i="1"/>
  <c r="N1317" i="1" s="1"/>
  <c r="M1318" i="1"/>
  <c r="N1318" i="1" s="1"/>
  <c r="M1319" i="1"/>
  <c r="N1319" i="1" s="1"/>
  <c r="M1320" i="1"/>
  <c r="N1320" i="1" s="1"/>
  <c r="M1321" i="1"/>
  <c r="N1321" i="1" s="1"/>
  <c r="M1322" i="1"/>
  <c r="N1322" i="1" s="1"/>
  <c r="M1323" i="1"/>
  <c r="N1323" i="1" s="1"/>
  <c r="M1324" i="1"/>
  <c r="N1324" i="1" s="1"/>
  <c r="M1325" i="1"/>
  <c r="N1325" i="1" s="1"/>
  <c r="M1326" i="1"/>
  <c r="N1326" i="1" s="1"/>
  <c r="M1327" i="1"/>
  <c r="N1327" i="1" s="1"/>
  <c r="M1328" i="1"/>
  <c r="N1328" i="1" s="1"/>
  <c r="M1329" i="1"/>
  <c r="N1329" i="1" s="1"/>
  <c r="M1330" i="1"/>
  <c r="N1330" i="1" s="1"/>
  <c r="M1331" i="1"/>
  <c r="N1331" i="1" s="1"/>
  <c r="M1332" i="1"/>
  <c r="N1332" i="1" s="1"/>
  <c r="M1333" i="1"/>
  <c r="N1333" i="1" s="1"/>
  <c r="M1334" i="1"/>
  <c r="N1334" i="1" s="1"/>
  <c r="M1335" i="1"/>
  <c r="N1335" i="1" s="1"/>
  <c r="M1336" i="1"/>
  <c r="N1336" i="1" s="1"/>
  <c r="M1337" i="1"/>
  <c r="N1337" i="1" s="1"/>
  <c r="M1338" i="1"/>
  <c r="N1338" i="1" s="1"/>
  <c r="M1339" i="1"/>
  <c r="N1339" i="1" s="1"/>
  <c r="M1340" i="1"/>
  <c r="N1340" i="1" s="1"/>
  <c r="M1341" i="1"/>
  <c r="N1341" i="1" s="1"/>
  <c r="M1342" i="1"/>
  <c r="N1342" i="1" s="1"/>
  <c r="M1343" i="1"/>
  <c r="N1343" i="1" s="1"/>
  <c r="M1344" i="1"/>
  <c r="N1344" i="1" s="1"/>
  <c r="M1345" i="1"/>
  <c r="N1345" i="1" s="1"/>
  <c r="M1346" i="1"/>
  <c r="N1346" i="1" s="1"/>
  <c r="M1347" i="1"/>
  <c r="N1347" i="1" s="1"/>
  <c r="M1348" i="1"/>
  <c r="N1348" i="1" s="1"/>
  <c r="M1349" i="1"/>
  <c r="N1349" i="1" s="1"/>
  <c r="M1350" i="1"/>
  <c r="N1350" i="1" s="1"/>
  <c r="M1351" i="1"/>
  <c r="N1351" i="1" s="1"/>
  <c r="M1352" i="1"/>
  <c r="N1352" i="1" s="1"/>
  <c r="M1353" i="1"/>
  <c r="N1353" i="1" s="1"/>
  <c r="M1354" i="1"/>
  <c r="N1354" i="1" s="1"/>
  <c r="M1355" i="1"/>
  <c r="N1355" i="1" s="1"/>
  <c r="M1356" i="1"/>
  <c r="N1356" i="1" s="1"/>
  <c r="M1357" i="1"/>
  <c r="N1357" i="1" s="1"/>
  <c r="M1358" i="1"/>
  <c r="N1358" i="1" s="1"/>
  <c r="M1359" i="1"/>
  <c r="N1359" i="1" s="1"/>
  <c r="M1360" i="1"/>
  <c r="N1360" i="1" s="1"/>
  <c r="M1361" i="1"/>
  <c r="N1361" i="1" s="1"/>
  <c r="M1362" i="1"/>
  <c r="N1362" i="1" s="1"/>
  <c r="M1363" i="1"/>
  <c r="N1363" i="1" s="1"/>
  <c r="M1364" i="1"/>
  <c r="N1364" i="1" s="1"/>
  <c r="M1365" i="1"/>
  <c r="N1365" i="1" s="1"/>
  <c r="M1366" i="1"/>
  <c r="N1366" i="1" s="1"/>
  <c r="M1367" i="1"/>
  <c r="N1367" i="1" s="1"/>
  <c r="M1368" i="1"/>
  <c r="N1368" i="1" s="1"/>
  <c r="M1369" i="1"/>
  <c r="N1369" i="1" s="1"/>
  <c r="M1370" i="1"/>
  <c r="N1370" i="1" s="1"/>
  <c r="M1371" i="1"/>
  <c r="N1371" i="1" s="1"/>
  <c r="M1372" i="1"/>
  <c r="N1372" i="1" s="1"/>
  <c r="M1373" i="1"/>
  <c r="N1373" i="1" s="1"/>
  <c r="M1374" i="1"/>
  <c r="N1374" i="1" s="1"/>
  <c r="M1375" i="1"/>
  <c r="N1375" i="1" s="1"/>
  <c r="M1376" i="1"/>
  <c r="N1376" i="1" s="1"/>
  <c r="M1377" i="1"/>
  <c r="N1377" i="1" s="1"/>
  <c r="M1378" i="1"/>
  <c r="N1378" i="1" s="1"/>
  <c r="M1379" i="1"/>
  <c r="N1379" i="1" s="1"/>
  <c r="M1380" i="1"/>
  <c r="N1380" i="1" s="1"/>
  <c r="M1381" i="1"/>
  <c r="N1381" i="1" s="1"/>
  <c r="M1382" i="1"/>
  <c r="N1382" i="1" s="1"/>
  <c r="M1383" i="1"/>
  <c r="N1383" i="1" s="1"/>
  <c r="M1384" i="1"/>
  <c r="N1384" i="1" s="1"/>
  <c r="M1385" i="1"/>
  <c r="N1385" i="1" s="1"/>
  <c r="M1386" i="1"/>
  <c r="N1386" i="1" s="1"/>
  <c r="M1387" i="1"/>
  <c r="N1387" i="1" s="1"/>
  <c r="M1388" i="1"/>
  <c r="N1388" i="1" s="1"/>
  <c r="M1389" i="1"/>
  <c r="N1389" i="1" s="1"/>
  <c r="M1390" i="1"/>
  <c r="N1390" i="1" s="1"/>
  <c r="M1391" i="1"/>
  <c r="N1391" i="1" s="1"/>
  <c r="M1392" i="1"/>
  <c r="N1392" i="1" s="1"/>
  <c r="M1393" i="1"/>
  <c r="N1393" i="1" s="1"/>
  <c r="M1394" i="1"/>
  <c r="N1394" i="1" s="1"/>
  <c r="M1395" i="1"/>
  <c r="N1395" i="1" s="1"/>
  <c r="M1396" i="1"/>
  <c r="N1396" i="1" s="1"/>
  <c r="M1397" i="1"/>
  <c r="N1397" i="1" s="1"/>
  <c r="M1398" i="1"/>
  <c r="N1398" i="1" s="1"/>
  <c r="M1399" i="1"/>
  <c r="N1399" i="1" s="1"/>
  <c r="M1400" i="1"/>
  <c r="N1400" i="1" s="1"/>
  <c r="M1401" i="1"/>
  <c r="N1401" i="1" s="1"/>
  <c r="M1402" i="1"/>
  <c r="N1402" i="1" s="1"/>
  <c r="M1403" i="1"/>
  <c r="N1403" i="1" s="1"/>
  <c r="M1404" i="1"/>
  <c r="N1404" i="1" s="1"/>
  <c r="M1405" i="1"/>
  <c r="N1405" i="1" s="1"/>
  <c r="M1406" i="1"/>
  <c r="N1406" i="1" s="1"/>
  <c r="M1407" i="1"/>
  <c r="N1407" i="1" s="1"/>
  <c r="M1408" i="1"/>
  <c r="N1408" i="1" s="1"/>
  <c r="M1409" i="1"/>
  <c r="N1409" i="1" s="1"/>
  <c r="M1410" i="1"/>
  <c r="N1410" i="1" s="1"/>
  <c r="M1411" i="1"/>
  <c r="N1411" i="1" s="1"/>
  <c r="M1412" i="1"/>
  <c r="N1412" i="1" s="1"/>
  <c r="M1413" i="1"/>
  <c r="N1413" i="1" s="1"/>
  <c r="M1414" i="1"/>
  <c r="N1414" i="1" s="1"/>
  <c r="M1415" i="1"/>
  <c r="N1415" i="1" s="1"/>
  <c r="M1416" i="1"/>
  <c r="N1416" i="1" s="1"/>
  <c r="M1417" i="1"/>
  <c r="N1417" i="1" s="1"/>
  <c r="M1418" i="1"/>
  <c r="N1418" i="1" s="1"/>
  <c r="M1419" i="1"/>
  <c r="N1419" i="1" s="1"/>
  <c r="M1420" i="1"/>
  <c r="N1420" i="1" s="1"/>
  <c r="M1421" i="1"/>
  <c r="N1421" i="1" s="1"/>
  <c r="M1422" i="1"/>
  <c r="N1422" i="1" s="1"/>
  <c r="M1423" i="1"/>
  <c r="N1423" i="1" s="1"/>
  <c r="M1424" i="1"/>
  <c r="N1424" i="1" s="1"/>
  <c r="M1425" i="1"/>
  <c r="N1425" i="1" s="1"/>
  <c r="M1426" i="1"/>
  <c r="N1426" i="1" s="1"/>
  <c r="M1427" i="1"/>
  <c r="N1427" i="1" s="1"/>
  <c r="M1428" i="1"/>
  <c r="N1428" i="1" s="1"/>
  <c r="M1429" i="1"/>
  <c r="N1429" i="1" s="1"/>
  <c r="M1430" i="1"/>
  <c r="N1430" i="1" s="1"/>
  <c r="M1431" i="1"/>
  <c r="N1431" i="1" s="1"/>
  <c r="M1432" i="1"/>
  <c r="N1432" i="1" s="1"/>
  <c r="M1433" i="1"/>
  <c r="N1433" i="1" s="1"/>
  <c r="M1434" i="1"/>
  <c r="N1434" i="1" s="1"/>
  <c r="M1435" i="1"/>
  <c r="N1435" i="1" s="1"/>
  <c r="M1436" i="1"/>
  <c r="N1436" i="1" s="1"/>
  <c r="M1437" i="1"/>
  <c r="N1437" i="1" s="1"/>
  <c r="M1438" i="1"/>
  <c r="N1438" i="1" s="1"/>
  <c r="M1439" i="1"/>
  <c r="N1439" i="1" s="1"/>
  <c r="M1440" i="1"/>
  <c r="N1440" i="1" s="1"/>
  <c r="M1441" i="1"/>
  <c r="N1441" i="1" s="1"/>
  <c r="M1442" i="1"/>
  <c r="N1442" i="1" s="1"/>
  <c r="M1443" i="1"/>
  <c r="N1443" i="1" s="1"/>
  <c r="M1444" i="1"/>
  <c r="N1444" i="1" s="1"/>
  <c r="M1445" i="1"/>
  <c r="N1445" i="1" s="1"/>
  <c r="M1446" i="1"/>
  <c r="N1446" i="1" s="1"/>
  <c r="M1447" i="1"/>
  <c r="N1447" i="1" s="1"/>
  <c r="M1448" i="1"/>
  <c r="N1448" i="1" s="1"/>
  <c r="M1449" i="1"/>
  <c r="N1449" i="1" s="1"/>
  <c r="M1450" i="1"/>
  <c r="N1450" i="1" s="1"/>
  <c r="M1451" i="1"/>
  <c r="N1451" i="1" s="1"/>
  <c r="M1452" i="1"/>
  <c r="N1452" i="1" s="1"/>
  <c r="M1453" i="1"/>
  <c r="N1453" i="1" s="1"/>
  <c r="M1454" i="1"/>
  <c r="N1454" i="1" s="1"/>
  <c r="M1455" i="1"/>
  <c r="N1455" i="1" s="1"/>
  <c r="M1456" i="1"/>
  <c r="N1456" i="1" s="1"/>
  <c r="M1457" i="1"/>
  <c r="N1457" i="1" s="1"/>
  <c r="M1458" i="1"/>
  <c r="N1458" i="1" s="1"/>
  <c r="M1459" i="1"/>
  <c r="N1459" i="1" s="1"/>
  <c r="M1460" i="1"/>
  <c r="N1460" i="1" s="1"/>
  <c r="M1461" i="1"/>
  <c r="N1461" i="1" s="1"/>
  <c r="M1462" i="1"/>
  <c r="N1462" i="1" s="1"/>
  <c r="M1463" i="1"/>
  <c r="N1463" i="1" s="1"/>
  <c r="M1464" i="1"/>
  <c r="N1464" i="1" s="1"/>
  <c r="M1465" i="1"/>
  <c r="N1465" i="1" s="1"/>
  <c r="M1466" i="1"/>
  <c r="N1466" i="1" s="1"/>
  <c r="M1467" i="1"/>
  <c r="N1467" i="1" s="1"/>
  <c r="M1468" i="1"/>
  <c r="N1468" i="1" s="1"/>
  <c r="M1469" i="1"/>
  <c r="N1469" i="1" s="1"/>
  <c r="M1470" i="1"/>
  <c r="N1470" i="1" s="1"/>
  <c r="M1471" i="1"/>
  <c r="N1471" i="1" s="1"/>
  <c r="M1472" i="1"/>
  <c r="N1472" i="1" s="1"/>
  <c r="M1473" i="1"/>
  <c r="N1473" i="1" s="1"/>
  <c r="M1474" i="1"/>
  <c r="N1474" i="1" s="1"/>
  <c r="M1475" i="1"/>
  <c r="N1475" i="1" s="1"/>
  <c r="M1476" i="1"/>
  <c r="N1476" i="1" s="1"/>
  <c r="M1477" i="1"/>
  <c r="N1477" i="1" s="1"/>
  <c r="M1478" i="1"/>
  <c r="N1478" i="1" s="1"/>
  <c r="M1479" i="1"/>
  <c r="N1479" i="1" s="1"/>
  <c r="M1480" i="1"/>
  <c r="N1480" i="1" s="1"/>
  <c r="M1481" i="1"/>
  <c r="N1481" i="1" s="1"/>
  <c r="M1482" i="1"/>
  <c r="N1482" i="1" s="1"/>
  <c r="M1483" i="1"/>
  <c r="N1483" i="1" s="1"/>
  <c r="M1484" i="1"/>
  <c r="N1484" i="1" s="1"/>
  <c r="M1485" i="1"/>
  <c r="N1485" i="1" s="1"/>
  <c r="M1486" i="1"/>
  <c r="N1486" i="1" s="1"/>
  <c r="M1487" i="1"/>
  <c r="N1487" i="1" s="1"/>
  <c r="M1488" i="1"/>
  <c r="N1488" i="1" s="1"/>
  <c r="M1489" i="1"/>
  <c r="N1489" i="1" s="1"/>
  <c r="M1490" i="1"/>
  <c r="N1490" i="1" s="1"/>
  <c r="M1491" i="1"/>
  <c r="N1491" i="1" s="1"/>
  <c r="M1492" i="1"/>
  <c r="N1492" i="1" s="1"/>
  <c r="M1493" i="1"/>
  <c r="N1493" i="1" s="1"/>
  <c r="M1494" i="1"/>
  <c r="N1494" i="1" s="1"/>
  <c r="M1495" i="1"/>
  <c r="N1495" i="1" s="1"/>
  <c r="M1496" i="1"/>
  <c r="N1496" i="1" s="1"/>
  <c r="M1497" i="1"/>
  <c r="N1497" i="1" s="1"/>
  <c r="M1498" i="1"/>
  <c r="N1498" i="1" s="1"/>
  <c r="M1499" i="1"/>
  <c r="N1499" i="1" s="1"/>
  <c r="M1500" i="1"/>
  <c r="N1500" i="1" s="1"/>
  <c r="M1501" i="1"/>
  <c r="N1501" i="1" s="1"/>
  <c r="M1502" i="1"/>
  <c r="N1502" i="1" s="1"/>
  <c r="M1503" i="1"/>
  <c r="N1503" i="1" s="1"/>
  <c r="M1504" i="1"/>
  <c r="N1504" i="1" s="1"/>
  <c r="M1505" i="1"/>
  <c r="N1505" i="1" s="1"/>
  <c r="M1506" i="1"/>
  <c r="N1506" i="1" s="1"/>
  <c r="M1507" i="1"/>
  <c r="N1507" i="1" s="1"/>
  <c r="M1508" i="1"/>
  <c r="N1508" i="1" s="1"/>
  <c r="M1509" i="1"/>
  <c r="N1509" i="1" s="1"/>
  <c r="M1510" i="1"/>
  <c r="N1510" i="1" s="1"/>
  <c r="M1511" i="1"/>
  <c r="N1511" i="1" s="1"/>
  <c r="M1512" i="1"/>
  <c r="N1512" i="1" s="1"/>
  <c r="M1513" i="1"/>
  <c r="N1513" i="1" s="1"/>
  <c r="M1514" i="1"/>
  <c r="N1514" i="1" s="1"/>
  <c r="M1515" i="1"/>
  <c r="N1515" i="1" s="1"/>
  <c r="M1516" i="1"/>
  <c r="N1516" i="1" s="1"/>
  <c r="M1517" i="1"/>
  <c r="N1517" i="1" s="1"/>
  <c r="M1518" i="1"/>
  <c r="N1518" i="1" s="1"/>
  <c r="M1519" i="1"/>
  <c r="N1519" i="1" s="1"/>
  <c r="M1520" i="1"/>
  <c r="N1520" i="1" s="1"/>
  <c r="M1521" i="1"/>
  <c r="N1521" i="1" s="1"/>
  <c r="M1522" i="1"/>
  <c r="N1522" i="1" s="1"/>
  <c r="M1523" i="1"/>
  <c r="N1523" i="1" s="1"/>
  <c r="M1524" i="1"/>
  <c r="N1524" i="1" s="1"/>
  <c r="M1525" i="1"/>
  <c r="N1525" i="1" s="1"/>
  <c r="M1526" i="1"/>
  <c r="N1526" i="1" s="1"/>
  <c r="M1527" i="1"/>
  <c r="N1527" i="1" s="1"/>
  <c r="M1528" i="1"/>
  <c r="N1528" i="1" s="1"/>
  <c r="M1529" i="1"/>
  <c r="N1529" i="1" s="1"/>
  <c r="M1530" i="1"/>
  <c r="N1530" i="1" s="1"/>
  <c r="M1531" i="1"/>
  <c r="N1531" i="1" s="1"/>
  <c r="M1532" i="1"/>
  <c r="N1532" i="1" s="1"/>
  <c r="M1533" i="1"/>
  <c r="N1533" i="1" s="1"/>
  <c r="M1534" i="1"/>
  <c r="N1534" i="1" s="1"/>
  <c r="M1535" i="1"/>
  <c r="N1535" i="1" s="1"/>
  <c r="M1536" i="1"/>
  <c r="N1536" i="1" s="1"/>
  <c r="M1537" i="1"/>
  <c r="N1537" i="1" s="1"/>
  <c r="M1538" i="1"/>
  <c r="N1538" i="1" s="1"/>
  <c r="M1539" i="1"/>
  <c r="N1539" i="1" s="1"/>
  <c r="M1540" i="1"/>
  <c r="N1540" i="1" s="1"/>
  <c r="M1541" i="1"/>
  <c r="N1541" i="1" s="1"/>
  <c r="M1542" i="1"/>
  <c r="N1542" i="1" s="1"/>
  <c r="M1543" i="1"/>
  <c r="N1543" i="1" s="1"/>
  <c r="M1544" i="1"/>
  <c r="N1544" i="1" s="1"/>
  <c r="M1545" i="1"/>
  <c r="N1545" i="1" s="1"/>
  <c r="M1546" i="1"/>
  <c r="N1546" i="1" s="1"/>
  <c r="M1547" i="1"/>
  <c r="N1547" i="1" s="1"/>
  <c r="M1548" i="1"/>
  <c r="N1548" i="1" s="1"/>
  <c r="M1549" i="1"/>
  <c r="N1549" i="1" s="1"/>
  <c r="M1550" i="1"/>
  <c r="N1550" i="1" s="1"/>
  <c r="M1551" i="1"/>
  <c r="N1551" i="1" s="1"/>
  <c r="M1552" i="1"/>
  <c r="N1552" i="1" s="1"/>
  <c r="M1553" i="1"/>
  <c r="N1553" i="1" s="1"/>
  <c r="M1554" i="1"/>
  <c r="N1554" i="1" s="1"/>
  <c r="M1555" i="1"/>
  <c r="N1555" i="1" s="1"/>
  <c r="M1556" i="1"/>
  <c r="N1556" i="1" s="1"/>
  <c r="M1557" i="1"/>
  <c r="N1557" i="1" s="1"/>
  <c r="M1558" i="1"/>
  <c r="N1558" i="1" s="1"/>
  <c r="M1559" i="1"/>
  <c r="N1559" i="1" s="1"/>
  <c r="M1560" i="1"/>
  <c r="N1560" i="1" s="1"/>
  <c r="M1561" i="1"/>
  <c r="N1561" i="1" s="1"/>
  <c r="M1562" i="1"/>
  <c r="N1562" i="1" s="1"/>
  <c r="M1563" i="1"/>
  <c r="N1563" i="1" s="1"/>
  <c r="M1564" i="1"/>
  <c r="N1564" i="1" s="1"/>
  <c r="M1565" i="1"/>
  <c r="N1565" i="1" s="1"/>
  <c r="M1566" i="1"/>
  <c r="N1566" i="1" s="1"/>
  <c r="M1567" i="1"/>
  <c r="N1567" i="1" s="1"/>
  <c r="M1568" i="1"/>
  <c r="N1568" i="1" s="1"/>
  <c r="M1569" i="1"/>
  <c r="N1569" i="1" s="1"/>
  <c r="M1570" i="1"/>
  <c r="N1570" i="1" s="1"/>
  <c r="M1571" i="1"/>
  <c r="N1571" i="1" s="1"/>
  <c r="M1572" i="1"/>
  <c r="N1572" i="1" s="1"/>
  <c r="M1573" i="1"/>
  <c r="N1573" i="1" s="1"/>
  <c r="M1574" i="1"/>
  <c r="N1574" i="1" s="1"/>
  <c r="M1575" i="1"/>
  <c r="N1575" i="1" s="1"/>
  <c r="M1576" i="1"/>
  <c r="N1576" i="1" s="1"/>
  <c r="M1577" i="1"/>
  <c r="N1577" i="1" s="1"/>
  <c r="M1578" i="1"/>
  <c r="N1578" i="1" s="1"/>
  <c r="M1579" i="1"/>
  <c r="N1579" i="1" s="1"/>
  <c r="M1580" i="1"/>
  <c r="N1580" i="1" s="1"/>
  <c r="M1581" i="1"/>
  <c r="N1581" i="1" s="1"/>
  <c r="M1582" i="1"/>
  <c r="N1582" i="1" s="1"/>
  <c r="M1583" i="1"/>
  <c r="N1583" i="1" s="1"/>
  <c r="M1584" i="1"/>
  <c r="N1584" i="1" s="1"/>
  <c r="M1585" i="1"/>
  <c r="N1585" i="1" s="1"/>
  <c r="M1586" i="1"/>
  <c r="N1586" i="1" s="1"/>
  <c r="M1587" i="1"/>
  <c r="N1587" i="1" s="1"/>
  <c r="M1588" i="1"/>
  <c r="N1588" i="1" s="1"/>
  <c r="M1589" i="1"/>
  <c r="N1589" i="1" s="1"/>
  <c r="M1590" i="1"/>
  <c r="N1590" i="1" s="1"/>
  <c r="M1591" i="1"/>
  <c r="N1591" i="1" s="1"/>
  <c r="M1592" i="1"/>
  <c r="N1592" i="1" s="1"/>
  <c r="M1593" i="1"/>
  <c r="N1593" i="1" s="1"/>
  <c r="M1594" i="1"/>
  <c r="N1594" i="1" s="1"/>
  <c r="M1595" i="1"/>
  <c r="N1595" i="1" s="1"/>
  <c r="M1596" i="1"/>
  <c r="N1596" i="1" s="1"/>
  <c r="M1597" i="1"/>
  <c r="N1597" i="1" s="1"/>
  <c r="M1598" i="1"/>
  <c r="N1598" i="1" s="1"/>
  <c r="M1599" i="1"/>
  <c r="N1599" i="1" s="1"/>
  <c r="M1600" i="1"/>
  <c r="N1600" i="1" s="1"/>
  <c r="M1601" i="1"/>
  <c r="N1601" i="1" s="1"/>
  <c r="M1602" i="1"/>
  <c r="N1602" i="1" s="1"/>
  <c r="M1603" i="1"/>
  <c r="N1603" i="1" s="1"/>
  <c r="M1604" i="1"/>
  <c r="N1604" i="1" s="1"/>
  <c r="M1605" i="1"/>
  <c r="N1605" i="1" s="1"/>
  <c r="M1606" i="1"/>
  <c r="N1606" i="1" s="1"/>
  <c r="M1607" i="1"/>
  <c r="N1607" i="1" s="1"/>
  <c r="M1608" i="1"/>
  <c r="N1608" i="1" s="1"/>
  <c r="M1609" i="1"/>
  <c r="N1609" i="1" s="1"/>
  <c r="M1610" i="1"/>
  <c r="N1610" i="1" s="1"/>
  <c r="M1611" i="1"/>
  <c r="N1611" i="1" s="1"/>
  <c r="M1612" i="1"/>
  <c r="N1612" i="1" s="1"/>
  <c r="M1613" i="1"/>
  <c r="N1613" i="1" s="1"/>
  <c r="M1614" i="1"/>
  <c r="N1614" i="1" s="1"/>
  <c r="M1615" i="1"/>
  <c r="N1615" i="1" s="1"/>
  <c r="M1616" i="1"/>
  <c r="N1616" i="1" s="1"/>
  <c r="M1617" i="1"/>
  <c r="N1617" i="1" s="1"/>
  <c r="M1618" i="1"/>
  <c r="N1618" i="1" s="1"/>
  <c r="M1619" i="1"/>
  <c r="N1619" i="1" s="1"/>
  <c r="M1620" i="1"/>
  <c r="N1620" i="1" s="1"/>
  <c r="M1621" i="1"/>
  <c r="N1621" i="1" s="1"/>
  <c r="M1622" i="1"/>
  <c r="N1622" i="1" s="1"/>
  <c r="M1623" i="1"/>
  <c r="N1623" i="1" s="1"/>
  <c r="M1624" i="1"/>
  <c r="N1624" i="1" s="1"/>
  <c r="M1625" i="1"/>
  <c r="N1625" i="1" s="1"/>
  <c r="M1626" i="1"/>
  <c r="N1626" i="1" s="1"/>
  <c r="M1627" i="1"/>
  <c r="N1627" i="1" s="1"/>
  <c r="M1628" i="1"/>
  <c r="N1628" i="1" s="1"/>
  <c r="M1629" i="1"/>
  <c r="N1629" i="1" s="1"/>
  <c r="M1630" i="1"/>
  <c r="N1630" i="1" s="1"/>
  <c r="M1631" i="1"/>
  <c r="N1631" i="1" s="1"/>
  <c r="M1632" i="1"/>
  <c r="N1632" i="1" s="1"/>
  <c r="M1633" i="1"/>
  <c r="N1633" i="1" s="1"/>
  <c r="M1634" i="1"/>
  <c r="N1634" i="1" s="1"/>
  <c r="M1635" i="1"/>
  <c r="N1635" i="1" s="1"/>
  <c r="M1636" i="1"/>
  <c r="N1636" i="1" s="1"/>
  <c r="M1637" i="1"/>
  <c r="N1637" i="1" s="1"/>
  <c r="M1638" i="1"/>
  <c r="N1638" i="1" s="1"/>
  <c r="M1639" i="1"/>
  <c r="N1639" i="1" s="1"/>
  <c r="M1640" i="1"/>
  <c r="N1640" i="1" s="1"/>
  <c r="M1641" i="1"/>
  <c r="N1641" i="1" s="1"/>
  <c r="M1642" i="1"/>
  <c r="N1642" i="1" s="1"/>
  <c r="M1643" i="1"/>
  <c r="N1643" i="1" s="1"/>
  <c r="M1644" i="1"/>
  <c r="N1644" i="1" s="1"/>
  <c r="M1645" i="1"/>
  <c r="N1645" i="1" s="1"/>
  <c r="M1646" i="1"/>
  <c r="N1646" i="1" s="1"/>
  <c r="M1647" i="1"/>
  <c r="N1647" i="1" s="1"/>
  <c r="M1648" i="1"/>
  <c r="N1648" i="1" s="1"/>
  <c r="M1649" i="1"/>
  <c r="N1649" i="1" s="1"/>
  <c r="M1650" i="1"/>
  <c r="N1650" i="1" s="1"/>
  <c r="M1651" i="1"/>
  <c r="N1651" i="1" s="1"/>
  <c r="M1652" i="1"/>
  <c r="N1652" i="1" s="1"/>
  <c r="M1653" i="1"/>
  <c r="N1653" i="1" s="1"/>
  <c r="M1654" i="1"/>
  <c r="N1654" i="1" s="1"/>
  <c r="M1655" i="1"/>
  <c r="N1655" i="1" s="1"/>
  <c r="M1656" i="1"/>
  <c r="N1656" i="1" s="1"/>
  <c r="M1657" i="1"/>
  <c r="N1657" i="1" s="1"/>
  <c r="M1658" i="1"/>
  <c r="N1658" i="1" s="1"/>
  <c r="M1659" i="1"/>
  <c r="N1659" i="1" s="1"/>
  <c r="M1660" i="1"/>
  <c r="N1660" i="1" s="1"/>
  <c r="M1661" i="1"/>
  <c r="N1661" i="1" s="1"/>
  <c r="M1662" i="1"/>
  <c r="N1662" i="1" s="1"/>
  <c r="M1663" i="1"/>
  <c r="N1663" i="1" s="1"/>
  <c r="M1664" i="1"/>
  <c r="N1664" i="1" s="1"/>
  <c r="M1665" i="1"/>
  <c r="N1665" i="1" s="1"/>
  <c r="M1666" i="1"/>
  <c r="N1666" i="1" s="1"/>
  <c r="M1667" i="1"/>
  <c r="N1667" i="1" s="1"/>
  <c r="M1668" i="1"/>
  <c r="N1668" i="1" s="1"/>
  <c r="M1669" i="1"/>
  <c r="N1669" i="1" s="1"/>
  <c r="M1670" i="1"/>
  <c r="N1670" i="1" s="1"/>
  <c r="M1671" i="1"/>
  <c r="N1671" i="1" s="1"/>
  <c r="M1672" i="1"/>
  <c r="N1672" i="1" s="1"/>
  <c r="M1673" i="1"/>
  <c r="N1673" i="1" s="1"/>
  <c r="M1674" i="1"/>
  <c r="N1674" i="1" s="1"/>
  <c r="M1675" i="1"/>
  <c r="N1675" i="1" s="1"/>
  <c r="M1676" i="1"/>
  <c r="N1676" i="1" s="1"/>
  <c r="M1677" i="1"/>
  <c r="N1677" i="1" s="1"/>
  <c r="M1678" i="1"/>
  <c r="N1678" i="1" s="1"/>
  <c r="M1679" i="1"/>
  <c r="N1679" i="1" s="1"/>
  <c r="M1680" i="1"/>
  <c r="N1680" i="1" s="1"/>
  <c r="M1681" i="1"/>
  <c r="N1681" i="1" s="1"/>
  <c r="M1682" i="1"/>
  <c r="N1682" i="1" s="1"/>
  <c r="M1683" i="1"/>
  <c r="N1683" i="1" s="1"/>
  <c r="M1684" i="1"/>
  <c r="N1684" i="1" s="1"/>
  <c r="M1685" i="1"/>
  <c r="N1685" i="1" s="1"/>
  <c r="M1686" i="1"/>
  <c r="N1686" i="1" s="1"/>
  <c r="M1687" i="1"/>
  <c r="N1687" i="1" s="1"/>
  <c r="M1688" i="1"/>
  <c r="N1688" i="1" s="1"/>
  <c r="M1689" i="1"/>
  <c r="N1689" i="1" s="1"/>
  <c r="M1690" i="1"/>
  <c r="N1690" i="1" s="1"/>
  <c r="M1691" i="1"/>
  <c r="N1691" i="1" s="1"/>
  <c r="M1692" i="1"/>
  <c r="N1692" i="1" s="1"/>
  <c r="M1693" i="1"/>
  <c r="N1693" i="1" s="1"/>
  <c r="M1694" i="1"/>
  <c r="N1694" i="1" s="1"/>
  <c r="M1695" i="1"/>
  <c r="N1695" i="1" s="1"/>
  <c r="M1696" i="1"/>
  <c r="N1696" i="1" s="1"/>
  <c r="M1697" i="1"/>
  <c r="N1697" i="1" s="1"/>
  <c r="M1698" i="1"/>
  <c r="N1698" i="1" s="1"/>
  <c r="M1699" i="1"/>
  <c r="N1699" i="1" s="1"/>
  <c r="M1700" i="1"/>
  <c r="N1700" i="1" s="1"/>
  <c r="M1701" i="1"/>
  <c r="N1701" i="1" s="1"/>
  <c r="M1702" i="1"/>
  <c r="N1702" i="1" s="1"/>
  <c r="M1703" i="1"/>
  <c r="N1703" i="1" s="1"/>
  <c r="M1704" i="1"/>
  <c r="N1704" i="1" s="1"/>
  <c r="M1705" i="1"/>
  <c r="N1705" i="1" s="1"/>
  <c r="M1706" i="1"/>
  <c r="N1706" i="1" s="1"/>
  <c r="M1707" i="1"/>
  <c r="N1707" i="1" s="1"/>
  <c r="M1708" i="1"/>
  <c r="N1708" i="1" s="1"/>
  <c r="M1709" i="1"/>
  <c r="N1709" i="1" s="1"/>
  <c r="M1710" i="1"/>
  <c r="N1710" i="1" s="1"/>
  <c r="M1711" i="1"/>
  <c r="N1711" i="1" s="1"/>
  <c r="M1712" i="1"/>
  <c r="N1712" i="1" s="1"/>
  <c r="M1713" i="1"/>
  <c r="N1713" i="1" s="1"/>
  <c r="M1714" i="1"/>
  <c r="N1714" i="1" s="1"/>
  <c r="M1715" i="1"/>
  <c r="N1715" i="1" s="1"/>
  <c r="M1716" i="1"/>
  <c r="N1716" i="1" s="1"/>
  <c r="M1717" i="1"/>
  <c r="N1717" i="1" s="1"/>
  <c r="M1718" i="1"/>
  <c r="N1718" i="1" s="1"/>
  <c r="M1719" i="1"/>
  <c r="N1719" i="1" s="1"/>
  <c r="M1720" i="1"/>
  <c r="N1720" i="1" s="1"/>
  <c r="M1721" i="1"/>
  <c r="N1721" i="1" s="1"/>
  <c r="M1722" i="1"/>
  <c r="N1722" i="1" s="1"/>
  <c r="M1723" i="1"/>
  <c r="N1723" i="1" s="1"/>
  <c r="M1724" i="1"/>
  <c r="N1724" i="1" s="1"/>
  <c r="M1725" i="1"/>
  <c r="N1725" i="1" s="1"/>
  <c r="M1726" i="1"/>
  <c r="N1726" i="1" s="1"/>
  <c r="M1727" i="1"/>
  <c r="N1727" i="1" s="1"/>
  <c r="M1728" i="1"/>
  <c r="N1728" i="1" s="1"/>
  <c r="M1729" i="1"/>
  <c r="N1729" i="1" s="1"/>
  <c r="M1730" i="1"/>
  <c r="N1730" i="1" s="1"/>
  <c r="M1731" i="1"/>
  <c r="N1731" i="1" s="1"/>
  <c r="M1732" i="1"/>
  <c r="N1732" i="1" s="1"/>
  <c r="M1733" i="1"/>
  <c r="N1733" i="1" s="1"/>
  <c r="M1734" i="1"/>
  <c r="N1734" i="1" s="1"/>
  <c r="M1735" i="1"/>
  <c r="N1735" i="1" s="1"/>
  <c r="M1736" i="1"/>
  <c r="N1736" i="1" s="1"/>
  <c r="M1737" i="1"/>
  <c r="N1737" i="1" s="1"/>
  <c r="M1738" i="1"/>
  <c r="N1738" i="1" s="1"/>
  <c r="M1739" i="1"/>
  <c r="N1739" i="1" s="1"/>
  <c r="M1740" i="1"/>
  <c r="N1740" i="1" s="1"/>
  <c r="M1741" i="1"/>
  <c r="N1741" i="1" s="1"/>
  <c r="M1742" i="1"/>
  <c r="N1742" i="1" s="1"/>
  <c r="M1743" i="1"/>
  <c r="N1743" i="1" s="1"/>
  <c r="M1744" i="1"/>
  <c r="N1744" i="1" s="1"/>
  <c r="M1745" i="1"/>
  <c r="N1745" i="1" s="1"/>
  <c r="M1746" i="1"/>
  <c r="N1746" i="1" s="1"/>
  <c r="M1747" i="1"/>
  <c r="N1747" i="1" s="1"/>
  <c r="M1748" i="1"/>
  <c r="N1748" i="1" s="1"/>
  <c r="M1749" i="1"/>
  <c r="N1749" i="1" s="1"/>
  <c r="M1750" i="1"/>
  <c r="N1750" i="1" s="1"/>
  <c r="M1751" i="1"/>
  <c r="N1751" i="1" s="1"/>
  <c r="M1752" i="1"/>
  <c r="N1752" i="1" s="1"/>
  <c r="M1753" i="1"/>
  <c r="N1753" i="1" s="1"/>
  <c r="M1754" i="1"/>
  <c r="N1754" i="1" s="1"/>
  <c r="M1755" i="1"/>
  <c r="N1755" i="1" s="1"/>
  <c r="M1756" i="1"/>
  <c r="N1756" i="1" s="1"/>
  <c r="M1757" i="1"/>
  <c r="N1757" i="1" s="1"/>
  <c r="M1758" i="1"/>
  <c r="N1758" i="1" s="1"/>
  <c r="M1759" i="1"/>
  <c r="N1759" i="1" s="1"/>
  <c r="M1760" i="1"/>
  <c r="N1760" i="1" s="1"/>
  <c r="M1761" i="1"/>
  <c r="N1761" i="1" s="1"/>
  <c r="M1762" i="1"/>
  <c r="N1762" i="1" s="1"/>
  <c r="M1763" i="1"/>
  <c r="N1763" i="1" s="1"/>
  <c r="M1764" i="1"/>
  <c r="N1764" i="1" s="1"/>
  <c r="M1765" i="1"/>
  <c r="N1765" i="1" s="1"/>
  <c r="M1766" i="1"/>
  <c r="N1766" i="1" s="1"/>
  <c r="M1767" i="1"/>
  <c r="N1767" i="1" s="1"/>
  <c r="M1768" i="1"/>
  <c r="N1768" i="1" s="1"/>
  <c r="M1769" i="1"/>
  <c r="M1770" i="1"/>
  <c r="N1770" i="1" s="1"/>
  <c r="M1771" i="1"/>
  <c r="O1771" i="1" s="1"/>
  <c r="M1772" i="1"/>
  <c r="N1772" i="1" s="1"/>
  <c r="M1773" i="1"/>
  <c r="N1773" i="1" s="1"/>
  <c r="M1774" i="1"/>
  <c r="N1774" i="1" s="1"/>
  <c r="M1775" i="1"/>
  <c r="N1775" i="1" s="1"/>
  <c r="M1776" i="1"/>
  <c r="N1776" i="1" s="1"/>
  <c r="M1777" i="1"/>
  <c r="M1778" i="1"/>
  <c r="N1778" i="1" s="1"/>
  <c r="M1779" i="1"/>
  <c r="M1780" i="1"/>
  <c r="N1780" i="1" s="1"/>
  <c r="M1781" i="1"/>
  <c r="N1781" i="1" s="1"/>
  <c r="M1782" i="1"/>
  <c r="N1782" i="1" s="1"/>
  <c r="M1783" i="1"/>
  <c r="N1783" i="1" s="1"/>
  <c r="M1784" i="1"/>
  <c r="N1784" i="1" s="1"/>
  <c r="M1785" i="1"/>
  <c r="M1786" i="1"/>
  <c r="N1786" i="1" s="1"/>
  <c r="M1787" i="1"/>
  <c r="M1788" i="1"/>
  <c r="N1788" i="1" s="1"/>
  <c r="M1789" i="1"/>
  <c r="N1789" i="1" s="1"/>
  <c r="M1790" i="1"/>
  <c r="N1790" i="1" s="1"/>
  <c r="M1791" i="1"/>
  <c r="N1791" i="1" s="1"/>
  <c r="M1792" i="1"/>
  <c r="N1792" i="1" s="1"/>
  <c r="M1793" i="1"/>
  <c r="M1794" i="1"/>
  <c r="N1794" i="1" s="1"/>
  <c r="M1795" i="1"/>
  <c r="M1796" i="1"/>
  <c r="N1796" i="1" s="1"/>
  <c r="M1797" i="1"/>
  <c r="N1797" i="1" s="1"/>
  <c r="M1798" i="1"/>
  <c r="N1798" i="1" s="1"/>
  <c r="M1799" i="1"/>
  <c r="N1799" i="1" s="1"/>
  <c r="M1800" i="1"/>
  <c r="N1800" i="1" s="1"/>
  <c r="M1801" i="1"/>
  <c r="M1802" i="1"/>
  <c r="N1802" i="1" s="1"/>
  <c r="M1803" i="1"/>
  <c r="M1804" i="1"/>
  <c r="N1804" i="1" s="1"/>
  <c r="M1805" i="1"/>
  <c r="N1805" i="1" s="1"/>
  <c r="M1806" i="1"/>
  <c r="N1806" i="1" s="1"/>
  <c r="M1807" i="1"/>
  <c r="N1807" i="1" s="1"/>
  <c r="M1808" i="1"/>
  <c r="N1808" i="1" s="1"/>
  <c r="M1809" i="1"/>
  <c r="M1810" i="1"/>
  <c r="N1810" i="1" s="1"/>
  <c r="M1811" i="1"/>
  <c r="M1812" i="1"/>
  <c r="N1812" i="1" s="1"/>
  <c r="M1813" i="1"/>
  <c r="N1813" i="1" s="1"/>
  <c r="M1814" i="1"/>
  <c r="N1814" i="1" s="1"/>
  <c r="M1815" i="1"/>
  <c r="N1815" i="1" s="1"/>
  <c r="M1816" i="1"/>
  <c r="N1816" i="1" s="1"/>
  <c r="M1817" i="1"/>
  <c r="M1818" i="1"/>
  <c r="N1818" i="1" s="1"/>
  <c r="M1819" i="1"/>
  <c r="M1820" i="1"/>
  <c r="N1820" i="1" s="1"/>
  <c r="M1821" i="1"/>
  <c r="N1821" i="1" s="1"/>
  <c r="M1822" i="1"/>
  <c r="N1822" i="1" s="1"/>
  <c r="M1823" i="1"/>
  <c r="N1823" i="1" s="1"/>
  <c r="M1824" i="1"/>
  <c r="N1824" i="1" s="1"/>
  <c r="M1825" i="1"/>
  <c r="M1826" i="1"/>
  <c r="N1826" i="1" s="1"/>
  <c r="M1827" i="1"/>
  <c r="M1828" i="1"/>
  <c r="N1828" i="1" s="1"/>
  <c r="M1829" i="1"/>
  <c r="N1829" i="1" s="1"/>
  <c r="M1830" i="1"/>
  <c r="N1830" i="1" s="1"/>
  <c r="M1831" i="1"/>
  <c r="N1831" i="1" s="1"/>
  <c r="M1832" i="1"/>
  <c r="N1832" i="1" s="1"/>
  <c r="M1833" i="1"/>
  <c r="M1834" i="1"/>
  <c r="N1834" i="1" s="1"/>
  <c r="M1835" i="1"/>
  <c r="M1836" i="1"/>
  <c r="N1836" i="1" s="1"/>
  <c r="M1837" i="1"/>
  <c r="N1837" i="1" s="1"/>
  <c r="M1838" i="1"/>
  <c r="N1838" i="1" s="1"/>
  <c r="M1839" i="1"/>
  <c r="N1839" i="1" s="1"/>
  <c r="M1840" i="1"/>
  <c r="N1840" i="1" s="1"/>
  <c r="M1841" i="1"/>
  <c r="M1842" i="1"/>
  <c r="N1842" i="1" s="1"/>
  <c r="M1843" i="1"/>
  <c r="M1844" i="1"/>
  <c r="N1844" i="1" s="1"/>
  <c r="M1845" i="1"/>
  <c r="N1845" i="1" s="1"/>
  <c r="M1846" i="1"/>
  <c r="N1846" i="1" s="1"/>
  <c r="M1847" i="1"/>
  <c r="N1847" i="1" s="1"/>
  <c r="M1848" i="1"/>
  <c r="N1848" i="1" s="1"/>
  <c r="M1849" i="1"/>
  <c r="M1850" i="1"/>
  <c r="N1850" i="1" s="1"/>
  <c r="M1851" i="1"/>
  <c r="M1852" i="1"/>
  <c r="N1852" i="1" s="1"/>
  <c r="M1853" i="1"/>
  <c r="N1853" i="1" s="1"/>
  <c r="M1854" i="1"/>
  <c r="N1854" i="1" s="1"/>
  <c r="M1855" i="1"/>
  <c r="N1855" i="1" s="1"/>
  <c r="M1856" i="1"/>
  <c r="N1856" i="1" s="1"/>
  <c r="M1857" i="1"/>
  <c r="M1858" i="1"/>
  <c r="N1858" i="1" s="1"/>
  <c r="M1859" i="1"/>
  <c r="M1860" i="1"/>
  <c r="N1860" i="1" s="1"/>
  <c r="M1861" i="1"/>
  <c r="N1861" i="1" s="1"/>
  <c r="M1862" i="1"/>
  <c r="N1862" i="1" s="1"/>
  <c r="M1863" i="1"/>
  <c r="N1863" i="1" s="1"/>
  <c r="M1864" i="1"/>
  <c r="N1864" i="1" s="1"/>
  <c r="M1865" i="1"/>
  <c r="M1866" i="1"/>
  <c r="N1866" i="1" s="1"/>
  <c r="M1867" i="1"/>
  <c r="M1868" i="1"/>
  <c r="N1868" i="1" s="1"/>
  <c r="M1869" i="1"/>
  <c r="N1869" i="1" s="1"/>
  <c r="M1870" i="1"/>
  <c r="N1870" i="1" s="1"/>
  <c r="M1871" i="1"/>
  <c r="N1871" i="1" s="1"/>
  <c r="M1872" i="1"/>
  <c r="N1872" i="1" s="1"/>
  <c r="M1873" i="1"/>
  <c r="M1874" i="1"/>
  <c r="N1874" i="1" s="1"/>
  <c r="M1875" i="1"/>
  <c r="M1876" i="1"/>
  <c r="N1876" i="1" s="1"/>
  <c r="M1877" i="1"/>
  <c r="N1877" i="1" s="1"/>
  <c r="M1878" i="1"/>
  <c r="N1878" i="1" s="1"/>
  <c r="M1879" i="1"/>
  <c r="N1879" i="1" s="1"/>
  <c r="M1880" i="1"/>
  <c r="N1880" i="1" s="1"/>
  <c r="M1881" i="1"/>
  <c r="M1882" i="1"/>
  <c r="N1882" i="1" s="1"/>
  <c r="M1883" i="1"/>
  <c r="M1884" i="1"/>
  <c r="N1884" i="1" s="1"/>
  <c r="M1885" i="1"/>
  <c r="N1885" i="1" s="1"/>
  <c r="M1886" i="1"/>
  <c r="N1886" i="1" s="1"/>
  <c r="M1887" i="1"/>
  <c r="N1887" i="1" s="1"/>
  <c r="M1888" i="1"/>
  <c r="N1888" i="1" s="1"/>
  <c r="M1889" i="1"/>
  <c r="M1890" i="1"/>
  <c r="N1890" i="1" s="1"/>
  <c r="M1891" i="1"/>
  <c r="M1892" i="1"/>
  <c r="N1892" i="1" s="1"/>
  <c r="M1893" i="1"/>
  <c r="N1893" i="1" s="1"/>
  <c r="M1894" i="1"/>
  <c r="N1894" i="1" s="1"/>
  <c r="M1895" i="1"/>
  <c r="N1895" i="1" s="1"/>
  <c r="M1896" i="1"/>
  <c r="N1896" i="1" s="1"/>
  <c r="M1897" i="1"/>
  <c r="M1898" i="1"/>
  <c r="N1898" i="1" s="1"/>
  <c r="M1899" i="1"/>
  <c r="M1900" i="1"/>
  <c r="N1900" i="1" s="1"/>
  <c r="M1901" i="1"/>
  <c r="N1901" i="1" s="1"/>
  <c r="M1902" i="1"/>
  <c r="N1902" i="1" s="1"/>
  <c r="M1903" i="1"/>
  <c r="N1903" i="1" s="1"/>
  <c r="M1904" i="1"/>
  <c r="N1904" i="1" s="1"/>
  <c r="M1905" i="1"/>
  <c r="M1906" i="1"/>
  <c r="N1906" i="1" s="1"/>
  <c r="M1907" i="1"/>
  <c r="M1908" i="1"/>
  <c r="N1908" i="1" s="1"/>
  <c r="M1909" i="1"/>
  <c r="N1909" i="1" s="1"/>
  <c r="M1910" i="1"/>
  <c r="N1910" i="1" s="1"/>
  <c r="M1911" i="1"/>
  <c r="N1911" i="1" s="1"/>
  <c r="M1912" i="1"/>
  <c r="N1912" i="1" s="1"/>
  <c r="M1913" i="1"/>
  <c r="M1914" i="1"/>
  <c r="N1914" i="1" s="1"/>
  <c r="M1915" i="1"/>
  <c r="M1916" i="1"/>
  <c r="N1916" i="1" s="1"/>
  <c r="M1917" i="1"/>
  <c r="N1917" i="1" s="1"/>
  <c r="M1918" i="1"/>
  <c r="N1918" i="1" s="1"/>
  <c r="M1919" i="1"/>
  <c r="N1919" i="1" s="1"/>
  <c r="M1920" i="1"/>
  <c r="N1920" i="1" s="1"/>
  <c r="M1921" i="1"/>
  <c r="M1922" i="1"/>
  <c r="N1922" i="1" s="1"/>
  <c r="M1923" i="1"/>
  <c r="M1924" i="1"/>
  <c r="N1924" i="1" s="1"/>
  <c r="M1925" i="1"/>
  <c r="N1925" i="1" s="1"/>
  <c r="M1926" i="1"/>
  <c r="N1926" i="1" s="1"/>
  <c r="M1927" i="1"/>
  <c r="N1927" i="1" s="1"/>
  <c r="M1928" i="1"/>
  <c r="N1928" i="1" s="1"/>
  <c r="M1929" i="1"/>
  <c r="M1930" i="1"/>
  <c r="N1930" i="1" s="1"/>
  <c r="M1931" i="1"/>
  <c r="M1932" i="1"/>
  <c r="N1932" i="1" s="1"/>
  <c r="M1933" i="1"/>
  <c r="N1933" i="1" s="1"/>
  <c r="M1934" i="1"/>
  <c r="N1934" i="1" s="1"/>
  <c r="M1935" i="1"/>
  <c r="N1935" i="1" s="1"/>
  <c r="M1936" i="1"/>
  <c r="N1936" i="1" s="1"/>
  <c r="M1937" i="1"/>
  <c r="M1938" i="1"/>
  <c r="N1938" i="1" s="1"/>
  <c r="M1939" i="1"/>
  <c r="M1940" i="1"/>
  <c r="N1940" i="1" s="1"/>
  <c r="M1941" i="1"/>
  <c r="N1941" i="1" s="1"/>
  <c r="M1942" i="1"/>
  <c r="N1942" i="1" s="1"/>
  <c r="M1943" i="1"/>
  <c r="N1943" i="1" s="1"/>
  <c r="M1944" i="1"/>
  <c r="N1944" i="1" s="1"/>
  <c r="M1945" i="1"/>
  <c r="M1946" i="1"/>
  <c r="N1946" i="1" s="1"/>
  <c r="M1947" i="1"/>
  <c r="M1948" i="1"/>
  <c r="N1948" i="1" s="1"/>
  <c r="M1949" i="1"/>
  <c r="N1949" i="1" s="1"/>
  <c r="M1950" i="1"/>
  <c r="N1950" i="1" s="1"/>
  <c r="M1951" i="1"/>
  <c r="N1951" i="1" s="1"/>
  <c r="M1952" i="1"/>
  <c r="N1952" i="1" s="1"/>
  <c r="M1953" i="1"/>
  <c r="M1954" i="1"/>
  <c r="N1954" i="1" s="1"/>
  <c r="M1955" i="1"/>
  <c r="M1956" i="1"/>
  <c r="N1956" i="1" s="1"/>
  <c r="M1957" i="1"/>
  <c r="N1957" i="1" s="1"/>
  <c r="M1958" i="1"/>
  <c r="N1958" i="1" s="1"/>
  <c r="M1959" i="1"/>
  <c r="N1959" i="1" s="1"/>
  <c r="M1960" i="1"/>
  <c r="N1960" i="1" s="1"/>
  <c r="M1961" i="1"/>
  <c r="M1962" i="1"/>
  <c r="N1962" i="1" s="1"/>
  <c r="M1963" i="1"/>
  <c r="M1964" i="1"/>
  <c r="N1964" i="1" s="1"/>
  <c r="M1965" i="1"/>
  <c r="N1965" i="1" s="1"/>
  <c r="M1966" i="1"/>
  <c r="N1966" i="1" s="1"/>
  <c r="M1967" i="1"/>
  <c r="N1967" i="1" s="1"/>
  <c r="M1968" i="1"/>
  <c r="N1968" i="1" s="1"/>
  <c r="M1969" i="1"/>
  <c r="M1970" i="1"/>
  <c r="N1970" i="1" s="1"/>
  <c r="M1971" i="1"/>
  <c r="M1972" i="1"/>
  <c r="N1972" i="1" s="1"/>
  <c r="M1973" i="1"/>
  <c r="N1973" i="1" s="1"/>
  <c r="M1974" i="1"/>
  <c r="N1974" i="1" s="1"/>
  <c r="M1975" i="1"/>
  <c r="N1975" i="1" s="1"/>
  <c r="M1976" i="1"/>
  <c r="N1976" i="1" s="1"/>
  <c r="M1977" i="1"/>
  <c r="M1978" i="1"/>
  <c r="N1978" i="1" s="1"/>
  <c r="M1979" i="1"/>
  <c r="M1980" i="1"/>
  <c r="N1980" i="1" s="1"/>
  <c r="M1981" i="1"/>
  <c r="N1981" i="1" s="1"/>
  <c r="M1982" i="1"/>
  <c r="N1982" i="1" s="1"/>
  <c r="M1983" i="1"/>
  <c r="N1983" i="1" s="1"/>
  <c r="M1984" i="1"/>
  <c r="N1984" i="1" s="1"/>
  <c r="M1985" i="1"/>
  <c r="M1986" i="1"/>
  <c r="N1986" i="1" s="1"/>
  <c r="M1987" i="1"/>
  <c r="M1988" i="1"/>
  <c r="N1988" i="1" s="1"/>
  <c r="M1989" i="1"/>
  <c r="N1989" i="1" s="1"/>
  <c r="M1990" i="1"/>
  <c r="N1990" i="1" s="1"/>
  <c r="M1991" i="1"/>
  <c r="N1991" i="1" s="1"/>
  <c r="M1992" i="1"/>
  <c r="N1992" i="1" s="1"/>
  <c r="M1993" i="1"/>
  <c r="M1994" i="1"/>
  <c r="N1994" i="1" s="1"/>
  <c r="M1995" i="1"/>
  <c r="M1996" i="1"/>
  <c r="N1996" i="1" s="1"/>
  <c r="M1997" i="1"/>
  <c r="N1997" i="1" s="1"/>
  <c r="M1998" i="1"/>
  <c r="N1998" i="1" s="1"/>
  <c r="M1999" i="1"/>
  <c r="N1999" i="1" s="1"/>
  <c r="M2000" i="1"/>
  <c r="N2000" i="1" s="1"/>
  <c r="M2001" i="1"/>
  <c r="M2002" i="1"/>
  <c r="N2002" i="1" s="1"/>
  <c r="M2003" i="1"/>
  <c r="M2004" i="1"/>
  <c r="N2004" i="1" s="1"/>
  <c r="M2005" i="1"/>
  <c r="N2005" i="1" s="1"/>
  <c r="M2006" i="1"/>
  <c r="N2006" i="1" s="1"/>
  <c r="M2007" i="1"/>
  <c r="N2007" i="1" s="1"/>
  <c r="M2008" i="1"/>
  <c r="N2008" i="1" s="1"/>
  <c r="M2009" i="1"/>
  <c r="M2010" i="1"/>
  <c r="N2010" i="1" s="1"/>
  <c r="M2011" i="1"/>
  <c r="M2012" i="1"/>
  <c r="N2012" i="1" s="1"/>
  <c r="M2013" i="1"/>
  <c r="N2013" i="1" s="1"/>
  <c r="M2014" i="1"/>
  <c r="N2014" i="1" s="1"/>
  <c r="M2015" i="1"/>
  <c r="N2015" i="1" s="1"/>
  <c r="M2016" i="1"/>
  <c r="N2016" i="1" s="1"/>
  <c r="M2017" i="1"/>
  <c r="M2018" i="1"/>
  <c r="N2018" i="1" s="1"/>
  <c r="M2019" i="1"/>
  <c r="M2020" i="1"/>
  <c r="N2020" i="1" s="1"/>
  <c r="M2021" i="1"/>
  <c r="N2021" i="1" s="1"/>
  <c r="M2022" i="1"/>
  <c r="N2022" i="1" s="1"/>
  <c r="M2023" i="1"/>
  <c r="N2023" i="1" s="1"/>
  <c r="M2024" i="1"/>
  <c r="N2024" i="1" s="1"/>
  <c r="M2025" i="1"/>
  <c r="M2026" i="1"/>
  <c r="N2026" i="1" s="1"/>
  <c r="M2027" i="1"/>
  <c r="M2028" i="1"/>
  <c r="N2028" i="1" s="1"/>
  <c r="M2029" i="1"/>
  <c r="N2029" i="1" s="1"/>
  <c r="M2030" i="1"/>
  <c r="N2030" i="1" s="1"/>
  <c r="M2031" i="1"/>
  <c r="N2031" i="1" s="1"/>
  <c r="M2032" i="1"/>
  <c r="N2032" i="1" s="1"/>
  <c r="M2033" i="1"/>
  <c r="M2034" i="1"/>
  <c r="N2034" i="1" s="1"/>
  <c r="M2035" i="1"/>
  <c r="M2036" i="1"/>
  <c r="N2036" i="1" s="1"/>
  <c r="M2037" i="1"/>
  <c r="N2037" i="1" s="1"/>
  <c r="M2038" i="1"/>
  <c r="N2038" i="1" s="1"/>
  <c r="M2039" i="1"/>
  <c r="N2039" i="1" s="1"/>
  <c r="M2040" i="1"/>
  <c r="N2040" i="1" s="1"/>
  <c r="M2041" i="1"/>
  <c r="M2042" i="1"/>
  <c r="N2042" i="1" s="1"/>
  <c r="M2043" i="1"/>
  <c r="M2044" i="1"/>
  <c r="N2044" i="1" s="1"/>
  <c r="M2045" i="1"/>
  <c r="N2045" i="1" s="1"/>
  <c r="M2046" i="1"/>
  <c r="N2046" i="1" s="1"/>
  <c r="M2047" i="1"/>
  <c r="N2047" i="1" s="1"/>
  <c r="M2048" i="1"/>
  <c r="N2048" i="1" s="1"/>
  <c r="M2049" i="1"/>
  <c r="M2050" i="1"/>
  <c r="N2050" i="1" s="1"/>
  <c r="M2051" i="1"/>
  <c r="M2052" i="1"/>
  <c r="N2052" i="1" s="1"/>
  <c r="M2053" i="1"/>
  <c r="N2053" i="1" s="1"/>
  <c r="M2054" i="1"/>
  <c r="N2054" i="1" s="1"/>
  <c r="M2055" i="1"/>
  <c r="N2055" i="1" s="1"/>
  <c r="M2056" i="1"/>
  <c r="N2056" i="1" s="1"/>
  <c r="M2057" i="1"/>
  <c r="M2058" i="1"/>
  <c r="N2058" i="1" s="1"/>
  <c r="M2059" i="1"/>
  <c r="M2060" i="1"/>
  <c r="N2060" i="1" s="1"/>
  <c r="M2061" i="1"/>
  <c r="N2061" i="1" s="1"/>
  <c r="M2062" i="1"/>
  <c r="N2062" i="1" s="1"/>
  <c r="M2063" i="1"/>
  <c r="N2063" i="1" s="1"/>
  <c r="M2064" i="1"/>
  <c r="N2064" i="1" s="1"/>
  <c r="M2065" i="1"/>
  <c r="M2066" i="1"/>
  <c r="N2066" i="1" s="1"/>
  <c r="M2067" i="1"/>
  <c r="M2068" i="1"/>
  <c r="N2068" i="1" s="1"/>
  <c r="M2069" i="1"/>
  <c r="N2069" i="1" s="1"/>
  <c r="M2070" i="1"/>
  <c r="N2070" i="1" s="1"/>
  <c r="M2071" i="1"/>
  <c r="N2071" i="1" s="1"/>
  <c r="M2072" i="1"/>
  <c r="N2072" i="1" s="1"/>
  <c r="M2073" i="1"/>
  <c r="M2074" i="1"/>
  <c r="N2074" i="1" s="1"/>
  <c r="M2075" i="1"/>
  <c r="M2076" i="1"/>
  <c r="N2076" i="1" s="1"/>
  <c r="M2077" i="1"/>
  <c r="N2077" i="1" s="1"/>
  <c r="M2078" i="1"/>
  <c r="N2078" i="1" s="1"/>
  <c r="M2079" i="1"/>
  <c r="N2079" i="1" s="1"/>
  <c r="M2080" i="1"/>
  <c r="N2080" i="1" s="1"/>
  <c r="M2081" i="1"/>
  <c r="M2082" i="1"/>
  <c r="N2082" i="1" s="1"/>
  <c r="M2083" i="1"/>
  <c r="M2084" i="1"/>
  <c r="N2084" i="1" s="1"/>
  <c r="M2085" i="1"/>
  <c r="N2085" i="1" s="1"/>
  <c r="M2086" i="1"/>
  <c r="N2086" i="1" s="1"/>
  <c r="M2087" i="1"/>
  <c r="N2087" i="1" s="1"/>
  <c r="M2088" i="1"/>
  <c r="N2088" i="1" s="1"/>
  <c r="M2089" i="1"/>
  <c r="M2090" i="1"/>
  <c r="N2090" i="1" s="1"/>
  <c r="M2091" i="1"/>
  <c r="M2092" i="1"/>
  <c r="N2092" i="1" s="1"/>
  <c r="M2093" i="1"/>
  <c r="N2093" i="1" s="1"/>
  <c r="M2094" i="1"/>
  <c r="N2094" i="1" s="1"/>
  <c r="M2095" i="1"/>
  <c r="N2095" i="1" s="1"/>
  <c r="M2096" i="1"/>
  <c r="N2096" i="1" s="1"/>
  <c r="M2097" i="1"/>
  <c r="M2098" i="1"/>
  <c r="N2098" i="1" s="1"/>
  <c r="M2099" i="1"/>
  <c r="M2100" i="1"/>
  <c r="N2100" i="1" s="1"/>
  <c r="M2101" i="1"/>
  <c r="N2101" i="1" s="1"/>
  <c r="M2102" i="1"/>
  <c r="N2102" i="1" s="1"/>
  <c r="M2103" i="1"/>
  <c r="N2103" i="1" s="1"/>
  <c r="M2104" i="1"/>
  <c r="N2104" i="1" s="1"/>
  <c r="M2105" i="1"/>
  <c r="M2106" i="1"/>
  <c r="N2106" i="1" s="1"/>
  <c r="M2107" i="1"/>
  <c r="M2108" i="1"/>
  <c r="N2108" i="1" s="1"/>
  <c r="M2109" i="1"/>
  <c r="N2109" i="1" s="1"/>
  <c r="M2110" i="1"/>
  <c r="N2110" i="1" s="1"/>
  <c r="M2111" i="1"/>
  <c r="N2111" i="1" s="1"/>
  <c r="M2112" i="1"/>
  <c r="N2112" i="1" s="1"/>
  <c r="M2113" i="1"/>
  <c r="M2114" i="1"/>
  <c r="N2114" i="1" s="1"/>
  <c r="M2115" i="1"/>
  <c r="M2116" i="1"/>
  <c r="N2116" i="1" s="1"/>
  <c r="M2117" i="1"/>
  <c r="N2117" i="1" s="1"/>
  <c r="M2118" i="1"/>
  <c r="N2118" i="1" s="1"/>
  <c r="M2119" i="1"/>
  <c r="N2119" i="1" s="1"/>
  <c r="M2120" i="1"/>
  <c r="N2120" i="1" s="1"/>
  <c r="M2121" i="1"/>
  <c r="M2122" i="1"/>
  <c r="N2122" i="1" s="1"/>
  <c r="M2123" i="1"/>
  <c r="M2124" i="1"/>
  <c r="N2124" i="1" s="1"/>
  <c r="M2125" i="1"/>
  <c r="N2125" i="1" s="1"/>
  <c r="M2126" i="1"/>
  <c r="N2126" i="1" s="1"/>
  <c r="M2127" i="1"/>
  <c r="N2127" i="1" s="1"/>
  <c r="M2128" i="1"/>
  <c r="N2128" i="1" s="1"/>
  <c r="M2129" i="1"/>
  <c r="M2130" i="1"/>
  <c r="N2130" i="1" s="1"/>
  <c r="M2131" i="1"/>
  <c r="M2132" i="1"/>
  <c r="N2132" i="1" s="1"/>
  <c r="M2133" i="1"/>
  <c r="N2133" i="1" s="1"/>
  <c r="M2134" i="1"/>
  <c r="N2134" i="1" s="1"/>
  <c r="M2135" i="1"/>
  <c r="N2135" i="1" s="1"/>
  <c r="M2136" i="1"/>
  <c r="N2136" i="1" s="1"/>
  <c r="M2137" i="1"/>
  <c r="M2138" i="1"/>
  <c r="N2138" i="1" s="1"/>
  <c r="M2139" i="1"/>
  <c r="M2140" i="1"/>
  <c r="N2140" i="1" s="1"/>
  <c r="M2141" i="1"/>
  <c r="N2141" i="1" s="1"/>
  <c r="M2142" i="1"/>
  <c r="N2142" i="1" s="1"/>
  <c r="M2143" i="1"/>
  <c r="N2143" i="1" s="1"/>
  <c r="M2144" i="1"/>
  <c r="N2144" i="1" s="1"/>
  <c r="M2145" i="1"/>
  <c r="M2146" i="1"/>
  <c r="N2146" i="1" s="1"/>
  <c r="M2147" i="1"/>
  <c r="M2148" i="1"/>
  <c r="N2148" i="1" s="1"/>
  <c r="M2149" i="1"/>
  <c r="N2149" i="1" s="1"/>
  <c r="M2150" i="1"/>
  <c r="N2150" i="1" s="1"/>
  <c r="M2151" i="1"/>
  <c r="N2151" i="1" s="1"/>
  <c r="M2152" i="1"/>
  <c r="N2152" i="1" s="1"/>
  <c r="M2153" i="1"/>
  <c r="M2154" i="1"/>
  <c r="N2154" i="1" s="1"/>
  <c r="M2155" i="1"/>
  <c r="M2156" i="1"/>
  <c r="N2156" i="1" s="1"/>
  <c r="M2157" i="1"/>
  <c r="N2157" i="1" s="1"/>
  <c r="M2158" i="1"/>
  <c r="N2158" i="1" s="1"/>
  <c r="M2159" i="1"/>
  <c r="N2159" i="1" s="1"/>
  <c r="M2160" i="1"/>
  <c r="N2160" i="1" s="1"/>
  <c r="M2161" i="1"/>
  <c r="M2162" i="1"/>
  <c r="N2162" i="1" s="1"/>
  <c r="M2163" i="1"/>
  <c r="M2164" i="1"/>
  <c r="N2164" i="1" s="1"/>
  <c r="M2165" i="1"/>
  <c r="N2165" i="1" s="1"/>
  <c r="M2166" i="1"/>
  <c r="N2166" i="1" s="1"/>
  <c r="M2167" i="1"/>
  <c r="N2167" i="1" s="1"/>
  <c r="M2168" i="1"/>
  <c r="N2168" i="1" s="1"/>
  <c r="M2169" i="1"/>
  <c r="M2170" i="1"/>
  <c r="N2170" i="1" s="1"/>
  <c r="M2171" i="1"/>
  <c r="M2172" i="1"/>
  <c r="N2172" i="1" s="1"/>
  <c r="M2173" i="1"/>
  <c r="N2173" i="1" s="1"/>
  <c r="M2174" i="1"/>
  <c r="N2174" i="1" s="1"/>
  <c r="M2175" i="1"/>
  <c r="N2175" i="1" s="1"/>
  <c r="M2176" i="1"/>
  <c r="N2176" i="1" s="1"/>
  <c r="M2177" i="1"/>
  <c r="M2178" i="1"/>
  <c r="N2178" i="1" s="1"/>
  <c r="M2179" i="1"/>
  <c r="M2180" i="1"/>
  <c r="N2180" i="1" s="1"/>
  <c r="M2181" i="1"/>
  <c r="N2181" i="1" s="1"/>
  <c r="M2182" i="1"/>
  <c r="N2182" i="1" s="1"/>
  <c r="M2183" i="1"/>
  <c r="N2183" i="1" s="1"/>
  <c r="M2184" i="1"/>
  <c r="N2184" i="1" s="1"/>
  <c r="M2185" i="1"/>
  <c r="M2186" i="1"/>
  <c r="N2186" i="1" s="1"/>
  <c r="M2187" i="1"/>
  <c r="M2188" i="1"/>
  <c r="N2188" i="1" s="1"/>
  <c r="M2189" i="1"/>
  <c r="N2189" i="1" s="1"/>
  <c r="M2190" i="1"/>
  <c r="N2190" i="1" s="1"/>
  <c r="M2191" i="1"/>
  <c r="N2191" i="1" s="1"/>
  <c r="M2192" i="1"/>
  <c r="N2192" i="1" s="1"/>
  <c r="M2193" i="1"/>
  <c r="M2194" i="1"/>
  <c r="N2194" i="1" s="1"/>
  <c r="M2195" i="1"/>
  <c r="M2196" i="1"/>
  <c r="N2196" i="1" s="1"/>
  <c r="M2197" i="1"/>
  <c r="N2197" i="1" s="1"/>
  <c r="M2198" i="1"/>
  <c r="N2198" i="1" s="1"/>
  <c r="M2199" i="1"/>
  <c r="N2199" i="1" s="1"/>
  <c r="M2200" i="1"/>
  <c r="N2200" i="1" s="1"/>
  <c r="M2201" i="1"/>
  <c r="M2202" i="1"/>
  <c r="N2202" i="1" s="1"/>
  <c r="M2203" i="1"/>
  <c r="M2204" i="1"/>
  <c r="N2204" i="1" s="1"/>
  <c r="M2205" i="1"/>
  <c r="N2205" i="1" s="1"/>
  <c r="M2206" i="1"/>
  <c r="N2206" i="1" s="1"/>
  <c r="M2207" i="1"/>
  <c r="N2207" i="1" s="1"/>
  <c r="M2208" i="1"/>
  <c r="N2208" i="1" s="1"/>
  <c r="M2209" i="1"/>
  <c r="M2210" i="1"/>
  <c r="N2210" i="1" s="1"/>
  <c r="M2211" i="1"/>
  <c r="M2212" i="1"/>
  <c r="N2212" i="1" s="1"/>
  <c r="M2213" i="1"/>
  <c r="N2213" i="1" s="1"/>
  <c r="M2214" i="1"/>
  <c r="N2214" i="1" s="1"/>
  <c r="M2215" i="1"/>
  <c r="N2215" i="1" s="1"/>
  <c r="M2216" i="1"/>
  <c r="N2216" i="1" s="1"/>
  <c r="M2217" i="1"/>
  <c r="M2218" i="1"/>
  <c r="N2218" i="1" s="1"/>
  <c r="M2219" i="1"/>
  <c r="N2219" i="1" s="1"/>
  <c r="M2220" i="1"/>
  <c r="N2220" i="1" s="1"/>
  <c r="M2221" i="1"/>
  <c r="N2221" i="1" s="1"/>
  <c r="M2222" i="1"/>
  <c r="N2222" i="1" s="1"/>
  <c r="M2223" i="1"/>
  <c r="N2223" i="1" s="1"/>
  <c r="M2224" i="1"/>
  <c r="N2224" i="1" s="1"/>
  <c r="M2225" i="1"/>
  <c r="M2226" i="1"/>
  <c r="N2226" i="1" s="1"/>
  <c r="M2227" i="1"/>
  <c r="N2227" i="1" s="1"/>
  <c r="M2228" i="1"/>
  <c r="N2228" i="1" s="1"/>
  <c r="M2229" i="1"/>
  <c r="N2229" i="1" s="1"/>
  <c r="M2230" i="1"/>
  <c r="N2230" i="1" s="1"/>
  <c r="M2231" i="1"/>
  <c r="N2231" i="1" s="1"/>
  <c r="M2232" i="1"/>
  <c r="N2232" i="1" s="1"/>
  <c r="M2233" i="1"/>
  <c r="M2234" i="1"/>
  <c r="N2234" i="1" s="1"/>
  <c r="M2235" i="1"/>
  <c r="N2235" i="1" s="1"/>
  <c r="M2236" i="1"/>
  <c r="N2236" i="1" s="1"/>
  <c r="M2237" i="1"/>
  <c r="N2237" i="1" s="1"/>
  <c r="M2238" i="1"/>
  <c r="N2238" i="1" s="1"/>
  <c r="M2239" i="1"/>
  <c r="N2239" i="1" s="1"/>
  <c r="M2240" i="1"/>
  <c r="N2240" i="1" s="1"/>
  <c r="M2241" i="1"/>
  <c r="M2242" i="1"/>
  <c r="N2242" i="1" s="1"/>
  <c r="M2243" i="1"/>
  <c r="N2243" i="1" s="1"/>
  <c r="M2244" i="1"/>
  <c r="N2244" i="1" s="1"/>
  <c r="M2245" i="1"/>
  <c r="N2245" i="1" s="1"/>
  <c r="M2246" i="1"/>
  <c r="N2246" i="1" s="1"/>
  <c r="M2247" i="1"/>
  <c r="N2247" i="1" s="1"/>
  <c r="M2248" i="1"/>
  <c r="N2248" i="1" s="1"/>
  <c r="M2249" i="1"/>
  <c r="M2250" i="1"/>
  <c r="N2250" i="1" s="1"/>
  <c r="M2251" i="1"/>
  <c r="M2252" i="1"/>
  <c r="N2252" i="1" s="1"/>
  <c r="M2253" i="1"/>
  <c r="N2253" i="1" s="1"/>
  <c r="M2254" i="1"/>
  <c r="N2254" i="1" s="1"/>
  <c r="M2255" i="1"/>
  <c r="N2255" i="1" s="1"/>
  <c r="M2256" i="1"/>
  <c r="N2256" i="1" s="1"/>
  <c r="M2257" i="1"/>
  <c r="M2258" i="1"/>
  <c r="N2258" i="1" s="1"/>
  <c r="M2259" i="1"/>
  <c r="M2260" i="1"/>
  <c r="N2260" i="1" s="1"/>
  <c r="M2261" i="1"/>
  <c r="N2261" i="1" s="1"/>
  <c r="M2262" i="1"/>
  <c r="N2262" i="1" s="1"/>
  <c r="M2263" i="1"/>
  <c r="N2263" i="1" s="1"/>
  <c r="M2264" i="1"/>
  <c r="N2264" i="1" s="1"/>
  <c r="M2265" i="1"/>
  <c r="M2266" i="1"/>
  <c r="N2266" i="1" s="1"/>
  <c r="M2267" i="1"/>
  <c r="M2268" i="1"/>
  <c r="N2268" i="1" s="1"/>
  <c r="M2269" i="1"/>
  <c r="N2269" i="1" s="1"/>
  <c r="M2270" i="1"/>
  <c r="N2270" i="1" s="1"/>
  <c r="M2271" i="1"/>
  <c r="N2271" i="1" s="1"/>
  <c r="M2272" i="1"/>
  <c r="N2272" i="1" s="1"/>
  <c r="M2273" i="1"/>
  <c r="M2274" i="1"/>
  <c r="N2274" i="1" s="1"/>
  <c r="M2275" i="1"/>
  <c r="M2276" i="1"/>
  <c r="N2276" i="1" s="1"/>
  <c r="M2277" i="1"/>
  <c r="N2277" i="1" s="1"/>
  <c r="M2278" i="1"/>
  <c r="N2278" i="1" s="1"/>
  <c r="M2279" i="1"/>
  <c r="N2279" i="1" s="1"/>
  <c r="M2280" i="1"/>
  <c r="N2280" i="1" s="1"/>
  <c r="M2281" i="1"/>
  <c r="M2282" i="1"/>
  <c r="N2282" i="1" s="1"/>
  <c r="M2283" i="1"/>
  <c r="N2283" i="1" s="1"/>
  <c r="M2284" i="1"/>
  <c r="N2284" i="1" s="1"/>
  <c r="M2285" i="1"/>
  <c r="N2285" i="1" s="1"/>
  <c r="M2286" i="1"/>
  <c r="N2286" i="1" s="1"/>
  <c r="M2287" i="1"/>
  <c r="N2287" i="1" s="1"/>
  <c r="M2288" i="1"/>
  <c r="N2288" i="1" s="1"/>
  <c r="M2289" i="1"/>
  <c r="M2290" i="1"/>
  <c r="N2290" i="1" s="1"/>
  <c r="M2291" i="1"/>
  <c r="N2291" i="1" s="1"/>
  <c r="M2292" i="1"/>
  <c r="N2292" i="1" s="1"/>
  <c r="M2293" i="1"/>
  <c r="N2293" i="1" s="1"/>
  <c r="M2294" i="1"/>
  <c r="N2294" i="1" s="1"/>
  <c r="M2295" i="1"/>
  <c r="N2295" i="1" s="1"/>
  <c r="M2296" i="1"/>
  <c r="N2296" i="1" s="1"/>
  <c r="M2297" i="1"/>
  <c r="M2298" i="1"/>
  <c r="N2298" i="1" s="1"/>
  <c r="M2299" i="1"/>
  <c r="N2299" i="1" s="1"/>
  <c r="M2300" i="1"/>
  <c r="N2300" i="1" s="1"/>
  <c r="M2301" i="1"/>
  <c r="N2301" i="1" s="1"/>
  <c r="M2302" i="1"/>
  <c r="N2302" i="1" s="1"/>
  <c r="M2303" i="1"/>
  <c r="N2303" i="1" s="1"/>
  <c r="M2304" i="1"/>
  <c r="N2304" i="1" s="1"/>
  <c r="M2305" i="1"/>
  <c r="M2306" i="1"/>
  <c r="N2306" i="1" s="1"/>
  <c r="M2307" i="1"/>
  <c r="N2307" i="1" s="1"/>
  <c r="M2308" i="1"/>
  <c r="N2308" i="1" s="1"/>
  <c r="M2309" i="1"/>
  <c r="N2309" i="1" s="1"/>
  <c r="M2310" i="1"/>
  <c r="N2310" i="1" s="1"/>
  <c r="M2311" i="1"/>
  <c r="N2311" i="1" s="1"/>
  <c r="M2312" i="1"/>
  <c r="N2312" i="1" s="1"/>
  <c r="M2313" i="1"/>
  <c r="M2314" i="1"/>
  <c r="N2314" i="1" s="1"/>
  <c r="M2315" i="1"/>
  <c r="M2316" i="1"/>
  <c r="N2316" i="1" s="1"/>
  <c r="M2317" i="1"/>
  <c r="N2317" i="1" s="1"/>
  <c r="M2318" i="1"/>
  <c r="N2318" i="1" s="1"/>
  <c r="M2319" i="1"/>
  <c r="N2319" i="1" s="1"/>
  <c r="M2320" i="1"/>
  <c r="N2320" i="1" s="1"/>
  <c r="M2321" i="1"/>
  <c r="M2322" i="1"/>
  <c r="N2322" i="1" s="1"/>
  <c r="M2323" i="1"/>
  <c r="M2324" i="1"/>
  <c r="N2324" i="1" s="1"/>
  <c r="M2325" i="1"/>
  <c r="N2325" i="1" s="1"/>
  <c r="M2326" i="1"/>
  <c r="N2326" i="1" s="1"/>
  <c r="M2327" i="1"/>
  <c r="N2327" i="1" s="1"/>
  <c r="M2328" i="1"/>
  <c r="N2328" i="1" s="1"/>
  <c r="M2329" i="1"/>
  <c r="O2329" i="1" s="1"/>
  <c r="M2330" i="1"/>
  <c r="N2330" i="1" s="1"/>
  <c r="M2331" i="1"/>
  <c r="M2332" i="1"/>
  <c r="N2332" i="1" s="1"/>
  <c r="M2333" i="1"/>
  <c r="N2333" i="1" s="1"/>
  <c r="M2334" i="1"/>
  <c r="N2334" i="1" s="1"/>
  <c r="M2335" i="1"/>
  <c r="N2335" i="1" s="1"/>
  <c r="M2336" i="1"/>
  <c r="N2336" i="1" s="1"/>
  <c r="M2337" i="1"/>
  <c r="M2338" i="1"/>
  <c r="N2338" i="1" s="1"/>
  <c r="M2339" i="1"/>
  <c r="M2340" i="1"/>
  <c r="N2340" i="1" s="1"/>
  <c r="M2341" i="1"/>
  <c r="N2341" i="1" s="1"/>
  <c r="M2342" i="1"/>
  <c r="N2342" i="1" s="1"/>
  <c r="M2343" i="1"/>
  <c r="N2343" i="1" s="1"/>
  <c r="M2344" i="1"/>
  <c r="N2344" i="1" s="1"/>
  <c r="M2345" i="1"/>
  <c r="M2346" i="1"/>
  <c r="N2346" i="1" s="1"/>
  <c r="M2347" i="1"/>
  <c r="N2347" i="1" s="1"/>
  <c r="M2348" i="1"/>
  <c r="N2348" i="1" s="1"/>
  <c r="M2349" i="1"/>
  <c r="N2349" i="1" s="1"/>
  <c r="M2350" i="1"/>
  <c r="N2350" i="1" s="1"/>
  <c r="M2351" i="1"/>
  <c r="N2351" i="1" s="1"/>
  <c r="M2352" i="1"/>
  <c r="N2352" i="1" s="1"/>
  <c r="M2353" i="1"/>
  <c r="M2354" i="1"/>
  <c r="N2354" i="1" s="1"/>
  <c r="M2355" i="1"/>
  <c r="N2355" i="1" s="1"/>
  <c r="M2356" i="1"/>
  <c r="N2356" i="1" s="1"/>
  <c r="M2357" i="1"/>
  <c r="N2357" i="1" s="1"/>
  <c r="M2358" i="1"/>
  <c r="N2358" i="1" s="1"/>
  <c r="M2359" i="1"/>
  <c r="N2359" i="1" s="1"/>
  <c r="M2360" i="1"/>
  <c r="N2360" i="1" s="1"/>
  <c r="M2361" i="1"/>
  <c r="M2362" i="1"/>
  <c r="N2362" i="1" s="1"/>
  <c r="M2363" i="1"/>
  <c r="N2363" i="1" s="1"/>
  <c r="M2364" i="1"/>
  <c r="N2364" i="1" s="1"/>
  <c r="M2365" i="1"/>
  <c r="N2365" i="1" s="1"/>
  <c r="M2366" i="1"/>
  <c r="N2366" i="1" s="1"/>
  <c r="M2367" i="1"/>
  <c r="N2367" i="1" s="1"/>
  <c r="M2368" i="1"/>
  <c r="N2368" i="1" s="1"/>
  <c r="M2369" i="1"/>
  <c r="M2370" i="1"/>
  <c r="N2370" i="1" s="1"/>
  <c r="M2371" i="1"/>
  <c r="N2371" i="1" s="1"/>
  <c r="M2372" i="1"/>
  <c r="N2372" i="1" s="1"/>
  <c r="M2373" i="1"/>
  <c r="N2373" i="1" s="1"/>
  <c r="M2374" i="1"/>
  <c r="N2374" i="1" s="1"/>
  <c r="M2375" i="1"/>
  <c r="N2375" i="1" s="1"/>
  <c r="M2376" i="1"/>
  <c r="N2376" i="1" s="1"/>
  <c r="M2377" i="1"/>
  <c r="M2378" i="1"/>
  <c r="N2378" i="1" s="1"/>
  <c r="M2379" i="1"/>
  <c r="M2380" i="1"/>
  <c r="N2380" i="1" s="1"/>
  <c r="M2381" i="1"/>
  <c r="N2381" i="1" s="1"/>
  <c r="M2382" i="1"/>
  <c r="N2382" i="1" s="1"/>
  <c r="M2383" i="1"/>
  <c r="N2383" i="1" s="1"/>
  <c r="M2384" i="1"/>
  <c r="N2384" i="1" s="1"/>
  <c r="M2385" i="1"/>
  <c r="M2386" i="1"/>
  <c r="N2386" i="1" s="1"/>
  <c r="M2387" i="1"/>
  <c r="M2388" i="1"/>
  <c r="N2388" i="1" s="1"/>
  <c r="M2389" i="1"/>
  <c r="N2389" i="1" s="1"/>
  <c r="M2390" i="1"/>
  <c r="N2390" i="1" s="1"/>
  <c r="M2391" i="1"/>
  <c r="N2391" i="1" s="1"/>
  <c r="M2392" i="1"/>
  <c r="N2392" i="1" s="1"/>
  <c r="M2393" i="1"/>
  <c r="M2394" i="1"/>
  <c r="N2394" i="1" s="1"/>
  <c r="M2395" i="1"/>
  <c r="O2395" i="1" s="1"/>
  <c r="M2396" i="1"/>
  <c r="N2396" i="1" s="1"/>
  <c r="M2397" i="1"/>
  <c r="N2397" i="1" s="1"/>
  <c r="M2398" i="1"/>
  <c r="N2398" i="1" s="1"/>
  <c r="M2399" i="1"/>
  <c r="N2399" i="1" s="1"/>
  <c r="M2400" i="1"/>
  <c r="N2400" i="1" s="1"/>
  <c r="M2401" i="1"/>
  <c r="M2402" i="1"/>
  <c r="N2402" i="1" s="1"/>
  <c r="M2403" i="1"/>
  <c r="M2404" i="1"/>
  <c r="N2404" i="1" s="1"/>
  <c r="M2405" i="1"/>
  <c r="N2405" i="1" s="1"/>
  <c r="M2406" i="1"/>
  <c r="N2406" i="1" s="1"/>
  <c r="M2407" i="1"/>
  <c r="N2407" i="1" s="1"/>
  <c r="M2408" i="1"/>
  <c r="N2408" i="1" s="1"/>
  <c r="M2409" i="1"/>
  <c r="M2410" i="1"/>
  <c r="N2410" i="1" s="1"/>
  <c r="M2411" i="1"/>
  <c r="M2412" i="1"/>
  <c r="N2412" i="1" s="1"/>
  <c r="M2413" i="1"/>
  <c r="N2413" i="1" s="1"/>
  <c r="M2414" i="1"/>
  <c r="N2414" i="1" s="1"/>
  <c r="M2415" i="1"/>
  <c r="N2415" i="1" s="1"/>
  <c r="M2416" i="1"/>
  <c r="N2416" i="1" s="1"/>
  <c r="M2417" i="1"/>
  <c r="M2418" i="1"/>
  <c r="N2418" i="1" s="1"/>
  <c r="M2419" i="1"/>
  <c r="M2420" i="1"/>
  <c r="N2420" i="1" s="1"/>
  <c r="M2421" i="1"/>
  <c r="N2421" i="1" s="1"/>
  <c r="M2422" i="1"/>
  <c r="N2422" i="1" s="1"/>
  <c r="M2423" i="1"/>
  <c r="N2423" i="1" s="1"/>
  <c r="M2424" i="1"/>
  <c r="N2424" i="1" s="1"/>
  <c r="M2425" i="1"/>
  <c r="M2426" i="1"/>
  <c r="N2426" i="1" s="1"/>
  <c r="M2427" i="1"/>
  <c r="M2428" i="1"/>
  <c r="N2428" i="1" s="1"/>
  <c r="M2429" i="1"/>
  <c r="N2429" i="1" s="1"/>
  <c r="M2430" i="1"/>
  <c r="N2430" i="1" s="1"/>
  <c r="M2431" i="1"/>
  <c r="N2431" i="1" s="1"/>
  <c r="M2432" i="1"/>
  <c r="N2432" i="1" s="1"/>
  <c r="M2433" i="1"/>
  <c r="M2434" i="1"/>
  <c r="N2434" i="1" s="1"/>
  <c r="M2435" i="1"/>
  <c r="M2436" i="1"/>
  <c r="N2436" i="1" s="1"/>
  <c r="M2437" i="1"/>
  <c r="N2437" i="1" s="1"/>
  <c r="M2438" i="1"/>
  <c r="N2438" i="1" s="1"/>
  <c r="M2439" i="1"/>
  <c r="N2439" i="1" s="1"/>
  <c r="M2440" i="1"/>
  <c r="N2440" i="1" s="1"/>
  <c r="M2441" i="1"/>
  <c r="M2442" i="1"/>
  <c r="N2442" i="1" s="1"/>
  <c r="M2443" i="1"/>
  <c r="M2444" i="1"/>
  <c r="N2444" i="1" s="1"/>
  <c r="M2445" i="1"/>
  <c r="N2445" i="1" s="1"/>
  <c r="M2446" i="1"/>
  <c r="N2446" i="1" s="1"/>
  <c r="M2447" i="1"/>
  <c r="N2447" i="1" s="1"/>
  <c r="M2448" i="1"/>
  <c r="N2448" i="1" s="1"/>
  <c r="M2449" i="1"/>
  <c r="M2450" i="1"/>
  <c r="N2450" i="1" s="1"/>
  <c r="M2451" i="1"/>
  <c r="M2452" i="1"/>
  <c r="N2452" i="1" s="1"/>
  <c r="M2453" i="1"/>
  <c r="N2453" i="1" s="1"/>
  <c r="M2454" i="1"/>
  <c r="N2454" i="1" s="1"/>
  <c r="M2455" i="1"/>
  <c r="N2455" i="1" s="1"/>
  <c r="M2456" i="1"/>
  <c r="N2456" i="1" s="1"/>
  <c r="M2457" i="1"/>
  <c r="M2458" i="1"/>
  <c r="N2458" i="1" s="1"/>
  <c r="M2459" i="1"/>
  <c r="M2460" i="1"/>
  <c r="N2460" i="1" s="1"/>
  <c r="M2461" i="1"/>
  <c r="N2461" i="1" s="1"/>
  <c r="M2462" i="1"/>
  <c r="N2462" i="1" s="1"/>
  <c r="M2463" i="1"/>
  <c r="N2463" i="1" s="1"/>
  <c r="M2464" i="1"/>
  <c r="N2464" i="1" s="1"/>
  <c r="M2465" i="1"/>
  <c r="M2466" i="1"/>
  <c r="N2466" i="1" s="1"/>
  <c r="M2467" i="1"/>
  <c r="M2468" i="1"/>
  <c r="N2468" i="1" s="1"/>
  <c r="M2469" i="1"/>
  <c r="N2469" i="1" s="1"/>
  <c r="M2470" i="1"/>
  <c r="N2470" i="1" s="1"/>
  <c r="M2471" i="1"/>
  <c r="N2471" i="1" s="1"/>
  <c r="M2472" i="1"/>
  <c r="N2472" i="1" s="1"/>
  <c r="M2473" i="1"/>
  <c r="M2474" i="1"/>
  <c r="N2474" i="1" s="1"/>
  <c r="M2475" i="1"/>
  <c r="M2476" i="1"/>
  <c r="N2476" i="1" s="1"/>
  <c r="M2477" i="1"/>
  <c r="N2477" i="1" s="1"/>
  <c r="M2478" i="1"/>
  <c r="N2478" i="1" s="1"/>
  <c r="M2479" i="1"/>
  <c r="N2479" i="1" s="1"/>
  <c r="M2480" i="1"/>
  <c r="N2480" i="1" s="1"/>
  <c r="M2481" i="1"/>
  <c r="M2482" i="1"/>
  <c r="N2482" i="1" s="1"/>
  <c r="M2483" i="1"/>
  <c r="M2484" i="1"/>
  <c r="N2484" i="1" s="1"/>
  <c r="M2485" i="1"/>
  <c r="N2485" i="1" s="1"/>
  <c r="M2486" i="1"/>
  <c r="N2486" i="1" s="1"/>
  <c r="M2487" i="1"/>
  <c r="N2487" i="1" s="1"/>
  <c r="M2488" i="1"/>
  <c r="N2488" i="1" s="1"/>
  <c r="M2489" i="1"/>
  <c r="M2490" i="1"/>
  <c r="N2490" i="1" s="1"/>
  <c r="M2491" i="1"/>
  <c r="M2492" i="1"/>
  <c r="N2492" i="1" s="1"/>
  <c r="M2493" i="1"/>
  <c r="N2493" i="1" s="1"/>
  <c r="M2494" i="1"/>
  <c r="N2494" i="1" s="1"/>
  <c r="M2495" i="1"/>
  <c r="N2495" i="1" s="1"/>
  <c r="M2496" i="1"/>
  <c r="N2496" i="1" s="1"/>
  <c r="M2497" i="1"/>
  <c r="M2498" i="1"/>
  <c r="N2498" i="1" s="1"/>
  <c r="M2499" i="1"/>
  <c r="M2500" i="1"/>
  <c r="N2500" i="1" s="1"/>
  <c r="M2501" i="1"/>
  <c r="N2501" i="1" s="1"/>
  <c r="M2502" i="1"/>
  <c r="N2502" i="1" s="1"/>
  <c r="M2503" i="1"/>
  <c r="N2503" i="1" s="1"/>
  <c r="M2504" i="1"/>
  <c r="N2504" i="1" s="1"/>
  <c r="M2505" i="1"/>
  <c r="M2506" i="1"/>
  <c r="N2506" i="1" s="1"/>
  <c r="M2507" i="1"/>
  <c r="M2508" i="1"/>
  <c r="N2508" i="1" s="1"/>
  <c r="M2509" i="1"/>
  <c r="N2509" i="1" s="1"/>
  <c r="M2510" i="1"/>
  <c r="N2510" i="1" s="1"/>
  <c r="M2511" i="1"/>
  <c r="N2511" i="1" s="1"/>
  <c r="M2512" i="1"/>
  <c r="N2512" i="1" s="1"/>
  <c r="M2513" i="1"/>
  <c r="M2514" i="1"/>
  <c r="N2514" i="1" s="1"/>
  <c r="M2515" i="1"/>
  <c r="M2516" i="1"/>
  <c r="N2516" i="1" s="1"/>
  <c r="M2517" i="1"/>
  <c r="N2517" i="1" s="1"/>
  <c r="M2518" i="1"/>
  <c r="N2518" i="1" s="1"/>
  <c r="M2519" i="1"/>
  <c r="N2519" i="1" s="1"/>
  <c r="M2520" i="1"/>
  <c r="N2520" i="1" s="1"/>
  <c r="M2521" i="1"/>
  <c r="M2522" i="1"/>
  <c r="N2522" i="1" s="1"/>
  <c r="M2523" i="1"/>
  <c r="M2524" i="1"/>
  <c r="N2524" i="1" s="1"/>
  <c r="M2525" i="1"/>
  <c r="N2525" i="1" s="1"/>
  <c r="M2526" i="1"/>
  <c r="N2526" i="1" s="1"/>
  <c r="M2527" i="1"/>
  <c r="N2527" i="1" s="1"/>
  <c r="M2528" i="1"/>
  <c r="N2528" i="1" s="1"/>
  <c r="M2529" i="1"/>
  <c r="M2530" i="1"/>
  <c r="N2530" i="1" s="1"/>
  <c r="M2531" i="1"/>
  <c r="M2532" i="1"/>
  <c r="N2532" i="1" s="1"/>
  <c r="M2533" i="1"/>
  <c r="N2533" i="1" s="1"/>
  <c r="M2534" i="1"/>
  <c r="N2534" i="1" s="1"/>
  <c r="M2535" i="1"/>
  <c r="N2535" i="1" s="1"/>
  <c r="M2536" i="1"/>
  <c r="N2536" i="1" s="1"/>
  <c r="M2537" i="1"/>
  <c r="M2538" i="1"/>
  <c r="N2538" i="1" s="1"/>
  <c r="M2539" i="1"/>
  <c r="M2540" i="1"/>
  <c r="N2540" i="1" s="1"/>
  <c r="M2541" i="1"/>
  <c r="N2541" i="1" s="1"/>
  <c r="M2542" i="1"/>
  <c r="N2542" i="1" s="1"/>
  <c r="M2543" i="1"/>
  <c r="N2543" i="1" s="1"/>
  <c r="M2544" i="1"/>
  <c r="N2544" i="1" s="1"/>
  <c r="M2545" i="1"/>
  <c r="M2546" i="1"/>
  <c r="N2546" i="1" s="1"/>
  <c r="M2547" i="1"/>
  <c r="M2548" i="1"/>
  <c r="N2548" i="1" s="1"/>
  <c r="M2549" i="1"/>
  <c r="N2549" i="1" s="1"/>
  <c r="M2550" i="1"/>
  <c r="N2550" i="1" s="1"/>
  <c r="M2551" i="1"/>
  <c r="N2551" i="1" s="1"/>
  <c r="M2552" i="1"/>
  <c r="N2552" i="1" s="1"/>
  <c r="M2553" i="1"/>
  <c r="M2554" i="1"/>
  <c r="N2554" i="1" s="1"/>
  <c r="M2555" i="1"/>
  <c r="M2556" i="1"/>
  <c r="N2556" i="1" s="1"/>
  <c r="M2557" i="1"/>
  <c r="N2557" i="1" s="1"/>
  <c r="M2558" i="1"/>
  <c r="N2558" i="1" s="1"/>
  <c r="M2559" i="1"/>
  <c r="N2559" i="1" s="1"/>
  <c r="M2560" i="1"/>
  <c r="N2560" i="1" s="1"/>
  <c r="M2561" i="1"/>
  <c r="M2562" i="1"/>
  <c r="N2562" i="1" s="1"/>
  <c r="M2563" i="1"/>
  <c r="M2564" i="1"/>
  <c r="N2564" i="1" s="1"/>
  <c r="M2565" i="1"/>
  <c r="N2565" i="1" s="1"/>
  <c r="M2566" i="1"/>
  <c r="N2566" i="1" s="1"/>
  <c r="M2567" i="1"/>
  <c r="N2567" i="1" s="1"/>
  <c r="M2568" i="1"/>
  <c r="N2568" i="1" s="1"/>
  <c r="M2569" i="1"/>
  <c r="M2570" i="1"/>
  <c r="N2570" i="1" s="1"/>
  <c r="M2571" i="1"/>
  <c r="M2572" i="1"/>
  <c r="N2572" i="1" s="1"/>
  <c r="M2573" i="1"/>
  <c r="N2573" i="1" s="1"/>
  <c r="M2574" i="1"/>
  <c r="N2574" i="1" s="1"/>
  <c r="M2575" i="1"/>
  <c r="N2575" i="1" s="1"/>
  <c r="M2576" i="1"/>
  <c r="N2576" i="1" s="1"/>
  <c r="M2577" i="1"/>
  <c r="M2578" i="1"/>
  <c r="N2578" i="1" s="1"/>
  <c r="M2579" i="1"/>
  <c r="M2580" i="1"/>
  <c r="N2580" i="1" s="1"/>
  <c r="M2581" i="1"/>
  <c r="N2581" i="1" s="1"/>
  <c r="M2582" i="1"/>
  <c r="N2582" i="1" s="1"/>
  <c r="M2583" i="1"/>
  <c r="N2583" i="1" s="1"/>
  <c r="M2584" i="1"/>
  <c r="N2584" i="1" s="1"/>
  <c r="M2585" i="1"/>
  <c r="M2586" i="1"/>
  <c r="N2586" i="1" s="1"/>
  <c r="M2587" i="1"/>
  <c r="M2588" i="1"/>
  <c r="N2588" i="1" s="1"/>
  <c r="M2589" i="1"/>
  <c r="N2589" i="1" s="1"/>
  <c r="M2590" i="1"/>
  <c r="N2590" i="1" s="1"/>
  <c r="M2591" i="1"/>
  <c r="N2591" i="1" s="1"/>
  <c r="M2592" i="1"/>
  <c r="N2592" i="1" s="1"/>
  <c r="M2593" i="1"/>
  <c r="M2594" i="1"/>
  <c r="N2594" i="1" s="1"/>
  <c r="M2595" i="1"/>
  <c r="M2596" i="1"/>
  <c r="N2596" i="1" s="1"/>
  <c r="M2597" i="1"/>
  <c r="N2597" i="1" s="1"/>
  <c r="M2598" i="1"/>
  <c r="N2598" i="1" s="1"/>
  <c r="M2599" i="1"/>
  <c r="N2599" i="1" s="1"/>
  <c r="M2600" i="1"/>
  <c r="N2600" i="1" s="1"/>
  <c r="M2601" i="1"/>
  <c r="M2602" i="1"/>
  <c r="N2602" i="1" s="1"/>
  <c r="M2603" i="1"/>
  <c r="M2604" i="1"/>
  <c r="N2604" i="1" s="1"/>
  <c r="M2605" i="1"/>
  <c r="N2605" i="1" s="1"/>
  <c r="M2606" i="1"/>
  <c r="N2606" i="1" s="1"/>
  <c r="M2607" i="1"/>
  <c r="N2607" i="1" s="1"/>
  <c r="M2608" i="1"/>
  <c r="N2608" i="1" s="1"/>
  <c r="M2609" i="1"/>
  <c r="M2610" i="1"/>
  <c r="N2610" i="1" s="1"/>
  <c r="M2611" i="1"/>
  <c r="M2612" i="1"/>
  <c r="N2612" i="1" s="1"/>
  <c r="M2613" i="1"/>
  <c r="N2613" i="1" s="1"/>
  <c r="M2614" i="1"/>
  <c r="N2614" i="1" s="1"/>
  <c r="M2615" i="1"/>
  <c r="N2615" i="1" s="1"/>
  <c r="M2616" i="1"/>
  <c r="N2616" i="1" s="1"/>
  <c r="M2617" i="1"/>
  <c r="M2618" i="1"/>
  <c r="N2618" i="1" s="1"/>
  <c r="M2619" i="1"/>
  <c r="M2620" i="1"/>
  <c r="N2620" i="1" s="1"/>
  <c r="M2621" i="1"/>
  <c r="N2621" i="1" s="1"/>
  <c r="M2622" i="1"/>
  <c r="N2622" i="1" s="1"/>
  <c r="M2623" i="1"/>
  <c r="N2623" i="1" s="1"/>
  <c r="M2624" i="1"/>
  <c r="N2624" i="1" s="1"/>
  <c r="M2625" i="1"/>
  <c r="M2626" i="1"/>
  <c r="N2626" i="1" s="1"/>
  <c r="M2627" i="1"/>
  <c r="M2628" i="1"/>
  <c r="N2628" i="1" s="1"/>
  <c r="M2629" i="1"/>
  <c r="N2629" i="1" s="1"/>
  <c r="M2630" i="1"/>
  <c r="N2630" i="1" s="1"/>
  <c r="M2631" i="1"/>
  <c r="N2631" i="1" s="1"/>
  <c r="M2632" i="1"/>
  <c r="N2632" i="1" s="1"/>
  <c r="M2633" i="1"/>
  <c r="M2634" i="1"/>
  <c r="N2634" i="1" s="1"/>
  <c r="M2635" i="1"/>
  <c r="N2635" i="1" s="1"/>
  <c r="M2636" i="1"/>
  <c r="N2636" i="1" s="1"/>
  <c r="M2637" i="1"/>
  <c r="N2637" i="1" s="1"/>
  <c r="M2638" i="1"/>
  <c r="N2638" i="1" s="1"/>
  <c r="M2639" i="1"/>
  <c r="N2639" i="1" s="1"/>
  <c r="M2640" i="1"/>
  <c r="N2640" i="1" s="1"/>
  <c r="M2641" i="1"/>
  <c r="M2642" i="1"/>
  <c r="N2642" i="1" s="1"/>
  <c r="M2643" i="1"/>
  <c r="M2644" i="1"/>
  <c r="N2644" i="1" s="1"/>
  <c r="M2645" i="1"/>
  <c r="N2645" i="1" s="1"/>
  <c r="M2646" i="1"/>
  <c r="N2646" i="1" s="1"/>
  <c r="M2647" i="1"/>
  <c r="N2647" i="1" s="1"/>
  <c r="M2648" i="1"/>
  <c r="N2648" i="1" s="1"/>
  <c r="M2649" i="1"/>
  <c r="M2650" i="1"/>
  <c r="N2650" i="1" s="1"/>
  <c r="M2651" i="1"/>
  <c r="N2651" i="1" s="1"/>
  <c r="M2652" i="1"/>
  <c r="N2652" i="1" s="1"/>
  <c r="M2653" i="1"/>
  <c r="N2653" i="1" s="1"/>
  <c r="M2654" i="1"/>
  <c r="N2654" i="1" s="1"/>
  <c r="M2655" i="1"/>
  <c r="N2655" i="1" s="1"/>
  <c r="M2656" i="1"/>
  <c r="N2656" i="1" s="1"/>
  <c r="M2657" i="1"/>
  <c r="M2658" i="1"/>
  <c r="N2658" i="1" s="1"/>
  <c r="M2659" i="1"/>
  <c r="N2659" i="1" s="1"/>
  <c r="M2660" i="1"/>
  <c r="N2660" i="1" s="1"/>
  <c r="M2661" i="1"/>
  <c r="N2661" i="1" s="1"/>
  <c r="M2662" i="1"/>
  <c r="N2662" i="1" s="1"/>
  <c r="M2663" i="1"/>
  <c r="N2663" i="1" s="1"/>
  <c r="M2664" i="1"/>
  <c r="N2664" i="1" s="1"/>
  <c r="M2665" i="1"/>
  <c r="M2666" i="1"/>
  <c r="N2666" i="1" s="1"/>
  <c r="M2667" i="1"/>
  <c r="N2667" i="1" s="1"/>
  <c r="M2668" i="1"/>
  <c r="N2668" i="1" s="1"/>
  <c r="M2669" i="1"/>
  <c r="N2669" i="1" s="1"/>
  <c r="M2670" i="1"/>
  <c r="N2670" i="1" s="1"/>
  <c r="M2671" i="1"/>
  <c r="N2671" i="1" s="1"/>
  <c r="M2672" i="1"/>
  <c r="N2672" i="1" s="1"/>
  <c r="M2673" i="1"/>
  <c r="M2674" i="1"/>
  <c r="N2674" i="1" s="1"/>
  <c r="M2675" i="1"/>
  <c r="N2675" i="1" s="1"/>
  <c r="M2676" i="1"/>
  <c r="N2676" i="1" s="1"/>
  <c r="M2677" i="1"/>
  <c r="N2677" i="1" s="1"/>
  <c r="M2678" i="1"/>
  <c r="N2678" i="1" s="1"/>
  <c r="M2679" i="1"/>
  <c r="N2679" i="1" s="1"/>
  <c r="M2680" i="1"/>
  <c r="N2680" i="1" s="1"/>
  <c r="M2681" i="1"/>
  <c r="M2682" i="1"/>
  <c r="N2682" i="1" s="1"/>
  <c r="M2683" i="1"/>
  <c r="N2683" i="1" s="1"/>
  <c r="M2684" i="1"/>
  <c r="N2684" i="1" s="1"/>
  <c r="M2685" i="1"/>
  <c r="N2685" i="1" s="1"/>
  <c r="M2686" i="1"/>
  <c r="N2686" i="1" s="1"/>
  <c r="M2687" i="1"/>
  <c r="N2687" i="1" s="1"/>
  <c r="M2688" i="1"/>
  <c r="N2688" i="1" s="1"/>
  <c r="M2689" i="1"/>
  <c r="M2690" i="1"/>
  <c r="N2690" i="1" s="1"/>
  <c r="M2691" i="1"/>
  <c r="N2691" i="1" s="1"/>
  <c r="M2692" i="1"/>
  <c r="N2692" i="1" s="1"/>
  <c r="M2693" i="1"/>
  <c r="N2693" i="1" s="1"/>
  <c r="M2694" i="1"/>
  <c r="N2694" i="1" s="1"/>
  <c r="M2695" i="1"/>
  <c r="N2695" i="1" s="1"/>
  <c r="M2696" i="1"/>
  <c r="N2696" i="1" s="1"/>
  <c r="M2697" i="1"/>
  <c r="M2698" i="1"/>
  <c r="N2698" i="1" s="1"/>
  <c r="M2699" i="1"/>
  <c r="N2699" i="1" s="1"/>
  <c r="M2700" i="1"/>
  <c r="N2700" i="1" s="1"/>
  <c r="M2701" i="1"/>
  <c r="N2701" i="1" s="1"/>
  <c r="M2702" i="1"/>
  <c r="N2702" i="1" s="1"/>
  <c r="M2703" i="1"/>
  <c r="N2703" i="1" s="1"/>
  <c r="M2704" i="1"/>
  <c r="N2704" i="1" s="1"/>
  <c r="M2705" i="1"/>
  <c r="M2706" i="1"/>
  <c r="N2706" i="1" s="1"/>
  <c r="M2707" i="1"/>
  <c r="N2707" i="1" s="1"/>
  <c r="M2708" i="1"/>
  <c r="N2708" i="1" s="1"/>
  <c r="M2709" i="1"/>
  <c r="N2709" i="1" s="1"/>
  <c r="M2710" i="1"/>
  <c r="N2710" i="1" s="1"/>
  <c r="M2711" i="1"/>
  <c r="N2711" i="1" s="1"/>
  <c r="M2712" i="1"/>
  <c r="N2712" i="1" s="1"/>
  <c r="M2713" i="1"/>
  <c r="M2714" i="1"/>
  <c r="N2714" i="1" s="1"/>
  <c r="M2715" i="1"/>
  <c r="N2715" i="1" s="1"/>
  <c r="M2716" i="1"/>
  <c r="N2716" i="1" s="1"/>
  <c r="M2717" i="1"/>
  <c r="N2717" i="1" s="1"/>
  <c r="M2718" i="1"/>
  <c r="N2718" i="1" s="1"/>
  <c r="M2719" i="1"/>
  <c r="N2719" i="1" s="1"/>
  <c r="M2720" i="1"/>
  <c r="N2720" i="1" s="1"/>
  <c r="M2721" i="1"/>
  <c r="M2722" i="1"/>
  <c r="N2722" i="1" s="1"/>
  <c r="M2723" i="1"/>
  <c r="N2723" i="1" s="1"/>
  <c r="M2724" i="1"/>
  <c r="N2724" i="1" s="1"/>
  <c r="M2725" i="1"/>
  <c r="N2725" i="1" s="1"/>
  <c r="M2726" i="1"/>
  <c r="N2726" i="1" s="1"/>
  <c r="M2727" i="1"/>
  <c r="N2727" i="1" s="1"/>
  <c r="M2728" i="1"/>
  <c r="N2728" i="1" s="1"/>
  <c r="M2729" i="1"/>
  <c r="M2730" i="1"/>
  <c r="N2730" i="1" s="1"/>
  <c r="M2731" i="1"/>
  <c r="N2731" i="1" s="1"/>
  <c r="M2732" i="1"/>
  <c r="N2732" i="1" s="1"/>
  <c r="M2733" i="1"/>
  <c r="N2733" i="1" s="1"/>
  <c r="M2734" i="1"/>
  <c r="N2734" i="1" s="1"/>
  <c r="M2735" i="1"/>
  <c r="N2735" i="1" s="1"/>
  <c r="M2736" i="1"/>
  <c r="N2736" i="1" s="1"/>
  <c r="M2737" i="1"/>
  <c r="M2738" i="1"/>
  <c r="N2738" i="1" s="1"/>
  <c r="M2739" i="1"/>
  <c r="N2739" i="1" s="1"/>
  <c r="M2740" i="1"/>
  <c r="N2740" i="1" s="1"/>
  <c r="M2741" i="1"/>
  <c r="N2741" i="1" s="1"/>
  <c r="M2742" i="1"/>
  <c r="N2742" i="1" s="1"/>
  <c r="M2743" i="1"/>
  <c r="N2743" i="1" s="1"/>
  <c r="M2744" i="1"/>
  <c r="N2744" i="1" s="1"/>
  <c r="M2745" i="1"/>
  <c r="M2746" i="1"/>
  <c r="N2746" i="1" s="1"/>
  <c r="M2747" i="1"/>
  <c r="N2747" i="1" s="1"/>
  <c r="M2748" i="1"/>
  <c r="N2748" i="1" s="1"/>
  <c r="M2749" i="1"/>
  <c r="N2749" i="1" s="1"/>
  <c r="M2750" i="1"/>
  <c r="N2750" i="1" s="1"/>
  <c r="M2751" i="1"/>
  <c r="N2751" i="1" s="1"/>
  <c r="M2752" i="1"/>
  <c r="N2752" i="1" s="1"/>
  <c r="M2753" i="1"/>
  <c r="M2754" i="1"/>
  <c r="N2754" i="1" s="1"/>
  <c r="M2755" i="1"/>
  <c r="N2755" i="1" s="1"/>
  <c r="M2756" i="1"/>
  <c r="N2756" i="1" s="1"/>
  <c r="M2757" i="1"/>
  <c r="N2757" i="1" s="1"/>
  <c r="M2758" i="1"/>
  <c r="N2758" i="1" s="1"/>
  <c r="M2759" i="1"/>
  <c r="N2759" i="1" s="1"/>
  <c r="M2760" i="1"/>
  <c r="N2760" i="1" s="1"/>
  <c r="M2761" i="1"/>
  <c r="M2762" i="1"/>
  <c r="N2762" i="1" s="1"/>
  <c r="M2763" i="1"/>
  <c r="N2763" i="1" s="1"/>
  <c r="M2764" i="1"/>
  <c r="N2764" i="1" s="1"/>
  <c r="M2765" i="1"/>
  <c r="N2765" i="1" s="1"/>
  <c r="M2766" i="1"/>
  <c r="N2766" i="1" s="1"/>
  <c r="M2767" i="1"/>
  <c r="N2767" i="1" s="1"/>
  <c r="M2768" i="1"/>
  <c r="N2768" i="1" s="1"/>
  <c r="M2769" i="1"/>
  <c r="M2770" i="1"/>
  <c r="N2770" i="1" s="1"/>
  <c r="M2771" i="1"/>
  <c r="N2771" i="1" s="1"/>
  <c r="M2772" i="1"/>
  <c r="N2772" i="1" s="1"/>
  <c r="M2773" i="1"/>
  <c r="N2773" i="1" s="1"/>
  <c r="M2774" i="1"/>
  <c r="N2774" i="1" s="1"/>
  <c r="M2775" i="1"/>
  <c r="N2775" i="1" s="1"/>
  <c r="M2776" i="1"/>
  <c r="N2776" i="1" s="1"/>
  <c r="M2777" i="1"/>
  <c r="M2778" i="1"/>
  <c r="N2778" i="1" s="1"/>
  <c r="M2779" i="1"/>
  <c r="N2779" i="1" s="1"/>
  <c r="M2780" i="1"/>
  <c r="N2780" i="1" s="1"/>
  <c r="M2781" i="1"/>
  <c r="N2781" i="1" s="1"/>
  <c r="M2782" i="1"/>
  <c r="N2782" i="1" s="1"/>
  <c r="M2783" i="1"/>
  <c r="N2783" i="1" s="1"/>
  <c r="M2784" i="1"/>
  <c r="N2784" i="1" s="1"/>
  <c r="M2785" i="1"/>
  <c r="M2786" i="1"/>
  <c r="N2786" i="1" s="1"/>
  <c r="M2787" i="1"/>
  <c r="N2787" i="1" s="1"/>
  <c r="M2788" i="1"/>
  <c r="N2788" i="1" s="1"/>
  <c r="M2789" i="1"/>
  <c r="N2789" i="1" s="1"/>
  <c r="M2790" i="1"/>
  <c r="N2790" i="1" s="1"/>
  <c r="M2791" i="1"/>
  <c r="N2791" i="1" s="1"/>
  <c r="M2792" i="1"/>
  <c r="N2792" i="1" s="1"/>
  <c r="M2793" i="1"/>
  <c r="M2794" i="1"/>
  <c r="N2794" i="1" s="1"/>
  <c r="M2795" i="1"/>
  <c r="N2795" i="1" s="1"/>
  <c r="M2796" i="1"/>
  <c r="N2796" i="1" s="1"/>
  <c r="M2797" i="1"/>
  <c r="N2797" i="1" s="1"/>
  <c r="M2798" i="1"/>
  <c r="N2798" i="1" s="1"/>
  <c r="M2799" i="1"/>
  <c r="N2799" i="1" s="1"/>
  <c r="M2800" i="1"/>
  <c r="N2800" i="1" s="1"/>
  <c r="M2801" i="1"/>
  <c r="M2802" i="1"/>
  <c r="N2802" i="1" s="1"/>
  <c r="M2803" i="1"/>
  <c r="N2803" i="1" s="1"/>
  <c r="M2804" i="1"/>
  <c r="N2804" i="1" s="1"/>
  <c r="M2805" i="1"/>
  <c r="N2805" i="1" s="1"/>
  <c r="M2806" i="1"/>
  <c r="N2806" i="1" s="1"/>
  <c r="M2807" i="1"/>
  <c r="N2807" i="1" s="1"/>
  <c r="M2808" i="1"/>
  <c r="N2808" i="1" s="1"/>
  <c r="M2809" i="1"/>
  <c r="M2810" i="1"/>
  <c r="N2810" i="1" s="1"/>
  <c r="M2811" i="1"/>
  <c r="N2811" i="1" s="1"/>
  <c r="M2812" i="1"/>
  <c r="N2812" i="1" s="1"/>
  <c r="M2813" i="1"/>
  <c r="N2813" i="1" s="1"/>
  <c r="M2814" i="1"/>
  <c r="N2814" i="1" s="1"/>
  <c r="M2815" i="1"/>
  <c r="N2815" i="1" s="1"/>
  <c r="M2816" i="1"/>
  <c r="N2816" i="1" s="1"/>
  <c r="M2817" i="1"/>
  <c r="M2818" i="1"/>
  <c r="N2818" i="1" s="1"/>
  <c r="M2819" i="1"/>
  <c r="N2819" i="1" s="1"/>
  <c r="M2820" i="1"/>
  <c r="N2820" i="1" s="1"/>
  <c r="M2821" i="1"/>
  <c r="N2821" i="1" s="1"/>
  <c r="M2822" i="1"/>
  <c r="N2822" i="1" s="1"/>
  <c r="M2823" i="1"/>
  <c r="N2823" i="1" s="1"/>
  <c r="M2824" i="1"/>
  <c r="N2824" i="1" s="1"/>
  <c r="M2825" i="1"/>
  <c r="M2826" i="1"/>
  <c r="N2826" i="1" s="1"/>
  <c r="M2827" i="1"/>
  <c r="N2827" i="1" s="1"/>
  <c r="M2828" i="1"/>
  <c r="N2828" i="1" s="1"/>
  <c r="M2829" i="1"/>
  <c r="N2829" i="1" s="1"/>
  <c r="M2830" i="1"/>
  <c r="N2830" i="1" s="1"/>
  <c r="M2831" i="1"/>
  <c r="N2831" i="1" s="1"/>
  <c r="M2832" i="1"/>
  <c r="N2832" i="1" s="1"/>
  <c r="M2833" i="1"/>
  <c r="M2834" i="1"/>
  <c r="N2834" i="1" s="1"/>
  <c r="M2835" i="1"/>
  <c r="N2835" i="1" s="1"/>
  <c r="M2836" i="1"/>
  <c r="N2836" i="1" s="1"/>
  <c r="M2837" i="1"/>
  <c r="N2837" i="1" s="1"/>
  <c r="M2838" i="1"/>
  <c r="N2838" i="1" s="1"/>
  <c r="M2839" i="1"/>
  <c r="N2839" i="1" s="1"/>
  <c r="M2840" i="1"/>
  <c r="N2840" i="1" s="1"/>
  <c r="M2841" i="1"/>
  <c r="M2842" i="1"/>
  <c r="N2842" i="1" s="1"/>
  <c r="M2843" i="1"/>
  <c r="N2843" i="1" s="1"/>
  <c r="M2844" i="1"/>
  <c r="N2844" i="1" s="1"/>
  <c r="M2845" i="1"/>
  <c r="N2845" i="1" s="1"/>
  <c r="M2846" i="1"/>
  <c r="N2846" i="1" s="1"/>
  <c r="M2847" i="1"/>
  <c r="N2847" i="1" s="1"/>
  <c r="M2848" i="1"/>
  <c r="N2848" i="1" s="1"/>
  <c r="M2849" i="1"/>
  <c r="M2850" i="1"/>
  <c r="N2850" i="1" s="1"/>
  <c r="M2851" i="1"/>
  <c r="N2851" i="1" s="1"/>
  <c r="M2852" i="1"/>
  <c r="N2852" i="1" s="1"/>
  <c r="M2853" i="1"/>
  <c r="N2853" i="1" s="1"/>
  <c r="M2854" i="1"/>
  <c r="N2854" i="1" s="1"/>
  <c r="M2855" i="1"/>
  <c r="N2855" i="1" s="1"/>
  <c r="M2856" i="1"/>
  <c r="N2856" i="1" s="1"/>
  <c r="M2857" i="1"/>
  <c r="M2858" i="1"/>
  <c r="N2858" i="1" s="1"/>
  <c r="M2859" i="1"/>
  <c r="N2859" i="1" s="1"/>
  <c r="M2860" i="1"/>
  <c r="N2860" i="1" s="1"/>
  <c r="M2861" i="1"/>
  <c r="N2861" i="1" s="1"/>
  <c r="M2862" i="1"/>
  <c r="N2862" i="1" s="1"/>
  <c r="M2863" i="1"/>
  <c r="N2863" i="1" s="1"/>
  <c r="M2864" i="1"/>
  <c r="N2864" i="1" s="1"/>
  <c r="M2865" i="1"/>
  <c r="M2866" i="1"/>
  <c r="N2866" i="1" s="1"/>
  <c r="M2867" i="1"/>
  <c r="N2867" i="1" s="1"/>
  <c r="M2868" i="1"/>
  <c r="N2868" i="1" s="1"/>
  <c r="M2869" i="1"/>
  <c r="N2869" i="1" s="1"/>
  <c r="M2870" i="1"/>
  <c r="N2870" i="1" s="1"/>
  <c r="M2871" i="1"/>
  <c r="N2871" i="1" s="1"/>
  <c r="M2872" i="1"/>
  <c r="N2872" i="1" s="1"/>
  <c r="M2873" i="1"/>
  <c r="M2874" i="1"/>
  <c r="N2874" i="1" s="1"/>
  <c r="M2875" i="1"/>
  <c r="N2875" i="1" s="1"/>
  <c r="M2876" i="1"/>
  <c r="N2876" i="1" s="1"/>
  <c r="M2877" i="1"/>
  <c r="N2877" i="1" s="1"/>
  <c r="M2878" i="1"/>
  <c r="N2878" i="1" s="1"/>
  <c r="M2879" i="1"/>
  <c r="N2879" i="1" s="1"/>
  <c r="M2880" i="1"/>
  <c r="N2880" i="1" s="1"/>
  <c r="M2881" i="1"/>
  <c r="M2882" i="1"/>
  <c r="N2882" i="1" s="1"/>
  <c r="M2883" i="1"/>
  <c r="N2883" i="1" s="1"/>
  <c r="M2884" i="1"/>
  <c r="N2884" i="1" s="1"/>
  <c r="M2885" i="1"/>
  <c r="N2885" i="1" s="1"/>
  <c r="M2886" i="1"/>
  <c r="N2886" i="1" s="1"/>
  <c r="M2887" i="1"/>
  <c r="N2887" i="1" s="1"/>
  <c r="M2888" i="1"/>
  <c r="N2888" i="1" s="1"/>
  <c r="M2889" i="1"/>
  <c r="M2890" i="1"/>
  <c r="N2890" i="1" s="1"/>
  <c r="M2891" i="1"/>
  <c r="N2891" i="1" s="1"/>
  <c r="M2892" i="1"/>
  <c r="N2892" i="1" s="1"/>
  <c r="M2893" i="1"/>
  <c r="N2893" i="1" s="1"/>
  <c r="M2894" i="1"/>
  <c r="N2894" i="1" s="1"/>
  <c r="M2895" i="1"/>
  <c r="N2895" i="1" s="1"/>
  <c r="M2896" i="1"/>
  <c r="N2896" i="1" s="1"/>
  <c r="M2897" i="1"/>
  <c r="M2898" i="1"/>
  <c r="N2898" i="1" s="1"/>
  <c r="M2899" i="1"/>
  <c r="N2899" i="1" s="1"/>
  <c r="M2900" i="1"/>
  <c r="N2900" i="1" s="1"/>
  <c r="M2901" i="1"/>
  <c r="N2901" i="1" s="1"/>
  <c r="M2902" i="1"/>
  <c r="N2902" i="1" s="1"/>
  <c r="M2903" i="1"/>
  <c r="N2903" i="1" s="1"/>
  <c r="M2904" i="1"/>
  <c r="N2904" i="1" s="1"/>
  <c r="M2905" i="1"/>
  <c r="M2906" i="1"/>
  <c r="N2906" i="1" s="1"/>
  <c r="M2907" i="1"/>
  <c r="N2907" i="1" s="1"/>
  <c r="M2908" i="1"/>
  <c r="N2908" i="1" s="1"/>
  <c r="M2909" i="1"/>
  <c r="N2909" i="1" s="1"/>
  <c r="M2910" i="1"/>
  <c r="N2910" i="1" s="1"/>
  <c r="M2911" i="1"/>
  <c r="N2911" i="1" s="1"/>
  <c r="M2912" i="1"/>
  <c r="N2912" i="1" s="1"/>
  <c r="M2913" i="1"/>
  <c r="M2914" i="1"/>
  <c r="N2914" i="1" s="1"/>
  <c r="M2915" i="1"/>
  <c r="N2915" i="1" s="1"/>
  <c r="M2916" i="1"/>
  <c r="N2916" i="1" s="1"/>
  <c r="M2917" i="1"/>
  <c r="N2917" i="1" s="1"/>
  <c r="M2918" i="1"/>
  <c r="N2918" i="1" s="1"/>
  <c r="M2919" i="1"/>
  <c r="N2919" i="1" s="1"/>
  <c r="M2920" i="1"/>
  <c r="N2920" i="1" s="1"/>
  <c r="M2921" i="1"/>
  <c r="M2922" i="1"/>
  <c r="N2922" i="1" s="1"/>
  <c r="M2923" i="1"/>
  <c r="N2923" i="1" s="1"/>
  <c r="M2924" i="1"/>
  <c r="N2924" i="1" s="1"/>
  <c r="M2925" i="1"/>
  <c r="N2925" i="1" s="1"/>
  <c r="M2926" i="1"/>
  <c r="N2926" i="1" s="1"/>
  <c r="M2927" i="1"/>
  <c r="N2927" i="1" s="1"/>
  <c r="M2928" i="1"/>
  <c r="N2928" i="1" s="1"/>
  <c r="M2929" i="1"/>
  <c r="M2930" i="1"/>
  <c r="N2930" i="1" s="1"/>
  <c r="M2931" i="1"/>
  <c r="N2931" i="1" s="1"/>
  <c r="M2932" i="1"/>
  <c r="N2932" i="1" s="1"/>
  <c r="M2933" i="1"/>
  <c r="N2933" i="1" s="1"/>
  <c r="M2934" i="1"/>
  <c r="N2934" i="1" s="1"/>
  <c r="M2935" i="1"/>
  <c r="N2935" i="1" s="1"/>
  <c r="M2936" i="1"/>
  <c r="N2936" i="1" s="1"/>
  <c r="M2937" i="1"/>
  <c r="M2938" i="1"/>
  <c r="N2938" i="1" s="1"/>
  <c r="M2939" i="1"/>
  <c r="N2939" i="1" s="1"/>
  <c r="M2940" i="1"/>
  <c r="N2940" i="1" s="1"/>
  <c r="M2941" i="1"/>
  <c r="N2941" i="1" s="1"/>
  <c r="M2942" i="1"/>
  <c r="N2942" i="1" s="1"/>
  <c r="M2943" i="1"/>
  <c r="N2943" i="1" s="1"/>
  <c r="M2944" i="1"/>
  <c r="N2944" i="1" s="1"/>
  <c r="M2945" i="1"/>
  <c r="M2946" i="1"/>
  <c r="N2946" i="1" s="1"/>
  <c r="M2947" i="1"/>
  <c r="N2947" i="1" s="1"/>
  <c r="M2948" i="1"/>
  <c r="N2948" i="1" s="1"/>
  <c r="M2949" i="1"/>
  <c r="N2949" i="1" s="1"/>
  <c r="M2950" i="1"/>
  <c r="N2950" i="1" s="1"/>
  <c r="M2951" i="1"/>
  <c r="N2951" i="1" s="1"/>
  <c r="M2952" i="1"/>
  <c r="N2952" i="1" s="1"/>
  <c r="M2953" i="1"/>
  <c r="M2954" i="1"/>
  <c r="N2954" i="1" s="1"/>
  <c r="M2955" i="1"/>
  <c r="N2955" i="1" s="1"/>
  <c r="M2956" i="1"/>
  <c r="N2956" i="1" s="1"/>
  <c r="M2957" i="1"/>
  <c r="N2957" i="1" s="1"/>
  <c r="M2958" i="1"/>
  <c r="N2958" i="1" s="1"/>
  <c r="M2959" i="1"/>
  <c r="N2959" i="1" s="1"/>
  <c r="M2960" i="1"/>
  <c r="N2960" i="1" s="1"/>
  <c r="M2961" i="1"/>
  <c r="M2962" i="1"/>
  <c r="N2962" i="1" s="1"/>
  <c r="M2963" i="1"/>
  <c r="N2963" i="1" s="1"/>
  <c r="M2964" i="1"/>
  <c r="N2964" i="1" s="1"/>
  <c r="M2965" i="1"/>
  <c r="N2965" i="1" s="1"/>
  <c r="M2966" i="1"/>
  <c r="N2966" i="1" s="1"/>
  <c r="M2967" i="1"/>
  <c r="N2967" i="1" s="1"/>
  <c r="M2968" i="1"/>
  <c r="N2968" i="1" s="1"/>
  <c r="M2969" i="1"/>
  <c r="M2970" i="1"/>
  <c r="N2970" i="1" s="1"/>
  <c r="M2971" i="1"/>
  <c r="N2971" i="1" s="1"/>
  <c r="M2972" i="1"/>
  <c r="N2972" i="1" s="1"/>
  <c r="M2973" i="1"/>
  <c r="N2973" i="1" s="1"/>
  <c r="M2974" i="1"/>
  <c r="N2974" i="1" s="1"/>
  <c r="M2975" i="1"/>
  <c r="N2975" i="1" s="1"/>
  <c r="M2976" i="1"/>
  <c r="N2976" i="1" s="1"/>
  <c r="M2977" i="1"/>
  <c r="M2978" i="1"/>
  <c r="N2978" i="1" s="1"/>
  <c r="M2979" i="1"/>
  <c r="N2979" i="1" s="1"/>
  <c r="M2980" i="1"/>
  <c r="N2980" i="1" s="1"/>
  <c r="M2981" i="1"/>
  <c r="N2981" i="1" s="1"/>
  <c r="M2982" i="1"/>
  <c r="N2982" i="1" s="1"/>
  <c r="M2983" i="1"/>
  <c r="N2983" i="1" s="1"/>
  <c r="M2984" i="1"/>
  <c r="N2984" i="1" s="1"/>
  <c r="M2985" i="1"/>
  <c r="M2986" i="1"/>
  <c r="N2986" i="1" s="1"/>
  <c r="M2987" i="1"/>
  <c r="N2987" i="1" s="1"/>
  <c r="M2988" i="1"/>
  <c r="N2988" i="1" s="1"/>
  <c r="M2989" i="1"/>
  <c r="N2989" i="1" s="1"/>
  <c r="M2990" i="1"/>
  <c r="N2990" i="1" s="1"/>
  <c r="M2991" i="1"/>
  <c r="N2991" i="1" s="1"/>
  <c r="M2992" i="1"/>
  <c r="N2992" i="1" s="1"/>
  <c r="M2993" i="1"/>
  <c r="M2994" i="1"/>
  <c r="N2994" i="1" s="1"/>
  <c r="M2995" i="1"/>
  <c r="N2995" i="1" s="1"/>
  <c r="M2996" i="1"/>
  <c r="N2996" i="1" s="1"/>
  <c r="M2997" i="1"/>
  <c r="N2997" i="1" s="1"/>
  <c r="M2998" i="1"/>
  <c r="N2998" i="1" s="1"/>
  <c r="M2999" i="1"/>
  <c r="N2999" i="1" s="1"/>
  <c r="M3000" i="1"/>
  <c r="N3000" i="1" s="1"/>
  <c r="M300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8" i="1"/>
  <c r="O1539" i="1"/>
  <c r="O1540" i="1"/>
  <c r="O1541" i="1"/>
  <c r="O1543" i="1"/>
  <c r="O1546" i="1"/>
  <c r="O1547" i="1"/>
  <c r="O1548" i="1"/>
  <c r="O1549" i="1"/>
  <c r="O1551" i="1"/>
  <c r="O1554" i="1"/>
  <c r="O1555" i="1"/>
  <c r="O1556" i="1"/>
  <c r="O1557" i="1"/>
  <c r="O1559" i="1"/>
  <c r="O1562" i="1"/>
  <c r="O1563" i="1"/>
  <c r="O1564" i="1"/>
  <c r="O1565" i="1"/>
  <c r="O1567" i="1"/>
  <c r="O1570" i="1"/>
  <c r="O1571" i="1"/>
  <c r="O1572" i="1"/>
  <c r="O1573" i="1"/>
  <c r="O1575" i="1"/>
  <c r="O1578" i="1"/>
  <c r="O1579" i="1"/>
  <c r="O1580" i="1"/>
  <c r="O1581" i="1"/>
  <c r="O1583" i="1"/>
  <c r="O1586" i="1"/>
  <c r="O1587" i="1"/>
  <c r="O1588" i="1"/>
  <c r="O1589" i="1"/>
  <c r="O1591" i="1"/>
  <c r="O1594" i="1"/>
  <c r="O1595" i="1"/>
  <c r="O1596" i="1"/>
  <c r="O1597" i="1"/>
  <c r="O1599" i="1"/>
  <c r="O1602" i="1"/>
  <c r="O1603" i="1"/>
  <c r="O1604" i="1"/>
  <c r="O1605" i="1"/>
  <c r="O1607" i="1"/>
  <c r="O1610" i="1"/>
  <c r="O1611" i="1"/>
  <c r="O1612" i="1"/>
  <c r="O1613" i="1"/>
  <c r="O1615" i="1"/>
  <c r="O1618" i="1"/>
  <c r="O1619" i="1"/>
  <c r="O1620" i="1"/>
  <c r="O1621" i="1"/>
  <c r="O1623" i="1"/>
  <c r="O1626" i="1"/>
  <c r="O1627" i="1"/>
  <c r="O1628" i="1"/>
  <c r="O1629" i="1"/>
  <c r="O1631" i="1"/>
  <c r="O1634" i="1"/>
  <c r="O1635" i="1"/>
  <c r="O1636" i="1"/>
  <c r="O1637" i="1"/>
  <c r="O1639" i="1"/>
  <c r="O1642" i="1"/>
  <c r="O1643" i="1"/>
  <c r="O1644" i="1"/>
  <c r="O1645" i="1"/>
  <c r="O1647" i="1"/>
  <c r="O1650" i="1"/>
  <c r="O1651" i="1"/>
  <c r="O1652" i="1"/>
  <c r="O1653" i="1"/>
  <c r="O1655" i="1"/>
  <c r="O1658" i="1"/>
  <c r="O1659" i="1"/>
  <c r="O1660" i="1"/>
  <c r="O1661" i="1"/>
  <c r="O1663" i="1"/>
  <c r="O1666" i="1"/>
  <c r="O1667" i="1"/>
  <c r="O1668" i="1"/>
  <c r="O1669" i="1"/>
  <c r="O1671" i="1"/>
  <c r="O1674" i="1"/>
  <c r="O1675" i="1"/>
  <c r="O1676" i="1"/>
  <c r="O1677" i="1"/>
  <c r="O1679" i="1"/>
  <c r="O1682" i="1"/>
  <c r="O1683" i="1"/>
  <c r="O1684" i="1"/>
  <c r="O1685" i="1"/>
  <c r="O1687" i="1"/>
  <c r="O1690" i="1"/>
  <c r="O1692" i="1"/>
  <c r="O1693" i="1"/>
  <c r="O1695" i="1"/>
  <c r="O1696" i="1"/>
  <c r="O1698" i="1"/>
  <c r="O1699" i="1"/>
  <c r="O1700" i="1"/>
  <c r="O1701" i="1"/>
  <c r="O1703" i="1"/>
  <c r="O1706" i="1"/>
  <c r="O1707" i="1"/>
  <c r="O1708" i="1"/>
  <c r="O1709" i="1"/>
  <c r="O1711" i="1"/>
  <c r="O1714" i="1"/>
  <c r="O1716" i="1"/>
  <c r="O1717" i="1"/>
  <c r="O1719" i="1"/>
  <c r="O1722" i="1"/>
  <c r="O1724" i="1"/>
  <c r="O1725" i="1"/>
  <c r="O1727" i="1"/>
  <c r="O1730" i="1"/>
  <c r="O1731" i="1"/>
  <c r="O1732" i="1"/>
  <c r="O1733" i="1"/>
  <c r="O1735" i="1"/>
  <c r="O1738" i="1"/>
  <c r="O1740" i="1"/>
  <c r="O1741" i="1"/>
  <c r="O1743" i="1"/>
  <c r="O1746" i="1"/>
  <c r="O1748" i="1"/>
  <c r="O1749" i="1"/>
  <c r="O1751" i="1"/>
  <c r="O1754" i="1"/>
  <c r="O1756" i="1"/>
  <c r="O1757" i="1"/>
  <c r="O1759" i="1"/>
  <c r="O1762" i="1"/>
  <c r="O1765" i="1"/>
  <c r="O1767" i="1"/>
  <c r="O1770" i="1"/>
  <c r="O1772" i="1"/>
  <c r="O1773" i="1"/>
  <c r="O1775" i="1"/>
  <c r="O1778" i="1"/>
  <c r="O1780" i="1"/>
  <c r="O1781" i="1"/>
  <c r="O1783" i="1"/>
  <c r="O1786" i="1"/>
  <c r="O1788" i="1"/>
  <c r="O1789" i="1"/>
  <c r="O1790" i="1"/>
  <c r="O1791" i="1"/>
  <c r="O1794" i="1"/>
  <c r="O1796" i="1"/>
  <c r="O1797" i="1"/>
  <c r="O1799" i="1"/>
  <c r="O1802" i="1"/>
  <c r="O1804" i="1"/>
  <c r="O1805" i="1"/>
  <c r="O1807" i="1"/>
  <c r="O1810" i="1"/>
  <c r="O1812" i="1"/>
  <c r="O1813" i="1"/>
  <c r="O1815" i="1"/>
  <c r="O1818" i="1"/>
  <c r="O1820" i="1"/>
  <c r="O1821" i="1"/>
  <c r="O1823" i="1"/>
  <c r="O1826" i="1"/>
  <c r="O1828" i="1"/>
  <c r="O1829" i="1"/>
  <c r="O1831" i="1"/>
  <c r="O1834" i="1"/>
  <c r="O1836" i="1"/>
  <c r="O1837" i="1"/>
  <c r="O1839" i="1"/>
  <c r="O1842" i="1"/>
  <c r="O1844" i="1"/>
  <c r="O1845" i="1"/>
  <c r="O1847" i="1"/>
  <c r="O1850" i="1"/>
  <c r="O1852" i="1"/>
  <c r="O1853" i="1"/>
  <c r="O1854" i="1"/>
  <c r="O1855" i="1"/>
  <c r="O1858" i="1"/>
  <c r="O1860" i="1"/>
  <c r="O1861" i="1"/>
  <c r="O1863" i="1"/>
  <c r="O1866" i="1"/>
  <c r="O1868" i="1"/>
  <c r="O1869" i="1"/>
  <c r="O1871" i="1"/>
  <c r="O1872" i="1"/>
  <c r="O1874" i="1"/>
  <c r="O1876" i="1"/>
  <c r="O1877" i="1"/>
  <c r="O1879" i="1"/>
  <c r="O1882" i="1"/>
  <c r="O1884" i="1"/>
  <c r="O1885" i="1"/>
  <c r="O1886" i="1"/>
  <c r="O1887" i="1"/>
  <c r="O1890" i="1"/>
  <c r="O1892" i="1"/>
  <c r="O1893" i="1"/>
  <c r="O1895" i="1"/>
  <c r="O1898" i="1"/>
  <c r="O1900" i="1"/>
  <c r="O1901" i="1"/>
  <c r="O1903" i="1"/>
  <c r="O1906" i="1"/>
  <c r="O1908" i="1"/>
  <c r="O1909" i="1"/>
  <c r="O1911" i="1"/>
  <c r="O1914" i="1"/>
  <c r="O1916" i="1"/>
  <c r="O1917" i="1"/>
  <c r="O1919" i="1"/>
  <c r="O1922" i="1"/>
  <c r="O1924" i="1"/>
  <c r="O1925" i="1"/>
  <c r="O1927" i="1"/>
  <c r="O1930" i="1"/>
  <c r="O1932" i="1"/>
  <c r="O1933" i="1"/>
  <c r="O1935" i="1"/>
  <c r="O1938" i="1"/>
  <c r="O1940" i="1"/>
  <c r="O1941" i="1"/>
  <c r="O1943" i="1"/>
  <c r="O1944" i="1"/>
  <c r="O1946" i="1"/>
  <c r="O1948" i="1"/>
  <c r="O1949" i="1"/>
  <c r="O1951" i="1"/>
  <c r="O1954" i="1"/>
  <c r="O1956" i="1"/>
  <c r="O1957" i="1"/>
  <c r="O1959" i="1"/>
  <c r="O1962" i="1"/>
  <c r="O1964" i="1"/>
  <c r="O1965" i="1"/>
  <c r="O1967" i="1"/>
  <c r="O1970" i="1"/>
  <c r="O1972" i="1"/>
  <c r="O1973" i="1"/>
  <c r="O1975" i="1"/>
  <c r="O1978" i="1"/>
  <c r="O1980" i="1"/>
  <c r="O1981" i="1"/>
  <c r="O1983" i="1"/>
  <c r="O1986" i="1"/>
  <c r="O1988" i="1"/>
  <c r="O1989" i="1"/>
  <c r="O1991" i="1"/>
  <c r="O1994" i="1"/>
  <c r="O1996" i="1"/>
  <c r="O1997" i="1"/>
  <c r="O1999" i="1"/>
  <c r="O2002" i="1"/>
  <c r="O2004" i="1"/>
  <c r="O2005" i="1"/>
  <c r="O2007" i="1"/>
  <c r="O2010" i="1"/>
  <c r="O2012" i="1"/>
  <c r="O2013" i="1"/>
  <c r="O2014" i="1"/>
  <c r="O2015" i="1"/>
  <c r="O2018" i="1"/>
  <c r="O2020" i="1"/>
  <c r="O2021" i="1"/>
  <c r="O2023" i="1"/>
  <c r="O2026" i="1"/>
  <c r="O2028" i="1"/>
  <c r="O2029" i="1"/>
  <c r="O2031" i="1"/>
  <c r="O2034" i="1"/>
  <c r="O2036" i="1"/>
  <c r="O2037" i="1"/>
  <c r="O2039" i="1"/>
  <c r="O2042" i="1"/>
  <c r="O2044" i="1"/>
  <c r="O2045" i="1"/>
  <c r="O2046" i="1"/>
  <c r="O2047" i="1"/>
  <c r="O2050" i="1"/>
  <c r="O2052" i="1"/>
  <c r="O2053" i="1"/>
  <c r="O2055" i="1"/>
  <c r="O2058" i="1"/>
  <c r="O2060" i="1"/>
  <c r="O2061" i="1"/>
  <c r="O2063" i="1"/>
  <c r="O2066" i="1"/>
  <c r="O2068" i="1"/>
  <c r="O2069" i="1"/>
  <c r="O2071" i="1"/>
  <c r="O2074" i="1"/>
  <c r="O2076" i="1"/>
  <c r="O2077" i="1"/>
  <c r="O2079" i="1"/>
  <c r="O2082" i="1"/>
  <c r="O2084" i="1"/>
  <c r="O2085" i="1"/>
  <c r="O2087" i="1"/>
  <c r="O2090" i="1"/>
  <c r="O2092" i="1"/>
  <c r="O2093" i="1"/>
  <c r="O2095" i="1"/>
  <c r="O2098" i="1"/>
  <c r="O2100" i="1"/>
  <c r="O2101" i="1"/>
  <c r="O2103" i="1"/>
  <c r="O2106" i="1"/>
  <c r="O2108" i="1"/>
  <c r="O2109" i="1"/>
  <c r="O2110" i="1"/>
  <c r="O2111" i="1"/>
  <c r="O2114" i="1"/>
  <c r="O2116" i="1"/>
  <c r="O2117" i="1"/>
  <c r="O2119" i="1"/>
  <c r="O2122" i="1"/>
  <c r="O2124" i="1"/>
  <c r="O2125" i="1"/>
  <c r="O2127" i="1"/>
  <c r="O2128" i="1"/>
  <c r="O2130" i="1"/>
  <c r="O2132" i="1"/>
  <c r="O2133" i="1"/>
  <c r="O2135" i="1"/>
  <c r="O2138" i="1"/>
  <c r="O2140" i="1"/>
  <c r="O2141" i="1"/>
  <c r="O2142" i="1"/>
  <c r="O2143" i="1"/>
  <c r="O2146" i="1"/>
  <c r="O2148" i="1"/>
  <c r="O2149" i="1"/>
  <c r="O2151" i="1"/>
  <c r="O2154" i="1"/>
  <c r="O2156" i="1"/>
  <c r="O2157" i="1"/>
  <c r="O2159" i="1"/>
  <c r="O2162" i="1"/>
  <c r="O2164" i="1"/>
  <c r="O2165" i="1"/>
  <c r="O2167" i="1"/>
  <c r="O2170" i="1"/>
  <c r="O2172" i="1"/>
  <c r="O2173" i="1"/>
  <c r="O2175" i="1"/>
  <c r="O2178" i="1"/>
  <c r="O2180" i="1"/>
  <c r="O2181" i="1"/>
  <c r="O2183" i="1"/>
  <c r="O2186" i="1"/>
  <c r="O2188" i="1"/>
  <c r="O2189" i="1"/>
  <c r="O2191" i="1"/>
  <c r="O2194" i="1"/>
  <c r="O2196" i="1"/>
  <c r="O2197" i="1"/>
  <c r="O2199" i="1"/>
  <c r="O2200" i="1"/>
  <c r="O2202" i="1"/>
  <c r="O2204" i="1"/>
  <c r="O2205" i="1"/>
  <c r="O2207" i="1"/>
  <c r="O2210" i="1"/>
  <c r="O2212" i="1"/>
  <c r="O2213" i="1"/>
  <c r="O2215" i="1"/>
  <c r="O2218" i="1"/>
  <c r="O2220" i="1"/>
  <c r="O2221" i="1"/>
  <c r="O2223" i="1"/>
  <c r="O2226" i="1"/>
  <c r="O2228" i="1"/>
  <c r="O2229" i="1"/>
  <c r="O2231" i="1"/>
  <c r="O2234" i="1"/>
  <c r="O2236" i="1"/>
  <c r="O2237" i="1"/>
  <c r="O2239" i="1"/>
  <c r="O2242" i="1"/>
  <c r="O2244" i="1"/>
  <c r="O2245" i="1"/>
  <c r="O2247" i="1"/>
  <c r="O2250" i="1"/>
  <c r="O2252" i="1"/>
  <c r="O2253" i="1"/>
  <c r="O2255" i="1"/>
  <c r="O2258" i="1"/>
  <c r="O2260" i="1"/>
  <c r="O2261" i="1"/>
  <c r="O2263" i="1"/>
  <c r="O2266" i="1"/>
  <c r="O2268" i="1"/>
  <c r="O2269" i="1"/>
  <c r="O2270" i="1"/>
  <c r="O2271" i="1"/>
  <c r="O2274" i="1"/>
  <c r="O2276" i="1"/>
  <c r="O2277" i="1"/>
  <c r="O2279" i="1"/>
  <c r="O2282" i="1"/>
  <c r="O2284" i="1"/>
  <c r="O2285" i="1"/>
  <c r="O2287" i="1"/>
  <c r="O2290" i="1"/>
  <c r="O2292" i="1"/>
  <c r="O2293" i="1"/>
  <c r="O2295" i="1"/>
  <c r="O2296" i="1"/>
  <c r="O2298" i="1"/>
  <c r="O2299" i="1"/>
  <c r="O2300" i="1"/>
  <c r="O2301" i="1"/>
  <c r="O2303" i="1"/>
  <c r="O2306" i="1"/>
  <c r="O2308" i="1"/>
  <c r="O2309" i="1"/>
  <c r="O2311" i="1"/>
  <c r="O2314" i="1"/>
  <c r="O2316" i="1"/>
  <c r="O2317" i="1"/>
  <c r="O2319" i="1"/>
  <c r="O2320" i="1"/>
  <c r="O2322" i="1"/>
  <c r="O2324" i="1"/>
  <c r="O2325" i="1"/>
  <c r="O2327" i="1"/>
  <c r="O2330" i="1"/>
  <c r="O2332" i="1"/>
  <c r="O2333" i="1"/>
  <c r="O2335" i="1"/>
  <c r="O2338" i="1"/>
  <c r="O2340" i="1"/>
  <c r="O2341" i="1"/>
  <c r="O2343" i="1"/>
  <c r="O2346" i="1"/>
  <c r="O2348" i="1"/>
  <c r="O2349" i="1"/>
  <c r="O2351" i="1"/>
  <c r="O2354" i="1"/>
  <c r="O2356" i="1"/>
  <c r="O2357" i="1"/>
  <c r="O2359" i="1"/>
  <c r="O2362" i="1"/>
  <c r="O2364" i="1"/>
  <c r="O2365" i="1"/>
  <c r="O2367" i="1"/>
  <c r="O2370" i="1"/>
  <c r="O2372" i="1"/>
  <c r="O2373" i="1"/>
  <c r="O2375" i="1"/>
  <c r="O2378" i="1"/>
  <c r="O2380" i="1"/>
  <c r="O2381" i="1"/>
  <c r="O2383" i="1"/>
  <c r="O2386" i="1"/>
  <c r="O2388" i="1"/>
  <c r="O2389" i="1"/>
  <c r="O2391" i="1"/>
  <c r="O2392" i="1"/>
  <c r="O2394" i="1"/>
  <c r="O2396" i="1"/>
  <c r="O2397" i="1"/>
  <c r="O2399" i="1"/>
  <c r="O2402" i="1"/>
  <c r="O2404" i="1"/>
  <c r="O2405" i="1"/>
  <c r="O2406" i="1"/>
  <c r="O2407" i="1"/>
  <c r="O2410" i="1"/>
  <c r="O2412" i="1"/>
  <c r="O2413" i="1"/>
  <c r="O2415" i="1"/>
  <c r="O2418" i="1"/>
  <c r="O2420" i="1"/>
  <c r="O2421" i="1"/>
  <c r="O2423" i="1"/>
  <c r="O2426" i="1"/>
  <c r="O2428" i="1"/>
  <c r="O2429" i="1"/>
  <c r="O2431" i="1"/>
  <c r="O2434" i="1"/>
  <c r="O2436" i="1"/>
  <c r="O2437" i="1"/>
  <c r="O2438" i="1"/>
  <c r="O2439" i="1"/>
  <c r="O2442" i="1"/>
  <c r="O2444" i="1"/>
  <c r="O2445" i="1"/>
  <c r="O2447" i="1"/>
  <c r="O2450" i="1"/>
  <c r="O2452" i="1"/>
  <c r="O2453" i="1"/>
  <c r="O2455" i="1"/>
  <c r="O2458" i="1"/>
  <c r="O2460" i="1"/>
  <c r="O2461" i="1"/>
  <c r="O2463" i="1"/>
  <c r="O2466" i="1"/>
  <c r="O2468" i="1"/>
  <c r="O2469" i="1"/>
  <c r="O2471" i="1"/>
  <c r="O2474" i="1"/>
  <c r="O2476" i="1"/>
  <c r="O2477" i="1"/>
  <c r="O2479" i="1"/>
  <c r="O2482" i="1"/>
  <c r="O2484" i="1"/>
  <c r="O2485" i="1"/>
  <c r="O2487" i="1"/>
  <c r="O2490" i="1"/>
  <c r="O2492" i="1"/>
  <c r="O2493" i="1"/>
  <c r="O2495" i="1"/>
  <c r="O2498" i="1"/>
  <c r="O2500" i="1"/>
  <c r="O2501" i="1"/>
  <c r="O2502" i="1"/>
  <c r="O2503" i="1"/>
  <c r="O2506" i="1"/>
  <c r="O2508" i="1"/>
  <c r="O2509" i="1"/>
  <c r="O2511" i="1"/>
  <c r="O2514" i="1"/>
  <c r="O2516" i="1"/>
  <c r="O2517" i="1"/>
  <c r="O2519" i="1"/>
  <c r="O2522" i="1"/>
  <c r="O2524" i="1"/>
  <c r="O2525" i="1"/>
  <c r="O2527" i="1"/>
  <c r="O2530" i="1"/>
  <c r="O2532" i="1"/>
  <c r="O2533" i="1"/>
  <c r="O2534" i="1"/>
  <c r="O2535" i="1"/>
  <c r="O2538" i="1"/>
  <c r="O2540" i="1"/>
  <c r="O2541" i="1"/>
  <c r="O2543" i="1"/>
  <c r="O2546" i="1"/>
  <c r="O2548" i="1"/>
  <c r="O2549" i="1"/>
  <c r="O2551" i="1"/>
  <c r="O2554" i="1"/>
  <c r="O2556" i="1"/>
  <c r="O2557" i="1"/>
  <c r="O2559" i="1"/>
  <c r="O2562" i="1"/>
  <c r="O2564" i="1"/>
  <c r="O2565" i="1"/>
  <c r="O2567" i="1"/>
  <c r="O2570" i="1"/>
  <c r="O2572" i="1"/>
  <c r="O2573" i="1"/>
  <c r="O2575" i="1"/>
  <c r="O2576" i="1"/>
  <c r="O2578" i="1"/>
  <c r="O2580" i="1"/>
  <c r="O2581" i="1"/>
  <c r="O2583" i="1"/>
  <c r="O2586" i="1"/>
  <c r="O2588" i="1"/>
  <c r="O2589" i="1"/>
  <c r="O2591" i="1"/>
  <c r="O2594" i="1"/>
  <c r="O2596" i="1"/>
  <c r="O2597" i="1"/>
  <c r="O2599" i="1"/>
  <c r="O2602" i="1"/>
  <c r="O2604" i="1"/>
  <c r="O2605" i="1"/>
  <c r="O2607" i="1"/>
  <c r="O2610" i="1"/>
  <c r="O2612" i="1"/>
  <c r="O2613" i="1"/>
  <c r="O2615" i="1"/>
  <c r="O2618" i="1"/>
  <c r="O2620" i="1"/>
  <c r="O2621" i="1"/>
  <c r="O2623" i="1"/>
  <c r="O2626" i="1"/>
  <c r="O2628" i="1"/>
  <c r="O2629" i="1"/>
  <c r="O2631" i="1"/>
  <c r="O2634" i="1"/>
  <c r="O2636" i="1"/>
  <c r="O2637" i="1"/>
  <c r="O2639" i="1"/>
  <c r="O2642" i="1"/>
  <c r="O2644" i="1"/>
  <c r="O2645" i="1"/>
  <c r="O2647" i="1"/>
  <c r="O2648" i="1"/>
  <c r="O2650" i="1"/>
  <c r="O2652" i="1"/>
  <c r="O2653" i="1"/>
  <c r="O2655" i="1"/>
  <c r="O2658" i="1"/>
  <c r="O2660" i="1"/>
  <c r="O2661" i="1"/>
  <c r="O2662" i="1"/>
  <c r="O2663" i="1"/>
  <c r="O2666" i="1"/>
  <c r="O2668" i="1"/>
  <c r="O2669" i="1"/>
  <c r="O2671" i="1"/>
  <c r="O2674" i="1"/>
  <c r="O2676" i="1"/>
  <c r="O2677" i="1"/>
  <c r="O2679" i="1"/>
  <c r="O2682" i="1"/>
  <c r="O2684" i="1"/>
  <c r="O2685" i="1"/>
  <c r="O2690" i="1"/>
  <c r="O2692" i="1"/>
  <c r="O2693" i="1"/>
  <c r="O2694" i="1"/>
  <c r="O2698" i="1"/>
  <c r="O2700" i="1"/>
  <c r="O2701" i="1"/>
  <c r="O2703" i="1"/>
  <c r="O2706" i="1"/>
  <c r="O2708" i="1"/>
  <c r="O2709" i="1"/>
  <c r="O2711" i="1"/>
  <c r="O2714" i="1"/>
  <c r="O2716" i="1"/>
  <c r="O2717" i="1"/>
  <c r="O2722" i="1"/>
  <c r="O2724" i="1"/>
  <c r="O2725" i="1"/>
  <c r="O2727" i="1"/>
  <c r="O2730" i="1"/>
  <c r="O2732" i="1"/>
  <c r="O2733" i="1"/>
  <c r="O2734" i="1"/>
  <c r="O2735" i="1"/>
  <c r="O2738" i="1"/>
  <c r="O2740" i="1"/>
  <c r="O2741" i="1"/>
  <c r="O2746" i="1"/>
  <c r="O2748" i="1"/>
  <c r="O2749" i="1"/>
  <c r="O2751" i="1"/>
  <c r="O2754" i="1"/>
  <c r="O2756" i="1"/>
  <c r="O2757" i="1"/>
  <c r="O2762" i="1"/>
  <c r="O2763" i="1"/>
  <c r="O2764" i="1"/>
  <c r="O2765" i="1"/>
  <c r="O2770" i="1"/>
  <c r="O2772" i="1"/>
  <c r="O2773" i="1"/>
  <c r="O2778" i="1"/>
  <c r="O2780" i="1"/>
  <c r="O2781" i="1"/>
  <c r="O2783" i="1"/>
  <c r="O2786" i="1"/>
  <c r="O2788" i="1"/>
  <c r="O2789" i="1"/>
  <c r="O2794" i="1"/>
  <c r="O2796" i="1"/>
  <c r="O2797" i="1"/>
  <c r="O2802" i="1"/>
  <c r="O2804" i="1"/>
  <c r="O2805" i="1"/>
  <c r="O2806" i="1"/>
  <c r="O2807" i="1"/>
  <c r="O2810" i="1"/>
  <c r="O2812" i="1"/>
  <c r="O2813" i="1"/>
  <c r="O2816" i="1"/>
  <c r="O2818" i="1"/>
  <c r="O2820" i="1"/>
  <c r="O2821" i="1"/>
  <c r="O2826" i="1"/>
  <c r="O2828" i="1"/>
  <c r="O2829" i="1"/>
  <c r="O2831" i="1"/>
  <c r="O2834" i="1"/>
  <c r="O2836" i="1"/>
  <c r="O2837" i="1"/>
  <c r="O2842" i="1"/>
  <c r="O2844" i="1"/>
  <c r="O2845" i="1"/>
  <c r="O2850" i="1"/>
  <c r="O2852" i="1"/>
  <c r="O2853" i="1"/>
  <c r="O2855" i="1"/>
  <c r="O2858" i="1"/>
  <c r="O2860" i="1"/>
  <c r="O2861" i="1"/>
  <c r="O2866" i="1"/>
  <c r="O2868" i="1"/>
  <c r="O2869" i="1"/>
  <c r="O2874" i="1"/>
  <c r="O2876" i="1"/>
  <c r="O2877" i="1"/>
  <c r="O2879" i="1"/>
  <c r="O2882" i="1"/>
  <c r="O2884" i="1"/>
  <c r="O2885" i="1"/>
  <c r="O2890" i="1"/>
  <c r="O2892" i="1"/>
  <c r="O2893" i="1"/>
  <c r="O2898" i="1"/>
  <c r="O2900" i="1"/>
  <c r="O2901" i="1"/>
  <c r="O2906" i="1"/>
  <c r="O2908" i="1"/>
  <c r="O2909" i="1"/>
  <c r="O2911" i="1"/>
  <c r="O2914" i="1"/>
  <c r="O2916" i="1"/>
  <c r="O2917" i="1"/>
  <c r="O2922" i="1"/>
  <c r="O2924" i="1"/>
  <c r="O2925" i="1"/>
  <c r="O2930" i="1"/>
  <c r="O2932" i="1"/>
  <c r="O2933" i="1"/>
  <c r="O2935" i="1"/>
  <c r="O2938" i="1"/>
  <c r="O2940" i="1"/>
  <c r="O2941" i="1"/>
  <c r="O2946" i="1"/>
  <c r="O2948" i="1"/>
  <c r="O2949" i="1"/>
  <c r="O2950" i="1"/>
  <c r="O2954" i="1"/>
  <c r="O2955" i="1"/>
  <c r="O2956" i="1"/>
  <c r="O2957" i="1"/>
  <c r="O2959" i="1"/>
  <c r="O2962" i="1"/>
  <c r="O2963" i="1"/>
  <c r="O2964" i="1"/>
  <c r="O2965" i="1"/>
  <c r="O2970" i="1"/>
  <c r="O2972" i="1"/>
  <c r="O2973" i="1"/>
  <c r="O2978" i="1"/>
  <c r="O2980" i="1"/>
  <c r="O2981" i="1"/>
  <c r="O2983" i="1"/>
  <c r="O2986" i="1"/>
  <c r="O2988" i="1"/>
  <c r="O2989" i="1"/>
  <c r="O2994" i="1"/>
  <c r="O2996" i="1"/>
  <c r="O2997" i="1"/>
  <c r="O2990" i="1" l="1"/>
  <c r="O2976" i="1"/>
  <c r="O2896" i="1"/>
  <c r="O2878" i="1"/>
  <c r="O2846" i="1"/>
  <c r="O2688" i="1"/>
  <c r="O2672" i="1"/>
  <c r="O2630" i="1"/>
  <c r="O2416" i="1"/>
  <c r="O2374" i="1"/>
  <c r="O2238" i="1"/>
  <c r="O2224" i="1"/>
  <c r="O1982" i="1"/>
  <c r="O1968" i="1"/>
  <c r="O1755" i="1"/>
  <c r="O1632" i="1"/>
  <c r="O1728" i="1"/>
  <c r="O2827" i="1"/>
  <c r="O2776" i="1"/>
  <c r="O2699" i="1"/>
  <c r="O2470" i="1"/>
  <c r="O2440" i="1"/>
  <c r="O2291" i="1"/>
  <c r="O2248" i="1"/>
  <c r="O2206" i="1"/>
  <c r="O1992" i="1"/>
  <c r="O1950" i="1"/>
  <c r="O1763" i="1"/>
  <c r="O1739" i="1"/>
  <c r="O1715" i="1"/>
  <c r="O1691" i="1"/>
  <c r="O1568" i="1"/>
  <c r="O2344" i="1"/>
  <c r="O2856" i="1"/>
  <c r="O2774" i="1"/>
  <c r="O2598" i="1"/>
  <c r="O2528" i="1"/>
  <c r="O2342" i="1"/>
  <c r="O2176" i="1"/>
  <c r="O2078" i="1"/>
  <c r="O1920" i="1"/>
  <c r="O1822" i="1"/>
  <c r="O1664" i="1"/>
  <c r="O2152" i="1"/>
  <c r="O1896" i="1"/>
  <c r="O2872" i="1"/>
  <c r="O2624" i="1"/>
  <c r="O2368" i="1"/>
  <c r="O2016" i="1"/>
  <c r="O2600" i="1"/>
  <c r="O2272" i="1"/>
  <c r="O1760" i="1"/>
  <c r="O2952" i="1"/>
  <c r="O2936" i="1"/>
  <c r="O2918" i="1"/>
  <c r="O2736" i="1"/>
  <c r="O2707" i="1"/>
  <c r="O2566" i="1"/>
  <c r="O2552" i="1"/>
  <c r="O2310" i="1"/>
  <c r="O2174" i="1"/>
  <c r="O2104" i="1"/>
  <c r="O1918" i="1"/>
  <c r="O1848" i="1"/>
  <c r="O1747" i="1"/>
  <c r="O1723" i="1"/>
  <c r="O1600" i="1"/>
  <c r="O2960" i="1"/>
  <c r="O2920" i="1"/>
  <c r="O2880" i="1"/>
  <c r="O2840" i="1"/>
  <c r="O2536" i="1"/>
  <c r="O2512" i="1"/>
  <c r="O2488" i="1"/>
  <c r="O2464" i="1"/>
  <c r="O2112" i="1"/>
  <c r="O2088" i="1"/>
  <c r="O2064" i="1"/>
  <c r="O2040" i="1"/>
  <c r="O1856" i="1"/>
  <c r="O1832" i="1"/>
  <c r="O1808" i="1"/>
  <c r="O1784" i="1"/>
  <c r="O2800" i="1"/>
  <c r="O2760" i="1"/>
  <c r="O2696" i="1"/>
  <c r="O2608" i="1"/>
  <c r="O2584" i="1"/>
  <c r="O2560" i="1"/>
  <c r="O2136" i="1"/>
  <c r="O1928" i="1"/>
  <c r="O1904" i="1"/>
  <c r="O1704" i="1"/>
  <c r="O3000" i="1"/>
  <c r="O2632" i="1"/>
  <c r="O2352" i="1"/>
  <c r="O2328" i="1"/>
  <c r="O2304" i="1"/>
  <c r="O2208" i="1"/>
  <c r="O2184" i="1"/>
  <c r="O1952" i="1"/>
  <c r="O1736" i="1"/>
  <c r="O1640" i="1"/>
  <c r="O1544" i="1"/>
  <c r="O2984" i="1"/>
  <c r="O2904" i="1"/>
  <c r="O2891" i="1"/>
  <c r="O2864" i="1"/>
  <c r="O2771" i="1"/>
  <c r="O2744" i="1"/>
  <c r="O2680" i="1"/>
  <c r="O2656" i="1"/>
  <c r="O2472" i="1"/>
  <c r="O2448" i="1"/>
  <c r="O2424" i="1"/>
  <c r="O2400" i="1"/>
  <c r="O2280" i="1"/>
  <c r="O2256" i="1"/>
  <c r="O2232" i="1"/>
  <c r="O2048" i="1"/>
  <c r="O2024" i="1"/>
  <c r="O2000" i="1"/>
  <c r="O1976" i="1"/>
  <c r="O1792" i="1"/>
  <c r="O1768" i="1"/>
  <c r="O2784" i="1"/>
  <c r="O2720" i="1"/>
  <c r="O2376" i="1"/>
  <c r="O2160" i="1"/>
  <c r="O1880" i="1"/>
  <c r="O1672" i="1"/>
  <c r="O1608" i="1"/>
  <c r="O1576" i="1"/>
  <c r="O2968" i="1"/>
  <c r="O2944" i="1"/>
  <c r="O2848" i="1"/>
  <c r="O2835" i="1"/>
  <c r="O2824" i="1"/>
  <c r="O2808" i="1"/>
  <c r="O2704" i="1"/>
  <c r="O2568" i="1"/>
  <c r="O2544" i="1"/>
  <c r="O2520" i="1"/>
  <c r="O2496" i="1"/>
  <c r="O2312" i="1"/>
  <c r="O2144" i="1"/>
  <c r="O2120" i="1"/>
  <c r="O2096" i="1"/>
  <c r="O2072" i="1"/>
  <c r="O1888" i="1"/>
  <c r="O1864" i="1"/>
  <c r="O1840" i="1"/>
  <c r="O1816" i="1"/>
  <c r="O1744" i="1"/>
  <c r="O1712" i="1"/>
  <c r="O1680" i="1"/>
  <c r="O1648" i="1"/>
  <c r="O1616" i="1"/>
  <c r="O1584" i="1"/>
  <c r="O1552" i="1"/>
  <c r="O2888" i="1"/>
  <c r="O2664" i="1"/>
  <c r="O2616" i="1"/>
  <c r="O2408" i="1"/>
  <c r="O2360" i="1"/>
  <c r="O2240" i="1"/>
  <c r="O2192" i="1"/>
  <c r="O1984" i="1"/>
  <c r="O1936" i="1"/>
  <c r="O1912" i="1"/>
  <c r="O2928" i="1"/>
  <c r="O2768" i="1"/>
  <c r="O2728" i="1"/>
  <c r="O2640" i="1"/>
  <c r="O2592" i="1"/>
  <c r="O2384" i="1"/>
  <c r="O2336" i="1"/>
  <c r="O2216" i="1"/>
  <c r="O2168" i="1"/>
  <c r="O1960" i="1"/>
  <c r="O2992" i="1"/>
  <c r="O2912" i="1"/>
  <c r="O2899" i="1"/>
  <c r="O2832" i="1"/>
  <c r="O2792" i="1"/>
  <c r="O2752" i="1"/>
  <c r="O2712" i="1"/>
  <c r="O2504" i="1"/>
  <c r="O2480" i="1"/>
  <c r="O2456" i="1"/>
  <c r="O2432" i="1"/>
  <c r="O2288" i="1"/>
  <c r="O2264" i="1"/>
  <c r="O2080" i="1"/>
  <c r="O2056" i="1"/>
  <c r="O2032" i="1"/>
  <c r="O2008" i="1"/>
  <c r="O1824" i="1"/>
  <c r="O1800" i="1"/>
  <c r="O1776" i="1"/>
  <c r="O1752" i="1"/>
  <c r="O1720" i="1"/>
  <c r="O1688" i="1"/>
  <c r="O1656" i="1"/>
  <c r="O1624" i="1"/>
  <c r="O1592" i="1"/>
  <c r="O1560" i="1"/>
  <c r="O1609" i="1"/>
  <c r="O1721" i="1"/>
  <c r="O1545" i="1"/>
  <c r="O1657" i="1"/>
  <c r="O1737" i="1"/>
  <c r="O1593" i="1"/>
  <c r="O1673" i="1"/>
  <c r="O1729" i="1"/>
  <c r="O1665" i="1"/>
  <c r="O1601" i="1"/>
  <c r="O1745" i="1"/>
  <c r="O1681" i="1"/>
  <c r="O1617" i="1"/>
  <c r="O1553" i="1"/>
  <c r="O2839" i="1"/>
  <c r="O2815" i="1"/>
  <c r="O2791" i="1"/>
  <c r="O2687" i="1"/>
  <c r="O1753" i="1"/>
  <c r="O1689" i="1"/>
  <c r="O1625" i="1"/>
  <c r="O1561" i="1"/>
  <c r="O2991" i="1"/>
  <c r="O2919" i="1"/>
  <c r="O2847" i="1"/>
  <c r="O2767" i="1"/>
  <c r="O1761" i="1"/>
  <c r="O1697" i="1"/>
  <c r="O1633" i="1"/>
  <c r="O1569" i="1"/>
  <c r="O2887" i="1"/>
  <c r="O2943" i="1"/>
  <c r="O2895" i="1"/>
  <c r="O2743" i="1"/>
  <c r="O2719" i="1"/>
  <c r="O2999" i="1"/>
  <c r="O2975" i="1"/>
  <c r="O2871" i="1"/>
  <c r="O2775" i="1"/>
  <c r="O2695" i="1"/>
  <c r="O1705" i="1"/>
  <c r="O1641" i="1"/>
  <c r="O1577" i="1"/>
  <c r="O2967" i="1"/>
  <c r="O2863" i="1"/>
  <c r="O2759" i="1"/>
  <c r="O2951" i="1"/>
  <c r="O2927" i="1"/>
  <c r="O2903" i="1"/>
  <c r="O2823" i="1"/>
  <c r="O2799" i="1"/>
  <c r="O1713" i="1"/>
  <c r="O1649" i="1"/>
  <c r="O1585" i="1"/>
  <c r="O1758" i="1"/>
  <c r="O1750" i="1"/>
  <c r="O1742" i="1"/>
  <c r="O1734" i="1"/>
  <c r="O1726" i="1"/>
  <c r="O1718" i="1"/>
  <c r="O1710" i="1"/>
  <c r="O1702" i="1"/>
  <c r="O1694" i="1"/>
  <c r="O1686" i="1"/>
  <c r="O1678" i="1"/>
  <c r="O1670" i="1"/>
  <c r="O1662" i="1"/>
  <c r="O1654" i="1"/>
  <c r="O1646" i="1"/>
  <c r="O1638" i="1"/>
  <c r="O1630" i="1"/>
  <c r="O1622" i="1"/>
  <c r="O1614" i="1"/>
  <c r="O1606" i="1"/>
  <c r="O1598" i="1"/>
  <c r="O1590" i="1"/>
  <c r="O1582" i="1"/>
  <c r="O1574" i="1"/>
  <c r="O1566" i="1"/>
  <c r="O1558" i="1"/>
  <c r="O1550" i="1"/>
  <c r="O1542" i="1"/>
  <c r="O2998" i="1"/>
  <c r="O2966" i="1"/>
  <c r="O2926" i="1"/>
  <c r="O2886" i="1"/>
  <c r="O2854" i="1"/>
  <c r="O2814" i="1"/>
  <c r="O2782" i="1"/>
  <c r="O2742" i="1"/>
  <c r="O2710" i="1"/>
  <c r="O2670" i="1"/>
  <c r="O2638" i="1"/>
  <c r="O2606" i="1"/>
  <c r="O2574" i="1"/>
  <c r="O2542" i="1"/>
  <c r="O2510" i="1"/>
  <c r="O2478" i="1"/>
  <c r="O2446" i="1"/>
  <c r="O2414" i="1"/>
  <c r="O2382" i="1"/>
  <c r="O2350" i="1"/>
  <c r="O2318" i="1"/>
  <c r="O2278" i="1"/>
  <c r="O2246" i="1"/>
  <c r="O2214" i="1"/>
  <c r="O2182" i="1"/>
  <c r="O2150" i="1"/>
  <c r="O2118" i="1"/>
  <c r="O2086" i="1"/>
  <c r="O2054" i="1"/>
  <c r="O2022" i="1"/>
  <c r="O1990" i="1"/>
  <c r="O1958" i="1"/>
  <c r="O1926" i="1"/>
  <c r="O1894" i="1"/>
  <c r="O1862" i="1"/>
  <c r="O1830" i="1"/>
  <c r="O1798" i="1"/>
  <c r="O1766" i="1"/>
  <c r="O2958" i="1"/>
  <c r="O2702" i="1"/>
  <c r="O2894" i="1"/>
  <c r="O2974" i="1"/>
  <c r="O2934" i="1"/>
  <c r="O2902" i="1"/>
  <c r="O2582" i="1"/>
  <c r="O2518" i="1"/>
  <c r="O2390" i="1"/>
  <c r="O2286" i="1"/>
  <c r="O2254" i="1"/>
  <c r="O2222" i="1"/>
  <c r="O2190" i="1"/>
  <c r="O2158" i="1"/>
  <c r="O2126" i="1"/>
  <c r="O2094" i="1"/>
  <c r="O2062" i="1"/>
  <c r="O2030" i="1"/>
  <c r="O1998" i="1"/>
  <c r="O1966" i="1"/>
  <c r="O1934" i="1"/>
  <c r="O1902" i="1"/>
  <c r="O1870" i="1"/>
  <c r="O1838" i="1"/>
  <c r="O1806" i="1"/>
  <c r="O1774" i="1"/>
  <c r="O2862" i="1"/>
  <c r="O2822" i="1"/>
  <c r="O2790" i="1"/>
  <c r="O2750" i="1"/>
  <c r="O2718" i="1"/>
  <c r="O2678" i="1"/>
  <c r="O2646" i="1"/>
  <c r="O2614" i="1"/>
  <c r="O2550" i="1"/>
  <c r="O2486" i="1"/>
  <c r="O2454" i="1"/>
  <c r="O2422" i="1"/>
  <c r="O2358" i="1"/>
  <c r="O2326" i="1"/>
  <c r="O2830" i="1"/>
  <c r="O2294" i="1"/>
  <c r="O2982" i="1"/>
  <c r="O2942" i="1"/>
  <c r="O2910" i="1"/>
  <c r="O2870" i="1"/>
  <c r="O2838" i="1"/>
  <c r="O2798" i="1"/>
  <c r="O2758" i="1"/>
  <c r="O2726" i="1"/>
  <c r="O2686" i="1"/>
  <c r="O2654" i="1"/>
  <c r="O2622" i="1"/>
  <c r="O2590" i="1"/>
  <c r="O2558" i="1"/>
  <c r="O2526" i="1"/>
  <c r="O2494" i="1"/>
  <c r="O2462" i="1"/>
  <c r="O2430" i="1"/>
  <c r="O2398" i="1"/>
  <c r="O2366" i="1"/>
  <c r="O2334" i="1"/>
  <c r="O2302" i="1"/>
  <c r="O2262" i="1"/>
  <c r="O2230" i="1"/>
  <c r="O2198" i="1"/>
  <c r="O2166" i="1"/>
  <c r="O2134" i="1"/>
  <c r="O2102" i="1"/>
  <c r="O2070" i="1"/>
  <c r="O2038" i="1"/>
  <c r="O2006" i="1"/>
  <c r="O1974" i="1"/>
  <c r="O1942" i="1"/>
  <c r="O1910" i="1"/>
  <c r="O1878" i="1"/>
  <c r="O1846" i="1"/>
  <c r="O1814" i="1"/>
  <c r="O1782" i="1"/>
  <c r="O2766" i="1"/>
  <c r="N2587" i="1"/>
  <c r="O2587" i="1"/>
  <c r="N2539" i="1"/>
  <c r="O2539" i="1"/>
  <c r="N2499" i="1"/>
  <c r="O2499" i="1"/>
  <c r="N2435" i="1"/>
  <c r="O2435" i="1"/>
  <c r="N2323" i="1"/>
  <c r="O2323" i="1"/>
  <c r="N2275" i="1"/>
  <c r="O2275" i="1"/>
  <c r="N2195" i="1"/>
  <c r="O2195" i="1"/>
  <c r="N2179" i="1"/>
  <c r="O2179" i="1"/>
  <c r="N2155" i="1"/>
  <c r="O2155" i="1"/>
  <c r="N2147" i="1"/>
  <c r="O2147" i="1"/>
  <c r="N2139" i="1"/>
  <c r="O2139" i="1"/>
  <c r="N2131" i="1"/>
  <c r="O2131" i="1"/>
  <c r="N2123" i="1"/>
  <c r="O2123" i="1"/>
  <c r="N2115" i="1"/>
  <c r="O2115" i="1"/>
  <c r="N2107" i="1"/>
  <c r="O2107" i="1"/>
  <c r="N2099" i="1"/>
  <c r="O2099" i="1"/>
  <c r="N2091" i="1"/>
  <c r="O2091" i="1"/>
  <c r="N2083" i="1"/>
  <c r="O2083" i="1"/>
  <c r="N2075" i="1"/>
  <c r="O2075" i="1"/>
  <c r="N2067" i="1"/>
  <c r="O2067" i="1"/>
  <c r="N2059" i="1"/>
  <c r="O2059" i="1"/>
  <c r="N2051" i="1"/>
  <c r="O2051" i="1"/>
  <c r="N2043" i="1"/>
  <c r="O2043" i="1"/>
  <c r="N1995" i="1"/>
  <c r="O1995" i="1"/>
  <c r="N2627" i="1"/>
  <c r="O2627" i="1"/>
  <c r="N2547" i="1"/>
  <c r="O2547" i="1"/>
  <c r="N2491" i="1"/>
  <c r="O2491" i="1"/>
  <c r="N2443" i="1"/>
  <c r="O2443" i="1"/>
  <c r="N2315" i="1"/>
  <c r="O2315" i="1"/>
  <c r="N2259" i="1"/>
  <c r="O2259" i="1"/>
  <c r="N2003" i="1"/>
  <c r="O2003" i="1"/>
  <c r="O2971" i="1"/>
  <c r="O2907" i="1"/>
  <c r="N2643" i="1"/>
  <c r="O2643" i="1"/>
  <c r="N2595" i="1"/>
  <c r="O2595" i="1"/>
  <c r="N2563" i="1"/>
  <c r="O2563" i="1"/>
  <c r="N2515" i="1"/>
  <c r="O2515" i="1"/>
  <c r="N2459" i="1"/>
  <c r="O2459" i="1"/>
  <c r="N2419" i="1"/>
  <c r="O2419" i="1"/>
  <c r="N2267" i="1"/>
  <c r="O2267" i="1"/>
  <c r="N2035" i="1"/>
  <c r="O2035" i="1"/>
  <c r="O2307" i="1"/>
  <c r="O2979" i="1"/>
  <c r="O2915" i="1"/>
  <c r="O2851" i="1"/>
  <c r="O1537" i="1"/>
  <c r="N2993" i="1"/>
  <c r="O2993" i="1"/>
  <c r="N2969" i="1"/>
  <c r="O2969" i="1"/>
  <c r="N2953" i="1"/>
  <c r="O2953" i="1"/>
  <c r="N2929" i="1"/>
  <c r="O2929" i="1"/>
  <c r="N2905" i="1"/>
  <c r="O2905" i="1"/>
  <c r="N2881" i="1"/>
  <c r="O2881" i="1"/>
  <c r="N2865" i="1"/>
  <c r="O2865" i="1"/>
  <c r="N2841" i="1"/>
  <c r="O2841" i="1"/>
  <c r="N2817" i="1"/>
  <c r="O2817" i="1"/>
  <c r="N2801" i="1"/>
  <c r="O2801" i="1"/>
  <c r="N2777" i="1"/>
  <c r="O2777" i="1"/>
  <c r="N2753" i="1"/>
  <c r="O2753" i="1"/>
  <c r="N2729" i="1"/>
  <c r="O2729" i="1"/>
  <c r="N2697" i="1"/>
  <c r="O2697" i="1"/>
  <c r="N2673" i="1"/>
  <c r="O2673" i="1"/>
  <c r="N2649" i="1"/>
  <c r="O2649" i="1"/>
  <c r="N2641" i="1"/>
  <c r="O2641" i="1"/>
  <c r="N2617" i="1"/>
  <c r="O2617" i="1"/>
  <c r="N2593" i="1"/>
  <c r="O2593" i="1"/>
  <c r="N2569" i="1"/>
  <c r="O2569" i="1"/>
  <c r="N2545" i="1"/>
  <c r="O2545" i="1"/>
  <c r="N2529" i="1"/>
  <c r="O2529" i="1"/>
  <c r="N2505" i="1"/>
  <c r="O2505" i="1"/>
  <c r="N2481" i="1"/>
  <c r="O2481" i="1"/>
  <c r="N2457" i="1"/>
  <c r="O2457" i="1"/>
  <c r="N2441" i="1"/>
  <c r="O2441" i="1"/>
  <c r="N2409" i="1"/>
  <c r="O2409" i="1"/>
  <c r="N2385" i="1"/>
  <c r="O2385" i="1"/>
  <c r="N2353" i="1"/>
  <c r="O2353" i="1"/>
  <c r="N2321" i="1"/>
  <c r="O2321" i="1"/>
  <c r="N2305" i="1"/>
  <c r="O2305" i="1"/>
  <c r="N2281" i="1"/>
  <c r="O2281" i="1"/>
  <c r="N2249" i="1"/>
  <c r="O2249" i="1"/>
  <c r="N2225" i="1"/>
  <c r="O2225" i="1"/>
  <c r="N2193" i="1"/>
  <c r="O2193" i="1"/>
  <c r="N2161" i="1"/>
  <c r="O2161" i="1"/>
  <c r="N2145" i="1"/>
  <c r="O2145" i="1"/>
  <c r="N2105" i="1"/>
  <c r="O2105" i="1"/>
  <c r="N2081" i="1"/>
  <c r="O2081" i="1"/>
  <c r="N2057" i="1"/>
  <c r="O2057" i="1"/>
  <c r="N2025" i="1"/>
  <c r="O2025" i="1"/>
  <c r="N2001" i="1"/>
  <c r="O2001" i="1"/>
  <c r="N1977" i="1"/>
  <c r="O1977" i="1"/>
  <c r="N1953" i="1"/>
  <c r="O1953" i="1"/>
  <c r="N1929" i="1"/>
  <c r="O1929" i="1"/>
  <c r="N1897" i="1"/>
  <c r="O1897" i="1"/>
  <c r="N1865" i="1"/>
  <c r="O1865" i="1"/>
  <c r="N1833" i="1"/>
  <c r="O1833" i="1"/>
  <c r="N1809" i="1"/>
  <c r="O1809" i="1"/>
  <c r="N1777" i="1"/>
  <c r="O1777" i="1"/>
  <c r="N1769" i="1"/>
  <c r="O1769" i="1"/>
  <c r="N2395" i="1"/>
  <c r="N2619" i="1"/>
  <c r="O2619" i="1"/>
  <c r="N2571" i="1"/>
  <c r="O2571" i="1"/>
  <c r="N2523" i="1"/>
  <c r="O2523" i="1"/>
  <c r="N2483" i="1"/>
  <c r="O2483" i="1"/>
  <c r="N2451" i="1"/>
  <c r="O2451" i="1"/>
  <c r="N2411" i="1"/>
  <c r="O2411" i="1"/>
  <c r="N2387" i="1"/>
  <c r="O2387" i="1"/>
  <c r="N2339" i="1"/>
  <c r="O2339" i="1"/>
  <c r="N2211" i="1"/>
  <c r="O2211" i="1"/>
  <c r="N2171" i="1"/>
  <c r="O2171" i="1"/>
  <c r="N2019" i="1"/>
  <c r="O2019" i="1"/>
  <c r="O2347" i="1"/>
  <c r="N2977" i="1"/>
  <c r="O2977" i="1"/>
  <c r="N2945" i="1"/>
  <c r="O2945" i="1"/>
  <c r="N2913" i="1"/>
  <c r="O2913" i="1"/>
  <c r="N2889" i="1"/>
  <c r="O2889" i="1"/>
  <c r="N2857" i="1"/>
  <c r="O2857" i="1"/>
  <c r="N2825" i="1"/>
  <c r="O2825" i="1"/>
  <c r="N2793" i="1"/>
  <c r="O2793" i="1"/>
  <c r="N2769" i="1"/>
  <c r="O2769" i="1"/>
  <c r="N2737" i="1"/>
  <c r="O2737" i="1"/>
  <c r="N2713" i="1"/>
  <c r="O2713" i="1"/>
  <c r="N2689" i="1"/>
  <c r="O2689" i="1"/>
  <c r="N2665" i="1"/>
  <c r="O2665" i="1"/>
  <c r="N2633" i="1"/>
  <c r="O2633" i="1"/>
  <c r="N2601" i="1"/>
  <c r="O2601" i="1"/>
  <c r="N2577" i="1"/>
  <c r="O2577" i="1"/>
  <c r="N2553" i="1"/>
  <c r="O2553" i="1"/>
  <c r="N2513" i="1"/>
  <c r="O2513" i="1"/>
  <c r="N2489" i="1"/>
  <c r="O2489" i="1"/>
  <c r="N2465" i="1"/>
  <c r="O2465" i="1"/>
  <c r="N2425" i="1"/>
  <c r="O2425" i="1"/>
  <c r="N2401" i="1"/>
  <c r="O2401" i="1"/>
  <c r="N2369" i="1"/>
  <c r="O2369" i="1"/>
  <c r="N2345" i="1"/>
  <c r="O2345" i="1"/>
  <c r="N2337" i="1"/>
  <c r="O2337" i="1"/>
  <c r="N2297" i="1"/>
  <c r="O2297" i="1"/>
  <c r="N2257" i="1"/>
  <c r="O2257" i="1"/>
  <c r="N2201" i="1"/>
  <c r="O2201" i="1"/>
  <c r="N2169" i="1"/>
  <c r="O2169" i="1"/>
  <c r="N2121" i="1"/>
  <c r="O2121" i="1"/>
  <c r="N2089" i="1"/>
  <c r="O2089" i="1"/>
  <c r="N2041" i="1"/>
  <c r="O2041" i="1"/>
  <c r="N2009" i="1"/>
  <c r="O2009" i="1"/>
  <c r="N1961" i="1"/>
  <c r="O1961" i="1"/>
  <c r="N1913" i="1"/>
  <c r="O1913" i="1"/>
  <c r="N1881" i="1"/>
  <c r="O1881" i="1"/>
  <c r="N1849" i="1"/>
  <c r="O1849" i="1"/>
  <c r="N1817" i="1"/>
  <c r="O1817" i="1"/>
  <c r="N1785" i="1"/>
  <c r="O1785" i="1"/>
  <c r="O2667" i="1"/>
  <c r="O2355" i="1"/>
  <c r="O2227" i="1"/>
  <c r="N2329" i="1"/>
  <c r="N2603" i="1"/>
  <c r="O2603" i="1"/>
  <c r="N2555" i="1"/>
  <c r="O2555" i="1"/>
  <c r="N2507" i="1"/>
  <c r="O2507" i="1"/>
  <c r="N2467" i="1"/>
  <c r="O2467" i="1"/>
  <c r="N2427" i="1"/>
  <c r="O2427" i="1"/>
  <c r="N2403" i="1"/>
  <c r="O2403" i="1"/>
  <c r="N2379" i="1"/>
  <c r="O2379" i="1"/>
  <c r="N2331" i="1"/>
  <c r="O2331" i="1"/>
  <c r="N2251" i="1"/>
  <c r="O2251" i="1"/>
  <c r="N2203" i="1"/>
  <c r="O2203" i="1"/>
  <c r="N2027" i="1"/>
  <c r="O2027" i="1"/>
  <c r="O2843" i="1"/>
  <c r="O2779" i="1"/>
  <c r="O2715" i="1"/>
  <c r="O2651" i="1"/>
  <c r="O2787" i="1"/>
  <c r="O2723" i="1"/>
  <c r="O2659" i="1"/>
  <c r="N3001" i="1"/>
  <c r="O3001" i="1"/>
  <c r="N2985" i="1"/>
  <c r="O2985" i="1"/>
  <c r="N2961" i="1"/>
  <c r="O2961" i="1"/>
  <c r="N2937" i="1"/>
  <c r="O2937" i="1"/>
  <c r="N2921" i="1"/>
  <c r="O2921" i="1"/>
  <c r="N2897" i="1"/>
  <c r="O2897" i="1"/>
  <c r="N2873" i="1"/>
  <c r="O2873" i="1"/>
  <c r="N2849" i="1"/>
  <c r="O2849" i="1"/>
  <c r="N2833" i="1"/>
  <c r="O2833" i="1"/>
  <c r="N2809" i="1"/>
  <c r="O2809" i="1"/>
  <c r="N2785" i="1"/>
  <c r="O2785" i="1"/>
  <c r="N2761" i="1"/>
  <c r="O2761" i="1"/>
  <c r="N2745" i="1"/>
  <c r="O2745" i="1"/>
  <c r="N2721" i="1"/>
  <c r="O2721" i="1"/>
  <c r="N2705" i="1"/>
  <c r="O2705" i="1"/>
  <c r="N2681" i="1"/>
  <c r="O2681" i="1"/>
  <c r="N2657" i="1"/>
  <c r="O2657" i="1"/>
  <c r="N2625" i="1"/>
  <c r="O2625" i="1"/>
  <c r="N2609" i="1"/>
  <c r="O2609" i="1"/>
  <c r="N2585" i="1"/>
  <c r="O2585" i="1"/>
  <c r="N2561" i="1"/>
  <c r="O2561" i="1"/>
  <c r="N2537" i="1"/>
  <c r="O2537" i="1"/>
  <c r="N2521" i="1"/>
  <c r="O2521" i="1"/>
  <c r="N2497" i="1"/>
  <c r="O2497" i="1"/>
  <c r="N2473" i="1"/>
  <c r="O2473" i="1"/>
  <c r="N2449" i="1"/>
  <c r="O2449" i="1"/>
  <c r="N2433" i="1"/>
  <c r="O2433" i="1"/>
  <c r="N2417" i="1"/>
  <c r="O2417" i="1"/>
  <c r="N2393" i="1"/>
  <c r="O2393" i="1"/>
  <c r="N2377" i="1"/>
  <c r="O2377" i="1"/>
  <c r="N2361" i="1"/>
  <c r="O2361" i="1"/>
  <c r="N2313" i="1"/>
  <c r="O2313" i="1"/>
  <c r="N2289" i="1"/>
  <c r="O2289" i="1"/>
  <c r="O2265" i="1"/>
  <c r="N2265" i="1"/>
  <c r="N2233" i="1"/>
  <c r="O2233" i="1"/>
  <c r="N2217" i="1"/>
  <c r="O2217" i="1"/>
  <c r="N2185" i="1"/>
  <c r="O2185" i="1"/>
  <c r="N2153" i="1"/>
  <c r="O2153" i="1"/>
  <c r="N2137" i="1"/>
  <c r="O2137" i="1"/>
  <c r="N2113" i="1"/>
  <c r="O2113" i="1"/>
  <c r="N2073" i="1"/>
  <c r="O2073" i="1"/>
  <c r="N2049" i="1"/>
  <c r="O2049" i="1"/>
  <c r="N2017" i="1"/>
  <c r="O2017" i="1"/>
  <c r="N1993" i="1"/>
  <c r="O1993" i="1"/>
  <c r="N1969" i="1"/>
  <c r="O1969" i="1"/>
  <c r="N1945" i="1"/>
  <c r="O1945" i="1"/>
  <c r="N1921" i="1"/>
  <c r="O1921" i="1"/>
  <c r="N1889" i="1"/>
  <c r="O1889" i="1"/>
  <c r="N1857" i="1"/>
  <c r="O1857" i="1"/>
  <c r="N1825" i="1"/>
  <c r="O1825" i="1"/>
  <c r="N1793" i="1"/>
  <c r="O1793" i="1"/>
  <c r="O2987" i="1"/>
  <c r="O2923" i="1"/>
  <c r="O2859" i="1"/>
  <c r="O2795" i="1"/>
  <c r="O2731" i="1"/>
  <c r="O2995" i="1"/>
  <c r="O2931" i="1"/>
  <c r="O2867" i="1"/>
  <c r="O2803" i="1"/>
  <c r="O2739" i="1"/>
  <c r="O2675" i="1"/>
  <c r="O2363" i="1"/>
  <c r="O2235" i="1"/>
  <c r="N2163" i="1"/>
  <c r="O2163" i="1"/>
  <c r="O2219" i="1"/>
  <c r="N2273" i="1"/>
  <c r="O2273" i="1"/>
  <c r="N2241" i="1"/>
  <c r="O2241" i="1"/>
  <c r="N2209" i="1"/>
  <c r="O2209" i="1"/>
  <c r="N2177" i="1"/>
  <c r="O2177" i="1"/>
  <c r="N2129" i="1"/>
  <c r="O2129" i="1"/>
  <c r="N2097" i="1"/>
  <c r="O2097" i="1"/>
  <c r="N2065" i="1"/>
  <c r="O2065" i="1"/>
  <c r="N2033" i="1"/>
  <c r="O2033" i="1"/>
  <c r="N1985" i="1"/>
  <c r="O1985" i="1"/>
  <c r="N1937" i="1"/>
  <c r="O1937" i="1"/>
  <c r="N1905" i="1"/>
  <c r="O1905" i="1"/>
  <c r="N1873" i="1"/>
  <c r="O1873" i="1"/>
  <c r="N1841" i="1"/>
  <c r="O1841" i="1"/>
  <c r="N1801" i="1"/>
  <c r="O1801" i="1"/>
  <c r="O2939" i="1"/>
  <c r="O2875" i="1"/>
  <c r="O2811" i="1"/>
  <c r="O2747" i="1"/>
  <c r="O2683" i="1"/>
  <c r="O2371" i="1"/>
  <c r="O2243" i="1"/>
  <c r="N2611" i="1"/>
  <c r="O2611" i="1"/>
  <c r="N2579" i="1"/>
  <c r="O2579" i="1"/>
  <c r="N2531" i="1"/>
  <c r="O2531" i="1"/>
  <c r="N2475" i="1"/>
  <c r="O2475" i="1"/>
  <c r="N2187" i="1"/>
  <c r="O2187" i="1"/>
  <c r="N2011" i="1"/>
  <c r="O2011" i="1"/>
  <c r="O2947" i="1"/>
  <c r="O2883" i="1"/>
  <c r="O2819" i="1"/>
  <c r="O2755" i="1"/>
  <c r="O2691" i="1"/>
  <c r="O2635" i="1"/>
  <c r="O2283" i="1"/>
  <c r="N1987" i="1"/>
  <c r="O1987" i="1"/>
  <c r="N1979" i="1"/>
  <c r="O1979" i="1"/>
  <c r="N1971" i="1"/>
  <c r="O1971" i="1"/>
  <c r="N1963" i="1"/>
  <c r="O1963" i="1"/>
  <c r="N1955" i="1"/>
  <c r="O1955" i="1"/>
  <c r="N1947" i="1"/>
  <c r="O1947" i="1"/>
  <c r="N1939" i="1"/>
  <c r="O1939" i="1"/>
  <c r="N1931" i="1"/>
  <c r="O1931" i="1"/>
  <c r="N1923" i="1"/>
  <c r="O1923" i="1"/>
  <c r="N1915" i="1"/>
  <c r="O1915" i="1"/>
  <c r="N1907" i="1"/>
  <c r="O1907" i="1"/>
  <c r="N1899" i="1"/>
  <c r="O1899" i="1"/>
  <c r="N1891" i="1"/>
  <c r="O1891" i="1"/>
  <c r="N1883" i="1"/>
  <c r="O1883" i="1"/>
  <c r="N1875" i="1"/>
  <c r="O1875" i="1"/>
  <c r="N1867" i="1"/>
  <c r="O1867" i="1"/>
  <c r="N1859" i="1"/>
  <c r="O1859" i="1"/>
  <c r="N1851" i="1"/>
  <c r="O1851" i="1"/>
  <c r="N1843" i="1"/>
  <c r="O1843" i="1"/>
  <c r="N1835" i="1"/>
  <c r="O1835" i="1"/>
  <c r="N1827" i="1"/>
  <c r="O1827" i="1"/>
  <c r="N1819" i="1"/>
  <c r="O1819" i="1"/>
  <c r="N1811" i="1"/>
  <c r="O1811" i="1"/>
  <c r="N1803" i="1"/>
  <c r="O1803" i="1"/>
  <c r="N1795" i="1"/>
  <c r="O1795" i="1"/>
  <c r="N1787" i="1"/>
  <c r="O1787" i="1"/>
  <c r="N1779" i="1"/>
  <c r="O1779" i="1"/>
  <c r="N1771" i="1"/>
  <c r="O1764" i="1"/>
  <c r="E24" i="2"/>
  <c r="K4" i="1"/>
  <c r="F10" i="2"/>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2" i="1"/>
  <c r="K3"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2" i="1"/>
</calcChain>
</file>

<file path=xl/sharedStrings.xml><?xml version="1.0" encoding="utf-8"?>
<sst xmlns="http://schemas.openxmlformats.org/spreadsheetml/2006/main" count="12118" uniqueCount="79">
  <si>
    <t>ProductName</t>
  </si>
  <si>
    <t>Category</t>
  </si>
  <si>
    <t>CurrentStock</t>
  </si>
  <si>
    <t>ReorderLevel</t>
  </si>
  <si>
    <t>UnitPrice</t>
  </si>
  <si>
    <t>Supplier</t>
  </si>
  <si>
    <t>LastRestockDate</t>
  </si>
  <si>
    <t>NextRestockDate</t>
  </si>
  <si>
    <t>WarehouseLocation</t>
  </si>
  <si>
    <t>Ceiling Board</t>
  </si>
  <si>
    <t>Wallpaper Roll</t>
  </si>
  <si>
    <t>Concrete Block</t>
  </si>
  <si>
    <t>Switch Box</t>
  </si>
  <si>
    <t>Paint Bucket</t>
  </si>
  <si>
    <t>Bulb Pack</t>
  </si>
  <si>
    <t>Shower Set</t>
  </si>
  <si>
    <t>Toilet Seat</t>
  </si>
  <si>
    <t>Cement Bag</t>
  </si>
  <si>
    <t>Roofing Sheet</t>
  </si>
  <si>
    <t>Electrical Cable</t>
  </si>
  <si>
    <t>Water Heater</t>
  </si>
  <si>
    <t>Floor Tiles</t>
  </si>
  <si>
    <t>Window Glass</t>
  </si>
  <si>
    <t>PVC Pipe</t>
  </si>
  <si>
    <t>Kitchen Sink</t>
  </si>
  <si>
    <t>Door Frame</t>
  </si>
  <si>
    <t>Interior</t>
  </si>
  <si>
    <t>Building Materials</t>
  </si>
  <si>
    <t>Electrical</t>
  </si>
  <si>
    <t>Hardware</t>
  </si>
  <si>
    <t>Plumbing</t>
  </si>
  <si>
    <t>Konga Wholesale</t>
  </si>
  <si>
    <t>MegaBuild Ltd</t>
  </si>
  <si>
    <t>FixRight Depot</t>
  </si>
  <si>
    <t>Jumia Supplies</t>
  </si>
  <si>
    <t>Alpha Materials</t>
  </si>
  <si>
    <t>Warehouse A</t>
  </si>
  <si>
    <t>Warehouse C</t>
  </si>
  <si>
    <t>Warehouse B</t>
  </si>
  <si>
    <t>Stock Value</t>
  </si>
  <si>
    <t>KPIs</t>
  </si>
  <si>
    <t xml:space="preserve">ReferenceNo </t>
  </si>
  <si>
    <t>Count of ProductName</t>
  </si>
  <si>
    <t>Row Labels</t>
  </si>
  <si>
    <t>Grand Total</t>
  </si>
  <si>
    <t>Stock Inventry</t>
  </si>
  <si>
    <t>Okay</t>
  </si>
  <si>
    <t>Reorder Needed</t>
  </si>
  <si>
    <t xml:space="preserve">Stock Inventry  </t>
  </si>
  <si>
    <t>Number of Category</t>
  </si>
  <si>
    <t>Average of ReorderLevel</t>
  </si>
  <si>
    <t>Low Stock Products</t>
  </si>
  <si>
    <t>Count of Low Stock Products</t>
  </si>
  <si>
    <t>Stock Gap</t>
  </si>
  <si>
    <t>Sum of CurrentStock</t>
  </si>
  <si>
    <t>Top Low Stock Products</t>
  </si>
  <si>
    <t xml:space="preserve"> Stock Gap</t>
  </si>
  <si>
    <t>Which Products are below their reorder level</t>
  </si>
  <si>
    <t>Yes</t>
  </si>
  <si>
    <t>Which Category has the most low stock products</t>
  </si>
  <si>
    <t>Which supplier delivers the most Products</t>
  </si>
  <si>
    <t>Count of Supplier</t>
  </si>
  <si>
    <t>Low Stock_Flag</t>
  </si>
  <si>
    <t>Which warehouse location has the most goods</t>
  </si>
  <si>
    <t>Reorder Products</t>
  </si>
  <si>
    <t>Count of Reorder Products</t>
  </si>
  <si>
    <t>Reorder</t>
  </si>
  <si>
    <t>5 products to Reorder</t>
  </si>
  <si>
    <t>Are we overstocking any Products?</t>
  </si>
  <si>
    <t>OverStock</t>
  </si>
  <si>
    <t>Overstock</t>
  </si>
  <si>
    <t>Count of OverStock</t>
  </si>
  <si>
    <t>metrics</t>
  </si>
  <si>
    <t>Value</t>
  </si>
  <si>
    <t>Total Products</t>
  </si>
  <si>
    <t>Percentage</t>
  </si>
  <si>
    <t>Stock value by category</t>
  </si>
  <si>
    <t>Sum of Stock Value</t>
  </si>
  <si>
    <t>Botton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</si>
</sst>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yyyy\-mm\-dd;@"/>
    <numFmt numFmtId="165" formatCode="&quot;$&quot;#,##0"/>
    <numFmt numFmtId="166" formatCode="_(* #,##0_);_(* \(#,##0\);_(* &quot;-&quot;??_);_(@_)"/>
    <numFmt numFmtId="167" formatCode="#,##0.0"/>
  </numFmts>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s>
  <fills count="4">
    <fill>
      <patternFill patternType="none"/>
    </fill>
    <fill>
      <patternFill patternType="gray125"/>
    </fill>
    <fill>
      <patternFill patternType="solid">
        <fgColor theme="3"/>
        <bgColor indexed="64"/>
      </patternFill>
    </fill>
    <fill>
      <patternFill patternType="solid">
        <fgColor rgb="FF0070C0"/>
        <bgColor indexed="64"/>
      </patternFill>
    </fill>
  </fills>
  <borders count="3">
    <border>
      <left/>
      <right/>
      <top/>
      <bottom/>
      <diagonal/>
    </border>
    <border>
      <left style="thin">
        <color auto="1"/>
      </left>
      <right style="thin">
        <color auto="1"/>
      </right>
      <top/>
      <bottom style="thin">
        <color auto="1"/>
      </bottom>
      <diagonal/>
    </border>
    <border>
      <left/>
      <right/>
      <top/>
      <bottom style="thin">
        <color auto="1"/>
      </bottom>
      <diagonal/>
    </border>
  </borders>
  <cellStyleXfs count="2">
    <xf numFmtId="0" fontId="0" fillId="0" borderId="0"/>
    <xf numFmtId="43" fontId="2" fillId="0" borderId="0" applyFont="0" applyFill="0" applyBorder="0" applyAlignment="0" applyProtection="0"/>
  </cellStyleXfs>
  <cellXfs count="18">
    <xf numFmtId="0" fontId="0" fillId="0" borderId="0" xfId="0"/>
    <xf numFmtId="164" fontId="0" fillId="0" borderId="0" xfId="0" applyNumberFormat="1"/>
    <xf numFmtId="165" fontId="0" fillId="0" borderId="0" xfId="0" applyNumberFormat="1"/>
    <xf numFmtId="0" fontId="1" fillId="0" borderId="1" xfId="0" applyFont="1" applyBorder="1" applyAlignment="1">
      <alignment horizontal="center" vertical="top"/>
    </xf>
    <xf numFmtId="165" fontId="1" fillId="0" borderId="1" xfId="0" applyNumberFormat="1" applyFont="1" applyBorder="1" applyAlignment="1">
      <alignment horizontal="center" vertical="top"/>
    </xf>
    <xf numFmtId="164" fontId="1" fillId="0" borderId="1" xfId="0" applyNumberFormat="1" applyFont="1" applyBorder="1" applyAlignment="1">
      <alignment horizontal="center" vertical="top"/>
    </xf>
    <xf numFmtId="0" fontId="0" fillId="0" borderId="2" xfId="0" applyBorder="1"/>
    <xf numFmtId="1" fontId="0" fillId="0" borderId="0" xfId="0" applyNumberFormat="1"/>
    <xf numFmtId="166" fontId="0" fillId="0" borderId="0" xfId="1" applyNumberFormat="1" applyFont="1"/>
    <xf numFmtId="0" fontId="3" fillId="2" borderId="0" xfId="0" applyFont="1" applyFill="1"/>
    <xf numFmtId="3" fontId="0" fillId="0" borderId="0" xfId="0" applyNumberFormat="1"/>
    <xf numFmtId="0" fontId="0" fillId="0" borderId="0" xfId="0" pivotButton="1"/>
    <xf numFmtId="0" fontId="0" fillId="0" borderId="0" xfId="0" applyAlignment="1">
      <alignment horizontal="left"/>
    </xf>
    <xf numFmtId="0" fontId="0" fillId="0" borderId="0" xfId="0" applyNumberFormat="1"/>
    <xf numFmtId="1" fontId="0" fillId="0" borderId="2" xfId="0" applyNumberFormat="1" applyBorder="1"/>
    <xf numFmtId="0" fontId="3" fillId="3" borderId="0" xfId="0" applyFont="1" applyFill="1"/>
    <xf numFmtId="9" fontId="0" fillId="0" borderId="0" xfId="0" applyNumberFormat="1"/>
    <xf numFmtId="167" fontId="0" fillId="0" borderId="0" xfId="0" applyNumberFormat="1"/>
  </cellXfs>
  <cellStyles count="2">
    <cellStyle name="Comma" xfId="1" builtinId="3"/>
    <cellStyle name="Normal" xfId="0" builtinId="0"/>
  </cellStyles>
  <dxfs count="198">
    <dxf>
      <numFmt numFmtId="4" formatCode="#,##0.00"/>
    </dxf>
    <dxf>
      <numFmt numFmtId="167" formatCode="#,##0.0"/>
    </dxf>
    <dxf>
      <numFmt numFmtId="3" formatCode="#,##0"/>
    </dxf>
    <dxf>
      <numFmt numFmtId="4" formatCode="#,##0.00"/>
    </dxf>
    <dxf>
      <numFmt numFmtId="167" formatCode="#,##0.0"/>
    </dxf>
    <dxf>
      <numFmt numFmtId="3" formatCode="#,##0"/>
    </dxf>
    <dxf>
      <numFmt numFmtId="168" formatCode="&quot;$&quot;#,##0.00"/>
    </dxf>
    <dxf>
      <numFmt numFmtId="169" formatCode="&quot;$&quot;#,##0.0"/>
    </dxf>
    <dxf>
      <numFmt numFmtId="165" formatCode="&quot;$&quot;#,##0"/>
    </dxf>
    <dxf>
      <numFmt numFmtId="4" formatCode="#,##0.00"/>
    </dxf>
    <dxf>
      <numFmt numFmtId="167" formatCode="#,##0.0"/>
    </dxf>
    <dxf>
      <numFmt numFmtId="3" formatCode="#,##0"/>
    </dxf>
    <dxf>
      <numFmt numFmtId="4" formatCode="#,##0.00"/>
    </dxf>
    <dxf>
      <numFmt numFmtId="167" formatCode="#,##0.0"/>
    </dxf>
    <dxf>
      <numFmt numFmtId="3" formatCode="#,##0"/>
    </dxf>
    <dxf>
      <numFmt numFmtId="167" formatCode="#,##0.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168" formatCode="&quot;$&quot;#,##0.00"/>
    </dxf>
    <dxf>
      <numFmt numFmtId="169" formatCode="&quot;$&quot;#,##0.0"/>
    </dxf>
    <dxf>
      <numFmt numFmtId="165" formatCode="&quot;$&quot;#,##0"/>
    </dxf>
    <dxf>
      <numFmt numFmtId="4" formatCode="#,##0.00"/>
    </dxf>
    <dxf>
      <numFmt numFmtId="167" formatCode="#,##0.0"/>
    </dxf>
    <dxf>
      <numFmt numFmtId="3" formatCode="#,##0"/>
    </dxf>
    <dxf>
      <numFmt numFmtId="4" formatCode="#,##0.00"/>
    </dxf>
    <dxf>
      <numFmt numFmtId="167" formatCode="#,##0.0"/>
    </dxf>
    <dxf>
      <numFmt numFmtId="3" formatCode="#,##0"/>
    </dxf>
    <dxf>
      <numFmt numFmtId="167" formatCode="#,##0.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168" formatCode="&quot;$&quot;#,##0.00"/>
    </dxf>
    <dxf>
      <numFmt numFmtId="169" formatCode="&quot;$&quot;#,##0.0"/>
    </dxf>
    <dxf>
      <numFmt numFmtId="165" formatCode="&quot;$&quot;#,##0"/>
    </dxf>
    <dxf>
      <numFmt numFmtId="4" formatCode="#,##0.00"/>
    </dxf>
    <dxf>
      <numFmt numFmtId="167" formatCode="#,##0.0"/>
    </dxf>
    <dxf>
      <numFmt numFmtId="3" formatCode="#,##0"/>
    </dxf>
    <dxf>
      <numFmt numFmtId="4" formatCode="#,##0.00"/>
    </dxf>
    <dxf>
      <numFmt numFmtId="167" formatCode="#,##0.0"/>
    </dxf>
    <dxf>
      <numFmt numFmtId="3" formatCode="#,##0"/>
    </dxf>
    <dxf>
      <numFmt numFmtId="167" formatCode="#,##0.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4" formatCode="#,##0.00"/>
    </dxf>
    <dxf>
      <numFmt numFmtId="167" formatCode="#,##0.0"/>
    </dxf>
    <dxf>
      <numFmt numFmtId="3" formatCode="#,##0"/>
    </dxf>
    <dxf>
      <numFmt numFmtId="167" formatCode="#,##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165" formatCode="&quot;$&quot;#,##0"/>
    </dxf>
    <dxf>
      <numFmt numFmtId="169" formatCode="&quot;$&quot;#,##0.0"/>
    </dxf>
    <dxf>
      <numFmt numFmtId="168" formatCode="&quot;$&quot;#,##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3" formatCode="#,##0"/>
    </dxf>
    <dxf>
      <numFmt numFmtId="167" formatCode="#,##0.0"/>
    </dxf>
    <dxf>
      <numFmt numFmtId="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_(* #,##0_);_(* \(#,##0\);_(* &quot;-&quot;??_);_(@_)"/>
    </dxf>
    <dxf>
      <numFmt numFmtId="164" formatCode="yyyy\-mm\-dd;@"/>
    </dxf>
    <dxf>
      <numFmt numFmtId="164" formatCode="yyyy\-mm\-dd;@"/>
    </dxf>
    <dxf>
      <numFmt numFmtId="165" formatCode="&quot;$&quot;#,##0"/>
    </dxf>
    <dxf>
      <border outline="0">
        <top style="thin">
          <color auto="1"/>
        </top>
      </border>
    </dxf>
    <dxf>
      <border outline="0">
        <bottom style="thin">
          <color auto="1"/>
        </bottom>
      </border>
    </dxf>
    <dxf>
      <font>
        <b/>
        <color theme="1"/>
      </font>
      <border>
        <bottom style="thin">
          <color theme="4"/>
        </bottom>
        <vertical/>
        <horizontal/>
      </border>
    </dxf>
    <dxf>
      <font>
        <color theme="1"/>
      </font>
      <fill>
        <patternFill patternType="solid">
          <bgColor theme="0" tint="-4.9989318521683403E-2"/>
        </patternFill>
      </fill>
      <border diagonalUp="0" diagonalDown="0">
        <left/>
        <right/>
        <top/>
        <bottom/>
        <vertical/>
        <horizontal/>
      </border>
    </dxf>
  </dxfs>
  <tableStyles count="1" defaultTableStyle="TableStyleMedium9" defaultPivotStyle="PivotStyleLight16">
    <tableStyle name="SlicerStyleLight1 2" pivot="0" table="0" count="10">
      <tableStyleElement type="wholeTable" dxfId="197"/>
      <tableStyleElement type="headerRow" dxfId="196"/>
    </tableStyle>
  </tableStyles>
  <colors>
    <mruColors>
      <color rgb="FFF1F1EB"/>
      <color rgb="FFBEE395"/>
      <color rgb="FFB2DE82"/>
      <color rgb="FFF7D6FA"/>
      <color rgb="FF260E9E"/>
      <color rgb="FF290FAD"/>
      <color rgb="FF2B10B0"/>
      <color rgb="FF2E11BF"/>
      <color rgb="FFC89800"/>
      <color rgb="FF008A3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pattern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0"/>
              </stop>
              <stop position="0.5">
                <color theme="4"/>
              </stop>
              <stop position="1">
                <color theme="0"/>
              </stop>
            </gradient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B2DE8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BEE395"/>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941561521677259"/>
          <c:y val="8.9297840063570055E-2"/>
          <c:w val="0.46465306896878855"/>
          <c:h val="0.77323051361699036"/>
        </c:manualLayout>
      </c:layout>
      <c:barChart>
        <c:barDir val="bar"/>
        <c:grouping val="clustered"/>
        <c:varyColors val="0"/>
        <c:ser>
          <c:idx val="0"/>
          <c:order val="0"/>
          <c:tx>
            <c:strRef>
              <c:f>'Pivot Table'!$L$4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Table'!$K$5:$K$21</c:f>
              <c:strCache>
                <c:ptCount val="17"/>
                <c:pt idx="0">
                  <c:v>Wallpaper Roll</c:v>
                </c:pt>
                <c:pt idx="1">
                  <c:v>Window Glass</c:v>
                </c:pt>
                <c:pt idx="2">
                  <c:v>Floor Tiles</c:v>
                </c:pt>
                <c:pt idx="3">
                  <c:v>Toilet Seat</c:v>
                </c:pt>
                <c:pt idx="4">
                  <c:v>Paint Bucket</c:v>
                </c:pt>
                <c:pt idx="5">
                  <c:v>Switch Box</c:v>
                </c:pt>
                <c:pt idx="6">
                  <c:v>Ceiling Board</c:v>
                </c:pt>
                <c:pt idx="7">
                  <c:v>Door Frame</c:v>
                </c:pt>
                <c:pt idx="8">
                  <c:v>Shower Set</c:v>
                </c:pt>
                <c:pt idx="9">
                  <c:v>PVC Pipe</c:v>
                </c:pt>
                <c:pt idx="10">
                  <c:v>Roofing Sheet</c:v>
                </c:pt>
                <c:pt idx="11">
                  <c:v>Bulb Pack</c:v>
                </c:pt>
                <c:pt idx="12">
                  <c:v>Cement Bag</c:v>
                </c:pt>
                <c:pt idx="13">
                  <c:v>Electrical Cable</c:v>
                </c:pt>
                <c:pt idx="14">
                  <c:v>Water Heater</c:v>
                </c:pt>
                <c:pt idx="15">
                  <c:v>Concrete Block</c:v>
                </c:pt>
                <c:pt idx="16">
                  <c:v>Kitchen Sink</c:v>
                </c:pt>
              </c:strCache>
            </c:strRef>
          </c:cat>
          <c:val>
            <c:numRef>
              <c:f>'Pivot Table'!$L$5:$L$21</c:f>
              <c:numCache>
                <c:formatCode>#,##0</c:formatCode>
                <c:ptCount val="17"/>
                <c:pt idx="0">
                  <c:v>133</c:v>
                </c:pt>
                <c:pt idx="1">
                  <c:v>137</c:v>
                </c:pt>
                <c:pt idx="2">
                  <c:v>142</c:v>
                </c:pt>
                <c:pt idx="3">
                  <c:v>166</c:v>
                </c:pt>
                <c:pt idx="4">
                  <c:v>168</c:v>
                </c:pt>
                <c:pt idx="5">
                  <c:v>168</c:v>
                </c:pt>
                <c:pt idx="6">
                  <c:v>169</c:v>
                </c:pt>
                <c:pt idx="7">
                  <c:v>170</c:v>
                </c:pt>
                <c:pt idx="8">
                  <c:v>170</c:v>
                </c:pt>
                <c:pt idx="9">
                  <c:v>180</c:v>
                </c:pt>
                <c:pt idx="10">
                  <c:v>181</c:v>
                </c:pt>
                <c:pt idx="11">
                  <c:v>197</c:v>
                </c:pt>
                <c:pt idx="12">
                  <c:v>199</c:v>
                </c:pt>
                <c:pt idx="13">
                  <c:v>200</c:v>
                </c:pt>
                <c:pt idx="14">
                  <c:v>203</c:v>
                </c:pt>
                <c:pt idx="15">
                  <c:v>204</c:v>
                </c:pt>
                <c:pt idx="16">
                  <c:v>213</c:v>
                </c:pt>
              </c:numCache>
            </c:numRef>
          </c:val>
          <c:extLst>
            <c:ext xmlns:c16="http://schemas.microsoft.com/office/drawing/2014/chart" uri="{C3380CC4-5D6E-409C-BE32-E72D297353CC}">
              <c16:uniqueId val="{00000001-46E3-4E0A-8DD7-B0C6B21B117B}"/>
            </c:ext>
          </c:extLst>
        </c:ser>
        <c:dLbls>
          <c:dLblPos val="outEnd"/>
          <c:showLegendKey val="0"/>
          <c:showVal val="1"/>
          <c:showCatName val="0"/>
          <c:showSerName val="0"/>
          <c:showPercent val="0"/>
          <c:showBubbleSize val="0"/>
        </c:dLbls>
        <c:gapWidth val="182"/>
        <c:axId val="599137391"/>
        <c:axId val="599132815"/>
      </c:barChart>
      <c:catAx>
        <c:axId val="599137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132815"/>
        <c:crosses val="autoZero"/>
        <c:auto val="1"/>
        <c:lblAlgn val="ctr"/>
        <c:lblOffset val="100"/>
        <c:noMultiLvlLbl val="0"/>
      </c:catAx>
      <c:valAx>
        <c:axId val="599132815"/>
        <c:scaling>
          <c:orientation val="minMax"/>
        </c:scaling>
        <c:delete val="1"/>
        <c:axPos val="b"/>
        <c:numFmt formatCode="#,##0" sourceLinked="1"/>
        <c:majorTickMark val="none"/>
        <c:minorTickMark val="none"/>
        <c:tickLblPos val="nextTo"/>
        <c:crossAx val="5991373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Table!PivotTable9</c:name>
    <c:fmtId val="0"/>
  </c:pivotSource>
  <c:chart>
    <c:autoTitleDeleted val="1"/>
    <c:pivotFmts>
      <c:pivotFmt>
        <c:idx val="0"/>
        <c:spPr>
          <a:solidFill>
            <a:schemeClr val="accent1"/>
          </a:solidFill>
          <a:ln>
            <a:noFill/>
          </a:ln>
          <a:effectLst/>
        </c:spPr>
        <c:marker>
          <c:symbol val="none"/>
        </c:marker>
      </c:pivotFmt>
    </c:pivotFmts>
    <c:plotArea>
      <c:layout>
        <c:manualLayout>
          <c:layoutTarget val="inner"/>
          <c:xMode val="edge"/>
          <c:yMode val="edge"/>
          <c:x val="0.1183781487894926"/>
          <c:y val="3.8544019087729843E-2"/>
          <c:w val="0.66831607148691474"/>
          <c:h val="0.75666073030016867"/>
        </c:manualLayout>
      </c:layout>
      <c:barChart>
        <c:barDir val="col"/>
        <c:grouping val="clustered"/>
        <c:varyColors val="0"/>
        <c:ser>
          <c:idx val="0"/>
          <c:order val="0"/>
          <c:tx>
            <c:strRef>
              <c:f>'Pivot Table'!$R$7</c:f>
              <c:strCache>
                <c:ptCount val="1"/>
                <c:pt idx="0">
                  <c:v>Total</c:v>
                </c:pt>
              </c:strCache>
            </c:strRef>
          </c:tx>
          <c:spPr>
            <a:solidFill>
              <a:schemeClr val="accent1"/>
            </a:solidFill>
            <a:ln>
              <a:noFill/>
            </a:ln>
            <a:effectLst/>
          </c:spPr>
          <c:invertIfNegative val="0"/>
          <c:cat>
            <c:strRef>
              <c:f>'Pivot Table'!$Q$8:$Q$12</c:f>
              <c:strCache>
                <c:ptCount val="5"/>
                <c:pt idx="0">
                  <c:v>Electrical</c:v>
                </c:pt>
                <c:pt idx="1">
                  <c:v>Hardware</c:v>
                </c:pt>
                <c:pt idx="2">
                  <c:v>Building Materials</c:v>
                </c:pt>
                <c:pt idx="3">
                  <c:v>Interior</c:v>
                </c:pt>
                <c:pt idx="4">
                  <c:v>Plumbing</c:v>
                </c:pt>
              </c:strCache>
            </c:strRef>
          </c:cat>
          <c:val>
            <c:numRef>
              <c:f>'Pivot Table'!$R$8:$R$12</c:f>
              <c:numCache>
                <c:formatCode>#,##0</c:formatCode>
                <c:ptCount val="5"/>
                <c:pt idx="0">
                  <c:v>95</c:v>
                </c:pt>
                <c:pt idx="1">
                  <c:v>95</c:v>
                </c:pt>
                <c:pt idx="2">
                  <c:v>86</c:v>
                </c:pt>
                <c:pt idx="3">
                  <c:v>78</c:v>
                </c:pt>
                <c:pt idx="4">
                  <c:v>75</c:v>
                </c:pt>
              </c:numCache>
            </c:numRef>
          </c:val>
          <c:extLst>
            <c:ext xmlns:c16="http://schemas.microsoft.com/office/drawing/2014/chart" uri="{C3380CC4-5D6E-409C-BE32-E72D297353CC}">
              <c16:uniqueId val="{00000000-9E80-46D5-86CF-6A707611B094}"/>
            </c:ext>
          </c:extLst>
        </c:ser>
        <c:dLbls>
          <c:showLegendKey val="0"/>
          <c:showVal val="0"/>
          <c:showCatName val="0"/>
          <c:showSerName val="0"/>
          <c:showPercent val="0"/>
          <c:showBubbleSize val="0"/>
        </c:dLbls>
        <c:gapWidth val="219"/>
        <c:overlap val="-27"/>
        <c:axId val="788901871"/>
        <c:axId val="788895215"/>
      </c:barChart>
      <c:catAx>
        <c:axId val="78890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95215"/>
        <c:crosses val="autoZero"/>
        <c:auto val="1"/>
        <c:lblAlgn val="ctr"/>
        <c:lblOffset val="100"/>
        <c:noMultiLvlLbl val="0"/>
      </c:catAx>
      <c:valAx>
        <c:axId val="788895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901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790637215478708"/>
          <c:y val="7.3235397814079187E-2"/>
          <c:w val="0.57118535858693342"/>
          <c:h val="0.88156598895287341"/>
        </c:manualLayout>
      </c:layout>
      <c:barChart>
        <c:barDir val="bar"/>
        <c:grouping val="clustered"/>
        <c:varyColors val="0"/>
        <c:ser>
          <c:idx val="0"/>
          <c:order val="0"/>
          <c:tx>
            <c:strRef>
              <c:f>'Pivot Table'!$R$17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Table'!$Q$18:$Q$22</c:f>
              <c:strCache>
                <c:ptCount val="5"/>
                <c:pt idx="0">
                  <c:v>Alpha Materials</c:v>
                </c:pt>
                <c:pt idx="1">
                  <c:v>Konga Wholesale</c:v>
                </c:pt>
                <c:pt idx="2">
                  <c:v>FixRight Depot</c:v>
                </c:pt>
                <c:pt idx="3">
                  <c:v>Jumia Supplies</c:v>
                </c:pt>
                <c:pt idx="4">
                  <c:v>MegaBuild Ltd</c:v>
                </c:pt>
              </c:strCache>
            </c:strRef>
          </c:cat>
          <c:val>
            <c:numRef>
              <c:f>'Pivot Table'!$R$18:$R$22</c:f>
              <c:numCache>
                <c:formatCode>#,##0</c:formatCode>
                <c:ptCount val="5"/>
                <c:pt idx="0">
                  <c:v>563</c:v>
                </c:pt>
                <c:pt idx="1">
                  <c:v>585</c:v>
                </c:pt>
                <c:pt idx="2">
                  <c:v>611</c:v>
                </c:pt>
                <c:pt idx="3">
                  <c:v>613</c:v>
                </c:pt>
                <c:pt idx="4">
                  <c:v>628</c:v>
                </c:pt>
              </c:numCache>
            </c:numRef>
          </c:val>
          <c:extLst>
            <c:ext xmlns:c16="http://schemas.microsoft.com/office/drawing/2014/chart" uri="{C3380CC4-5D6E-409C-BE32-E72D297353CC}">
              <c16:uniqueId val="{00000000-B5BC-4524-A0F0-9BCAA71C6B5C}"/>
            </c:ext>
          </c:extLst>
        </c:ser>
        <c:dLbls>
          <c:dLblPos val="outEnd"/>
          <c:showLegendKey val="0"/>
          <c:showVal val="1"/>
          <c:showCatName val="0"/>
          <c:showSerName val="0"/>
          <c:showPercent val="0"/>
          <c:showBubbleSize val="0"/>
        </c:dLbls>
        <c:gapWidth val="182"/>
        <c:axId val="788896463"/>
        <c:axId val="788892303"/>
      </c:barChart>
      <c:catAx>
        <c:axId val="788896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92303"/>
        <c:crosses val="autoZero"/>
        <c:auto val="1"/>
        <c:lblAlgn val="ctr"/>
        <c:lblOffset val="100"/>
        <c:noMultiLvlLbl val="0"/>
      </c:catAx>
      <c:valAx>
        <c:axId val="788892303"/>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788896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Table!PivotTable11</c:name>
    <c:fmtId val="0"/>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 Table'!$Y$5</c:f>
              <c:strCache>
                <c:ptCount val="1"/>
                <c:pt idx="0">
                  <c:v>Total</c:v>
                </c:pt>
              </c:strCache>
            </c:strRef>
          </c:tx>
          <c:spPr>
            <a:solidFill>
              <a:schemeClr val="accent1"/>
            </a:solidFill>
            <a:ln>
              <a:noFill/>
            </a:ln>
            <a:effectLst/>
          </c:spPr>
          <c:invertIfNegative val="0"/>
          <c:cat>
            <c:strRef>
              <c:f>'Pivot Table'!$X$6:$X$8</c:f>
              <c:strCache>
                <c:ptCount val="3"/>
                <c:pt idx="0">
                  <c:v>Warehouse A</c:v>
                </c:pt>
                <c:pt idx="1">
                  <c:v>Warehouse C</c:v>
                </c:pt>
                <c:pt idx="2">
                  <c:v>Warehouse B</c:v>
                </c:pt>
              </c:strCache>
            </c:strRef>
          </c:cat>
          <c:val>
            <c:numRef>
              <c:f>'Pivot Table'!$Y$6:$Y$8</c:f>
              <c:numCache>
                <c:formatCode>#,##0</c:formatCode>
                <c:ptCount val="3"/>
                <c:pt idx="0">
                  <c:v>252361</c:v>
                </c:pt>
                <c:pt idx="1">
                  <c:v>250786</c:v>
                </c:pt>
                <c:pt idx="2">
                  <c:v>249274</c:v>
                </c:pt>
              </c:numCache>
            </c:numRef>
          </c:val>
          <c:extLst>
            <c:ext xmlns:c16="http://schemas.microsoft.com/office/drawing/2014/chart" uri="{C3380CC4-5D6E-409C-BE32-E72D297353CC}">
              <c16:uniqueId val="{00000000-EA5C-46EE-89C5-CAF420F18B75}"/>
            </c:ext>
          </c:extLst>
        </c:ser>
        <c:dLbls>
          <c:showLegendKey val="0"/>
          <c:showVal val="0"/>
          <c:showCatName val="0"/>
          <c:showSerName val="0"/>
          <c:showPercent val="0"/>
          <c:showBubbleSize val="0"/>
        </c:dLbls>
        <c:gapWidth val="219"/>
        <c:overlap val="-27"/>
        <c:axId val="495720959"/>
        <c:axId val="495716383"/>
      </c:barChart>
      <c:catAx>
        <c:axId val="49572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716383"/>
        <c:crosses val="autoZero"/>
        <c:auto val="1"/>
        <c:lblAlgn val="ctr"/>
        <c:lblOffset val="100"/>
        <c:noMultiLvlLbl val="0"/>
      </c:catAx>
      <c:valAx>
        <c:axId val="495716383"/>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957209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Table!PivotTable14</c:name>
    <c:fmtId val="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6.6825775656324582E-2"/>
          <c:y val="0.32814534546818014"/>
          <c:w val="0.56991336703437134"/>
          <c:h val="0.5168694822238129"/>
        </c:manualLayout>
      </c:layout>
      <c:pieChart>
        <c:varyColors val="1"/>
        <c:ser>
          <c:idx val="0"/>
          <c:order val="0"/>
          <c:tx>
            <c:strRef>
              <c:f>'Pivot Table'!$AC$6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1BD-441B-AA83-33DF8C1E12F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1BD-441B-AA83-33DF8C1E12F4}"/>
              </c:ext>
            </c:extLst>
          </c:dPt>
          <c:cat>
            <c:strRef>
              <c:f>'Pivot Table'!$AB$7:$AB$8</c:f>
              <c:strCache>
                <c:ptCount val="2"/>
                <c:pt idx="0">
                  <c:v>Okay</c:v>
                </c:pt>
                <c:pt idx="1">
                  <c:v>Overstock</c:v>
                </c:pt>
              </c:strCache>
            </c:strRef>
          </c:cat>
          <c:val>
            <c:numRef>
              <c:f>'Pivot Table'!$AC$7:$AC$8</c:f>
              <c:numCache>
                <c:formatCode>#,##0</c:formatCode>
                <c:ptCount val="2"/>
                <c:pt idx="0">
                  <c:v>1209</c:v>
                </c:pt>
                <c:pt idx="1">
                  <c:v>1791</c:v>
                </c:pt>
              </c:numCache>
            </c:numRef>
          </c:val>
          <c:extLst>
            <c:ext xmlns:c16="http://schemas.microsoft.com/office/drawing/2014/chart" uri="{C3380CC4-5D6E-409C-BE32-E72D297353CC}">
              <c16:uniqueId val="{00000000-8FAD-4E04-8D0C-1BD5F1F9E61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 Table'!$Y$26</c:f>
              <c:strCache>
                <c:ptCount val="1"/>
                <c:pt idx="0">
                  <c:v>Count of Reorder Products</c:v>
                </c:pt>
              </c:strCache>
            </c:strRef>
          </c:tx>
          <c:spPr>
            <a:solidFill>
              <a:schemeClr val="accent1"/>
            </a:solidFill>
            <a:ln>
              <a:noFill/>
            </a:ln>
            <a:effectLst/>
          </c:spPr>
          <c:invertIfNegative val="0"/>
          <c:cat>
            <c:strRef>
              <c:f>'Pivot Table'!$X$27:$X$32</c:f>
              <c:strCache>
                <c:ptCount val="6"/>
                <c:pt idx="0">
                  <c:v>Floor Tiles</c:v>
                </c:pt>
                <c:pt idx="1">
                  <c:v>Water Heater</c:v>
                </c:pt>
                <c:pt idx="2">
                  <c:v>PVC Pipe</c:v>
                </c:pt>
                <c:pt idx="3">
                  <c:v>Shower Set</c:v>
                </c:pt>
                <c:pt idx="4">
                  <c:v>Ceiling Board</c:v>
                </c:pt>
                <c:pt idx="5">
                  <c:v>Wallpaper Roll</c:v>
                </c:pt>
              </c:strCache>
            </c:strRef>
          </c:cat>
          <c:val>
            <c:numRef>
              <c:f>'Pivot Table'!$Y$27:$Y$32</c:f>
              <c:numCache>
                <c:formatCode>_(* #,##0_);_(* \(#,##0\);_(* "-"??_);_(@_)</c:formatCode>
                <c:ptCount val="6"/>
                <c:pt idx="0">
                  <c:v>20</c:v>
                </c:pt>
                <c:pt idx="1">
                  <c:v>22</c:v>
                </c:pt>
                <c:pt idx="2">
                  <c:v>17</c:v>
                </c:pt>
                <c:pt idx="3">
                  <c:v>22</c:v>
                </c:pt>
                <c:pt idx="4">
                  <c:v>18</c:v>
                </c:pt>
                <c:pt idx="5">
                  <c:v>16</c:v>
                </c:pt>
              </c:numCache>
            </c:numRef>
          </c:val>
          <c:extLst>
            <c:ext xmlns:c16="http://schemas.microsoft.com/office/drawing/2014/chart" uri="{C3380CC4-5D6E-409C-BE32-E72D297353CC}">
              <c16:uniqueId val="{00000000-35D0-4C14-A515-820CC75F74EC}"/>
            </c:ext>
          </c:extLst>
        </c:ser>
        <c:dLbls>
          <c:showLegendKey val="0"/>
          <c:showVal val="0"/>
          <c:showCatName val="0"/>
          <c:showSerName val="0"/>
          <c:showPercent val="0"/>
          <c:showBubbleSize val="0"/>
        </c:dLbls>
        <c:gapWidth val="219"/>
        <c:overlap val="-27"/>
        <c:axId val="1772666640"/>
        <c:axId val="1772667056"/>
      </c:barChart>
      <c:catAx>
        <c:axId val="177266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667056"/>
        <c:crosses val="autoZero"/>
        <c:auto val="1"/>
        <c:lblAlgn val="ctr"/>
        <c:lblOffset val="100"/>
        <c:noMultiLvlLbl val="0"/>
      </c:catAx>
      <c:valAx>
        <c:axId val="1772667056"/>
        <c:scaling>
          <c:orientation val="minMax"/>
        </c:scaling>
        <c:delete val="1"/>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crossAx val="1772666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Table!PivotTable8</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0.34862168605071153"/>
          <c:y val="8.7999999999999995E-2"/>
          <c:w val="0.48123426196090968"/>
          <c:h val="0.82399999999999995"/>
        </c:manualLayout>
      </c:layout>
      <c:barChart>
        <c:barDir val="bar"/>
        <c:grouping val="stacked"/>
        <c:varyColors val="0"/>
        <c:ser>
          <c:idx val="0"/>
          <c:order val="0"/>
          <c:tx>
            <c:strRef>
              <c:f>'Pivot Table'!$AI$4</c:f>
              <c:strCache>
                <c:ptCount val="1"/>
                <c:pt idx="0">
                  <c:v>Total</c:v>
                </c:pt>
              </c:strCache>
            </c:strRef>
          </c:tx>
          <c:spPr>
            <a:solidFill>
              <a:schemeClr val="accent1"/>
            </a:solidFill>
            <a:ln>
              <a:noFill/>
            </a:ln>
            <a:effectLst/>
          </c:spPr>
          <c:invertIfNegative val="0"/>
          <c:cat>
            <c:strRef>
              <c:f>'Pivot Table'!$AH$5:$AH$9</c:f>
              <c:strCache>
                <c:ptCount val="5"/>
                <c:pt idx="0">
                  <c:v>Building Materials</c:v>
                </c:pt>
                <c:pt idx="1">
                  <c:v>Electrical</c:v>
                </c:pt>
                <c:pt idx="2">
                  <c:v>Hardware</c:v>
                </c:pt>
                <c:pt idx="3">
                  <c:v>Interior</c:v>
                </c:pt>
                <c:pt idx="4">
                  <c:v>Plumbing</c:v>
                </c:pt>
              </c:strCache>
            </c:strRef>
          </c:cat>
          <c:val>
            <c:numRef>
              <c:f>'Pivot Table'!$AI$5:$AI$9</c:f>
              <c:numCache>
                <c:formatCode>#,##0</c:formatCode>
                <c:ptCount val="5"/>
                <c:pt idx="0">
                  <c:v>37472928.670000032</c:v>
                </c:pt>
                <c:pt idx="1">
                  <c:v>36951937.289999984</c:v>
                </c:pt>
                <c:pt idx="2">
                  <c:v>38950744.630000055</c:v>
                </c:pt>
                <c:pt idx="3">
                  <c:v>38499755.269999944</c:v>
                </c:pt>
                <c:pt idx="4">
                  <c:v>35542863.31000001</c:v>
                </c:pt>
              </c:numCache>
            </c:numRef>
          </c:val>
          <c:extLst>
            <c:ext xmlns:c16="http://schemas.microsoft.com/office/drawing/2014/chart" uri="{C3380CC4-5D6E-409C-BE32-E72D297353CC}">
              <c16:uniqueId val="{00000000-6994-4616-B125-E284F0C5A9FB}"/>
            </c:ext>
          </c:extLst>
        </c:ser>
        <c:dLbls>
          <c:showLegendKey val="0"/>
          <c:showVal val="0"/>
          <c:showCatName val="0"/>
          <c:showSerName val="0"/>
          <c:showPercent val="0"/>
          <c:showBubbleSize val="0"/>
        </c:dLbls>
        <c:gapWidth val="150"/>
        <c:overlap val="100"/>
        <c:axId val="1871614816"/>
        <c:axId val="1871617312"/>
      </c:barChart>
      <c:catAx>
        <c:axId val="1871614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1617312"/>
        <c:crosses val="autoZero"/>
        <c:auto val="1"/>
        <c:lblAlgn val="ctr"/>
        <c:lblOffset val="100"/>
        <c:noMultiLvlLbl val="0"/>
      </c:catAx>
      <c:valAx>
        <c:axId val="1871617312"/>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871614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Table!PivotTable3</c:name>
    <c:fmtId val="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3E368A"/>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6823622047244092"/>
          <c:y val="4.5250516869748826E-2"/>
          <c:w val="0.61764484044757562"/>
          <c:h val="0.91580980343558749"/>
        </c:manualLayout>
      </c:layout>
      <c:barChart>
        <c:barDir val="bar"/>
        <c:grouping val="clustered"/>
        <c:varyColors val="0"/>
        <c:ser>
          <c:idx val="0"/>
          <c:order val="0"/>
          <c:tx>
            <c:strRef>
              <c:f>'Pivot Table'!$L$4</c:f>
              <c:strCache>
                <c:ptCount val="1"/>
                <c:pt idx="0">
                  <c:v>Total</c:v>
                </c:pt>
              </c:strCache>
            </c:strRef>
          </c:tx>
          <c:spPr>
            <a:solidFill>
              <a:srgbClr val="3E368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Table'!$K$5:$K$21</c:f>
              <c:strCache>
                <c:ptCount val="17"/>
                <c:pt idx="0">
                  <c:v>Wallpaper Roll</c:v>
                </c:pt>
                <c:pt idx="1">
                  <c:v>Window Glass</c:v>
                </c:pt>
                <c:pt idx="2">
                  <c:v>Floor Tiles</c:v>
                </c:pt>
                <c:pt idx="3">
                  <c:v>Toilet Seat</c:v>
                </c:pt>
                <c:pt idx="4">
                  <c:v>Paint Bucket</c:v>
                </c:pt>
                <c:pt idx="5">
                  <c:v>Switch Box</c:v>
                </c:pt>
                <c:pt idx="6">
                  <c:v>Ceiling Board</c:v>
                </c:pt>
                <c:pt idx="7">
                  <c:v>Door Frame</c:v>
                </c:pt>
                <c:pt idx="8">
                  <c:v>Shower Set</c:v>
                </c:pt>
                <c:pt idx="9">
                  <c:v>PVC Pipe</c:v>
                </c:pt>
                <c:pt idx="10">
                  <c:v>Roofing Sheet</c:v>
                </c:pt>
                <c:pt idx="11">
                  <c:v>Bulb Pack</c:v>
                </c:pt>
                <c:pt idx="12">
                  <c:v>Cement Bag</c:v>
                </c:pt>
                <c:pt idx="13">
                  <c:v>Electrical Cable</c:v>
                </c:pt>
                <c:pt idx="14">
                  <c:v>Water Heater</c:v>
                </c:pt>
                <c:pt idx="15">
                  <c:v>Concrete Block</c:v>
                </c:pt>
                <c:pt idx="16">
                  <c:v>Kitchen Sink</c:v>
                </c:pt>
              </c:strCache>
            </c:strRef>
          </c:cat>
          <c:val>
            <c:numRef>
              <c:f>'Pivot Table'!$L$5:$L$21</c:f>
              <c:numCache>
                <c:formatCode>#,##0</c:formatCode>
                <c:ptCount val="17"/>
                <c:pt idx="0">
                  <c:v>133</c:v>
                </c:pt>
                <c:pt idx="1">
                  <c:v>137</c:v>
                </c:pt>
                <c:pt idx="2">
                  <c:v>142</c:v>
                </c:pt>
                <c:pt idx="3">
                  <c:v>166</c:v>
                </c:pt>
                <c:pt idx="4">
                  <c:v>168</c:v>
                </c:pt>
                <c:pt idx="5">
                  <c:v>168</c:v>
                </c:pt>
                <c:pt idx="6">
                  <c:v>169</c:v>
                </c:pt>
                <c:pt idx="7">
                  <c:v>170</c:v>
                </c:pt>
                <c:pt idx="8">
                  <c:v>170</c:v>
                </c:pt>
                <c:pt idx="9">
                  <c:v>180</c:v>
                </c:pt>
                <c:pt idx="10">
                  <c:v>181</c:v>
                </c:pt>
                <c:pt idx="11">
                  <c:v>197</c:v>
                </c:pt>
                <c:pt idx="12">
                  <c:v>199</c:v>
                </c:pt>
                <c:pt idx="13">
                  <c:v>200</c:v>
                </c:pt>
                <c:pt idx="14">
                  <c:v>203</c:v>
                </c:pt>
                <c:pt idx="15">
                  <c:v>204</c:v>
                </c:pt>
                <c:pt idx="16">
                  <c:v>213</c:v>
                </c:pt>
              </c:numCache>
            </c:numRef>
          </c:val>
          <c:extLst>
            <c:ext xmlns:c16="http://schemas.microsoft.com/office/drawing/2014/chart" uri="{C3380CC4-5D6E-409C-BE32-E72D297353CC}">
              <c16:uniqueId val="{00000001-E2BF-4266-89A4-0E91B767483B}"/>
            </c:ext>
          </c:extLst>
        </c:ser>
        <c:dLbls>
          <c:dLblPos val="outEnd"/>
          <c:showLegendKey val="0"/>
          <c:showVal val="1"/>
          <c:showCatName val="0"/>
          <c:showSerName val="0"/>
          <c:showPercent val="0"/>
          <c:showBubbleSize val="0"/>
        </c:dLbls>
        <c:gapWidth val="66"/>
        <c:axId val="599137391"/>
        <c:axId val="599132815"/>
      </c:barChart>
      <c:catAx>
        <c:axId val="59913739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132815"/>
        <c:crosses val="autoZero"/>
        <c:auto val="1"/>
        <c:lblAlgn val="ctr"/>
        <c:lblOffset val="100"/>
        <c:noMultiLvlLbl val="0"/>
      </c:catAx>
      <c:valAx>
        <c:axId val="599132815"/>
        <c:scaling>
          <c:orientation val="minMax"/>
        </c:scaling>
        <c:delete val="1"/>
        <c:axPos val="b"/>
        <c:numFmt formatCode="#,##0" sourceLinked="1"/>
        <c:majorTickMark val="none"/>
        <c:minorTickMark val="none"/>
        <c:tickLblPos val="nextTo"/>
        <c:crossAx val="5991373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Table!PivotTable9</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3E368A"/>
          </a:solidFill>
          <a:ln>
            <a:noFill/>
          </a:ln>
          <a:effectLst/>
        </c:spPr>
        <c:marker>
          <c:symbol val="none"/>
        </c:marker>
        <c:dLbl>
          <c:idx val="0"/>
          <c:layout/>
          <c:numFmt formatCode="General" sourceLinked="0"/>
          <c:spPr>
            <a:solidFill>
              <a:schemeClr val="bg1">
                <a:lumMod val="95000"/>
                <a:alpha val="91000"/>
              </a:schemeClr>
            </a:solidFill>
            <a:ln>
              <a:noFill/>
            </a:ln>
            <a:effectLst/>
          </c:spPr>
          <c:txPr>
            <a:bodyPr rot="0" spcFirstLastPara="1" vertOverflow="ellipsis" vert="horz" wrap="square" lIns="182880" tIns="19050" rIns="182880" bIns="19050" anchor="ctr" anchorCtr="1">
              <a:sp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ext>
          </c:extLst>
        </c:dLbl>
      </c:pivotFmt>
      <c:pivotFmt>
        <c:idx val="3"/>
        <c:spPr>
          <a:solidFill>
            <a:srgbClr val="3E368A"/>
          </a:solidFill>
          <a:ln>
            <a:noFill/>
          </a:ln>
          <a:effectLst/>
        </c:spPr>
        <c:dLbl>
          <c:idx val="0"/>
          <c:layout/>
          <c:numFmt formatCode="General" sourceLinked="0"/>
          <c:spPr>
            <a:solidFill>
              <a:schemeClr val="bg1">
                <a:lumMod val="95000"/>
                <a:alpha val="91000"/>
              </a:schemeClr>
            </a:solidFill>
            <a:ln>
              <a:noFill/>
            </a:ln>
            <a:effectLst/>
          </c:spPr>
          <c:txPr>
            <a:bodyPr rot="0" spcFirstLastPara="1" vertOverflow="clip" horzOverflow="clip" wrap="square" lIns="182880" tIns="19050" rIns="182880" bIns="19050" anchor="ctr" anchorCtr="1">
              <a:no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9.3391012099097365E-2"/>
                  <c:h val="0.19314722023383443"/>
                </c:manualLayout>
              </c15:layout>
            </c:ext>
          </c:extLst>
        </c:dLbl>
      </c:pivotFmt>
      <c:pivotFmt>
        <c:idx val="4"/>
        <c:spPr>
          <a:solidFill>
            <a:srgbClr val="3E368A"/>
          </a:solidFill>
          <a:ln>
            <a:noFill/>
          </a:ln>
          <a:effectLst/>
        </c:spPr>
        <c:dLbl>
          <c:idx val="0"/>
          <c:layout/>
          <c:numFmt formatCode="General" sourceLinked="0"/>
          <c:spPr>
            <a:solidFill>
              <a:schemeClr val="bg1">
                <a:lumMod val="95000"/>
                <a:alpha val="91000"/>
              </a:schemeClr>
            </a:solidFill>
            <a:ln>
              <a:noFill/>
            </a:ln>
            <a:effectLst/>
          </c:spPr>
          <c:txPr>
            <a:bodyPr rot="0" spcFirstLastPara="1" vertOverflow="ellipsis" vert="horz" wrap="square" lIns="91440" tIns="19050" rIns="91440" bIns="19050" anchor="ctr" anchorCtr="1">
              <a:no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8.7853658536585361E-2"/>
                  <c:h val="0.1628441899308041"/>
                </c:manualLayout>
              </c15:layout>
            </c:ext>
          </c:extLst>
        </c:dLbl>
      </c:pivotFmt>
      <c:pivotFmt>
        <c:idx val="5"/>
      </c:pivotFmt>
      <c:pivotFmt>
        <c:idx val="6"/>
      </c:pivotFmt>
      <c:pivotFmt>
        <c:idx val="7"/>
        <c:spPr>
          <a:solidFill>
            <a:srgbClr val="3E368A"/>
          </a:solidFill>
          <a:ln>
            <a:noFill/>
          </a:ln>
          <a:effectLst/>
        </c:spPr>
        <c:dLbl>
          <c:idx val="0"/>
          <c:layout/>
          <c:numFmt formatCode="General" sourceLinked="0"/>
          <c:spPr>
            <a:solidFill>
              <a:schemeClr val="bg1">
                <a:lumMod val="95000"/>
                <a:alpha val="91000"/>
              </a:schemeClr>
            </a:solidFill>
            <a:ln>
              <a:noFill/>
            </a:ln>
            <a:effectLst/>
          </c:spPr>
          <c:txPr>
            <a:bodyPr rot="0" spcFirstLastPara="1" vertOverflow="ellipsis" vert="horz" wrap="square" lIns="91440" tIns="19050" rIns="91440" bIns="19050" anchor="ctr" anchorCtr="1">
              <a:no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9.0292682926829265E-2"/>
                  <c:h val="0.18585858585858583"/>
                </c:manualLayout>
              </c15:layout>
            </c:ext>
          </c:extLst>
        </c:dLbl>
      </c:pivotFmt>
    </c:pivotFmts>
    <c:plotArea>
      <c:layout>
        <c:manualLayout>
          <c:layoutTarget val="inner"/>
          <c:xMode val="edge"/>
          <c:yMode val="edge"/>
          <c:x val="0.1183781487894926"/>
          <c:y val="3.8544019087729843E-2"/>
          <c:w val="0.75124294219320142"/>
          <c:h val="0.75666073030016867"/>
        </c:manualLayout>
      </c:layout>
      <c:barChart>
        <c:barDir val="col"/>
        <c:grouping val="clustered"/>
        <c:varyColors val="0"/>
        <c:ser>
          <c:idx val="0"/>
          <c:order val="0"/>
          <c:tx>
            <c:strRef>
              <c:f>'Pivot Table'!$R$7</c:f>
              <c:strCache>
                <c:ptCount val="1"/>
                <c:pt idx="0">
                  <c:v>Total</c:v>
                </c:pt>
              </c:strCache>
            </c:strRef>
          </c:tx>
          <c:spPr>
            <a:solidFill>
              <a:srgbClr val="3E368A"/>
            </a:solidFill>
            <a:ln>
              <a:noFill/>
            </a:ln>
            <a:effectLst/>
          </c:spPr>
          <c:invertIfNegative val="0"/>
          <c:dPt>
            <c:idx val="0"/>
            <c:invertIfNegative val="0"/>
            <c:bubble3D val="0"/>
            <c:extLst>
              <c:ext xmlns:c16="http://schemas.microsoft.com/office/drawing/2014/chart" uri="{C3380CC4-5D6E-409C-BE32-E72D297353CC}">
                <c16:uniqueId val="{00000005-0C21-4C98-A6F4-D4B9D1DE7247}"/>
              </c:ext>
            </c:extLst>
          </c:dPt>
          <c:dPt>
            <c:idx val="3"/>
            <c:invertIfNegative val="0"/>
            <c:bubble3D val="0"/>
            <c:extLst>
              <c:ext xmlns:c16="http://schemas.microsoft.com/office/drawing/2014/chart" uri="{C3380CC4-5D6E-409C-BE32-E72D297353CC}">
                <c16:uniqueId val="{00000002-0C21-4C98-A6F4-D4B9D1DE7247}"/>
              </c:ext>
            </c:extLst>
          </c:dPt>
          <c:dPt>
            <c:idx val="4"/>
            <c:invertIfNegative val="0"/>
            <c:bubble3D val="0"/>
            <c:extLst>
              <c:ext xmlns:c16="http://schemas.microsoft.com/office/drawing/2014/chart" uri="{C3380CC4-5D6E-409C-BE32-E72D297353CC}">
                <c16:uniqueId val="{00000001-0C21-4C98-A6F4-D4B9D1DE7247}"/>
              </c:ext>
            </c:extLst>
          </c:dPt>
          <c:dLbls>
            <c:dLbl>
              <c:idx val="0"/>
              <c:layout/>
              <c:numFmt formatCode="General" sourceLinked="0"/>
              <c:spPr>
                <a:solidFill>
                  <a:schemeClr val="bg1">
                    <a:lumMod val="95000"/>
                    <a:alpha val="91000"/>
                  </a:schemeClr>
                </a:solidFill>
                <a:ln>
                  <a:noFill/>
                </a:ln>
                <a:effectLst/>
              </c:spPr>
              <c:txPr>
                <a:bodyPr rot="0" spcFirstLastPara="1" vertOverflow="ellipsis" vert="horz" wrap="square" lIns="91440" tIns="19050" rIns="91440" bIns="19050" anchor="ctr" anchorCtr="1">
                  <a:no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9.0292682926829265E-2"/>
                      <c:h val="0.18585858585858583"/>
                    </c:manualLayout>
                  </c15:layout>
                </c:ext>
                <c:ext xmlns:c16="http://schemas.microsoft.com/office/drawing/2014/chart" uri="{C3380CC4-5D6E-409C-BE32-E72D297353CC}">
                  <c16:uniqueId val="{00000005-0C21-4C98-A6F4-D4B9D1DE7247}"/>
                </c:ext>
              </c:extLst>
            </c:dLbl>
            <c:dLbl>
              <c:idx val="3"/>
              <c:layout/>
              <c:numFmt formatCode="General" sourceLinked="0"/>
              <c:spPr>
                <a:solidFill>
                  <a:schemeClr val="bg1">
                    <a:lumMod val="95000"/>
                    <a:alpha val="91000"/>
                  </a:schemeClr>
                </a:solidFill>
                <a:ln>
                  <a:noFill/>
                </a:ln>
                <a:effectLst/>
              </c:spPr>
              <c:txPr>
                <a:bodyPr rot="0" spcFirstLastPara="1" vertOverflow="ellipsis" vert="horz" wrap="square" lIns="91440" tIns="19050" rIns="91440" bIns="19050" anchor="ctr" anchorCtr="1">
                  <a:no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8.7853658536585361E-2"/>
                      <c:h val="0.1628441899308041"/>
                    </c:manualLayout>
                  </c15:layout>
                </c:ext>
                <c:ext xmlns:c16="http://schemas.microsoft.com/office/drawing/2014/chart" uri="{C3380CC4-5D6E-409C-BE32-E72D297353CC}">
                  <c16:uniqueId val="{00000002-0C21-4C98-A6F4-D4B9D1DE7247}"/>
                </c:ext>
              </c:extLst>
            </c:dLbl>
            <c:dLbl>
              <c:idx val="4"/>
              <c:layout/>
              <c:numFmt formatCode="General" sourceLinked="0"/>
              <c:spPr>
                <a:solidFill>
                  <a:schemeClr val="bg1">
                    <a:lumMod val="95000"/>
                    <a:alpha val="91000"/>
                  </a:schemeClr>
                </a:solidFill>
                <a:ln>
                  <a:noFill/>
                </a:ln>
                <a:effectLst/>
              </c:spPr>
              <c:txPr>
                <a:bodyPr rot="0" spcFirstLastPara="1" vertOverflow="clip" horzOverflow="clip" wrap="square" lIns="182880" tIns="19050" rIns="182880" bIns="19050" anchor="ctr" anchorCtr="1">
                  <a:no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9.3391012099097365E-2"/>
                      <c:h val="0.19314722023383443"/>
                    </c:manualLayout>
                  </c15:layout>
                </c:ext>
                <c:ext xmlns:c16="http://schemas.microsoft.com/office/drawing/2014/chart" uri="{C3380CC4-5D6E-409C-BE32-E72D297353CC}">
                  <c16:uniqueId val="{00000001-0C21-4C98-A6F4-D4B9D1DE7247}"/>
                </c:ext>
              </c:extLst>
            </c:dLbl>
            <c:numFmt formatCode="General" sourceLinked="0"/>
            <c:spPr>
              <a:solidFill>
                <a:schemeClr val="bg1">
                  <a:lumMod val="95000"/>
                  <a:alpha val="91000"/>
                </a:schemeClr>
              </a:solidFill>
              <a:ln>
                <a:noFill/>
              </a:ln>
              <a:effectLst/>
            </c:spPr>
            <c:txPr>
              <a:bodyPr rot="0" spcFirstLastPara="1" vertOverflow="ellipsis" vert="horz" wrap="square" lIns="182880" tIns="19050" rIns="182880" bIns="19050" anchor="ctr" anchorCtr="1">
                <a:sp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cat>
            <c:strRef>
              <c:f>'Pivot Table'!$Q$8:$Q$12</c:f>
              <c:strCache>
                <c:ptCount val="5"/>
                <c:pt idx="0">
                  <c:v>Electrical</c:v>
                </c:pt>
                <c:pt idx="1">
                  <c:v>Hardware</c:v>
                </c:pt>
                <c:pt idx="2">
                  <c:v>Building Materials</c:v>
                </c:pt>
                <c:pt idx="3">
                  <c:v>Interior</c:v>
                </c:pt>
                <c:pt idx="4">
                  <c:v>Plumbing</c:v>
                </c:pt>
              </c:strCache>
            </c:strRef>
          </c:cat>
          <c:val>
            <c:numRef>
              <c:f>'Pivot Table'!$R$8:$R$12</c:f>
              <c:numCache>
                <c:formatCode>#,##0</c:formatCode>
                <c:ptCount val="5"/>
                <c:pt idx="0">
                  <c:v>95</c:v>
                </c:pt>
                <c:pt idx="1">
                  <c:v>95</c:v>
                </c:pt>
                <c:pt idx="2">
                  <c:v>86</c:v>
                </c:pt>
                <c:pt idx="3">
                  <c:v>78</c:v>
                </c:pt>
                <c:pt idx="4">
                  <c:v>75</c:v>
                </c:pt>
              </c:numCache>
            </c:numRef>
          </c:val>
          <c:extLst>
            <c:ext xmlns:c16="http://schemas.microsoft.com/office/drawing/2014/chart" uri="{C3380CC4-5D6E-409C-BE32-E72D297353CC}">
              <c16:uniqueId val="{00000000-0C21-4C98-A6F4-D4B9D1DE7247}"/>
            </c:ext>
          </c:extLst>
        </c:ser>
        <c:dLbls>
          <c:dLblPos val="inEnd"/>
          <c:showLegendKey val="0"/>
          <c:showVal val="1"/>
          <c:showCatName val="0"/>
          <c:showSerName val="0"/>
          <c:showPercent val="0"/>
          <c:showBubbleSize val="0"/>
        </c:dLbls>
        <c:gapWidth val="91"/>
        <c:overlap val="-27"/>
        <c:axId val="788901871"/>
        <c:axId val="788895215"/>
      </c:barChart>
      <c:catAx>
        <c:axId val="788901871"/>
        <c:scaling>
          <c:orientation val="minMax"/>
        </c:scaling>
        <c:delete val="0"/>
        <c:axPos val="b"/>
        <c:numFmt formatCode="General" sourceLinked="1"/>
        <c:majorTickMark val="none"/>
        <c:minorTickMark val="none"/>
        <c:tickLblPos val="nextTo"/>
        <c:spPr>
          <a:noFill/>
          <a:ln w="19050" cap="flat" cmpd="sng" algn="ctr">
            <a:solidFill>
              <a:schemeClr val="tx1">
                <a:lumMod val="65000"/>
                <a:lumOff val="35000"/>
                <a:alpha val="98000"/>
              </a:schemeClr>
            </a:solidFill>
            <a:round/>
          </a:ln>
          <a:effectLst>
            <a:outerShdw dist="50800" dir="5400000" sx="1000" sy="1000" algn="ctr" rotWithShape="0">
              <a:srgbClr val="000000">
                <a:alpha val="43137"/>
              </a:srgbClr>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effectLst>
                  <a:outerShdw dist="50800" dir="5400000" algn="ctr" rotWithShape="0">
                    <a:srgbClr val="000000">
                      <a:alpha val="43137"/>
                    </a:srgbClr>
                  </a:outerShdw>
                </a:effectLst>
                <a:latin typeface="+mn-lt"/>
                <a:ea typeface="+mn-ea"/>
                <a:cs typeface="+mn-cs"/>
              </a:defRPr>
            </a:pPr>
            <a:endParaRPr lang="en-US"/>
          </a:p>
        </c:txPr>
        <c:crossAx val="788895215"/>
        <c:crosses val="autoZero"/>
        <c:auto val="1"/>
        <c:lblAlgn val="ctr"/>
        <c:lblOffset val="100"/>
        <c:noMultiLvlLbl val="0"/>
      </c:catAx>
      <c:valAx>
        <c:axId val="788895215"/>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7889018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Table!PivotTable10</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93090"/>
          </a:solidFill>
          <a:ln>
            <a:noFill/>
          </a:ln>
          <a:effectLst/>
        </c:spPr>
        <c:marker>
          <c:symbol val="none"/>
        </c:marker>
        <c:dLbl>
          <c:idx val="0"/>
          <c:layout/>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9790637215478708"/>
          <c:y val="7.3235397814079187E-2"/>
          <c:w val="0.60209380349195485"/>
          <c:h val="0.88156598895287341"/>
        </c:manualLayout>
      </c:layout>
      <c:barChart>
        <c:barDir val="bar"/>
        <c:grouping val="clustered"/>
        <c:varyColors val="0"/>
        <c:ser>
          <c:idx val="0"/>
          <c:order val="0"/>
          <c:tx>
            <c:strRef>
              <c:f>'Pivot Table'!$R$17</c:f>
              <c:strCache>
                <c:ptCount val="1"/>
                <c:pt idx="0">
                  <c:v>Total</c:v>
                </c:pt>
              </c:strCache>
            </c:strRef>
          </c:tx>
          <c:spPr>
            <a:solidFill>
              <a:srgbClr val="393090"/>
            </a:solidFill>
            <a:ln>
              <a:noFill/>
            </a:ln>
            <a:effectLst/>
          </c:spPr>
          <c:invertIfNegative val="0"/>
          <c:dLbls>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E368A"/>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Table'!$Q$18:$Q$22</c:f>
              <c:strCache>
                <c:ptCount val="5"/>
                <c:pt idx="0">
                  <c:v>Alpha Materials</c:v>
                </c:pt>
                <c:pt idx="1">
                  <c:v>Konga Wholesale</c:v>
                </c:pt>
                <c:pt idx="2">
                  <c:v>FixRight Depot</c:v>
                </c:pt>
                <c:pt idx="3">
                  <c:v>Jumia Supplies</c:v>
                </c:pt>
                <c:pt idx="4">
                  <c:v>MegaBuild Ltd</c:v>
                </c:pt>
              </c:strCache>
            </c:strRef>
          </c:cat>
          <c:val>
            <c:numRef>
              <c:f>'Pivot Table'!$R$18:$R$22</c:f>
              <c:numCache>
                <c:formatCode>#,##0</c:formatCode>
                <c:ptCount val="5"/>
                <c:pt idx="0">
                  <c:v>563</c:v>
                </c:pt>
                <c:pt idx="1">
                  <c:v>585</c:v>
                </c:pt>
                <c:pt idx="2">
                  <c:v>611</c:v>
                </c:pt>
                <c:pt idx="3">
                  <c:v>613</c:v>
                </c:pt>
                <c:pt idx="4">
                  <c:v>628</c:v>
                </c:pt>
              </c:numCache>
            </c:numRef>
          </c:val>
          <c:extLst>
            <c:ext xmlns:c16="http://schemas.microsoft.com/office/drawing/2014/chart" uri="{C3380CC4-5D6E-409C-BE32-E72D297353CC}">
              <c16:uniqueId val="{00000000-62E5-46EF-8934-6604440E89A1}"/>
            </c:ext>
          </c:extLst>
        </c:ser>
        <c:dLbls>
          <c:dLblPos val="outEnd"/>
          <c:showLegendKey val="0"/>
          <c:showVal val="1"/>
          <c:showCatName val="0"/>
          <c:showSerName val="0"/>
          <c:showPercent val="0"/>
          <c:showBubbleSize val="0"/>
        </c:dLbls>
        <c:gapWidth val="62"/>
        <c:axId val="788896463"/>
        <c:axId val="788892303"/>
      </c:barChart>
      <c:catAx>
        <c:axId val="78889646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92303"/>
        <c:crosses val="autoZero"/>
        <c:auto val="1"/>
        <c:lblAlgn val="ctr"/>
        <c:lblOffset val="100"/>
        <c:noMultiLvlLbl val="0"/>
      </c:catAx>
      <c:valAx>
        <c:axId val="788892303"/>
        <c:scaling>
          <c:orientation val="minMax"/>
        </c:scaling>
        <c:delete val="1"/>
        <c:axPos val="b"/>
        <c:numFmt formatCode="#,##0" sourceLinked="1"/>
        <c:majorTickMark val="none"/>
        <c:minorTickMark val="none"/>
        <c:tickLblPos val="nextTo"/>
        <c:crossAx val="7888964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Table!PivotTable11</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393090"/>
          </a:solidFill>
          <a:ln>
            <a:noFill/>
          </a:ln>
          <a:effectLst/>
        </c:spPr>
        <c:marker>
          <c:symbol val="none"/>
        </c:marker>
        <c:dLbl>
          <c:idx val="0"/>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93090"/>
          </a:solidFill>
          <a:ln>
            <a:noFill/>
          </a:ln>
          <a:effectLst/>
        </c:spPr>
        <c:dLbl>
          <c:idx val="0"/>
          <c:layout/>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2457919395589573"/>
                  <c:h val="0.22803652968036531"/>
                </c:manualLayout>
              </c15:layout>
            </c:ext>
          </c:extLst>
        </c:dLbl>
      </c:pivotFmt>
      <c:pivotFmt>
        <c:idx val="4"/>
        <c:spPr>
          <a:solidFill>
            <a:srgbClr val="393090"/>
          </a:solidFill>
          <a:ln>
            <a:noFill/>
          </a:ln>
          <a:effectLst/>
        </c:spPr>
        <c:dLbl>
          <c:idx val="0"/>
          <c:layout/>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6819290112100475"/>
                  <c:h val="0.22803652968036531"/>
                </c:manualLayout>
              </c15:layout>
            </c:ext>
          </c:extLst>
        </c:dLbl>
      </c:pivotFmt>
      <c:pivotFmt>
        <c:idx val="5"/>
        <c:spPr>
          <a:solidFill>
            <a:srgbClr val="393090"/>
          </a:solidFill>
          <a:ln>
            <a:noFill/>
          </a:ln>
          <a:effectLst/>
        </c:spPr>
        <c:dLbl>
          <c:idx val="0"/>
          <c:layout/>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3704025314592692"/>
                  <c:h val="0.22803652968036531"/>
                </c:manualLayout>
              </c15:layout>
            </c:ext>
          </c:extLst>
        </c:dLbl>
      </c:pivotFmt>
    </c:pivotFmts>
    <c:plotArea>
      <c:layout/>
      <c:barChart>
        <c:barDir val="col"/>
        <c:grouping val="clustered"/>
        <c:varyColors val="0"/>
        <c:ser>
          <c:idx val="0"/>
          <c:order val="0"/>
          <c:tx>
            <c:strRef>
              <c:f>'Pivot Table'!$Y$5</c:f>
              <c:strCache>
                <c:ptCount val="1"/>
                <c:pt idx="0">
                  <c:v>Total</c:v>
                </c:pt>
              </c:strCache>
            </c:strRef>
          </c:tx>
          <c:spPr>
            <a:solidFill>
              <a:srgbClr val="393090"/>
            </a:solidFill>
            <a:ln>
              <a:noFill/>
            </a:ln>
            <a:effectLst/>
          </c:spPr>
          <c:invertIfNegative val="0"/>
          <c:dPt>
            <c:idx val="0"/>
            <c:invertIfNegative val="0"/>
            <c:bubble3D val="0"/>
            <c:spPr>
              <a:solidFill>
                <a:srgbClr val="393090"/>
              </a:solidFill>
              <a:ln>
                <a:noFill/>
              </a:ln>
              <a:effectLst/>
            </c:spPr>
            <c:extLst>
              <c:ext xmlns:c16="http://schemas.microsoft.com/office/drawing/2014/chart" uri="{C3380CC4-5D6E-409C-BE32-E72D297353CC}">
                <c16:uniqueId val="{00000004-07F4-4E7B-B4B5-4C332DFC590F}"/>
              </c:ext>
            </c:extLst>
          </c:dPt>
          <c:dPt>
            <c:idx val="1"/>
            <c:invertIfNegative val="0"/>
            <c:bubble3D val="0"/>
            <c:spPr>
              <a:solidFill>
                <a:srgbClr val="393090"/>
              </a:solidFill>
              <a:ln>
                <a:noFill/>
              </a:ln>
              <a:effectLst/>
            </c:spPr>
            <c:extLst>
              <c:ext xmlns:c16="http://schemas.microsoft.com/office/drawing/2014/chart" uri="{C3380CC4-5D6E-409C-BE32-E72D297353CC}">
                <c16:uniqueId val="{00000003-07F4-4E7B-B4B5-4C332DFC590F}"/>
              </c:ext>
            </c:extLst>
          </c:dPt>
          <c:dPt>
            <c:idx val="2"/>
            <c:invertIfNegative val="0"/>
            <c:bubble3D val="0"/>
            <c:spPr>
              <a:solidFill>
                <a:srgbClr val="393090"/>
              </a:solidFill>
              <a:ln>
                <a:noFill/>
              </a:ln>
              <a:effectLst/>
            </c:spPr>
            <c:extLst>
              <c:ext xmlns:c16="http://schemas.microsoft.com/office/drawing/2014/chart" uri="{C3380CC4-5D6E-409C-BE32-E72D297353CC}">
                <c16:uniqueId val="{00000002-07F4-4E7B-B4B5-4C332DFC590F}"/>
              </c:ext>
            </c:extLst>
          </c:dPt>
          <c:dLbls>
            <c:dLbl>
              <c:idx val="0"/>
              <c:layout/>
              <c:dLblPos val="inEnd"/>
              <c:showLegendKey val="0"/>
              <c:showVal val="1"/>
              <c:showCatName val="0"/>
              <c:showSerName val="0"/>
              <c:showPercent val="0"/>
              <c:showBubbleSize val="0"/>
              <c:extLst>
                <c:ext xmlns:c15="http://schemas.microsoft.com/office/drawing/2012/chart" uri="{CE6537A1-D6FC-4f65-9D91-7224C49458BB}">
                  <c15:layout>
                    <c:manualLayout>
                      <c:w val="0.23704025314592692"/>
                      <c:h val="0.22803652968036531"/>
                    </c:manualLayout>
                  </c15:layout>
                </c:ext>
                <c:ext xmlns:c16="http://schemas.microsoft.com/office/drawing/2014/chart" uri="{C3380CC4-5D6E-409C-BE32-E72D297353CC}">
                  <c16:uniqueId val="{00000004-07F4-4E7B-B4B5-4C332DFC590F}"/>
                </c:ext>
              </c:extLst>
            </c:dLbl>
            <c:dLbl>
              <c:idx val="1"/>
              <c:layout/>
              <c:dLblPos val="inEnd"/>
              <c:showLegendKey val="0"/>
              <c:showVal val="1"/>
              <c:showCatName val="0"/>
              <c:showSerName val="0"/>
              <c:showPercent val="0"/>
              <c:showBubbleSize val="0"/>
              <c:extLst>
                <c:ext xmlns:c15="http://schemas.microsoft.com/office/drawing/2012/chart" uri="{CE6537A1-D6FC-4f65-9D91-7224C49458BB}">
                  <c15:layout>
                    <c:manualLayout>
                      <c:w val="0.26819290112100475"/>
                      <c:h val="0.22803652968036531"/>
                    </c:manualLayout>
                  </c15:layout>
                </c:ext>
                <c:ext xmlns:c16="http://schemas.microsoft.com/office/drawing/2014/chart" uri="{C3380CC4-5D6E-409C-BE32-E72D297353CC}">
                  <c16:uniqueId val="{00000003-07F4-4E7B-B4B5-4C332DFC590F}"/>
                </c:ext>
              </c:extLst>
            </c:dLbl>
            <c:dLbl>
              <c:idx val="2"/>
              <c:layout/>
              <c:dLblPos val="inEnd"/>
              <c:showLegendKey val="0"/>
              <c:showVal val="1"/>
              <c:showCatName val="0"/>
              <c:showSerName val="0"/>
              <c:showPercent val="0"/>
              <c:showBubbleSize val="0"/>
              <c:extLst>
                <c:ext xmlns:c15="http://schemas.microsoft.com/office/drawing/2012/chart" uri="{CE6537A1-D6FC-4f65-9D91-7224C49458BB}">
                  <c15:layout>
                    <c:manualLayout>
                      <c:w val="0.22457919395589573"/>
                      <c:h val="0.22803652968036531"/>
                    </c:manualLayout>
                  </c15:layout>
                </c:ext>
                <c:ext xmlns:c16="http://schemas.microsoft.com/office/drawing/2014/chart" uri="{C3380CC4-5D6E-409C-BE32-E72D297353CC}">
                  <c16:uniqueId val="{00000002-07F4-4E7B-B4B5-4C332DFC590F}"/>
                </c:ext>
              </c:extLst>
            </c:dLbl>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Table'!$X$6:$X$8</c:f>
              <c:strCache>
                <c:ptCount val="3"/>
                <c:pt idx="0">
                  <c:v>Warehouse A</c:v>
                </c:pt>
                <c:pt idx="1">
                  <c:v>Warehouse C</c:v>
                </c:pt>
                <c:pt idx="2">
                  <c:v>Warehouse B</c:v>
                </c:pt>
              </c:strCache>
            </c:strRef>
          </c:cat>
          <c:val>
            <c:numRef>
              <c:f>'Pivot Table'!$Y$6:$Y$8</c:f>
              <c:numCache>
                <c:formatCode>#,##0</c:formatCode>
                <c:ptCount val="3"/>
                <c:pt idx="0">
                  <c:v>252361</c:v>
                </c:pt>
                <c:pt idx="1">
                  <c:v>250786</c:v>
                </c:pt>
                <c:pt idx="2">
                  <c:v>249274</c:v>
                </c:pt>
              </c:numCache>
            </c:numRef>
          </c:val>
          <c:extLst>
            <c:ext xmlns:c16="http://schemas.microsoft.com/office/drawing/2014/chart" uri="{C3380CC4-5D6E-409C-BE32-E72D297353CC}">
              <c16:uniqueId val="{00000000-07F4-4E7B-B4B5-4C332DFC590F}"/>
            </c:ext>
          </c:extLst>
        </c:ser>
        <c:dLbls>
          <c:dLblPos val="outEnd"/>
          <c:showLegendKey val="0"/>
          <c:showVal val="1"/>
          <c:showCatName val="0"/>
          <c:showSerName val="0"/>
          <c:showPercent val="0"/>
          <c:showBubbleSize val="0"/>
        </c:dLbls>
        <c:gapWidth val="87"/>
        <c:overlap val="-27"/>
        <c:axId val="495720959"/>
        <c:axId val="495716383"/>
      </c:barChart>
      <c:catAx>
        <c:axId val="49572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716383"/>
        <c:crosses val="autoZero"/>
        <c:auto val="1"/>
        <c:lblAlgn val="ctr"/>
        <c:lblOffset val="100"/>
        <c:noMultiLvlLbl val="0"/>
      </c:catAx>
      <c:valAx>
        <c:axId val="495716383"/>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95720959"/>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Sales Dashboard.xlsm]Pivot Table!PivotTable14</c:name>
    <c:fmtId val="3"/>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pivotFmt>
      <c:pivotFmt>
        <c:idx val="5"/>
        <c:spPr>
          <a:solidFill>
            <a:srgbClr val="989A86"/>
          </a:solidFill>
          <a:ln w="19050">
            <a:noFill/>
          </a:ln>
          <a:effectLst/>
        </c:spPr>
      </c:pivotFmt>
      <c:pivotFmt>
        <c:idx val="6"/>
        <c:spPr>
          <a:solidFill>
            <a:srgbClr val="393090"/>
          </a:solidFill>
          <a:ln w="19050">
            <a:noFill/>
          </a:ln>
          <a:effectLst/>
        </c:spPr>
      </c:pivotFmt>
    </c:pivotFmts>
    <c:plotArea>
      <c:layout>
        <c:manualLayout>
          <c:layoutTarget val="inner"/>
          <c:xMode val="edge"/>
          <c:yMode val="edge"/>
          <c:x val="1.7746002608569636E-2"/>
          <c:y val="0.34037998981470602"/>
          <c:w val="0.53762169299389728"/>
          <c:h val="0.65397265640302427"/>
        </c:manualLayout>
      </c:layout>
      <c:pieChart>
        <c:varyColors val="1"/>
        <c:ser>
          <c:idx val="0"/>
          <c:order val="0"/>
          <c:tx>
            <c:strRef>
              <c:f>'Pivot Table'!$AC$6</c:f>
              <c:strCache>
                <c:ptCount val="1"/>
                <c:pt idx="0">
                  <c:v>Total</c:v>
                </c:pt>
              </c:strCache>
            </c:strRef>
          </c:tx>
          <c:spPr>
            <a:ln>
              <a:noFill/>
            </a:ln>
          </c:spPr>
          <c:explosion val="4"/>
          <c:dPt>
            <c:idx val="0"/>
            <c:bubble3D val="0"/>
            <c:spPr>
              <a:solidFill>
                <a:srgbClr val="989A86"/>
              </a:solidFill>
              <a:ln w="19050">
                <a:noFill/>
              </a:ln>
              <a:effectLst/>
            </c:spPr>
            <c:extLst>
              <c:ext xmlns:c16="http://schemas.microsoft.com/office/drawing/2014/chart" uri="{C3380CC4-5D6E-409C-BE32-E72D297353CC}">
                <c16:uniqueId val="{00000001-DB50-45E6-AF67-D65818C9CC1B}"/>
              </c:ext>
            </c:extLst>
          </c:dPt>
          <c:dPt>
            <c:idx val="1"/>
            <c:bubble3D val="0"/>
            <c:spPr>
              <a:solidFill>
                <a:srgbClr val="393090"/>
              </a:solidFill>
              <a:ln w="19050">
                <a:noFill/>
              </a:ln>
              <a:effectLst/>
            </c:spPr>
            <c:extLst>
              <c:ext xmlns:c16="http://schemas.microsoft.com/office/drawing/2014/chart" uri="{C3380CC4-5D6E-409C-BE32-E72D297353CC}">
                <c16:uniqueId val="{00000003-DB50-45E6-AF67-D65818C9CC1B}"/>
              </c:ext>
            </c:extLst>
          </c:dPt>
          <c:cat>
            <c:strRef>
              <c:f>'Pivot Table'!$AB$7:$AB$8</c:f>
              <c:strCache>
                <c:ptCount val="2"/>
                <c:pt idx="0">
                  <c:v>Okay</c:v>
                </c:pt>
                <c:pt idx="1">
                  <c:v>Overstock</c:v>
                </c:pt>
              </c:strCache>
            </c:strRef>
          </c:cat>
          <c:val>
            <c:numRef>
              <c:f>'Pivot Table'!$AC$7:$AC$8</c:f>
              <c:numCache>
                <c:formatCode>#,##0</c:formatCode>
                <c:ptCount val="2"/>
                <c:pt idx="0">
                  <c:v>1209</c:v>
                </c:pt>
                <c:pt idx="1">
                  <c:v>1791</c:v>
                </c:pt>
              </c:numCache>
            </c:numRef>
          </c:val>
          <c:extLst>
            <c:ext xmlns:c16="http://schemas.microsoft.com/office/drawing/2014/chart" uri="{C3380CC4-5D6E-409C-BE32-E72D297353CC}">
              <c16:uniqueId val="{00000004-DB50-45E6-AF67-D65818C9CC1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 Table'!$Y$26</c:f>
              <c:strCache>
                <c:ptCount val="1"/>
                <c:pt idx="0">
                  <c:v>Count of Reorder Products</c:v>
                </c:pt>
              </c:strCache>
            </c:strRef>
          </c:tx>
          <c:spPr>
            <a:solidFill>
              <a:srgbClr val="3E368A"/>
            </a:solidFill>
            <a:ln>
              <a:noFill/>
            </a:ln>
            <a:effectLst/>
          </c:spPr>
          <c:invertIfNegative val="0"/>
          <c:dLbls>
            <c:spPr>
              <a:solidFill>
                <a:schemeClr val="bg1">
                  <a:lumMod val="95000"/>
                  <a:alpha val="9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Table'!$X$27:$X$32</c:f>
              <c:strCache>
                <c:ptCount val="6"/>
                <c:pt idx="0">
                  <c:v>Floor Tiles</c:v>
                </c:pt>
                <c:pt idx="1">
                  <c:v>Water Heater</c:v>
                </c:pt>
                <c:pt idx="2">
                  <c:v>PVC Pipe</c:v>
                </c:pt>
                <c:pt idx="3">
                  <c:v>Shower Set</c:v>
                </c:pt>
                <c:pt idx="4">
                  <c:v>Ceiling Board</c:v>
                </c:pt>
                <c:pt idx="5">
                  <c:v>Wallpaper Roll</c:v>
                </c:pt>
              </c:strCache>
            </c:strRef>
          </c:cat>
          <c:val>
            <c:numRef>
              <c:f>'Pivot Table'!$Y$27:$Y$32</c:f>
              <c:numCache>
                <c:formatCode>_(* #,##0_);_(* \(#,##0\);_(* "-"??_);_(@_)</c:formatCode>
                <c:ptCount val="6"/>
                <c:pt idx="0">
                  <c:v>20</c:v>
                </c:pt>
                <c:pt idx="1">
                  <c:v>22</c:v>
                </c:pt>
                <c:pt idx="2">
                  <c:v>17</c:v>
                </c:pt>
                <c:pt idx="3">
                  <c:v>22</c:v>
                </c:pt>
                <c:pt idx="4">
                  <c:v>18</c:v>
                </c:pt>
                <c:pt idx="5">
                  <c:v>16</c:v>
                </c:pt>
              </c:numCache>
            </c:numRef>
          </c:val>
          <c:extLst>
            <c:ext xmlns:c16="http://schemas.microsoft.com/office/drawing/2014/chart" uri="{C3380CC4-5D6E-409C-BE32-E72D297353CC}">
              <c16:uniqueId val="{00000000-FF3C-4C7E-B2AA-16D4A33DE712}"/>
            </c:ext>
          </c:extLst>
        </c:ser>
        <c:dLbls>
          <c:dLblPos val="inEnd"/>
          <c:showLegendKey val="0"/>
          <c:showVal val="1"/>
          <c:showCatName val="0"/>
          <c:showSerName val="0"/>
          <c:showPercent val="0"/>
          <c:showBubbleSize val="0"/>
        </c:dLbls>
        <c:gapWidth val="117"/>
        <c:overlap val="-27"/>
        <c:axId val="1772666640"/>
        <c:axId val="1772667056"/>
      </c:barChart>
      <c:catAx>
        <c:axId val="177266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667056"/>
        <c:crosses val="autoZero"/>
        <c:auto val="1"/>
        <c:lblAlgn val="ctr"/>
        <c:lblOffset val="100"/>
        <c:noMultiLvlLbl val="0"/>
      </c:catAx>
      <c:valAx>
        <c:axId val="1772667056"/>
        <c:scaling>
          <c:orientation val="minMax"/>
        </c:scaling>
        <c:delete val="1"/>
        <c:axPos val="l"/>
        <c:numFmt formatCode="_(* #,##0_);_(* \(#,##0\);_(* &quot;-&quot;??_);_(@_)" sourceLinked="1"/>
        <c:majorTickMark val="none"/>
        <c:minorTickMark val="none"/>
        <c:tickLblPos val="nextTo"/>
        <c:crossAx val="17726666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ivot Table'!$Y$25"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0.xml"/><Relationship Id="rId7" Type="http://schemas.openxmlformats.org/officeDocument/2006/relationships/image" Target="../media/image1.png"/><Relationship Id="rId12" Type="http://schemas.openxmlformats.org/officeDocument/2006/relationships/image" Target="../media/image6.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image" Target="../media/image5.png"/><Relationship Id="rId5" Type="http://schemas.openxmlformats.org/officeDocument/2006/relationships/chart" Target="../charts/chart12.xml"/><Relationship Id="rId10" Type="http://schemas.openxmlformats.org/officeDocument/2006/relationships/image" Target="../media/image4.png"/><Relationship Id="rId4" Type="http://schemas.openxmlformats.org/officeDocument/2006/relationships/chart" Target="../charts/chart11.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12</xdr:col>
      <xdr:colOff>336550</xdr:colOff>
      <xdr:row>4</xdr:row>
      <xdr:rowOff>95250</xdr:rowOff>
    </xdr:from>
    <xdr:to>
      <xdr:col>15</xdr:col>
      <xdr:colOff>755650</xdr:colOff>
      <xdr:row>21</xdr:row>
      <xdr:rowOff>88900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44450</xdr:colOff>
      <xdr:row>3</xdr:row>
      <xdr:rowOff>19051</xdr:rowOff>
    </xdr:from>
    <xdr:to>
      <xdr:col>22</xdr:col>
      <xdr:colOff>558800</xdr:colOff>
      <xdr:row>12</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139700</xdr:colOff>
      <xdr:row>16</xdr:row>
      <xdr:rowOff>0</xdr:rowOff>
    </xdr:from>
    <xdr:to>
      <xdr:col>21</xdr:col>
      <xdr:colOff>38100</xdr:colOff>
      <xdr:row>25</xdr:row>
      <xdr:rowOff>38100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73025</xdr:colOff>
      <xdr:row>2</xdr:row>
      <xdr:rowOff>50800</xdr:rowOff>
    </xdr:from>
    <xdr:to>
      <xdr:col>26</xdr:col>
      <xdr:colOff>1187450</xdr:colOff>
      <xdr:row>12</xdr:row>
      <xdr:rowOff>25400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73025</xdr:colOff>
      <xdr:row>4</xdr:row>
      <xdr:rowOff>171450</xdr:rowOff>
    </xdr:from>
    <xdr:to>
      <xdr:col>31</xdr:col>
      <xdr:colOff>361950</xdr:colOff>
      <xdr:row>12</xdr:row>
      <xdr:rowOff>165100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288925</xdr:colOff>
      <xdr:row>25</xdr:row>
      <xdr:rowOff>0</xdr:rowOff>
    </xdr:from>
    <xdr:to>
      <xdr:col>28</xdr:col>
      <xdr:colOff>406400</xdr:colOff>
      <xdr:row>36</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406400</xdr:colOff>
      <xdr:row>9</xdr:row>
      <xdr:rowOff>158750</xdr:rowOff>
    </xdr:from>
    <xdr:to>
      <xdr:col>36</xdr:col>
      <xdr:colOff>431800</xdr:colOff>
      <xdr:row>16</xdr:row>
      <xdr:rowOff>158750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xdr:colOff>
      <xdr:row>0</xdr:row>
      <xdr:rowOff>25400</xdr:rowOff>
    </xdr:from>
    <xdr:to>
      <xdr:col>16</xdr:col>
      <xdr:colOff>527050</xdr:colOff>
      <xdr:row>28</xdr:row>
      <xdr:rowOff>171450</xdr:rowOff>
    </xdr:to>
    <xdr:sp macro="" textlink="">
      <xdr:nvSpPr>
        <xdr:cNvPr id="3" name="Rectangle 2"/>
        <xdr:cNvSpPr/>
      </xdr:nvSpPr>
      <xdr:spPr>
        <a:xfrm>
          <a:off x="25400" y="25400"/>
          <a:ext cx="10255250" cy="5302250"/>
        </a:xfrm>
        <a:prstGeom prst="rect">
          <a:avLst/>
        </a:prstGeom>
        <a:solidFill>
          <a:srgbClr val="F1F1E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0</xdr:col>
      <xdr:colOff>127000</xdr:colOff>
      <xdr:row>28</xdr:row>
      <xdr:rowOff>6350</xdr:rowOff>
    </xdr:from>
    <xdr:to>
      <xdr:col>16</xdr:col>
      <xdr:colOff>279400</xdr:colOff>
      <xdr:row>28</xdr:row>
      <xdr:rowOff>52069</xdr:rowOff>
    </xdr:to>
    <xdr:sp macro="" textlink="">
      <xdr:nvSpPr>
        <xdr:cNvPr id="115" name="Rectangle 114"/>
        <xdr:cNvSpPr/>
      </xdr:nvSpPr>
      <xdr:spPr>
        <a:xfrm>
          <a:off x="127000" y="5162550"/>
          <a:ext cx="9906000" cy="45719"/>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552451</xdr:colOff>
      <xdr:row>3</xdr:row>
      <xdr:rowOff>139700</xdr:rowOff>
    </xdr:from>
    <xdr:to>
      <xdr:col>8</xdr:col>
      <xdr:colOff>107951</xdr:colOff>
      <xdr:row>6</xdr:row>
      <xdr:rowOff>120650</xdr:rowOff>
    </xdr:to>
    <xdr:sp macro="" textlink="">
      <xdr:nvSpPr>
        <xdr:cNvPr id="21" name="Rectangle 20"/>
        <xdr:cNvSpPr/>
      </xdr:nvSpPr>
      <xdr:spPr>
        <a:xfrm>
          <a:off x="4819651" y="692150"/>
          <a:ext cx="165100" cy="5334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565151</xdr:colOff>
      <xdr:row>3</xdr:row>
      <xdr:rowOff>139700</xdr:rowOff>
    </xdr:from>
    <xdr:to>
      <xdr:col>9</xdr:col>
      <xdr:colOff>584200</xdr:colOff>
      <xdr:row>6</xdr:row>
      <xdr:rowOff>145034</xdr:rowOff>
    </xdr:to>
    <xdr:sp macro="" textlink="">
      <xdr:nvSpPr>
        <xdr:cNvPr id="4" name="Rectangle 3"/>
        <xdr:cNvSpPr/>
      </xdr:nvSpPr>
      <xdr:spPr>
        <a:xfrm>
          <a:off x="4832351" y="692150"/>
          <a:ext cx="1238249" cy="55778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12</xdr:col>
      <xdr:colOff>406400</xdr:colOff>
      <xdr:row>7</xdr:row>
      <xdr:rowOff>31750</xdr:rowOff>
    </xdr:from>
    <xdr:to>
      <xdr:col>16</xdr:col>
      <xdr:colOff>425450</xdr:colOff>
      <xdr:row>28</xdr:row>
      <xdr:rowOff>6350</xdr:rowOff>
    </xdr:to>
    <xdr:sp macro="" textlink="">
      <xdr:nvSpPr>
        <xdr:cNvPr id="5" name="Rectangle 4"/>
        <xdr:cNvSpPr/>
      </xdr:nvSpPr>
      <xdr:spPr>
        <a:xfrm>
          <a:off x="7721600" y="1320800"/>
          <a:ext cx="2457450" cy="3841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3</xdr:col>
      <xdr:colOff>539750</xdr:colOff>
      <xdr:row>7</xdr:row>
      <xdr:rowOff>6350</xdr:rowOff>
    </xdr:from>
    <xdr:to>
      <xdr:col>6</xdr:col>
      <xdr:colOff>355600</xdr:colOff>
      <xdr:row>18</xdr:row>
      <xdr:rowOff>38100</xdr:rowOff>
    </xdr:to>
    <xdr:sp macro="" textlink="">
      <xdr:nvSpPr>
        <xdr:cNvPr id="6" name="Rectangle 5"/>
        <xdr:cNvSpPr/>
      </xdr:nvSpPr>
      <xdr:spPr>
        <a:xfrm>
          <a:off x="2368550" y="1295400"/>
          <a:ext cx="1644650" cy="20574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50000"/>
                <a:lumOff val="50000"/>
              </a:schemeClr>
            </a:solidFill>
          </a:endParaRPr>
        </a:p>
      </xdr:txBody>
    </xdr:sp>
    <xdr:clientData/>
  </xdr:twoCellAnchor>
  <xdr:twoCellAnchor>
    <xdr:from>
      <xdr:col>0</xdr:col>
      <xdr:colOff>95250</xdr:colOff>
      <xdr:row>16</xdr:row>
      <xdr:rowOff>158750</xdr:rowOff>
    </xdr:from>
    <xdr:to>
      <xdr:col>3</xdr:col>
      <xdr:colOff>488950</xdr:colOff>
      <xdr:row>27</xdr:row>
      <xdr:rowOff>177800</xdr:rowOff>
    </xdr:to>
    <xdr:sp macro="" textlink="">
      <xdr:nvSpPr>
        <xdr:cNvPr id="7" name="Rectangle 6"/>
        <xdr:cNvSpPr/>
      </xdr:nvSpPr>
      <xdr:spPr>
        <a:xfrm>
          <a:off x="95250" y="3105150"/>
          <a:ext cx="2222500" cy="20447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3</xdr:col>
      <xdr:colOff>552450</xdr:colOff>
      <xdr:row>18</xdr:row>
      <xdr:rowOff>101600</xdr:rowOff>
    </xdr:from>
    <xdr:to>
      <xdr:col>12</xdr:col>
      <xdr:colOff>355600</xdr:colOff>
      <xdr:row>28</xdr:row>
      <xdr:rowOff>6350</xdr:rowOff>
    </xdr:to>
    <xdr:sp macro="" textlink="">
      <xdr:nvSpPr>
        <xdr:cNvPr id="9" name="Rectangle 8"/>
        <xdr:cNvSpPr/>
      </xdr:nvSpPr>
      <xdr:spPr>
        <a:xfrm>
          <a:off x="2381250" y="3416300"/>
          <a:ext cx="5289550" cy="17462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4</xdr:col>
      <xdr:colOff>317500</xdr:colOff>
      <xdr:row>3</xdr:row>
      <xdr:rowOff>120650</xdr:rowOff>
    </xdr:from>
    <xdr:to>
      <xdr:col>4</xdr:col>
      <xdr:colOff>571500</xdr:colOff>
      <xdr:row>6</xdr:row>
      <xdr:rowOff>127000</xdr:rowOff>
    </xdr:to>
    <xdr:sp macro="" textlink="">
      <xdr:nvSpPr>
        <xdr:cNvPr id="10" name="Rectangle 9"/>
        <xdr:cNvSpPr/>
      </xdr:nvSpPr>
      <xdr:spPr>
        <a:xfrm>
          <a:off x="2755900" y="673100"/>
          <a:ext cx="254000" cy="5588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95250</xdr:colOff>
      <xdr:row>3</xdr:row>
      <xdr:rowOff>120650</xdr:rowOff>
    </xdr:from>
    <xdr:to>
      <xdr:col>1</xdr:col>
      <xdr:colOff>228600</xdr:colOff>
      <xdr:row>6</xdr:row>
      <xdr:rowOff>127000</xdr:rowOff>
    </xdr:to>
    <xdr:sp macro="" textlink="">
      <xdr:nvSpPr>
        <xdr:cNvPr id="34" name="Rectangle 33"/>
        <xdr:cNvSpPr/>
      </xdr:nvSpPr>
      <xdr:spPr>
        <a:xfrm>
          <a:off x="704850" y="673100"/>
          <a:ext cx="133350" cy="5588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330201</xdr:colOff>
      <xdr:row>3</xdr:row>
      <xdr:rowOff>120650</xdr:rowOff>
    </xdr:from>
    <xdr:to>
      <xdr:col>6</xdr:col>
      <xdr:colOff>349250</xdr:colOff>
      <xdr:row>6</xdr:row>
      <xdr:rowOff>127000</xdr:rowOff>
    </xdr:to>
    <xdr:sp macro="" textlink="">
      <xdr:nvSpPr>
        <xdr:cNvPr id="11" name="Rectangle 10"/>
        <xdr:cNvSpPr/>
      </xdr:nvSpPr>
      <xdr:spPr>
        <a:xfrm>
          <a:off x="2768601" y="673100"/>
          <a:ext cx="1238249" cy="5588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11</xdr:col>
      <xdr:colOff>171450</xdr:colOff>
      <xdr:row>3</xdr:row>
      <xdr:rowOff>127000</xdr:rowOff>
    </xdr:from>
    <xdr:to>
      <xdr:col>11</xdr:col>
      <xdr:colOff>361950</xdr:colOff>
      <xdr:row>6</xdr:row>
      <xdr:rowOff>107950</xdr:rowOff>
    </xdr:to>
    <xdr:sp macro="" textlink="">
      <xdr:nvSpPr>
        <xdr:cNvPr id="22" name="Rectangle 21"/>
        <xdr:cNvSpPr/>
      </xdr:nvSpPr>
      <xdr:spPr>
        <a:xfrm>
          <a:off x="6877050" y="679450"/>
          <a:ext cx="190500" cy="5334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107951</xdr:colOff>
      <xdr:row>3</xdr:row>
      <xdr:rowOff>120650</xdr:rowOff>
    </xdr:from>
    <xdr:to>
      <xdr:col>3</xdr:col>
      <xdr:colOff>127000</xdr:colOff>
      <xdr:row>6</xdr:row>
      <xdr:rowOff>125984</xdr:rowOff>
    </xdr:to>
    <xdr:sp macro="" textlink="">
      <xdr:nvSpPr>
        <xdr:cNvPr id="12" name="Rectangle 11"/>
        <xdr:cNvSpPr/>
      </xdr:nvSpPr>
      <xdr:spPr>
        <a:xfrm>
          <a:off x="717551" y="673100"/>
          <a:ext cx="1238249" cy="55778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11</xdr:col>
      <xdr:colOff>184151</xdr:colOff>
      <xdr:row>3</xdr:row>
      <xdr:rowOff>107950</xdr:rowOff>
    </xdr:from>
    <xdr:to>
      <xdr:col>13</xdr:col>
      <xdr:colOff>203200</xdr:colOff>
      <xdr:row>6</xdr:row>
      <xdr:rowOff>113284</xdr:rowOff>
    </xdr:to>
    <xdr:sp macro="" textlink="">
      <xdr:nvSpPr>
        <xdr:cNvPr id="13" name="Rectangle 12"/>
        <xdr:cNvSpPr/>
      </xdr:nvSpPr>
      <xdr:spPr>
        <a:xfrm>
          <a:off x="6889751" y="660400"/>
          <a:ext cx="1238249" cy="55778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14</xdr:col>
      <xdr:colOff>400050</xdr:colOff>
      <xdr:row>3</xdr:row>
      <xdr:rowOff>120650</xdr:rowOff>
    </xdr:from>
    <xdr:to>
      <xdr:col>14</xdr:col>
      <xdr:colOff>590550</xdr:colOff>
      <xdr:row>6</xdr:row>
      <xdr:rowOff>107950</xdr:rowOff>
    </xdr:to>
    <xdr:sp macro="" textlink="">
      <xdr:nvSpPr>
        <xdr:cNvPr id="26" name="Rectangle 25"/>
        <xdr:cNvSpPr/>
      </xdr:nvSpPr>
      <xdr:spPr>
        <a:xfrm>
          <a:off x="8934450" y="673100"/>
          <a:ext cx="190500" cy="53975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412751</xdr:colOff>
      <xdr:row>3</xdr:row>
      <xdr:rowOff>107950</xdr:rowOff>
    </xdr:from>
    <xdr:to>
      <xdr:col>16</xdr:col>
      <xdr:colOff>431800</xdr:colOff>
      <xdr:row>6</xdr:row>
      <xdr:rowOff>113284</xdr:rowOff>
    </xdr:to>
    <xdr:sp macro="" textlink="">
      <xdr:nvSpPr>
        <xdr:cNvPr id="14" name="Rectangle 13"/>
        <xdr:cNvSpPr/>
      </xdr:nvSpPr>
      <xdr:spPr>
        <a:xfrm>
          <a:off x="8947151" y="660400"/>
          <a:ext cx="1238249" cy="55778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6</xdr:col>
      <xdr:colOff>400050</xdr:colOff>
      <xdr:row>7</xdr:row>
      <xdr:rowOff>25400</xdr:rowOff>
    </xdr:from>
    <xdr:to>
      <xdr:col>12</xdr:col>
      <xdr:colOff>355599</xdr:colOff>
      <xdr:row>18</xdr:row>
      <xdr:rowOff>50800</xdr:rowOff>
    </xdr:to>
    <xdr:sp macro="" textlink="">
      <xdr:nvSpPr>
        <xdr:cNvPr id="19" name="Rectangle 18"/>
        <xdr:cNvSpPr/>
      </xdr:nvSpPr>
      <xdr:spPr>
        <a:xfrm>
          <a:off x="4057650" y="1314450"/>
          <a:ext cx="3613149" cy="20510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7</xdr:col>
      <xdr:colOff>241300</xdr:colOff>
      <xdr:row>9</xdr:row>
      <xdr:rowOff>63500</xdr:rowOff>
    </xdr:from>
    <xdr:to>
      <xdr:col>8</xdr:col>
      <xdr:colOff>254000</xdr:colOff>
      <xdr:row>10</xdr:row>
      <xdr:rowOff>76200</xdr:rowOff>
    </xdr:to>
    <xdr:sp macro="" textlink="">
      <xdr:nvSpPr>
        <xdr:cNvPr id="28" name="TextBox 27"/>
        <xdr:cNvSpPr txBox="1"/>
      </xdr:nvSpPr>
      <xdr:spPr>
        <a:xfrm>
          <a:off x="4508500" y="1720850"/>
          <a:ext cx="62230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t>Re-order</a:t>
          </a:r>
        </a:p>
      </xdr:txBody>
    </xdr:sp>
    <xdr:clientData/>
  </xdr:twoCellAnchor>
  <xdr:twoCellAnchor>
    <xdr:from>
      <xdr:col>9</xdr:col>
      <xdr:colOff>292100</xdr:colOff>
      <xdr:row>9</xdr:row>
      <xdr:rowOff>57150</xdr:rowOff>
    </xdr:from>
    <xdr:to>
      <xdr:col>10</xdr:col>
      <xdr:colOff>520700</xdr:colOff>
      <xdr:row>10</xdr:row>
      <xdr:rowOff>107950</xdr:rowOff>
    </xdr:to>
    <xdr:sp macro="" textlink="">
      <xdr:nvSpPr>
        <xdr:cNvPr id="63" name="TextBox 62"/>
        <xdr:cNvSpPr txBox="1"/>
      </xdr:nvSpPr>
      <xdr:spPr>
        <a:xfrm>
          <a:off x="5778500" y="1714500"/>
          <a:ext cx="83820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Stock Values</a:t>
          </a:r>
        </a:p>
      </xdr:txBody>
    </xdr:sp>
    <xdr:clientData/>
  </xdr:twoCellAnchor>
  <xdr:twoCellAnchor>
    <xdr:from>
      <xdr:col>0</xdr:col>
      <xdr:colOff>95250</xdr:colOff>
      <xdr:row>7</xdr:row>
      <xdr:rowOff>0</xdr:rowOff>
    </xdr:from>
    <xdr:to>
      <xdr:col>3</xdr:col>
      <xdr:colOff>488950</xdr:colOff>
      <xdr:row>16</xdr:row>
      <xdr:rowOff>107950</xdr:rowOff>
    </xdr:to>
    <xdr:sp macro="" textlink="">
      <xdr:nvSpPr>
        <xdr:cNvPr id="18" name="Rectangle 17"/>
        <xdr:cNvSpPr/>
      </xdr:nvSpPr>
      <xdr:spPr>
        <a:xfrm>
          <a:off x="95250" y="1289050"/>
          <a:ext cx="2222500" cy="17653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clientData/>
  </xdr:twoCellAnchor>
  <xdr:twoCellAnchor>
    <xdr:from>
      <xdr:col>1</xdr:col>
      <xdr:colOff>177800</xdr:colOff>
      <xdr:row>5</xdr:row>
      <xdr:rowOff>12700</xdr:rowOff>
    </xdr:from>
    <xdr:to>
      <xdr:col>3</xdr:col>
      <xdr:colOff>25400</xdr:colOff>
      <xdr:row>6</xdr:row>
      <xdr:rowOff>120650</xdr:rowOff>
    </xdr:to>
    <xdr:sp macro="" textlink="">
      <xdr:nvSpPr>
        <xdr:cNvPr id="43" name="TextBox 42"/>
        <xdr:cNvSpPr txBox="1"/>
      </xdr:nvSpPr>
      <xdr:spPr>
        <a:xfrm>
          <a:off x="787400" y="933450"/>
          <a:ext cx="10668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solidFill>
                <a:srgbClr val="3E368A"/>
              </a:solidFill>
            </a:rPr>
            <a:t>Total Stock </a:t>
          </a:r>
          <a:r>
            <a:rPr lang="en-US" sz="900">
              <a:solidFill>
                <a:srgbClr val="3E368A"/>
              </a:solidFill>
              <a:latin typeface="+mn-lt"/>
              <a:ea typeface="+mn-ea"/>
              <a:cs typeface="+mn-cs"/>
            </a:rPr>
            <a:t>Values</a:t>
          </a:r>
        </a:p>
      </xdr:txBody>
    </xdr:sp>
    <xdr:clientData/>
  </xdr:twoCellAnchor>
  <xdr:twoCellAnchor>
    <xdr:from>
      <xdr:col>4</xdr:col>
      <xdr:colOff>427038</xdr:colOff>
      <xdr:row>5</xdr:row>
      <xdr:rowOff>14287</xdr:rowOff>
    </xdr:from>
    <xdr:to>
      <xdr:col>6</xdr:col>
      <xdr:colOff>185737</xdr:colOff>
      <xdr:row>6</xdr:row>
      <xdr:rowOff>52387</xdr:rowOff>
    </xdr:to>
    <xdr:sp macro="" textlink="">
      <xdr:nvSpPr>
        <xdr:cNvPr id="44" name="TextBox 43"/>
        <xdr:cNvSpPr txBox="1"/>
      </xdr:nvSpPr>
      <xdr:spPr>
        <a:xfrm>
          <a:off x="2865438" y="935037"/>
          <a:ext cx="977899"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solidFill>
                <a:schemeClr val="accent6">
                  <a:lumMod val="50000"/>
                </a:schemeClr>
              </a:solidFill>
            </a:rPr>
            <a:t>Total Categories</a:t>
          </a:r>
        </a:p>
      </xdr:txBody>
    </xdr:sp>
    <xdr:clientData/>
  </xdr:twoCellAnchor>
  <xdr:twoCellAnchor>
    <xdr:from>
      <xdr:col>7</xdr:col>
      <xdr:colOff>587375</xdr:colOff>
      <xdr:row>4</xdr:row>
      <xdr:rowOff>130174</xdr:rowOff>
    </xdr:from>
    <xdr:to>
      <xdr:col>9</xdr:col>
      <xdr:colOff>434975</xdr:colOff>
      <xdr:row>6</xdr:row>
      <xdr:rowOff>53974</xdr:rowOff>
    </xdr:to>
    <xdr:sp macro="" textlink="">
      <xdr:nvSpPr>
        <xdr:cNvPr id="45" name="TextBox 44"/>
        <xdr:cNvSpPr txBox="1"/>
      </xdr:nvSpPr>
      <xdr:spPr>
        <a:xfrm>
          <a:off x="4854575" y="866774"/>
          <a:ext cx="10668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solidFill>
                <a:srgbClr val="008A3E"/>
              </a:solidFill>
            </a:rPr>
            <a:t>Total Products</a:t>
          </a:r>
        </a:p>
      </xdr:txBody>
    </xdr:sp>
    <xdr:clientData/>
  </xdr:twoCellAnchor>
  <xdr:twoCellAnchor>
    <xdr:from>
      <xdr:col>11</xdr:col>
      <xdr:colOff>227013</xdr:colOff>
      <xdr:row>4</xdr:row>
      <xdr:rowOff>131761</xdr:rowOff>
    </xdr:from>
    <xdr:to>
      <xdr:col>13</xdr:col>
      <xdr:colOff>74613</xdr:colOff>
      <xdr:row>6</xdr:row>
      <xdr:rowOff>55561</xdr:rowOff>
    </xdr:to>
    <xdr:sp macro="" textlink="">
      <xdr:nvSpPr>
        <xdr:cNvPr id="46" name="TextBox 45"/>
        <xdr:cNvSpPr txBox="1"/>
      </xdr:nvSpPr>
      <xdr:spPr>
        <a:xfrm>
          <a:off x="6932613" y="868361"/>
          <a:ext cx="10668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solidFill>
                <a:schemeClr val="tx1">
                  <a:lumMod val="75000"/>
                  <a:lumOff val="25000"/>
                </a:schemeClr>
              </a:solidFill>
            </a:rPr>
            <a:t>Current Stocks</a:t>
          </a:r>
        </a:p>
      </xdr:txBody>
    </xdr:sp>
    <xdr:clientData/>
  </xdr:twoCellAnchor>
  <xdr:twoCellAnchor>
    <xdr:from>
      <xdr:col>14</xdr:col>
      <xdr:colOff>444500</xdr:colOff>
      <xdr:row>4</xdr:row>
      <xdr:rowOff>133350</xdr:rowOff>
    </xdr:from>
    <xdr:to>
      <xdr:col>16</xdr:col>
      <xdr:colOff>330200</xdr:colOff>
      <xdr:row>7</xdr:row>
      <xdr:rowOff>0</xdr:rowOff>
    </xdr:to>
    <xdr:sp macro="" textlink="">
      <xdr:nvSpPr>
        <xdr:cNvPr id="47" name="TextBox 46"/>
        <xdr:cNvSpPr txBox="1"/>
      </xdr:nvSpPr>
      <xdr:spPr>
        <a:xfrm>
          <a:off x="8978900" y="869950"/>
          <a:ext cx="11049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solidFill>
                <a:srgbClr val="C89800"/>
              </a:solidFill>
            </a:rPr>
            <a:t>Average Re-order Level</a:t>
          </a:r>
        </a:p>
      </xdr:txBody>
    </xdr:sp>
    <xdr:clientData/>
  </xdr:twoCellAnchor>
  <xdr:twoCellAnchor>
    <xdr:from>
      <xdr:col>6</xdr:col>
      <xdr:colOff>425450</xdr:colOff>
      <xdr:row>7</xdr:row>
      <xdr:rowOff>50798</xdr:rowOff>
    </xdr:from>
    <xdr:to>
      <xdr:col>11</xdr:col>
      <xdr:colOff>57150</xdr:colOff>
      <xdr:row>9</xdr:row>
      <xdr:rowOff>63499</xdr:rowOff>
    </xdr:to>
    <xdr:sp macro="" textlink="">
      <xdr:nvSpPr>
        <xdr:cNvPr id="48" name="TextBox 47"/>
        <xdr:cNvSpPr txBox="1"/>
      </xdr:nvSpPr>
      <xdr:spPr>
        <a:xfrm>
          <a:off x="4083050" y="1339848"/>
          <a:ext cx="267970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baseline="0">
              <a:solidFill>
                <a:schemeClr val="tx1">
                  <a:lumMod val="65000"/>
                  <a:lumOff val="35000"/>
                </a:schemeClr>
              </a:solidFill>
              <a:latin typeface="+mn-lt"/>
              <a:ea typeface="+mn-ea"/>
              <a:cs typeface="+mn-cs"/>
            </a:rPr>
            <a:t>Top High-Value Products Needing Reorder </a:t>
          </a:r>
        </a:p>
      </xdr:txBody>
    </xdr:sp>
    <xdr:clientData/>
  </xdr:twoCellAnchor>
  <xdr:twoCellAnchor>
    <xdr:from>
      <xdr:col>0</xdr:col>
      <xdr:colOff>95250</xdr:colOff>
      <xdr:row>6</xdr:row>
      <xdr:rowOff>184149</xdr:rowOff>
    </xdr:from>
    <xdr:to>
      <xdr:col>3</xdr:col>
      <xdr:colOff>361950</xdr:colOff>
      <xdr:row>9</xdr:row>
      <xdr:rowOff>50800</xdr:rowOff>
    </xdr:to>
    <xdr:sp macro="" textlink="">
      <xdr:nvSpPr>
        <xdr:cNvPr id="50" name="TextBox 49"/>
        <xdr:cNvSpPr txBox="1"/>
      </xdr:nvSpPr>
      <xdr:spPr>
        <a:xfrm>
          <a:off x="95250" y="1289049"/>
          <a:ext cx="2095500" cy="419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baseline="0">
              <a:solidFill>
                <a:schemeClr val="tx1">
                  <a:lumMod val="65000"/>
                  <a:lumOff val="35000"/>
                </a:schemeClr>
              </a:solidFill>
              <a:latin typeface="+mn-lt"/>
              <a:ea typeface="+mn-ea"/>
              <a:cs typeface="+mn-cs"/>
            </a:rPr>
            <a:t>Warehouse Location With The Most Goods</a:t>
          </a:r>
        </a:p>
      </xdr:txBody>
    </xdr:sp>
    <xdr:clientData/>
  </xdr:twoCellAnchor>
  <xdr:twoCellAnchor>
    <xdr:from>
      <xdr:col>3</xdr:col>
      <xdr:colOff>539750</xdr:colOff>
      <xdr:row>7</xdr:row>
      <xdr:rowOff>6350</xdr:rowOff>
    </xdr:from>
    <xdr:to>
      <xdr:col>6</xdr:col>
      <xdr:colOff>292100</xdr:colOff>
      <xdr:row>9</xdr:row>
      <xdr:rowOff>76200</xdr:rowOff>
    </xdr:to>
    <xdr:sp macro="" textlink="">
      <xdr:nvSpPr>
        <xdr:cNvPr id="51" name="TextBox 50"/>
        <xdr:cNvSpPr txBox="1"/>
      </xdr:nvSpPr>
      <xdr:spPr>
        <a:xfrm>
          <a:off x="2368550" y="1295400"/>
          <a:ext cx="15811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baseline="0">
              <a:solidFill>
                <a:schemeClr val="tx1">
                  <a:lumMod val="65000"/>
                  <a:lumOff val="35000"/>
                </a:schemeClr>
              </a:solidFill>
              <a:latin typeface="+mn-lt"/>
              <a:ea typeface="+mn-ea"/>
              <a:cs typeface="+mn-cs"/>
            </a:rPr>
            <a:t>Overstocked Products Overview</a:t>
          </a:r>
        </a:p>
      </xdr:txBody>
    </xdr:sp>
    <xdr:clientData/>
  </xdr:twoCellAnchor>
  <xdr:twoCellAnchor>
    <xdr:from>
      <xdr:col>12</xdr:col>
      <xdr:colOff>457200</xdr:colOff>
      <xdr:row>7</xdr:row>
      <xdr:rowOff>12699</xdr:rowOff>
    </xdr:from>
    <xdr:to>
      <xdr:col>16</xdr:col>
      <xdr:colOff>222250</xdr:colOff>
      <xdr:row>8</xdr:row>
      <xdr:rowOff>63500</xdr:rowOff>
    </xdr:to>
    <xdr:sp macro="" textlink="">
      <xdr:nvSpPr>
        <xdr:cNvPr id="52" name="TextBox 51"/>
        <xdr:cNvSpPr txBox="1"/>
      </xdr:nvSpPr>
      <xdr:spPr>
        <a:xfrm>
          <a:off x="7772400" y="1301749"/>
          <a:ext cx="2203450" cy="23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a:solidFill>
                <a:schemeClr val="tx1">
                  <a:lumMod val="65000"/>
                  <a:lumOff val="35000"/>
                  <a:alpha val="98000"/>
                </a:schemeClr>
              </a:solidFill>
              <a:latin typeface="+mn-lt"/>
              <a:ea typeface="+mn-ea"/>
              <a:cs typeface="+mn-cs"/>
            </a:rPr>
            <a:t>Products Below Thier Re-order Level</a:t>
          </a:r>
        </a:p>
      </xdr:txBody>
    </xdr:sp>
    <xdr:clientData/>
  </xdr:twoCellAnchor>
  <xdr:twoCellAnchor>
    <xdr:from>
      <xdr:col>3</xdr:col>
      <xdr:colOff>584200</xdr:colOff>
      <xdr:row>18</xdr:row>
      <xdr:rowOff>57149</xdr:rowOff>
    </xdr:from>
    <xdr:to>
      <xdr:col>11</xdr:col>
      <xdr:colOff>374650</xdr:colOff>
      <xdr:row>19</xdr:row>
      <xdr:rowOff>88900</xdr:rowOff>
    </xdr:to>
    <xdr:sp macro="" textlink="">
      <xdr:nvSpPr>
        <xdr:cNvPr id="53" name="TextBox 52"/>
        <xdr:cNvSpPr txBox="1"/>
      </xdr:nvSpPr>
      <xdr:spPr>
        <a:xfrm>
          <a:off x="2413000" y="3371849"/>
          <a:ext cx="4667250" cy="215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tx1">
                  <a:lumMod val="65000"/>
                  <a:lumOff val="35000"/>
                  <a:alpha val="98000"/>
                </a:schemeClr>
              </a:solidFill>
            </a:rPr>
            <a:t>Category With</a:t>
          </a:r>
          <a:r>
            <a:rPr lang="en-US" sz="1000" b="1" baseline="0">
              <a:solidFill>
                <a:schemeClr val="tx1">
                  <a:lumMod val="65000"/>
                  <a:lumOff val="35000"/>
                  <a:alpha val="98000"/>
                </a:schemeClr>
              </a:solidFill>
            </a:rPr>
            <a:t> The Most Low-stock </a:t>
          </a:r>
          <a:r>
            <a:rPr lang="en-US" sz="1000" b="1" baseline="0">
              <a:solidFill>
                <a:schemeClr val="tx1">
                  <a:lumMod val="65000"/>
                  <a:lumOff val="35000"/>
                </a:schemeClr>
              </a:solidFill>
            </a:rPr>
            <a:t>Products</a:t>
          </a:r>
          <a:endParaRPr lang="en-US" sz="1000" b="1">
            <a:solidFill>
              <a:schemeClr val="tx1">
                <a:lumMod val="65000"/>
                <a:lumOff val="35000"/>
              </a:schemeClr>
            </a:solidFill>
          </a:endParaRPr>
        </a:p>
      </xdr:txBody>
    </xdr:sp>
    <xdr:clientData/>
  </xdr:twoCellAnchor>
  <xdr:twoCellAnchor>
    <xdr:from>
      <xdr:col>0</xdr:col>
      <xdr:colOff>95250</xdr:colOff>
      <xdr:row>17</xdr:row>
      <xdr:rowOff>12699</xdr:rowOff>
    </xdr:from>
    <xdr:to>
      <xdr:col>3</xdr:col>
      <xdr:colOff>368300</xdr:colOff>
      <xdr:row>18</xdr:row>
      <xdr:rowOff>91159</xdr:rowOff>
    </xdr:to>
    <xdr:sp macro="" textlink="">
      <xdr:nvSpPr>
        <xdr:cNvPr id="54" name="TextBox 53"/>
        <xdr:cNvSpPr txBox="1"/>
      </xdr:nvSpPr>
      <xdr:spPr>
        <a:xfrm>
          <a:off x="95250" y="3143249"/>
          <a:ext cx="2101850" cy="262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baseline="0">
              <a:solidFill>
                <a:schemeClr val="tx1">
                  <a:lumMod val="65000"/>
                  <a:lumOff val="35000"/>
                </a:schemeClr>
              </a:solidFill>
              <a:latin typeface="+mn-lt"/>
              <a:ea typeface="+mn-ea"/>
              <a:cs typeface="+mn-cs"/>
            </a:rPr>
            <a:t>Suppliers With The Most Products</a:t>
          </a:r>
        </a:p>
      </xdr:txBody>
    </xdr:sp>
    <xdr:clientData/>
  </xdr:twoCellAnchor>
  <xdr:twoCellAnchor>
    <xdr:from>
      <xdr:col>8</xdr:col>
      <xdr:colOff>39969</xdr:colOff>
      <xdr:row>3</xdr:row>
      <xdr:rowOff>12700</xdr:rowOff>
    </xdr:from>
    <xdr:to>
      <xdr:col>9</xdr:col>
      <xdr:colOff>273865</xdr:colOff>
      <xdr:row>5</xdr:row>
      <xdr:rowOff>6350</xdr:rowOff>
    </xdr:to>
    <xdr:sp macro="" textlink="">
      <xdr:nvSpPr>
        <xdr:cNvPr id="56" name="TextBox 55"/>
        <xdr:cNvSpPr txBox="1"/>
      </xdr:nvSpPr>
      <xdr:spPr>
        <a:xfrm>
          <a:off x="4916769" y="565150"/>
          <a:ext cx="84349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solidFill>
                <a:srgbClr val="008A3E"/>
              </a:solidFill>
              <a:effectLst/>
              <a:latin typeface="Arial Rounded MT Bold" panose="020F0704030504030204" pitchFamily="34" charset="0"/>
              <a:ea typeface="+mn-ea"/>
              <a:cs typeface="+mn-cs"/>
            </a:rPr>
            <a:t>3,000</a:t>
          </a:r>
          <a:r>
            <a:rPr lang="en-US" sz="900" b="1">
              <a:solidFill>
                <a:srgbClr val="008A3E"/>
              </a:solidFill>
              <a:latin typeface="Arial Rounded MT Bold" panose="020F0704030504030204" pitchFamily="34" charset="0"/>
            </a:rPr>
            <a:t> </a:t>
          </a:r>
        </a:p>
      </xdr:txBody>
    </xdr:sp>
    <xdr:clientData/>
  </xdr:twoCellAnchor>
  <xdr:twoCellAnchor>
    <xdr:from>
      <xdr:col>0</xdr:col>
      <xdr:colOff>196850</xdr:colOff>
      <xdr:row>9</xdr:row>
      <xdr:rowOff>12700</xdr:rowOff>
    </xdr:from>
    <xdr:to>
      <xdr:col>3</xdr:col>
      <xdr:colOff>406400</xdr:colOff>
      <xdr:row>9</xdr:row>
      <xdr:rowOff>171450</xdr:rowOff>
    </xdr:to>
    <xdr:sp macro="" textlink="">
      <xdr:nvSpPr>
        <xdr:cNvPr id="58" name="Rectangle 57"/>
        <xdr:cNvSpPr/>
      </xdr:nvSpPr>
      <xdr:spPr>
        <a:xfrm flipV="1">
          <a:off x="196850" y="1670050"/>
          <a:ext cx="2038350" cy="158750"/>
        </a:xfrm>
        <a:prstGeom prst="rect">
          <a:avLst/>
        </a:prstGeom>
        <a:solidFill>
          <a:schemeClr val="bg1">
            <a:lumMod val="7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425450</xdr:colOff>
      <xdr:row>8</xdr:row>
      <xdr:rowOff>82550</xdr:rowOff>
    </xdr:from>
    <xdr:to>
      <xdr:col>16</xdr:col>
      <xdr:colOff>400050</xdr:colOff>
      <xdr:row>27</xdr:row>
      <xdr:rowOff>158750</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6350</xdr:colOff>
      <xdr:row>3</xdr:row>
      <xdr:rowOff>92076</xdr:rowOff>
    </xdr:from>
    <xdr:to>
      <xdr:col>3</xdr:col>
      <xdr:colOff>247650</xdr:colOff>
      <xdr:row>5</xdr:row>
      <xdr:rowOff>60326</xdr:rowOff>
    </xdr:to>
    <xdr:sp macro="" textlink="">
      <xdr:nvSpPr>
        <xdr:cNvPr id="62" name="TextBox 61"/>
        <xdr:cNvSpPr txBox="1"/>
      </xdr:nvSpPr>
      <xdr:spPr>
        <a:xfrm>
          <a:off x="615950" y="644526"/>
          <a:ext cx="1460500" cy="336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rgbClr val="3E368A"/>
              </a:solidFill>
              <a:effectLst/>
              <a:latin typeface="Arial Rounded MT Bold" panose="020F0704030504030204" pitchFamily="34" charset="0"/>
              <a:ea typeface="+mn-ea"/>
              <a:cs typeface="+mn-cs"/>
            </a:rPr>
            <a:t>$187,418,229   </a:t>
          </a:r>
        </a:p>
      </xdr:txBody>
    </xdr:sp>
    <xdr:clientData/>
  </xdr:twoCellAnchor>
  <xdr:twoCellAnchor>
    <xdr:from>
      <xdr:col>4</xdr:col>
      <xdr:colOff>179293</xdr:colOff>
      <xdr:row>3</xdr:row>
      <xdr:rowOff>82550</xdr:rowOff>
    </xdr:from>
    <xdr:to>
      <xdr:col>6</xdr:col>
      <xdr:colOff>272200</xdr:colOff>
      <xdr:row>5</xdr:row>
      <xdr:rowOff>6350</xdr:rowOff>
    </xdr:to>
    <xdr:sp macro="" textlink="">
      <xdr:nvSpPr>
        <xdr:cNvPr id="64" name="TextBox 63"/>
        <xdr:cNvSpPr txBox="1"/>
      </xdr:nvSpPr>
      <xdr:spPr>
        <a:xfrm>
          <a:off x="2617693" y="635000"/>
          <a:ext cx="1312107"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accent6">
                  <a:lumMod val="50000"/>
                </a:schemeClr>
              </a:solidFill>
              <a:effectLst/>
              <a:latin typeface="Arial Rounded MT Bold" panose="020F0704030504030204" pitchFamily="34" charset="0"/>
              <a:ea typeface="+mn-ea"/>
              <a:cs typeface="+mn-cs"/>
            </a:rPr>
            <a:t>5</a:t>
          </a:r>
        </a:p>
      </xdr:txBody>
    </xdr:sp>
    <xdr:clientData/>
  </xdr:twoCellAnchor>
  <xdr:twoCellAnchor>
    <xdr:from>
      <xdr:col>11</xdr:col>
      <xdr:colOff>177801</xdr:colOff>
      <xdr:row>3</xdr:row>
      <xdr:rowOff>52388</xdr:rowOff>
    </xdr:from>
    <xdr:to>
      <xdr:col>13</xdr:col>
      <xdr:colOff>153554</xdr:colOff>
      <xdr:row>5</xdr:row>
      <xdr:rowOff>46038</xdr:rowOff>
    </xdr:to>
    <xdr:sp macro="" textlink="">
      <xdr:nvSpPr>
        <xdr:cNvPr id="65" name="TextBox 64"/>
        <xdr:cNvSpPr txBox="1"/>
      </xdr:nvSpPr>
      <xdr:spPr>
        <a:xfrm>
          <a:off x="6883401" y="604838"/>
          <a:ext cx="1194953"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solidFill>
                <a:schemeClr val="tx1">
                  <a:lumMod val="75000"/>
                  <a:lumOff val="25000"/>
                </a:schemeClr>
              </a:solidFill>
              <a:effectLst/>
              <a:latin typeface="Arial Rounded MT Bold" panose="020F0704030504030204" pitchFamily="34" charset="0"/>
              <a:ea typeface="+mn-ea"/>
              <a:cs typeface="+mn-cs"/>
            </a:rPr>
            <a:t>752,421</a:t>
          </a:r>
          <a:r>
            <a:rPr lang="en-US" sz="1400" b="1">
              <a:solidFill>
                <a:schemeClr val="tx1">
                  <a:lumMod val="75000"/>
                  <a:lumOff val="25000"/>
                </a:schemeClr>
              </a:solidFill>
              <a:latin typeface="Arial Rounded MT Bold" panose="020F0704030504030204" pitchFamily="34" charset="0"/>
            </a:rPr>
            <a:t> </a:t>
          </a:r>
          <a:r>
            <a:rPr lang="en-US" sz="1400" b="1">
              <a:latin typeface="Arial Rounded MT Bold" panose="020F0704030504030204" pitchFamily="34" charset="0"/>
            </a:rPr>
            <a:t> </a:t>
          </a:r>
        </a:p>
      </xdr:txBody>
    </xdr:sp>
    <xdr:clientData/>
  </xdr:twoCellAnchor>
  <xdr:twoCellAnchor>
    <xdr:from>
      <xdr:col>3</xdr:col>
      <xdr:colOff>596900</xdr:colOff>
      <xdr:row>19</xdr:row>
      <xdr:rowOff>120650</xdr:rowOff>
    </xdr:from>
    <xdr:to>
      <xdr:col>12</xdr:col>
      <xdr:colOff>317500</xdr:colOff>
      <xdr:row>27</xdr:row>
      <xdr:rowOff>171450</xdr:rowOff>
    </xdr:to>
    <xdr:graphicFrame macro="">
      <xdr:nvGraphicFramePr>
        <xdr:cNvPr id="66"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120650</xdr:colOff>
      <xdr:row>18</xdr:row>
      <xdr:rowOff>44450</xdr:rowOff>
    </xdr:from>
    <xdr:to>
      <xdr:col>3</xdr:col>
      <xdr:colOff>482600</xdr:colOff>
      <xdr:row>26</xdr:row>
      <xdr:rowOff>69850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177800</xdr:colOff>
      <xdr:row>9</xdr:row>
      <xdr:rowOff>31750</xdr:rowOff>
    </xdr:from>
    <xdr:to>
      <xdr:col>3</xdr:col>
      <xdr:colOff>469899</xdr:colOff>
      <xdr:row>16</xdr:row>
      <xdr:rowOff>69850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584200</xdr:colOff>
      <xdr:row>11</xdr:row>
      <xdr:rowOff>31750</xdr:rowOff>
    </xdr:from>
    <xdr:to>
      <xdr:col>6</xdr:col>
      <xdr:colOff>307975</xdr:colOff>
      <xdr:row>18</xdr:row>
      <xdr:rowOff>19050</xdr:rowOff>
    </xdr:to>
    <xdr:graphicFrame macro="">
      <xdr:nvGraphicFramePr>
        <xdr:cNvPr id="71"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419097</xdr:colOff>
      <xdr:row>13</xdr:row>
      <xdr:rowOff>31747</xdr:rowOff>
    </xdr:from>
    <xdr:to>
      <xdr:col>5</xdr:col>
      <xdr:colOff>464816</xdr:colOff>
      <xdr:row>13</xdr:row>
      <xdr:rowOff>82549</xdr:rowOff>
    </xdr:to>
    <xdr:sp macro="" textlink="">
      <xdr:nvSpPr>
        <xdr:cNvPr id="76" name="Oval 75"/>
        <xdr:cNvSpPr/>
      </xdr:nvSpPr>
      <xdr:spPr>
        <a:xfrm flipH="1" flipV="1">
          <a:off x="3467097" y="2425697"/>
          <a:ext cx="45719" cy="50802"/>
        </a:xfrm>
        <a:prstGeom prst="ellipse">
          <a:avLst/>
        </a:prstGeom>
        <a:solidFill>
          <a:srgbClr val="39309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444500</xdr:colOff>
      <xdr:row>12</xdr:row>
      <xdr:rowOff>127000</xdr:rowOff>
    </xdr:from>
    <xdr:to>
      <xdr:col>6</xdr:col>
      <xdr:colOff>463550</xdr:colOff>
      <xdr:row>13</xdr:row>
      <xdr:rowOff>127000</xdr:rowOff>
    </xdr:to>
    <xdr:sp macro="" textlink="">
      <xdr:nvSpPr>
        <xdr:cNvPr id="77" name="TextBox 76"/>
        <xdr:cNvSpPr txBox="1"/>
      </xdr:nvSpPr>
      <xdr:spPr>
        <a:xfrm>
          <a:off x="3492500" y="2336800"/>
          <a:ext cx="62865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Overstock</a:t>
          </a:r>
        </a:p>
      </xdr:txBody>
    </xdr:sp>
    <xdr:clientData/>
  </xdr:twoCellAnchor>
  <xdr:twoCellAnchor>
    <xdr:from>
      <xdr:col>5</xdr:col>
      <xdr:colOff>438150</xdr:colOff>
      <xdr:row>13</xdr:row>
      <xdr:rowOff>101600</xdr:rowOff>
    </xdr:from>
    <xdr:to>
      <xdr:col>6</xdr:col>
      <xdr:colOff>457200</xdr:colOff>
      <xdr:row>14</xdr:row>
      <xdr:rowOff>101600</xdr:rowOff>
    </xdr:to>
    <xdr:sp macro="" textlink="">
      <xdr:nvSpPr>
        <xdr:cNvPr id="79" name="TextBox 78"/>
        <xdr:cNvSpPr txBox="1"/>
      </xdr:nvSpPr>
      <xdr:spPr>
        <a:xfrm>
          <a:off x="3486150" y="2495550"/>
          <a:ext cx="62865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Others</a:t>
          </a:r>
        </a:p>
      </xdr:txBody>
    </xdr:sp>
    <xdr:clientData/>
  </xdr:twoCellAnchor>
  <xdr:twoCellAnchor>
    <xdr:from>
      <xdr:col>5</xdr:col>
      <xdr:colOff>419099</xdr:colOff>
      <xdr:row>13</xdr:row>
      <xdr:rowOff>184149</xdr:rowOff>
    </xdr:from>
    <xdr:to>
      <xdr:col>5</xdr:col>
      <xdr:colOff>464818</xdr:colOff>
      <xdr:row>14</xdr:row>
      <xdr:rowOff>45718</xdr:rowOff>
    </xdr:to>
    <xdr:sp macro="" textlink="">
      <xdr:nvSpPr>
        <xdr:cNvPr id="80" name="Oval 79"/>
        <xdr:cNvSpPr/>
      </xdr:nvSpPr>
      <xdr:spPr>
        <a:xfrm flipH="1" flipV="1">
          <a:off x="3467099" y="2578099"/>
          <a:ext cx="45719" cy="45719"/>
        </a:xfrm>
        <a:prstGeom prst="ellipse">
          <a:avLst/>
        </a:prstGeom>
        <a:solidFill>
          <a:srgbClr val="989A8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xdr:colOff>
      <xdr:row>14</xdr:row>
      <xdr:rowOff>171450</xdr:rowOff>
    </xdr:from>
    <xdr:to>
      <xdr:col>4</xdr:col>
      <xdr:colOff>488950</xdr:colOff>
      <xdr:row>16</xdr:row>
      <xdr:rowOff>101600</xdr:rowOff>
    </xdr:to>
    <xdr:sp macro="" textlink="">
      <xdr:nvSpPr>
        <xdr:cNvPr id="81" name="TextBox 80"/>
        <xdr:cNvSpPr txBox="1"/>
      </xdr:nvSpPr>
      <xdr:spPr>
        <a:xfrm>
          <a:off x="2444750" y="2749550"/>
          <a:ext cx="4826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bg1">
                  <a:alpha val="91000"/>
                </a:schemeClr>
              </a:solidFill>
              <a:effectLst/>
              <a:latin typeface="+mn-lt"/>
              <a:ea typeface="+mn-ea"/>
              <a:cs typeface="+mn-cs"/>
            </a:rPr>
            <a:t>1,791</a:t>
          </a:r>
          <a:r>
            <a:rPr lang="en-US"/>
            <a:t> </a:t>
          </a:r>
          <a:endParaRPr lang="en-US" sz="1100"/>
        </a:p>
      </xdr:txBody>
    </xdr:sp>
    <xdr:clientData/>
  </xdr:twoCellAnchor>
  <xdr:twoCellAnchor>
    <xdr:from>
      <xdr:col>4</xdr:col>
      <xdr:colOff>419100</xdr:colOff>
      <xdr:row>15</xdr:row>
      <xdr:rowOff>25400</xdr:rowOff>
    </xdr:from>
    <xdr:to>
      <xdr:col>5</xdr:col>
      <xdr:colOff>234950</xdr:colOff>
      <xdr:row>16</xdr:row>
      <xdr:rowOff>50800</xdr:rowOff>
    </xdr:to>
    <xdr:sp macro="" textlink="">
      <xdr:nvSpPr>
        <xdr:cNvPr id="2" name="TextBox 1"/>
        <xdr:cNvSpPr txBox="1"/>
      </xdr:nvSpPr>
      <xdr:spPr>
        <a:xfrm>
          <a:off x="2857500" y="2787650"/>
          <a:ext cx="4254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bg1">
                  <a:alpha val="91000"/>
                </a:schemeClr>
              </a:solidFill>
              <a:effectLst/>
              <a:latin typeface="+mn-lt"/>
              <a:ea typeface="+mn-ea"/>
              <a:cs typeface="+mn-cs"/>
            </a:rPr>
            <a:t>1,209</a:t>
          </a:r>
          <a:r>
            <a:rPr lang="en-US" sz="800">
              <a:solidFill>
                <a:schemeClr val="bg1">
                  <a:alpha val="91000"/>
                </a:schemeClr>
              </a:solidFill>
            </a:rPr>
            <a:t> </a:t>
          </a:r>
        </a:p>
      </xdr:txBody>
    </xdr:sp>
    <xdr:clientData/>
  </xdr:twoCellAnchor>
  <xdr:twoCellAnchor>
    <xdr:from>
      <xdr:col>3</xdr:col>
      <xdr:colOff>603250</xdr:colOff>
      <xdr:row>9</xdr:row>
      <xdr:rowOff>139700</xdr:rowOff>
    </xdr:from>
    <xdr:to>
      <xdr:col>4</xdr:col>
      <xdr:colOff>152399</xdr:colOff>
      <xdr:row>12</xdr:row>
      <xdr:rowOff>133350</xdr:rowOff>
    </xdr:to>
    <xdr:sp macro="" textlink="">
      <xdr:nvSpPr>
        <xdr:cNvPr id="60" name="Rectangle 59"/>
        <xdr:cNvSpPr/>
      </xdr:nvSpPr>
      <xdr:spPr>
        <a:xfrm>
          <a:off x="2432050" y="1797050"/>
          <a:ext cx="158749" cy="546100"/>
        </a:xfrm>
        <a:prstGeom prst="rect">
          <a:avLst/>
        </a:prstGeom>
        <a:solidFill>
          <a:schemeClr val="tx1">
            <a:lumMod val="50000"/>
            <a:lumOff val="50000"/>
            <a:alpha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9</xdr:row>
      <xdr:rowOff>139700</xdr:rowOff>
    </xdr:from>
    <xdr:to>
      <xdr:col>6</xdr:col>
      <xdr:colOff>311150</xdr:colOff>
      <xdr:row>12</xdr:row>
      <xdr:rowOff>139700</xdr:rowOff>
    </xdr:to>
    <xdr:sp macro="" textlink="">
      <xdr:nvSpPr>
        <xdr:cNvPr id="27" name="Rectangle 26"/>
        <xdr:cNvSpPr/>
      </xdr:nvSpPr>
      <xdr:spPr>
        <a:xfrm>
          <a:off x="2457450" y="1797050"/>
          <a:ext cx="1511300" cy="5524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xdr:colOff>
      <xdr:row>9</xdr:row>
      <xdr:rowOff>139700</xdr:rowOff>
    </xdr:from>
    <xdr:to>
      <xdr:col>6</xdr:col>
      <xdr:colOff>323850</xdr:colOff>
      <xdr:row>12</xdr:row>
      <xdr:rowOff>133350</xdr:rowOff>
    </xdr:to>
    <xdr:sp macro="" textlink="">
      <xdr:nvSpPr>
        <xdr:cNvPr id="61" name="TextBox 60"/>
        <xdr:cNvSpPr txBox="1"/>
      </xdr:nvSpPr>
      <xdr:spPr>
        <a:xfrm>
          <a:off x="2444750" y="1797050"/>
          <a:ext cx="1536700" cy="546100"/>
        </a:xfrm>
        <a:prstGeom prst="rect">
          <a:avLst/>
        </a:prstGeom>
        <a:solidFill>
          <a:srgbClr val="92D050">
            <a:alpha val="4000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700"/>
            <a:t>A large portion of products (</a:t>
          </a:r>
          <a:r>
            <a:rPr lang="en-US" sz="700" b="1"/>
            <a:t>60%</a:t>
          </a:r>
          <a:r>
            <a:rPr lang="en-US" sz="700"/>
            <a:t>) is overstocked. Consider reviewing procurement or sales strategies to reduce excess stock.</a:t>
          </a:r>
        </a:p>
      </xdr:txBody>
    </xdr:sp>
    <xdr:clientData/>
  </xdr:twoCellAnchor>
  <mc:AlternateContent xmlns:mc="http://schemas.openxmlformats.org/markup-compatibility/2006">
    <mc:Choice xmlns:a14="http://schemas.microsoft.com/office/drawing/2010/main" Requires="a14">
      <xdr:twoCellAnchor editAs="oneCell">
        <xdr:from>
          <xdr:col>7</xdr:col>
          <xdr:colOff>165100</xdr:colOff>
          <xdr:row>9</xdr:row>
          <xdr:rowOff>69850</xdr:rowOff>
        </xdr:from>
        <xdr:to>
          <xdr:col>7</xdr:col>
          <xdr:colOff>342900</xdr:colOff>
          <xdr:row>10</xdr:row>
          <xdr:rowOff>69850</xdr:rowOff>
        </xdr:to>
        <xdr:sp macro="" textlink="">
          <xdr:nvSpPr>
            <xdr:cNvPr id="2049" name="Option Button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222250</xdr:colOff>
          <xdr:row>9</xdr:row>
          <xdr:rowOff>82550</xdr:rowOff>
        </xdr:from>
        <xdr:to>
          <xdr:col>9</xdr:col>
          <xdr:colOff>400050</xdr:colOff>
          <xdr:row>10</xdr:row>
          <xdr:rowOff>82550</xdr:rowOff>
        </xdr:to>
        <xdr:sp macro="" textlink="">
          <xdr:nvSpPr>
            <xdr:cNvPr id="2050" name="Option Button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400050</xdr:colOff>
      <xdr:row>10</xdr:row>
      <xdr:rowOff>107950</xdr:rowOff>
    </xdr:from>
    <xdr:to>
      <xdr:col>12</xdr:col>
      <xdr:colOff>342900</xdr:colOff>
      <xdr:row>18</xdr:row>
      <xdr:rowOff>44450</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571874</xdr:colOff>
      <xdr:row>3</xdr:row>
      <xdr:rowOff>106364</xdr:rowOff>
    </xdr:from>
    <xdr:to>
      <xdr:col>16</xdr:col>
      <xdr:colOff>344564</xdr:colOff>
      <xdr:row>5</xdr:row>
      <xdr:rowOff>36514</xdr:rowOff>
    </xdr:to>
    <xdr:sp macro="" textlink="">
      <xdr:nvSpPr>
        <xdr:cNvPr id="29" name="TextBox 28"/>
        <xdr:cNvSpPr txBox="1"/>
      </xdr:nvSpPr>
      <xdr:spPr>
        <a:xfrm>
          <a:off x="9106274" y="658814"/>
          <a:ext cx="99189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rgbClr val="C89800"/>
              </a:solidFill>
              <a:effectLst/>
              <a:latin typeface="Arial Rounded MT Bold" panose="020F0704030504030204" pitchFamily="34" charset="0"/>
              <a:ea typeface="+mn-ea"/>
              <a:cs typeface="+mn-cs"/>
            </a:rPr>
            <a:t>67.9%</a:t>
          </a:r>
          <a:r>
            <a:rPr lang="en-US" b="1">
              <a:solidFill>
                <a:srgbClr val="C89800"/>
              </a:solidFill>
              <a:latin typeface="Arial Rounded MT Bold" panose="020F0704030504030204" pitchFamily="34" charset="0"/>
            </a:rPr>
            <a:t> </a:t>
          </a:r>
          <a:endParaRPr lang="en-US" sz="1100" b="1">
            <a:solidFill>
              <a:srgbClr val="C89800"/>
            </a:solidFill>
            <a:latin typeface="Arial Rounded MT Bold" panose="020F0704030504030204" pitchFamily="34" charset="0"/>
          </a:endParaRPr>
        </a:p>
      </xdr:txBody>
    </xdr:sp>
    <xdr:clientData/>
  </xdr:twoCellAnchor>
  <xdr:twoCellAnchor editAs="oneCell">
    <xdr:from>
      <xdr:col>10</xdr:col>
      <xdr:colOff>203201</xdr:colOff>
      <xdr:row>3</xdr:row>
      <xdr:rowOff>101601</xdr:rowOff>
    </xdr:from>
    <xdr:to>
      <xdr:col>11</xdr:col>
      <xdr:colOff>120650</xdr:colOff>
      <xdr:row>6</xdr:row>
      <xdr:rowOff>76200</xdr:rowOff>
    </xdr:to>
    <xdr:pic>
      <xdr:nvPicPr>
        <xdr:cNvPr id="30" name="Picture 29"/>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299201" y="654051"/>
          <a:ext cx="527049" cy="527049"/>
        </a:xfrm>
        <a:prstGeom prst="rect">
          <a:avLst/>
        </a:prstGeom>
      </xdr:spPr>
    </xdr:pic>
    <xdr:clientData/>
  </xdr:twoCellAnchor>
  <xdr:twoCellAnchor editAs="oneCell">
    <xdr:from>
      <xdr:col>0</xdr:col>
      <xdr:colOff>158750</xdr:colOff>
      <xdr:row>3</xdr:row>
      <xdr:rowOff>133350</xdr:rowOff>
    </xdr:from>
    <xdr:to>
      <xdr:col>1</xdr:col>
      <xdr:colOff>69850</xdr:colOff>
      <xdr:row>6</xdr:row>
      <xdr:rowOff>101600</xdr:rowOff>
    </xdr:to>
    <xdr:pic>
      <xdr:nvPicPr>
        <xdr:cNvPr id="33" name="Picture 3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58750" y="685800"/>
          <a:ext cx="520700" cy="520700"/>
        </a:xfrm>
        <a:prstGeom prst="rect">
          <a:avLst/>
        </a:prstGeom>
      </xdr:spPr>
    </xdr:pic>
    <xdr:clientData/>
  </xdr:twoCellAnchor>
  <xdr:twoCellAnchor editAs="oneCell">
    <xdr:from>
      <xdr:col>6</xdr:col>
      <xdr:colOff>565150</xdr:colOff>
      <xdr:row>3</xdr:row>
      <xdr:rowOff>76200</xdr:rowOff>
    </xdr:from>
    <xdr:to>
      <xdr:col>7</xdr:col>
      <xdr:colOff>539750</xdr:colOff>
      <xdr:row>6</xdr:row>
      <xdr:rowOff>107950</xdr:rowOff>
    </xdr:to>
    <xdr:pic>
      <xdr:nvPicPr>
        <xdr:cNvPr id="35" name="Picture 3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22750" y="628650"/>
          <a:ext cx="584200" cy="584200"/>
        </a:xfrm>
        <a:prstGeom prst="rect">
          <a:avLst/>
        </a:prstGeom>
        <a:solidFill>
          <a:srgbClr val="F1F1EB"/>
        </a:solidFill>
      </xdr:spPr>
    </xdr:pic>
    <xdr:clientData/>
  </xdr:twoCellAnchor>
  <xdr:twoCellAnchor editAs="oneCell">
    <xdr:from>
      <xdr:col>3</xdr:col>
      <xdr:colOff>361951</xdr:colOff>
      <xdr:row>3</xdr:row>
      <xdr:rowOff>107951</xdr:rowOff>
    </xdr:from>
    <xdr:to>
      <xdr:col>4</xdr:col>
      <xdr:colOff>273050</xdr:colOff>
      <xdr:row>6</xdr:row>
      <xdr:rowOff>76200</xdr:rowOff>
    </xdr:to>
    <xdr:pic>
      <xdr:nvPicPr>
        <xdr:cNvPr id="37" name="Picture 3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190751" y="660401"/>
          <a:ext cx="520699" cy="520699"/>
        </a:xfrm>
        <a:prstGeom prst="rect">
          <a:avLst/>
        </a:prstGeom>
      </xdr:spPr>
    </xdr:pic>
    <xdr:clientData/>
  </xdr:twoCellAnchor>
  <xdr:twoCellAnchor editAs="oneCell">
    <xdr:from>
      <xdr:col>13</xdr:col>
      <xdr:colOff>374651</xdr:colOff>
      <xdr:row>3</xdr:row>
      <xdr:rowOff>50801</xdr:rowOff>
    </xdr:from>
    <xdr:to>
      <xdr:col>14</xdr:col>
      <xdr:colOff>355600</xdr:colOff>
      <xdr:row>6</xdr:row>
      <xdr:rowOff>88900</xdr:rowOff>
    </xdr:to>
    <xdr:pic>
      <xdr:nvPicPr>
        <xdr:cNvPr id="38" name="Picture 37"/>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299451" y="603251"/>
          <a:ext cx="590549" cy="590549"/>
        </a:xfrm>
        <a:prstGeom prst="rect">
          <a:avLst/>
        </a:prstGeom>
      </xdr:spPr>
    </xdr:pic>
    <xdr:clientData/>
  </xdr:twoCellAnchor>
  <xdr:twoCellAnchor>
    <xdr:from>
      <xdr:col>2</xdr:col>
      <xdr:colOff>577850</xdr:colOff>
      <xdr:row>5</xdr:row>
      <xdr:rowOff>95250</xdr:rowOff>
    </xdr:from>
    <xdr:to>
      <xdr:col>3</xdr:col>
      <xdr:colOff>45774</xdr:colOff>
      <xdr:row>6</xdr:row>
      <xdr:rowOff>25400</xdr:rowOff>
    </xdr:to>
    <xdr:sp macro="" textlink="">
      <xdr:nvSpPr>
        <xdr:cNvPr id="49" name="Rectangle 48"/>
        <xdr:cNvSpPr/>
      </xdr:nvSpPr>
      <xdr:spPr>
        <a:xfrm>
          <a:off x="1797050" y="1016000"/>
          <a:ext cx="77524" cy="114300"/>
        </a:xfrm>
        <a:prstGeom prst="rect">
          <a:avLst/>
        </a:prstGeom>
        <a:solidFill>
          <a:srgbClr val="3E36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591102</xdr:colOff>
      <xdr:row>5</xdr:row>
      <xdr:rowOff>95250</xdr:rowOff>
    </xdr:from>
    <xdr:to>
      <xdr:col>3</xdr:col>
      <xdr:colOff>196850</xdr:colOff>
      <xdr:row>6</xdr:row>
      <xdr:rowOff>25400</xdr:rowOff>
    </xdr:to>
    <xdr:sp macro="" textlink="">
      <xdr:nvSpPr>
        <xdr:cNvPr id="68" name="Rectangle 67"/>
        <xdr:cNvSpPr/>
      </xdr:nvSpPr>
      <xdr:spPr>
        <a:xfrm>
          <a:off x="1810302" y="1016000"/>
          <a:ext cx="215348" cy="1143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128588</xdr:colOff>
      <xdr:row>5</xdr:row>
      <xdr:rowOff>90487</xdr:rowOff>
    </xdr:from>
    <xdr:to>
      <xdr:col>6</xdr:col>
      <xdr:colOff>206112</xdr:colOff>
      <xdr:row>6</xdr:row>
      <xdr:rowOff>20637</xdr:rowOff>
    </xdr:to>
    <xdr:sp macro="" textlink="">
      <xdr:nvSpPr>
        <xdr:cNvPr id="102" name="Rectangle 101"/>
        <xdr:cNvSpPr/>
      </xdr:nvSpPr>
      <xdr:spPr>
        <a:xfrm>
          <a:off x="3786188" y="1011237"/>
          <a:ext cx="77524" cy="114300"/>
        </a:xfrm>
        <a:prstGeom prst="rect">
          <a:avLst/>
        </a:prstGeom>
        <a:solidFill>
          <a:srgbClr val="C05B08">
            <a:alpha val="9686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141840</xdr:colOff>
      <xdr:row>5</xdr:row>
      <xdr:rowOff>90487</xdr:rowOff>
    </xdr:from>
    <xdr:to>
      <xdr:col>6</xdr:col>
      <xdr:colOff>357188</xdr:colOff>
      <xdr:row>6</xdr:row>
      <xdr:rowOff>20637</xdr:rowOff>
    </xdr:to>
    <xdr:sp macro="" textlink="">
      <xdr:nvSpPr>
        <xdr:cNvPr id="103" name="Rectangle 102"/>
        <xdr:cNvSpPr/>
      </xdr:nvSpPr>
      <xdr:spPr>
        <a:xfrm>
          <a:off x="3799440" y="1011237"/>
          <a:ext cx="215348" cy="1143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206375</xdr:colOff>
      <xdr:row>5</xdr:row>
      <xdr:rowOff>60324</xdr:rowOff>
    </xdr:from>
    <xdr:to>
      <xdr:col>9</xdr:col>
      <xdr:colOff>283899</xdr:colOff>
      <xdr:row>5</xdr:row>
      <xdr:rowOff>174624</xdr:rowOff>
    </xdr:to>
    <xdr:sp macro="" textlink="">
      <xdr:nvSpPr>
        <xdr:cNvPr id="105" name="Rectangle 104"/>
        <xdr:cNvSpPr/>
      </xdr:nvSpPr>
      <xdr:spPr>
        <a:xfrm>
          <a:off x="5692775" y="981074"/>
          <a:ext cx="77524" cy="114300"/>
        </a:xfrm>
        <a:prstGeom prst="rect">
          <a:avLst/>
        </a:prstGeom>
        <a:solidFill>
          <a:srgbClr val="008A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219627</xdr:colOff>
      <xdr:row>5</xdr:row>
      <xdr:rowOff>60324</xdr:rowOff>
    </xdr:from>
    <xdr:to>
      <xdr:col>9</xdr:col>
      <xdr:colOff>434975</xdr:colOff>
      <xdr:row>5</xdr:row>
      <xdr:rowOff>174624</xdr:rowOff>
    </xdr:to>
    <xdr:sp macro="" textlink="">
      <xdr:nvSpPr>
        <xdr:cNvPr id="106" name="Rectangle 105"/>
        <xdr:cNvSpPr/>
      </xdr:nvSpPr>
      <xdr:spPr>
        <a:xfrm>
          <a:off x="5706027" y="981074"/>
          <a:ext cx="215348" cy="1143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449263</xdr:colOff>
      <xdr:row>5</xdr:row>
      <xdr:rowOff>49211</xdr:rowOff>
    </xdr:from>
    <xdr:to>
      <xdr:col>12</xdr:col>
      <xdr:colOff>526787</xdr:colOff>
      <xdr:row>5</xdr:row>
      <xdr:rowOff>163511</xdr:rowOff>
    </xdr:to>
    <xdr:sp macro="" textlink="">
      <xdr:nvSpPr>
        <xdr:cNvPr id="108" name="Rectangle 107"/>
        <xdr:cNvSpPr/>
      </xdr:nvSpPr>
      <xdr:spPr>
        <a:xfrm>
          <a:off x="7764463" y="969961"/>
          <a:ext cx="77524" cy="114300"/>
        </a:xfrm>
        <a:prstGeom prst="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462515</xdr:colOff>
      <xdr:row>5</xdr:row>
      <xdr:rowOff>49211</xdr:rowOff>
    </xdr:from>
    <xdr:to>
      <xdr:col>13</xdr:col>
      <xdr:colOff>68263</xdr:colOff>
      <xdr:row>5</xdr:row>
      <xdr:rowOff>163511</xdr:rowOff>
    </xdr:to>
    <xdr:sp macro="" textlink="">
      <xdr:nvSpPr>
        <xdr:cNvPr id="109" name="Rectangle 108"/>
        <xdr:cNvSpPr/>
      </xdr:nvSpPr>
      <xdr:spPr>
        <a:xfrm>
          <a:off x="7777715" y="969961"/>
          <a:ext cx="215348" cy="1143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184150</xdr:colOff>
      <xdr:row>5</xdr:row>
      <xdr:rowOff>120650</xdr:rowOff>
    </xdr:from>
    <xdr:to>
      <xdr:col>16</xdr:col>
      <xdr:colOff>261674</xdr:colOff>
      <xdr:row>6</xdr:row>
      <xdr:rowOff>50800</xdr:rowOff>
    </xdr:to>
    <xdr:sp macro="" textlink="">
      <xdr:nvSpPr>
        <xdr:cNvPr id="111" name="Rectangle 110"/>
        <xdr:cNvSpPr/>
      </xdr:nvSpPr>
      <xdr:spPr>
        <a:xfrm>
          <a:off x="9937750" y="1041400"/>
          <a:ext cx="77524" cy="114300"/>
        </a:xfrm>
        <a:prstGeom prst="rect">
          <a:avLst/>
        </a:prstGeom>
        <a:solidFill>
          <a:srgbClr val="C89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197402</xdr:colOff>
      <xdr:row>5</xdr:row>
      <xdr:rowOff>120650</xdr:rowOff>
    </xdr:from>
    <xdr:to>
      <xdr:col>16</xdr:col>
      <xdr:colOff>412750</xdr:colOff>
      <xdr:row>6</xdr:row>
      <xdr:rowOff>50800</xdr:rowOff>
    </xdr:to>
    <xdr:sp macro="" textlink="">
      <xdr:nvSpPr>
        <xdr:cNvPr id="112" name="Rectangle 111"/>
        <xdr:cNvSpPr/>
      </xdr:nvSpPr>
      <xdr:spPr>
        <a:xfrm>
          <a:off x="9951002" y="1041400"/>
          <a:ext cx="215348" cy="1143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2</xdr:row>
      <xdr:rowOff>106680</xdr:rowOff>
    </xdr:from>
    <xdr:to>
      <xdr:col>16</xdr:col>
      <xdr:colOff>425450</xdr:colOff>
      <xdr:row>2</xdr:row>
      <xdr:rowOff>152399</xdr:rowOff>
    </xdr:to>
    <xdr:sp macro="" textlink="">
      <xdr:nvSpPr>
        <xdr:cNvPr id="87" name="Rectangle 86"/>
        <xdr:cNvSpPr/>
      </xdr:nvSpPr>
      <xdr:spPr>
        <a:xfrm flipV="1">
          <a:off x="114300" y="474980"/>
          <a:ext cx="10064750" cy="45719"/>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0</xdr:row>
      <xdr:rowOff>19050</xdr:rowOff>
    </xdr:from>
    <xdr:to>
      <xdr:col>16</xdr:col>
      <xdr:colOff>412750</xdr:colOff>
      <xdr:row>2</xdr:row>
      <xdr:rowOff>127000</xdr:rowOff>
    </xdr:to>
    <xdr:sp macro="" textlink="">
      <xdr:nvSpPr>
        <xdr:cNvPr id="100" name="Rectangle 99"/>
        <xdr:cNvSpPr/>
      </xdr:nvSpPr>
      <xdr:spPr>
        <a:xfrm>
          <a:off x="114300" y="19050"/>
          <a:ext cx="10052050" cy="476250"/>
        </a:xfrm>
        <a:prstGeom prst="rect">
          <a:avLst/>
        </a:prstGeom>
        <a:solidFill>
          <a:srgbClr val="F1F1E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546100</xdr:colOff>
      <xdr:row>0</xdr:row>
      <xdr:rowOff>44451</xdr:rowOff>
    </xdr:from>
    <xdr:to>
      <xdr:col>15</xdr:col>
      <xdr:colOff>514350</xdr:colOff>
      <xdr:row>2</xdr:row>
      <xdr:rowOff>107950</xdr:rowOff>
    </xdr:to>
    <mc:AlternateContent xmlns:mc="http://schemas.openxmlformats.org/markup-compatibility/2006" xmlns:a14="http://schemas.microsoft.com/office/drawing/2010/main">
      <mc:Choice Requires="a14">
        <xdr:graphicFrame macro="">
          <xdr:nvGraphicFramePr>
            <xdr:cNvPr id="2048"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203700" y="44451"/>
              <a:ext cx="5454650" cy="431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228601</xdr:colOff>
      <xdr:row>0</xdr:row>
      <xdr:rowOff>139701</xdr:rowOff>
    </xdr:from>
    <xdr:to>
      <xdr:col>16</xdr:col>
      <xdr:colOff>406400</xdr:colOff>
      <xdr:row>1</xdr:row>
      <xdr:rowOff>133350</xdr:rowOff>
    </xdr:to>
    <xdr:pic>
      <xdr:nvPicPr>
        <xdr:cNvPr id="2052" name="Picture 2051"/>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982201" y="139701"/>
          <a:ext cx="177799" cy="177799"/>
        </a:xfrm>
        <a:prstGeom prst="rect">
          <a:avLst/>
        </a:prstGeom>
      </xdr:spPr>
    </xdr:pic>
    <xdr:clientData/>
  </xdr:twoCellAnchor>
  <xdr:twoCellAnchor>
    <xdr:from>
      <xdr:col>15</xdr:col>
      <xdr:colOff>368300</xdr:colOff>
      <xdr:row>0</xdr:row>
      <xdr:rowOff>133350</xdr:rowOff>
    </xdr:from>
    <xdr:to>
      <xdr:col>16</xdr:col>
      <xdr:colOff>419100</xdr:colOff>
      <xdr:row>1</xdr:row>
      <xdr:rowOff>139700</xdr:rowOff>
    </xdr:to>
    <xdr:sp macro="[0]!Clear_All_Slicers" textlink="">
      <xdr:nvSpPr>
        <xdr:cNvPr id="2053" name="TextBox 2052"/>
        <xdr:cNvSpPr txBox="1"/>
      </xdr:nvSpPr>
      <xdr:spPr>
        <a:xfrm>
          <a:off x="9512300" y="133350"/>
          <a:ext cx="6604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a:t>Clear Slicer</a:t>
          </a:r>
        </a:p>
      </xdr:txBody>
    </xdr:sp>
    <xdr:clientData/>
  </xdr:twoCellAnchor>
  <xdr:twoCellAnchor>
    <xdr:from>
      <xdr:col>0</xdr:col>
      <xdr:colOff>304800</xdr:colOff>
      <xdr:row>0</xdr:row>
      <xdr:rowOff>57150</xdr:rowOff>
    </xdr:from>
    <xdr:to>
      <xdr:col>6</xdr:col>
      <xdr:colOff>476250</xdr:colOff>
      <xdr:row>2</xdr:row>
      <xdr:rowOff>50800</xdr:rowOff>
    </xdr:to>
    <xdr:sp macro="" textlink="">
      <xdr:nvSpPr>
        <xdr:cNvPr id="2056" name="TextBox 2055"/>
        <xdr:cNvSpPr txBox="1"/>
      </xdr:nvSpPr>
      <xdr:spPr>
        <a:xfrm>
          <a:off x="304800" y="57150"/>
          <a:ext cx="38290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rot lat="0" lon="0" rev="0"/>
            </a:camera>
            <a:lightRig rig="threePt" dir="t"/>
          </a:scene3d>
          <a:sp3d/>
        </a:bodyPr>
        <a:lstStyle/>
        <a:p>
          <a:r>
            <a:rPr lang="en-US" sz="2000" b="1">
              <a:solidFill>
                <a:schemeClr val="tx2"/>
              </a:solidFill>
              <a:effectLst>
                <a:outerShdw blurRad="101600" dist="152400" dir="4200000" sx="101000" sy="101000" algn="tr" rotWithShape="0">
                  <a:schemeClr val="tx2">
                    <a:alpha val="57000"/>
                  </a:schemeClr>
                </a:outerShdw>
              </a:effectLst>
              <a:latin typeface="+mj-lt"/>
            </a:rPr>
            <a:t>Inventory Sales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6058.771867592593" createdVersion="6" refreshedVersion="6" minRefreshableVersion="3" recordCount="3000">
  <cacheSource type="worksheet">
    <worksheetSource name="Table2"/>
  </cacheSource>
  <cacheFields count="17">
    <cacheField name="ReferenceNo " numFmtId="0">
      <sharedItems containsSemiMixedTypes="0" containsString="0" containsNumber="1" containsInteger="1" minValue="10029" maxValue="99998"/>
    </cacheField>
    <cacheField name="ProductName" numFmtId="0">
      <sharedItems count="17">
        <s v="Ceiling Board"/>
        <s v="Wallpaper Roll"/>
        <s v="Concrete Block"/>
        <s v="Switch Box"/>
        <s v="Paint Bucket"/>
        <s v="Bulb Pack"/>
        <s v="Shower Set"/>
        <s v="Toilet Seat"/>
        <s v="Cement Bag"/>
        <s v="Roofing Sheet"/>
        <s v="Electrical Cable"/>
        <s v="Water Heater"/>
        <s v="Floor Tiles"/>
        <s v="Window Glass"/>
        <s v="PVC Pipe"/>
        <s v="Kitchen Sink"/>
        <s v="Door Frame"/>
      </sharedItems>
    </cacheField>
    <cacheField name="Category" numFmtId="0">
      <sharedItems count="5">
        <s v="Interior"/>
        <s v="Building Materials"/>
        <s v="Electrical"/>
        <s v="Hardware"/>
        <s v="Plumbing"/>
      </sharedItems>
    </cacheField>
    <cacheField name="CurrentStock" numFmtId="0">
      <sharedItems containsSemiMixedTypes="0" containsString="0" containsNumber="1" containsInteger="1" minValue="0" maxValue="499" count="500">
        <n v="270"/>
        <n v="151"/>
        <n v="21"/>
        <n v="243"/>
        <n v="241"/>
        <n v="80"/>
        <n v="401"/>
        <n v="236"/>
        <n v="14"/>
        <n v="406"/>
        <n v="430"/>
        <n v="379"/>
        <n v="170"/>
        <n v="169"/>
        <n v="347"/>
        <n v="358"/>
        <n v="159"/>
        <n v="112"/>
        <n v="125"/>
        <n v="400"/>
        <n v="123"/>
        <n v="345"/>
        <n v="337"/>
        <n v="98"/>
        <n v="103"/>
        <n v="403"/>
        <n v="437"/>
        <n v="303"/>
        <n v="372"/>
        <n v="489"/>
        <n v="385"/>
        <n v="407"/>
        <n v="321"/>
        <n v="341"/>
        <n v="59"/>
        <n v="423"/>
        <n v="473"/>
        <n v="238"/>
        <n v="486"/>
        <n v="184"/>
        <n v="217"/>
        <n v="245"/>
        <n v="324"/>
        <n v="395"/>
        <n v="322"/>
        <n v="34"/>
        <n v="104"/>
        <n v="248"/>
        <n v="95"/>
        <n v="360"/>
        <n v="18"/>
        <n v="222"/>
        <n v="52"/>
        <n v="330"/>
        <n v="6"/>
        <n v="164"/>
        <n v="131"/>
        <n v="140"/>
        <n v="0"/>
        <n v="57"/>
        <n v="163"/>
        <n v="440"/>
        <n v="135"/>
        <n v="416"/>
        <n v="255"/>
        <n v="288"/>
        <n v="314"/>
        <n v="196"/>
        <n v="82"/>
        <n v="71"/>
        <n v="477"/>
        <n v="434"/>
        <n v="334"/>
        <n v="399"/>
        <n v="433"/>
        <n v="404"/>
        <n v="410"/>
        <n v="25"/>
        <n v="77"/>
        <n v="273"/>
        <n v="230"/>
        <n v="66"/>
        <n v="100"/>
        <n v="317"/>
        <n v="211"/>
        <n v="355"/>
        <n v="12"/>
        <n v="94"/>
        <n v="315"/>
        <n v="62"/>
        <n v="499"/>
        <n v="195"/>
        <n v="215"/>
        <n v="172"/>
        <n v="133"/>
        <n v="480"/>
        <n v="126"/>
        <n v="266"/>
        <n v="318"/>
        <n v="116"/>
        <n v="417"/>
        <n v="160"/>
        <n v="336"/>
        <n v="285"/>
        <n v="165"/>
        <n v="365"/>
        <n v="320"/>
        <n v="50"/>
        <n v="35"/>
        <n v="354"/>
        <n v="214"/>
        <n v="200"/>
        <n v="325"/>
        <n v="308"/>
        <n v="291"/>
        <n v="231"/>
        <n v="147"/>
        <n v="107"/>
        <n v="304"/>
        <n v="58"/>
        <n v="85"/>
        <n v="476"/>
        <n v="292"/>
        <n v="209"/>
        <n v="250"/>
        <n v="445"/>
        <n v="413"/>
        <n v="375"/>
        <n v="152"/>
        <n v="492"/>
        <n v="4"/>
        <n v="378"/>
        <n v="380"/>
        <n v="122"/>
        <n v="39"/>
        <n v="453"/>
        <n v="261"/>
        <n v="344"/>
        <n v="44"/>
        <n v="38"/>
        <n v="45"/>
        <n v="466"/>
        <n v="277"/>
        <n v="373"/>
        <n v="459"/>
        <n v="194"/>
        <n v="146"/>
        <n v="279"/>
        <n v="7"/>
        <n v="386"/>
        <n v="213"/>
        <n v="424"/>
        <n v="121"/>
        <n v="72"/>
        <n v="110"/>
        <n v="2"/>
        <n v="24"/>
        <n v="242"/>
        <n v="441"/>
        <n v="294"/>
        <n v="281"/>
        <n v="421"/>
        <n v="263"/>
        <n v="369"/>
        <n v="484"/>
        <n v="298"/>
        <n v="339"/>
        <n v="128"/>
        <n v="113"/>
        <n v="497"/>
        <n v="488"/>
        <n v="278"/>
        <n v="461"/>
        <n v="220"/>
        <n v="398"/>
        <n v="333"/>
        <n v="145"/>
        <n v="67"/>
        <n v="149"/>
        <n v="101"/>
        <n v="69"/>
        <n v="229"/>
        <n v="332"/>
        <n v="287"/>
        <n v="65"/>
        <n v="129"/>
        <n v="252"/>
        <n v="389"/>
        <n v="498"/>
        <n v="55"/>
        <n v="493"/>
        <n v="182"/>
        <n v="187"/>
        <n v="251"/>
        <n v="41"/>
        <n v="343"/>
        <n v="108"/>
        <n v="260"/>
        <n v="449"/>
        <n v="118"/>
        <n v="268"/>
        <n v="272"/>
        <n v="31"/>
        <n v="202"/>
        <n v="28"/>
        <n v="188"/>
        <n v="280"/>
        <n v="387"/>
        <n v="436"/>
        <n v="487"/>
        <n v="349"/>
        <n v="191"/>
        <n v="99"/>
        <n v="204"/>
        <n v="153"/>
        <n v="471"/>
        <n v="353"/>
        <n v="329"/>
        <n v="494"/>
        <n v="276"/>
        <n v="269"/>
        <n v="247"/>
        <n v="88"/>
        <n v="296"/>
        <n v="210"/>
        <n v="455"/>
        <n v="224"/>
        <n v="29"/>
        <n v="109"/>
        <n v="464"/>
        <n v="442"/>
        <n v="75"/>
        <n v="37"/>
        <n v="92"/>
        <n v="485"/>
        <n v="340"/>
        <n v="444"/>
        <n v="342"/>
        <n v="460"/>
        <n v="1"/>
        <n v="234"/>
        <n v="312"/>
        <n v="478"/>
        <n v="259"/>
        <n v="368"/>
        <n v="283"/>
        <n v="309"/>
        <n v="307"/>
        <n v="364"/>
        <n v="348"/>
        <n v="183"/>
        <n v="429"/>
        <n v="274"/>
        <n v="53"/>
        <n v="74"/>
        <n v="376"/>
        <n v="427"/>
        <n v="185"/>
        <n v="226"/>
        <n v="328"/>
        <n v="408"/>
        <n v="227"/>
        <n v="134"/>
        <n v="78"/>
        <n v="491"/>
        <n v="396"/>
        <n v="208"/>
        <n v="310"/>
        <n v="124"/>
        <n v="155"/>
        <n v="90"/>
        <n v="370"/>
        <n v="361"/>
        <n v="474"/>
        <n v="23"/>
        <n v="350"/>
        <n v="419"/>
        <n v="205"/>
        <n v="240"/>
        <n v="190"/>
        <n v="42"/>
        <n v="319"/>
        <n v="451"/>
        <n v="388"/>
        <n v="46"/>
        <n v="16"/>
        <n v="467"/>
        <n v="232"/>
        <n v="265"/>
        <n v="173"/>
        <n v="201"/>
        <n v="311"/>
        <n v="5"/>
        <n v="246"/>
        <n v="174"/>
        <n v="102"/>
        <n v="206"/>
        <n v="335"/>
        <n v="81"/>
        <n v="106"/>
        <n v="450"/>
        <n v="203"/>
        <n v="346"/>
        <n v="338"/>
        <n v="63"/>
        <n v="117"/>
        <n v="363"/>
        <n v="295"/>
        <n v="3"/>
        <n v="225"/>
        <n v="425"/>
        <n v="422"/>
        <n v="93"/>
        <n v="207"/>
        <n v="267"/>
        <n v="415"/>
        <n v="27"/>
        <n v="136"/>
        <n v="249"/>
        <n v="157"/>
        <n v="199"/>
        <n v="30"/>
        <n v="144"/>
        <n v="326"/>
        <n v="462"/>
        <n v="193"/>
        <n v="228"/>
        <n v="367"/>
        <n v="482"/>
        <n v="20"/>
        <n v="299"/>
        <n v="158"/>
        <n v="394"/>
        <n v="458"/>
        <n v="420"/>
        <n v="175"/>
        <n v="479"/>
        <n v="244"/>
        <n v="132"/>
        <n v="19"/>
        <n v="411"/>
        <n v="10"/>
        <n v="357"/>
        <n v="496"/>
        <n v="86"/>
        <n v="253"/>
        <n v="392"/>
        <n v="257"/>
        <n v="97"/>
        <n v="397"/>
        <n v="391"/>
        <n v="189"/>
        <n v="219"/>
        <n v="409"/>
        <n v="167"/>
        <n v="141"/>
        <n v="402"/>
        <n v="443"/>
        <n v="216"/>
        <n v="481"/>
        <n v="275"/>
        <n v="33"/>
        <n v="414"/>
        <n v="426"/>
        <n v="472"/>
        <n v="70"/>
        <n v="197"/>
        <n v="293"/>
        <n v="290"/>
        <n v="218"/>
        <n v="161"/>
        <n v="89"/>
        <n v="447"/>
        <n v="446"/>
        <n v="48"/>
        <n v="43"/>
        <n v="8"/>
        <n v="9"/>
        <n v="468"/>
        <n v="305"/>
        <n v="381"/>
        <n v="179"/>
        <n v="469"/>
        <n v="60"/>
        <n v="428"/>
        <n v="119"/>
        <n v="87"/>
        <n v="178"/>
        <n v="323"/>
        <n v="301"/>
        <n v="463"/>
        <n v="91"/>
        <n v="223"/>
        <n v="192"/>
        <n v="435"/>
        <n v="180"/>
        <n v="374"/>
        <n v="68"/>
        <n v="26"/>
        <n v="452"/>
        <n v="352"/>
        <n v="130"/>
        <n v="306"/>
        <n v="383"/>
        <n v="432"/>
        <n v="393"/>
        <n v="465"/>
        <n v="239"/>
        <n v="439"/>
        <n v="139"/>
        <n v="377"/>
        <n v="362"/>
        <n v="143"/>
        <n v="289"/>
        <n v="162"/>
        <n v="105"/>
        <n v="384"/>
        <n v="431"/>
        <n v="456"/>
        <n v="418"/>
        <n v="235"/>
        <n v="83"/>
        <n v="127"/>
        <n v="115"/>
        <n v="356"/>
        <n v="237"/>
        <n v="22"/>
        <n v="475"/>
        <n v="51"/>
        <n v="96"/>
        <n v="120"/>
        <n v="11"/>
        <n v="327"/>
        <n v="40"/>
        <n v="256"/>
        <n v="47"/>
        <n v="233"/>
        <n v="390"/>
        <n v="138"/>
        <n v="221"/>
        <n v="405"/>
        <n v="111"/>
        <n v="73"/>
        <n v="171"/>
        <n v="264"/>
        <n v="258"/>
        <n v="412"/>
        <n v="254"/>
        <n v="148"/>
        <n v="142"/>
        <n v="15"/>
        <n v="84"/>
        <n v="316"/>
        <n v="56"/>
        <n v="297"/>
        <n v="448"/>
        <n v="359"/>
        <n v="351"/>
        <n v="114"/>
        <n v="454"/>
        <n v="212"/>
        <n v="302"/>
        <n v="371"/>
        <n v="79"/>
        <n v="470"/>
        <n v="286"/>
        <n v="64"/>
        <n v="154"/>
        <n v="13"/>
        <n v="54"/>
        <n v="495"/>
        <n v="150"/>
        <n v="366"/>
        <n v="176"/>
        <n v="76"/>
        <n v="49"/>
        <n v="457"/>
        <n v="300"/>
        <n v="166"/>
        <n v="168"/>
        <n v="331"/>
        <n v="32"/>
        <n v="483"/>
        <n v="382"/>
        <n v="61"/>
        <n v="284"/>
        <n v="282"/>
        <n v="198"/>
        <n v="262"/>
        <n v="181"/>
        <n v="186"/>
        <n v="271"/>
        <n v="137"/>
        <n v="438"/>
        <n v="36"/>
        <n v="177"/>
        <n v="17"/>
        <n v="156"/>
        <n v="313"/>
        <n v="490"/>
      </sharedItems>
    </cacheField>
    <cacheField name="ReorderLevel" numFmtId="0">
      <sharedItems containsSemiMixedTypes="0" containsString="0" containsNumber="1" containsInteger="1" minValue="20" maxValue="150" count="7">
        <n v="40"/>
        <n v="80"/>
        <n v="20"/>
        <n v="30"/>
        <n v="50"/>
        <n v="100"/>
        <n v="150"/>
      </sharedItems>
    </cacheField>
    <cacheField name="UnitPrice" numFmtId="165">
      <sharedItems containsSemiMixedTypes="0" containsString="0" containsNumber="1" minValue="5.09" maxValue="499.86" count="2906">
        <n v="390.95"/>
        <n v="15.19"/>
        <n v="218.81"/>
        <n v="27.99"/>
        <n v="155.78"/>
        <n v="95.21"/>
        <n v="227.63"/>
        <n v="272.14999999999998"/>
        <n v="41.9"/>
        <n v="396.14"/>
        <n v="165.97"/>
        <n v="425.21"/>
        <n v="104.85"/>
        <n v="118.26"/>
        <n v="151.34"/>
        <n v="162.41"/>
        <n v="257.82"/>
        <n v="204.9"/>
        <n v="137.06"/>
        <n v="267.81"/>
        <n v="402.55"/>
        <n v="97.33"/>
        <n v="405.7"/>
        <n v="339.47"/>
        <n v="260.73"/>
        <n v="364.35"/>
        <n v="292.44"/>
        <n v="347.49"/>
        <n v="361.87"/>
        <n v="220.03"/>
        <n v="288.14"/>
        <n v="188.23"/>
        <n v="427.24"/>
        <n v="422.89"/>
        <n v="371.68"/>
        <n v="45.39"/>
        <n v="337.65"/>
        <n v="23.49"/>
        <n v="482.8"/>
        <n v="70.709999999999994"/>
        <n v="45.03"/>
        <n v="123.69"/>
        <n v="220.66"/>
        <n v="62.46"/>
        <n v="248.35"/>
        <n v="443.91"/>
        <n v="85.65"/>
        <n v="288.82"/>
        <n v="480.79"/>
        <n v="40.24"/>
        <n v="63.49"/>
        <n v="92.83"/>
        <n v="465.72"/>
        <n v="451.76"/>
        <n v="31.48"/>
        <n v="288.85000000000002"/>
        <n v="391.74"/>
        <n v="484.48"/>
        <n v="351.98"/>
        <n v="493.39"/>
        <n v="191.25"/>
        <n v="236.99"/>
        <n v="293.77"/>
        <n v="489.06"/>
        <n v="349.23"/>
        <n v="144.08000000000001"/>
        <n v="118.55"/>
        <n v="407.83"/>
        <n v="308.64"/>
        <n v="406.22"/>
        <n v="286.7"/>
        <n v="376.21"/>
        <n v="124.34"/>
        <n v="337.43"/>
        <n v="396.95"/>
        <n v="72.5"/>
        <n v="50.05"/>
        <n v="399.25"/>
        <n v="167.73"/>
        <n v="95.03"/>
        <n v="100.18"/>
        <n v="64.709999999999994"/>
        <n v="50.68"/>
        <n v="404.07"/>
        <n v="375"/>
        <n v="180.3"/>
        <n v="167.11"/>
        <n v="251.73"/>
        <n v="450.33"/>
        <n v="55.38"/>
        <n v="90.82"/>
        <n v="448.82"/>
        <n v="280.60000000000002"/>
        <n v="369.44"/>
        <n v="268.63"/>
        <n v="48.49"/>
        <n v="426.11"/>
        <n v="371.85"/>
        <n v="413.44"/>
        <n v="439.21"/>
        <n v="290.86"/>
        <n v="273.70999999999998"/>
        <n v="447.48"/>
        <n v="358.46"/>
        <n v="201.66"/>
        <n v="11.04"/>
        <n v="233.69"/>
        <n v="364.42"/>
        <n v="386.77"/>
        <n v="65.790000000000006"/>
        <n v="261.82"/>
        <n v="170.08"/>
        <n v="228.85"/>
        <n v="391.35"/>
        <n v="232.2"/>
        <n v="216.26"/>
        <n v="37.53"/>
        <n v="81.84"/>
        <n v="207.32"/>
        <n v="114.88"/>
        <n v="280.58"/>
        <n v="448.69"/>
        <n v="213.61"/>
        <n v="297.2"/>
        <n v="487.4"/>
        <n v="244.97"/>
        <n v="324.3"/>
        <n v="267.18"/>
        <n v="74.31"/>
        <n v="288.77999999999997"/>
        <n v="126.45"/>
        <n v="474.91"/>
        <n v="299.56"/>
        <n v="209.33"/>
        <n v="484.01"/>
        <n v="396.06"/>
        <n v="347.68"/>
        <n v="30.54"/>
        <n v="159.86000000000001"/>
        <n v="373.81"/>
        <n v="173.24"/>
        <n v="443.56"/>
        <n v="96.81"/>
        <n v="203.96"/>
        <n v="171.5"/>
        <n v="427.15"/>
        <n v="341.43"/>
        <n v="495.63"/>
        <n v="119.18"/>
        <n v="316.74"/>
        <n v="260.05"/>
        <n v="22.26"/>
        <n v="240.96"/>
        <n v="277.67"/>
        <n v="113.99"/>
        <n v="453.72"/>
        <n v="434.74"/>
        <n v="341.67"/>
        <n v="235.41"/>
        <n v="5.55"/>
        <n v="490.69"/>
        <n v="14.12"/>
        <n v="91.01"/>
        <n v="33.67"/>
        <n v="37.479999999999997"/>
        <n v="140.44999999999999"/>
        <n v="413.83"/>
        <n v="481.8"/>
        <n v="223.94"/>
        <n v="283.56"/>
        <n v="229.58"/>
        <n v="399.29"/>
        <n v="166.33"/>
        <n v="242.57"/>
        <n v="242.85"/>
        <n v="389.02"/>
        <n v="413.13"/>
        <n v="411.61"/>
        <n v="308.41000000000003"/>
        <n v="244.78"/>
        <n v="265.57"/>
        <n v="309.79000000000002"/>
        <n v="328.37"/>
        <n v="114.18"/>
        <n v="423.89"/>
        <n v="222.11"/>
        <n v="496.11"/>
        <n v="454.97"/>
        <n v="221.4"/>
        <n v="202.53"/>
        <n v="89.03"/>
        <n v="474.55"/>
        <n v="422.86"/>
        <n v="33.26"/>
        <n v="48.84"/>
        <n v="476.15"/>
        <n v="19.84"/>
        <n v="337.94"/>
        <n v="310.83"/>
        <n v="470.73"/>
        <n v="162.47"/>
        <n v="439.87"/>
        <n v="435.11"/>
        <n v="227.1"/>
        <n v="380.88"/>
        <n v="58.91"/>
        <n v="383.62"/>
        <n v="329.07"/>
        <n v="310.58999999999997"/>
        <n v="139.94999999999999"/>
        <n v="96.37"/>
        <n v="302.8"/>
        <n v="91.51"/>
        <n v="367.32"/>
        <n v="295.37"/>
        <n v="322.77999999999997"/>
        <n v="75.180000000000007"/>
        <n v="360.21"/>
        <n v="453.23"/>
        <n v="310.49"/>
        <n v="497.76"/>
        <n v="346.55"/>
        <n v="490.71"/>
        <n v="496.28"/>
        <n v="306.2"/>
        <n v="48.38"/>
        <n v="302.29000000000002"/>
        <n v="253.07"/>
        <n v="74.930000000000007"/>
        <n v="176.32"/>
        <n v="160.30000000000001"/>
        <n v="334.82"/>
        <n v="426.47"/>
        <n v="391.48"/>
        <n v="491.92"/>
        <n v="92.99"/>
        <n v="329.58"/>
        <n v="71.23"/>
        <n v="417.98"/>
        <n v="229.92"/>
        <n v="240.63"/>
        <n v="70.91"/>
        <n v="143.29"/>
        <n v="79.33"/>
        <n v="40.270000000000003"/>
        <n v="178.1"/>
        <n v="416.11"/>
        <n v="106.82"/>
        <n v="448.43"/>
        <n v="460.55"/>
        <n v="116.18"/>
        <n v="464.52"/>
        <n v="431.38"/>
        <n v="377.83"/>
        <n v="364.36"/>
        <n v="256.64"/>
        <n v="84.24"/>
        <n v="203.74"/>
        <n v="190.75"/>
        <n v="340.8"/>
        <n v="362.43"/>
        <n v="6.59"/>
        <n v="243.08"/>
        <n v="245.87"/>
        <n v="33.979999999999997"/>
        <n v="222.9"/>
        <n v="35.96"/>
        <n v="319.91000000000003"/>
        <n v="96.32"/>
        <n v="295.31"/>
        <n v="116.64"/>
        <n v="354.48"/>
        <n v="33.35"/>
        <n v="134.54"/>
        <n v="37.36"/>
        <n v="208.49"/>
        <n v="394.92"/>
        <n v="234.65"/>
        <n v="361.4"/>
        <n v="362.79"/>
        <n v="74.78"/>
        <n v="404.17"/>
        <n v="274.7"/>
        <n v="473.59"/>
        <n v="175.11"/>
        <n v="193.31"/>
        <n v="141.84"/>
        <n v="87.19"/>
        <n v="74.650000000000006"/>
        <n v="484.04"/>
        <n v="65.599999999999994"/>
        <n v="69.260000000000005"/>
        <n v="192.62"/>
        <n v="160.6"/>
        <n v="60.91"/>
        <n v="375.67"/>
        <n v="370.95"/>
        <n v="143.24"/>
        <n v="380.83"/>
        <n v="337.01"/>
        <n v="59.81"/>
        <n v="413.89"/>
        <n v="268.67"/>
        <n v="27.83"/>
        <n v="372.88"/>
        <n v="494.57"/>
        <n v="428.57"/>
        <n v="21.16"/>
        <n v="388.07"/>
        <n v="395.46"/>
        <n v="135.02000000000001"/>
        <n v="238.88"/>
        <n v="243.61"/>
        <n v="8.7899999999999991"/>
        <n v="288.16000000000003"/>
        <n v="175.89"/>
        <n v="140.99"/>
        <n v="412.78"/>
        <n v="132.52000000000001"/>
        <n v="333.02"/>
        <n v="376.18"/>
        <n v="253.57"/>
        <n v="37.89"/>
        <n v="46.77"/>
        <n v="38.36"/>
        <n v="400.2"/>
        <n v="354.27"/>
        <n v="176.21"/>
        <n v="207.77"/>
        <n v="74.569999999999993"/>
        <n v="24.3"/>
        <n v="148.18"/>
        <n v="147.76"/>
        <n v="273.14"/>
        <n v="33.54"/>
        <n v="224.8"/>
        <n v="153.74"/>
        <n v="240.4"/>
        <n v="231.94"/>
        <n v="236.06"/>
        <n v="296.42"/>
        <n v="433.46"/>
        <n v="104.23"/>
        <n v="159.38999999999999"/>
        <n v="362.74"/>
        <n v="478.94"/>
        <n v="26.86"/>
        <n v="411.85"/>
        <n v="206.73"/>
        <n v="8.01"/>
        <n v="29.86"/>
        <n v="116.88"/>
        <n v="381.01"/>
        <n v="320.36"/>
        <n v="361.72"/>
        <n v="375.58"/>
        <n v="354.95"/>
        <n v="465.79"/>
        <n v="395.52"/>
        <n v="249.44"/>
        <n v="95.49"/>
        <n v="499.74"/>
        <n v="6.43"/>
        <n v="238.78"/>
        <n v="487.42"/>
        <n v="33.76"/>
        <n v="192.65"/>
        <n v="205.12"/>
        <n v="261.92"/>
        <n v="289.8"/>
        <n v="177.31"/>
        <n v="424.3"/>
        <n v="154.94"/>
        <n v="239.54"/>
        <n v="274.52"/>
        <n v="74.7"/>
        <n v="266"/>
        <n v="237.64"/>
        <n v="317.31"/>
        <n v="42.74"/>
        <n v="26.73"/>
        <n v="397.61"/>
        <n v="490.67"/>
        <n v="313.06"/>
        <n v="350.66"/>
        <n v="360.57"/>
        <n v="428.33"/>
        <n v="403.35"/>
        <n v="243.04"/>
        <n v="27.23"/>
        <n v="290.68"/>
        <n v="330.03"/>
        <n v="420.71"/>
        <n v="218.53"/>
        <n v="76.19"/>
        <n v="251.28"/>
        <n v="151.13999999999999"/>
        <n v="413.27"/>
        <n v="275.62"/>
        <n v="441.95"/>
        <n v="210.89"/>
        <n v="188.62"/>
        <n v="210.16"/>
        <n v="184.05"/>
        <n v="90.18"/>
        <n v="365.85"/>
        <n v="171.13"/>
        <n v="159.43"/>
        <n v="66.569999999999993"/>
        <n v="409.48"/>
        <n v="278.58999999999997"/>
        <n v="148.57"/>
        <n v="338.64"/>
        <n v="208.77"/>
        <n v="181.15"/>
        <n v="472.5"/>
        <n v="166"/>
        <n v="485.48"/>
        <n v="106.2"/>
        <n v="137.91999999999999"/>
        <n v="38.83"/>
        <n v="353.38"/>
        <n v="139.19"/>
        <n v="472.64"/>
        <n v="12.62"/>
        <n v="420.7"/>
        <n v="50.85"/>
        <n v="498.15"/>
        <n v="50.24"/>
        <n v="43.19"/>
        <n v="189.24"/>
        <n v="310.31"/>
        <n v="271.47000000000003"/>
        <n v="127.95"/>
        <n v="154.02000000000001"/>
        <n v="10.69"/>
        <n v="333.79"/>
        <n v="270.10000000000002"/>
        <n v="189.89"/>
        <n v="415.29"/>
        <n v="307.22000000000003"/>
        <n v="360.78"/>
        <n v="441.42"/>
        <n v="33.58"/>
        <n v="217.33"/>
        <n v="275.61"/>
        <n v="258.58"/>
        <n v="389.36"/>
        <n v="316.07"/>
        <n v="245.12"/>
        <n v="244.75"/>
        <n v="94.95"/>
        <n v="259.12"/>
        <n v="39.65"/>
        <n v="192.72"/>
        <n v="292.60000000000002"/>
        <n v="372.42"/>
        <n v="304.68"/>
        <n v="357.82"/>
        <n v="434.98"/>
        <n v="411.81"/>
        <n v="116.4"/>
        <n v="135.99"/>
        <n v="219.01"/>
        <n v="24.29"/>
        <n v="413.58"/>
        <n v="499.45"/>
        <n v="287.73"/>
        <n v="285.26"/>
        <n v="258.26"/>
        <n v="39.32"/>
        <n v="286.89"/>
        <n v="237.3"/>
        <n v="298.61"/>
        <n v="317.66000000000003"/>
        <n v="301.64999999999998"/>
        <n v="35"/>
        <n v="480.66"/>
        <n v="417.73"/>
        <n v="46.86"/>
        <n v="370.03"/>
        <n v="486.82"/>
        <n v="487.79"/>
        <n v="118.54"/>
        <n v="142.79"/>
        <n v="180.88"/>
        <n v="389.52"/>
        <n v="72.89"/>
        <n v="156.69999999999999"/>
        <n v="103.63"/>
        <n v="372.11"/>
        <n v="210.99"/>
        <n v="435.46"/>
        <n v="428.08"/>
        <n v="303.91000000000003"/>
        <n v="172.05"/>
        <n v="130.06"/>
        <n v="31.49"/>
        <n v="150.5"/>
        <n v="235.82"/>
        <n v="499.78"/>
        <n v="27.5"/>
        <n v="315.02999999999997"/>
        <n v="171.32"/>
        <n v="307.33"/>
        <n v="340.31"/>
        <n v="264.74"/>
        <n v="25.54"/>
        <n v="311.70999999999998"/>
        <n v="340.67"/>
        <n v="495.89"/>
        <n v="85.58"/>
        <n v="34.75"/>
        <n v="32.520000000000003"/>
        <n v="428.79"/>
        <n v="174.34"/>
        <n v="475.2"/>
        <n v="175.26"/>
        <n v="263.95999999999998"/>
        <n v="130.69999999999999"/>
        <n v="294.61"/>
        <n v="268.48"/>
        <n v="491.87"/>
        <n v="18.489999999999998"/>
        <n v="373.86"/>
        <n v="236.01"/>
        <n v="141.5"/>
        <n v="240.42"/>
        <n v="423.21"/>
        <n v="180.56"/>
        <n v="481.32"/>
        <n v="147.56"/>
        <n v="52.39"/>
        <n v="443.66"/>
        <n v="217.09"/>
        <n v="122.39"/>
        <n v="288.66000000000003"/>
        <n v="365.54"/>
        <n v="17.760000000000002"/>
        <n v="313.26"/>
        <n v="379.86"/>
        <n v="121.32"/>
        <n v="463.6"/>
        <n v="366.92"/>
        <n v="8.1"/>
        <n v="162.19"/>
        <n v="315.10000000000002"/>
        <n v="223.84"/>
        <n v="381.28"/>
        <n v="294.5"/>
        <n v="448.37"/>
        <n v="57.27"/>
        <n v="19.86"/>
        <n v="291.01"/>
        <n v="168.49"/>
        <n v="54.28"/>
        <n v="101.53"/>
        <n v="55.91"/>
        <n v="303.56"/>
        <n v="234.71"/>
        <n v="69.83"/>
        <n v="208.63"/>
        <n v="243.94"/>
        <n v="482.82"/>
        <n v="265.11"/>
        <n v="139.62"/>
        <n v="419.45"/>
        <n v="326.64999999999998"/>
        <n v="164.75"/>
        <n v="278.79000000000002"/>
        <n v="242.62"/>
        <n v="234.59"/>
        <n v="334.98"/>
        <n v="50.79"/>
        <n v="102.14"/>
        <n v="47.59"/>
        <n v="263.99"/>
        <n v="72.17"/>
        <n v="171.96"/>
        <n v="169.02"/>
        <n v="277.48"/>
        <n v="42.98"/>
        <n v="203.35"/>
        <n v="201.49"/>
        <n v="94.36"/>
        <n v="23.85"/>
        <n v="62.66"/>
        <n v="188.92"/>
        <n v="415.18"/>
        <n v="92.69"/>
        <n v="10.19"/>
        <n v="47.64"/>
        <n v="16.93"/>
        <n v="224.08"/>
        <n v="38.71"/>
        <n v="304.52"/>
        <n v="117.25"/>
        <n v="125.86"/>
        <n v="101.11"/>
        <n v="497.32"/>
        <n v="324.56"/>
        <n v="66.03"/>
        <n v="50.11"/>
        <n v="291.91000000000003"/>
        <n v="30.23"/>
        <n v="315.73"/>
        <n v="317.20999999999998"/>
        <n v="367.12"/>
        <n v="74.290000000000006"/>
        <n v="339.35"/>
        <n v="180.42"/>
        <n v="125.68"/>
        <n v="180.64"/>
        <n v="259.02"/>
        <n v="259.29000000000002"/>
        <n v="471.03"/>
        <n v="130.54"/>
        <n v="315.35000000000002"/>
        <n v="138.05000000000001"/>
        <n v="38.35"/>
        <n v="183.39"/>
        <n v="14.97"/>
        <n v="466.21"/>
        <n v="114.22"/>
        <n v="159.74"/>
        <n v="443.71"/>
        <n v="366.01"/>
        <n v="160.07"/>
        <n v="449.01"/>
        <n v="395.05"/>
        <n v="430.06"/>
        <n v="167.44"/>
        <n v="402.19"/>
        <n v="429.96"/>
        <n v="31.55"/>
        <n v="276.70999999999998"/>
        <n v="420.23"/>
        <n v="28.36"/>
        <n v="152.63999999999999"/>
        <n v="131.54"/>
        <n v="210.85"/>
        <n v="210.5"/>
        <n v="142.05000000000001"/>
        <n v="133.5"/>
        <n v="422.72"/>
        <n v="119.76"/>
        <n v="360.77"/>
        <n v="198.95"/>
        <n v="387.73"/>
        <n v="493.51"/>
        <n v="432.15"/>
        <n v="414.62"/>
        <n v="149.22"/>
        <n v="57.87"/>
        <n v="99.11"/>
        <n v="430.52"/>
        <n v="12.12"/>
        <n v="476.5"/>
        <n v="254.16"/>
        <n v="191.79"/>
        <n v="26.33"/>
        <n v="316.14"/>
        <n v="405.09"/>
        <n v="345.96"/>
        <n v="302.47000000000003"/>
        <n v="192.22"/>
        <n v="161.47"/>
        <n v="152.5"/>
        <n v="174.71"/>
        <n v="144.77000000000001"/>
        <n v="445.67"/>
        <n v="252.1"/>
        <n v="480.97"/>
        <n v="153.12"/>
        <n v="396.69"/>
        <n v="35.94"/>
        <n v="113.47"/>
        <n v="57.53"/>
        <n v="481.24"/>
        <n v="31.62"/>
        <n v="370.39"/>
        <n v="260.26"/>
        <n v="279.97000000000003"/>
        <n v="341.79"/>
        <n v="476.79"/>
        <n v="55.18"/>
        <n v="461.69"/>
        <n v="128.16999999999999"/>
        <n v="132.44999999999999"/>
        <n v="466.77"/>
        <n v="426.85"/>
        <n v="244.33"/>
        <n v="385.53"/>
        <n v="194.53"/>
        <n v="199.66"/>
        <n v="442.98"/>
        <n v="433.21"/>
        <n v="104.72"/>
        <n v="456.84"/>
        <n v="55.67"/>
        <n v="44.46"/>
        <n v="440.52"/>
        <n v="423.26"/>
        <n v="108.47"/>
        <n v="424.4"/>
        <n v="15.4"/>
        <n v="197.05"/>
        <n v="184.88"/>
        <n v="121.62"/>
        <n v="323.17"/>
        <n v="94.43"/>
        <n v="372.47"/>
        <n v="333.55"/>
        <n v="300.91000000000003"/>
        <n v="467.32"/>
        <n v="360.04"/>
        <n v="350.1"/>
        <n v="83.43"/>
        <n v="420.53"/>
        <n v="87.26"/>
        <n v="30.98"/>
        <n v="96.23"/>
        <n v="304.92"/>
        <n v="270.08999999999997"/>
        <n v="463.82"/>
        <n v="292.02"/>
        <n v="199.17"/>
        <n v="62.1"/>
        <n v="8.06"/>
        <n v="132.53"/>
        <n v="122.17"/>
        <n v="117.49"/>
        <n v="188.63"/>
        <n v="244.67"/>
        <n v="121.82"/>
        <n v="354.94"/>
        <n v="70.05"/>
        <n v="448.3"/>
        <n v="179.97"/>
        <n v="259.47000000000003"/>
        <n v="359.41"/>
        <n v="200.73"/>
        <n v="340.19"/>
        <n v="67.19"/>
        <n v="8.66"/>
        <n v="155.13"/>
        <n v="11.24"/>
        <n v="389.97"/>
        <n v="408.97"/>
        <n v="268.08"/>
        <n v="445.06"/>
        <n v="248.54"/>
        <n v="279.22000000000003"/>
        <n v="404.94"/>
        <n v="324.97000000000003"/>
        <n v="149.86000000000001"/>
        <n v="246.83"/>
        <n v="68.900000000000006"/>
        <n v="255.96"/>
        <n v="498.85"/>
        <n v="419.01"/>
        <n v="68.53"/>
        <n v="53.02"/>
        <n v="322.33999999999997"/>
        <n v="342.84"/>
        <n v="445.96"/>
        <n v="72.930000000000007"/>
        <n v="411.15"/>
        <n v="50.22"/>
        <n v="201.31"/>
        <n v="497.41"/>
        <n v="346.26"/>
        <n v="43.32"/>
        <n v="32.83"/>
        <n v="21.34"/>
        <n v="28.8"/>
        <n v="324.73"/>
        <n v="158.18"/>
        <n v="453.54"/>
        <n v="473.91"/>
        <n v="262.83999999999997"/>
        <n v="58.08"/>
        <n v="87.59"/>
        <n v="316.22000000000003"/>
        <n v="215.27"/>
        <n v="125.59"/>
        <n v="112.79"/>
        <n v="476.65"/>
        <n v="318.42"/>
        <n v="77.319999999999993"/>
        <n v="13.37"/>
        <n v="341.05"/>
        <n v="35.57"/>
        <n v="48.76"/>
        <n v="73.180000000000007"/>
        <n v="36.28"/>
        <n v="319.29000000000002"/>
        <n v="358.9"/>
        <n v="227.59"/>
        <n v="333.85"/>
        <n v="264.95"/>
        <n v="138.25"/>
        <n v="210.74"/>
        <n v="352.07"/>
        <n v="69.680000000000007"/>
        <n v="112.77"/>
        <n v="449.84"/>
        <n v="206.13"/>
        <n v="18.97"/>
        <n v="148.27000000000001"/>
        <n v="17.21"/>
        <n v="319.45999999999998"/>
        <n v="172.56"/>
        <n v="20.6"/>
        <n v="422.87"/>
        <n v="413.64"/>
        <n v="285.88"/>
        <n v="75.819999999999993"/>
        <n v="476.89"/>
        <n v="383.94"/>
        <n v="436.84"/>
        <n v="315.27999999999997"/>
        <n v="433.89"/>
        <n v="54.12"/>
        <n v="313.45"/>
        <n v="211.85"/>
        <n v="292.75"/>
        <n v="270.17"/>
        <n v="296.01"/>
        <n v="280.93"/>
        <n v="226.44"/>
        <n v="482.93"/>
        <n v="356.1"/>
        <n v="372.29"/>
        <n v="453.43"/>
        <n v="164.16"/>
        <n v="30.75"/>
        <n v="257.31"/>
        <n v="101.52"/>
        <n v="401.9"/>
        <n v="88.22"/>
        <n v="337.96"/>
        <n v="497.83"/>
        <n v="247.03"/>
        <n v="143.27000000000001"/>
        <n v="256.33999999999997"/>
        <n v="49.46"/>
        <n v="321.14"/>
        <n v="460.42"/>
        <n v="204.12"/>
        <n v="56.89"/>
        <n v="206.18"/>
        <n v="198.17"/>
        <n v="327.11"/>
        <n v="305.32"/>
        <n v="338.19"/>
        <n v="422.06"/>
        <n v="337.08"/>
        <n v="312.86"/>
        <n v="107.72"/>
        <n v="75.680000000000007"/>
        <n v="178.34"/>
        <n v="194.27"/>
        <n v="264.51"/>
        <n v="290.70999999999998"/>
        <n v="216.02"/>
        <n v="23.6"/>
        <n v="127.49"/>
        <n v="137.78"/>
        <n v="272.57"/>
        <n v="123.92"/>
        <n v="172.49"/>
        <n v="484.09"/>
        <n v="316.11"/>
        <n v="224.26"/>
        <n v="399.16"/>
        <n v="28.65"/>
        <n v="388.59"/>
        <n v="295.44"/>
        <n v="129.81"/>
        <n v="477.44"/>
        <n v="313.08"/>
        <n v="21.26"/>
        <n v="176.91"/>
        <n v="271.37"/>
        <n v="462.71"/>
        <n v="313.17"/>
        <n v="152.97"/>
        <n v="17.79"/>
        <n v="330.91"/>
        <n v="107.29"/>
        <n v="374.88"/>
        <n v="480.09"/>
        <n v="451.31"/>
        <n v="35.369999999999997"/>
        <n v="249.94"/>
        <n v="170.38"/>
        <n v="186.31"/>
        <n v="339.85"/>
        <n v="283.24"/>
        <n v="437.53"/>
        <n v="396.3"/>
        <n v="63.16"/>
        <n v="262.47000000000003"/>
        <n v="101.7"/>
        <n v="253.34"/>
        <n v="486.48"/>
        <n v="264.70999999999998"/>
        <n v="398.1"/>
        <n v="98.83"/>
        <n v="123.49"/>
        <n v="405.14"/>
        <n v="397.38"/>
        <n v="305.7"/>
        <n v="260.92"/>
        <n v="145.36000000000001"/>
        <n v="155.74"/>
        <n v="465.31"/>
        <n v="69.569999999999993"/>
        <n v="42.39"/>
        <n v="232.52"/>
        <n v="6.9"/>
        <n v="370"/>
        <n v="61.52"/>
        <n v="458.01"/>
        <n v="274.29000000000002"/>
        <n v="303.69"/>
        <n v="254.05"/>
        <n v="277.52"/>
        <n v="146.36000000000001"/>
        <n v="292"/>
        <n v="413.01"/>
        <n v="69.790000000000006"/>
        <n v="386.26"/>
        <n v="481.29"/>
        <n v="57.52"/>
        <n v="47.28"/>
        <n v="315.83999999999997"/>
        <n v="120.79"/>
        <n v="46.04"/>
        <n v="385.54"/>
        <n v="7.42"/>
        <n v="450.88"/>
        <n v="213.78"/>
        <n v="181.35"/>
        <n v="463.87"/>
        <n v="407.03"/>
        <n v="326.33"/>
        <n v="225.62"/>
        <n v="271.14999999999998"/>
        <n v="14.96"/>
        <n v="272.68"/>
        <n v="347.19"/>
        <n v="87.9"/>
        <n v="467.74"/>
        <n v="403.39"/>
        <n v="230.53"/>
        <n v="346.56"/>
        <n v="128.99"/>
        <n v="181.42"/>
        <n v="351.73"/>
        <n v="145.72"/>
        <n v="200.43"/>
        <n v="398.67"/>
        <n v="140.03"/>
        <n v="471.94"/>
        <n v="462.62"/>
        <n v="33.85"/>
        <n v="152.35"/>
        <n v="243.58"/>
        <n v="418.61"/>
        <n v="134.53"/>
        <n v="109.96"/>
        <n v="10.35"/>
        <n v="384"/>
        <n v="315"/>
        <n v="136.08000000000001"/>
        <n v="481.37"/>
        <n v="366.3"/>
        <n v="313.98"/>
        <n v="176.4"/>
        <n v="109.21"/>
        <n v="241.61"/>
        <n v="379.93"/>
        <n v="473.92"/>
        <n v="247.89"/>
        <n v="257.01"/>
        <n v="473.31"/>
        <n v="430.37"/>
        <n v="172.58"/>
        <n v="301.94"/>
        <n v="427.43"/>
        <n v="225.02"/>
        <n v="44.23"/>
        <n v="382.98"/>
        <n v="266.11"/>
        <n v="177.78"/>
        <n v="25.09"/>
        <n v="184.48"/>
        <n v="305.81"/>
        <n v="98.62"/>
        <n v="179.39"/>
        <n v="201.16"/>
        <n v="339.39"/>
        <n v="88.38"/>
        <n v="120.93"/>
        <n v="81.3"/>
        <n v="152.68"/>
        <n v="218.34"/>
        <n v="145.03"/>
        <n v="68.650000000000006"/>
        <n v="254.69"/>
        <n v="260.49"/>
        <n v="310.05"/>
        <n v="368.44"/>
        <n v="422.26"/>
        <n v="228.1"/>
        <n v="101.58"/>
        <n v="491.95"/>
        <n v="451.22"/>
        <n v="149.25"/>
        <n v="74.38"/>
        <n v="45.12"/>
        <n v="404.7"/>
        <n v="434.2"/>
        <n v="397.23"/>
        <n v="116.06"/>
        <n v="394.55"/>
        <n v="363.08"/>
        <n v="78.569999999999993"/>
        <n v="297.5"/>
        <n v="57.11"/>
        <n v="273.57"/>
        <n v="361.71"/>
        <n v="475.94"/>
        <n v="354.22"/>
        <n v="339.19"/>
        <n v="28.68"/>
        <n v="498.72"/>
        <n v="336.78"/>
        <n v="24.34"/>
        <n v="50.67"/>
        <n v="376.58"/>
        <n v="26.7"/>
        <n v="181.11"/>
        <n v="77.989999999999995"/>
        <n v="241.11"/>
        <n v="142.33000000000001"/>
        <n v="493.23"/>
        <n v="465.11"/>
        <n v="139.78"/>
        <n v="468.32"/>
        <n v="376.64"/>
        <n v="382.21"/>
        <n v="40.83"/>
        <n v="279.26"/>
        <n v="273.48"/>
        <n v="318.76"/>
        <n v="234.38"/>
        <n v="445.21"/>
        <n v="12.19"/>
        <n v="192.12"/>
        <n v="170.44"/>
        <n v="20.260000000000002"/>
        <n v="199.02"/>
        <n v="468.74"/>
        <n v="162.58000000000001"/>
        <n v="115.43"/>
        <n v="470.57"/>
        <n v="429.08"/>
        <n v="209.67"/>
        <n v="286.32"/>
        <n v="433.88"/>
        <n v="419.09"/>
        <n v="103.07"/>
        <n v="152.38999999999999"/>
        <n v="12.65"/>
        <n v="284.27999999999997"/>
        <n v="254.27"/>
        <n v="247.77"/>
        <n v="496.09"/>
        <n v="218.95"/>
        <n v="323.57"/>
        <n v="427.41"/>
        <n v="134.94"/>
        <n v="193.8"/>
        <n v="89.84"/>
        <n v="79.400000000000006"/>
        <n v="20.329999999999998"/>
        <n v="133.31"/>
        <n v="138.91"/>
        <n v="420.29"/>
        <n v="282.13"/>
        <n v="361.53"/>
        <n v="379.49"/>
        <n v="114.51"/>
        <n v="171.55"/>
        <n v="34.44"/>
        <n v="53.99"/>
        <n v="137.80000000000001"/>
        <n v="238.45"/>
        <n v="201.83"/>
        <n v="132.27000000000001"/>
        <n v="108.61"/>
        <n v="417.47"/>
        <n v="183.93"/>
        <n v="224.44"/>
        <n v="99.57"/>
        <n v="401.58"/>
        <n v="333.36"/>
        <n v="267.27"/>
        <n v="67.83"/>
        <n v="342.32"/>
        <n v="210.67"/>
        <n v="460.93"/>
        <n v="94.72"/>
        <n v="248.25"/>
        <n v="408.94"/>
        <n v="497.92"/>
        <n v="14.76"/>
        <n v="148.34"/>
        <n v="206.09"/>
        <n v="406.36"/>
        <n v="160.12"/>
        <n v="128.36000000000001"/>
        <n v="296.72000000000003"/>
        <n v="224.17"/>
        <n v="340.28"/>
        <n v="457.04"/>
        <n v="209.36"/>
        <n v="409.35"/>
        <n v="249.9"/>
        <n v="306.35000000000002"/>
        <n v="223.43"/>
        <n v="51.18"/>
        <n v="395.2"/>
        <n v="172.19"/>
        <n v="304.52999999999997"/>
        <n v="69.81"/>
        <n v="281.52"/>
        <n v="145.87"/>
        <n v="11.15"/>
        <n v="102.67"/>
        <n v="499.86"/>
        <n v="327.14999999999998"/>
        <n v="305.82"/>
        <n v="259.89"/>
        <n v="169.95"/>
        <n v="290.94"/>
        <n v="271.5"/>
        <n v="264.02999999999997"/>
        <n v="381.55"/>
        <n v="212.45"/>
        <n v="431.9"/>
        <n v="374.92"/>
        <n v="492.55"/>
        <n v="459.42"/>
        <n v="451.24"/>
        <n v="12.56"/>
        <n v="326.8"/>
        <n v="72.680000000000007"/>
        <n v="96.99"/>
        <n v="279.29000000000002"/>
        <n v="300.11"/>
        <n v="163.06"/>
        <n v="215.07"/>
        <n v="341.62"/>
        <n v="165.33"/>
        <n v="338.73"/>
        <n v="197.12"/>
        <n v="496.45"/>
        <n v="329.79"/>
        <n v="476.56"/>
        <n v="340.42"/>
        <n v="57.43"/>
        <n v="158.29"/>
        <n v="37.81"/>
        <n v="440.3"/>
        <n v="455.95"/>
        <n v="12.42"/>
        <n v="417.89"/>
        <n v="114.64"/>
        <n v="304.11"/>
        <n v="156.47"/>
        <n v="252.28"/>
        <n v="219.69"/>
        <n v="17.61"/>
        <n v="166.12"/>
        <n v="405.04"/>
        <n v="330.85"/>
        <n v="210.76"/>
        <n v="432.46"/>
        <n v="417.3"/>
        <n v="412.71"/>
        <n v="204.89"/>
        <n v="129.77000000000001"/>
        <n v="297.42"/>
        <n v="56.4"/>
        <n v="110.61"/>
        <n v="86.37"/>
        <n v="423.99"/>
        <n v="172.79"/>
        <n v="228.88"/>
        <n v="257.07"/>
        <n v="83.13"/>
        <n v="210.35"/>
        <n v="329.04"/>
        <n v="154.24"/>
        <n v="293.79000000000002"/>
        <n v="149.76"/>
        <n v="124.75"/>
        <n v="496.16"/>
        <n v="460.53"/>
        <n v="255.34"/>
        <n v="104.41"/>
        <n v="7.16"/>
        <n v="224.24"/>
        <n v="54.33"/>
        <n v="30.68"/>
        <n v="15.15"/>
        <n v="389.59"/>
        <n v="368.82"/>
        <n v="7.93"/>
        <n v="89.81"/>
        <n v="61.7"/>
        <n v="493.61"/>
        <n v="438.18"/>
        <n v="228.02"/>
        <n v="215.65"/>
        <n v="348.45"/>
        <n v="278.95"/>
        <n v="322.95"/>
        <n v="488.97"/>
        <n v="426.81"/>
        <n v="146.9"/>
        <n v="386.39"/>
        <n v="60.86"/>
        <n v="187.2"/>
        <n v="262.68"/>
        <n v="76.92"/>
        <n v="476.8"/>
        <n v="357.01"/>
        <n v="413.22"/>
        <n v="360.63"/>
        <n v="168.74"/>
        <n v="40.159999999999997"/>
        <n v="408.08"/>
        <n v="72.03"/>
        <n v="266.25"/>
        <n v="431.77"/>
        <n v="481.07"/>
        <n v="129.88"/>
        <n v="269.29000000000002"/>
        <n v="36.17"/>
        <n v="250.56"/>
        <n v="203.89"/>
        <n v="90.24"/>
        <n v="103.94"/>
        <n v="61.4"/>
        <n v="408.03"/>
        <n v="466.76"/>
        <n v="471.29"/>
        <n v="296.69"/>
        <n v="262.81"/>
        <n v="464.33"/>
        <n v="67.61"/>
        <n v="226.75"/>
        <n v="166.97"/>
        <n v="220.16"/>
        <n v="148.13999999999999"/>
        <n v="16.739999999999998"/>
        <n v="467.73"/>
        <n v="276.68"/>
        <n v="472"/>
        <n v="249.3"/>
        <n v="279.86"/>
        <n v="251.94"/>
        <n v="93.23"/>
        <n v="318.18"/>
        <n v="33.86"/>
        <n v="411.99"/>
        <n v="427.9"/>
        <n v="39.35"/>
        <n v="390.1"/>
        <n v="19.59"/>
        <n v="456.68"/>
        <n v="364.86"/>
        <n v="421.55"/>
        <n v="300.33"/>
        <n v="301.10000000000002"/>
        <n v="293.58"/>
        <n v="281.56"/>
        <n v="499.75"/>
        <n v="485.43"/>
        <n v="193.2"/>
        <n v="226.87"/>
        <n v="455.09"/>
        <n v="298.97000000000003"/>
        <n v="337.14"/>
        <n v="253.17"/>
        <n v="216.71"/>
        <n v="464.87"/>
        <n v="479.48"/>
        <n v="322.94"/>
        <n v="82.06"/>
        <n v="303.25"/>
        <n v="26.83"/>
        <n v="158.44"/>
        <n v="394.21"/>
        <n v="356.4"/>
        <n v="55.69"/>
        <n v="129.87"/>
        <n v="213.46"/>
        <n v="370.8"/>
        <n v="14.49"/>
        <n v="407.85"/>
        <n v="491.43"/>
        <n v="196.29"/>
        <n v="422.52"/>
        <n v="459.54"/>
        <n v="337.77"/>
        <n v="189.82"/>
        <n v="32.86"/>
        <n v="84.16"/>
        <n v="457.65"/>
        <n v="59.15"/>
        <n v="119.32"/>
        <n v="456.25"/>
        <n v="112.86"/>
        <n v="89"/>
        <n v="85.64"/>
        <n v="375.34"/>
        <n v="200.7"/>
        <n v="345.54"/>
        <n v="174.05"/>
        <n v="102.71"/>
        <n v="111.21"/>
        <n v="96.68"/>
        <n v="185.8"/>
        <n v="109.52"/>
        <n v="357.45"/>
        <n v="104"/>
        <n v="298.91000000000003"/>
        <n v="15.97"/>
        <n v="249.52"/>
        <n v="448.23"/>
        <n v="182.46"/>
        <n v="396.04"/>
        <n v="420.06"/>
        <n v="425.27"/>
        <n v="147.62"/>
        <n v="301.55"/>
        <n v="412.03"/>
        <n v="96.1"/>
        <n v="54.62"/>
        <n v="239.42"/>
        <n v="20.059999999999999"/>
        <n v="65.650000000000006"/>
        <n v="268.3"/>
        <n v="159.11000000000001"/>
        <n v="394.53"/>
        <n v="44.06"/>
        <n v="337.99"/>
        <n v="335.12"/>
        <n v="5.09"/>
        <n v="488.16"/>
        <n v="318.95999999999998"/>
        <n v="165.78"/>
        <n v="449.27"/>
        <n v="469.97"/>
        <n v="11.97"/>
        <n v="9.07"/>
        <n v="439.53"/>
        <n v="461.37"/>
        <n v="5.47"/>
        <n v="264.83999999999997"/>
        <n v="293.68"/>
        <n v="450.43"/>
        <n v="318.35000000000002"/>
        <n v="384.63"/>
        <n v="326.87"/>
        <n v="211.05"/>
        <n v="109.59"/>
        <n v="87.97"/>
        <n v="374.77"/>
        <n v="77.02"/>
        <n v="66.040000000000006"/>
        <n v="40.22"/>
        <n v="143.71"/>
        <n v="451.19"/>
        <n v="458.16"/>
        <n v="117.61"/>
        <n v="315.19"/>
        <n v="437.98"/>
        <n v="341.59"/>
        <n v="126.2"/>
        <n v="362.84"/>
        <n v="287.33999999999997"/>
        <n v="149.33000000000001"/>
        <n v="337.7"/>
        <n v="400.79"/>
        <n v="140.49"/>
        <n v="492.16"/>
        <n v="296"/>
        <n v="358.16"/>
        <n v="183.36"/>
        <n v="461.5"/>
        <n v="498.53"/>
        <n v="86.2"/>
        <n v="244.6"/>
        <n v="498.97"/>
        <n v="211.61"/>
        <n v="216.42"/>
        <n v="214.13"/>
        <n v="308.66000000000003"/>
        <n v="391.36"/>
        <n v="415.61"/>
        <n v="57.91"/>
        <n v="385.85"/>
        <n v="193.22"/>
        <n v="254.1"/>
        <n v="398.75"/>
        <n v="306.3"/>
        <n v="92.49"/>
        <n v="323.16000000000003"/>
        <n v="238.61"/>
        <n v="412.26"/>
        <n v="340.16"/>
        <n v="166.99"/>
        <n v="264.38"/>
        <n v="220.84"/>
        <n v="29.76"/>
        <n v="425.13"/>
        <n v="17.66"/>
        <n v="297.11"/>
        <n v="229.23"/>
        <n v="391.23"/>
        <n v="269.42"/>
        <n v="40.15"/>
        <n v="216.78"/>
        <n v="89.58"/>
        <n v="109.58"/>
        <n v="429.85"/>
        <n v="28.06"/>
        <n v="453.45"/>
        <n v="495.45"/>
        <n v="321.61"/>
        <n v="50.08"/>
        <n v="165.98"/>
        <n v="74.33"/>
        <n v="148.91999999999999"/>
        <n v="32.51"/>
        <n v="378.77"/>
        <n v="41.71"/>
        <n v="414.34"/>
        <n v="271.72000000000003"/>
        <n v="224.97"/>
        <n v="454.9"/>
        <n v="354.12"/>
        <n v="462.69"/>
        <n v="68.5"/>
        <n v="365.06"/>
        <n v="37.18"/>
        <n v="147.16999999999999"/>
        <n v="51.96"/>
        <n v="92.64"/>
        <n v="108.92"/>
        <n v="329.95"/>
        <n v="377.47"/>
        <n v="129.84"/>
        <n v="250.39"/>
        <n v="224.04"/>
        <n v="336.32"/>
        <n v="191.54"/>
        <n v="177.61"/>
        <n v="330.65"/>
        <n v="164.01"/>
        <n v="362.51"/>
        <n v="350.24"/>
        <n v="65.2"/>
        <n v="203.84"/>
        <n v="252.98"/>
        <n v="382.93"/>
        <n v="219.06"/>
        <n v="144.04"/>
        <n v="481.19"/>
        <n v="121.05"/>
        <n v="249.84"/>
        <n v="329.84"/>
        <n v="94.11"/>
        <n v="57.66"/>
        <n v="210.15"/>
        <n v="20.85"/>
        <n v="429.86"/>
        <n v="456.33"/>
        <n v="499.84"/>
        <n v="204.77"/>
        <n v="449.04"/>
        <n v="197.75"/>
        <n v="346.49"/>
        <n v="331.96"/>
        <n v="377.71"/>
        <n v="160.82"/>
        <n v="181.71"/>
        <n v="336.86"/>
        <n v="354.58"/>
        <n v="12.66"/>
        <n v="137.33000000000001"/>
        <n v="65.56"/>
        <n v="16.43"/>
        <n v="189.28"/>
        <n v="327.33999999999997"/>
        <n v="187.29"/>
        <n v="70.010000000000005"/>
        <n v="385.63"/>
        <n v="296.32"/>
        <n v="56.52"/>
        <n v="108.7"/>
        <n v="478.49"/>
        <n v="323.56"/>
        <n v="283.77999999999997"/>
        <n v="112.01"/>
        <n v="427.86"/>
        <n v="93.35"/>
        <n v="167.9"/>
        <n v="313.13"/>
        <n v="488.6"/>
        <n v="459.86"/>
        <n v="98.39"/>
        <n v="381.89"/>
        <n v="75.069999999999993"/>
        <n v="216.57"/>
        <n v="349.79"/>
        <n v="59.74"/>
        <n v="253.5"/>
        <n v="481.56"/>
        <n v="167.61"/>
        <n v="411.43"/>
        <n v="320.08"/>
        <n v="26.88"/>
        <n v="308.3"/>
        <n v="417.97"/>
        <n v="324.33999999999997"/>
        <n v="402.21"/>
        <n v="14.45"/>
        <n v="414.07"/>
        <n v="401.39"/>
        <n v="363.61"/>
        <n v="392.11"/>
        <n v="290.99"/>
        <n v="434.89"/>
        <n v="243.31"/>
        <n v="495.34"/>
        <n v="485.42"/>
        <n v="292.64999999999998"/>
        <n v="156.16"/>
        <n v="382.45"/>
        <n v="240.27"/>
        <n v="444.02"/>
        <n v="274.77999999999997"/>
        <n v="414.05"/>
        <n v="185.32"/>
        <n v="143.26"/>
        <n v="34"/>
        <n v="243.86"/>
        <n v="177.08"/>
        <n v="170.94"/>
        <n v="190.95"/>
        <n v="39.39"/>
        <n v="46.42"/>
        <n v="373.08"/>
        <n v="228.06"/>
        <n v="363.45"/>
        <n v="247.72"/>
        <n v="28.02"/>
        <n v="378.42"/>
        <n v="68.260000000000005"/>
        <n v="371.23"/>
        <n v="171.4"/>
        <n v="353.14"/>
        <n v="452.26"/>
        <n v="140.66"/>
        <n v="212.09"/>
        <n v="308.79000000000002"/>
        <n v="365.01"/>
        <n v="182.8"/>
        <n v="475.39"/>
        <n v="446.44"/>
        <n v="442.65"/>
        <n v="62.34"/>
        <n v="375.55"/>
        <n v="226.22"/>
        <n v="88.2"/>
        <n v="492.31"/>
        <n v="131.66"/>
        <n v="42.6"/>
        <n v="34.659999999999997"/>
        <n v="135.91"/>
        <n v="227.43"/>
        <n v="164.55"/>
        <n v="26.18"/>
        <n v="202.65"/>
        <n v="409.2"/>
        <n v="478.15"/>
        <n v="353.68"/>
        <n v="7.8"/>
        <n v="338.21"/>
        <n v="266.06"/>
        <n v="287.38"/>
        <n v="125.46"/>
        <n v="268.93"/>
        <n v="298.86"/>
        <n v="160.55000000000001"/>
        <n v="206.63"/>
        <n v="242.34"/>
        <n v="359.6"/>
        <n v="81.510000000000005"/>
        <n v="324.02999999999997"/>
        <n v="232.96"/>
        <n v="52.5"/>
        <n v="463.65"/>
        <n v="498.9"/>
        <n v="222.8"/>
        <n v="123.61"/>
        <n v="496.72"/>
        <n v="477.24"/>
        <n v="449.57"/>
        <n v="341.2"/>
        <n v="458.93"/>
        <n v="198.91"/>
        <n v="480.21"/>
        <n v="265.3"/>
        <n v="40.98"/>
        <n v="257.52"/>
        <n v="172.65"/>
        <n v="231.75"/>
        <n v="58.55"/>
        <n v="13.58"/>
        <n v="465.63"/>
        <n v="78.8"/>
        <n v="292.55"/>
        <n v="223.06"/>
        <n v="431.84"/>
        <n v="489.83"/>
        <n v="216.14"/>
        <n v="239.15"/>
        <n v="81.36"/>
        <n v="107.42"/>
        <n v="177.1"/>
        <n v="228.83"/>
        <n v="390.48"/>
        <n v="262.12"/>
        <n v="127.03"/>
        <n v="24.43"/>
        <n v="405.75"/>
        <n v="462.29"/>
        <n v="131.97999999999999"/>
        <n v="341.36"/>
        <n v="179.15"/>
        <n v="68.23"/>
        <n v="245.2"/>
        <n v="309.39"/>
        <n v="55.9"/>
        <n v="45.74"/>
        <n v="299.92"/>
        <n v="221.21"/>
        <n v="480.57"/>
        <n v="324.98"/>
        <n v="391.18"/>
        <n v="131.93"/>
        <n v="472.39"/>
        <n v="167.34"/>
        <n v="160.37"/>
        <n v="218.69"/>
        <n v="101.34"/>
        <n v="57.26"/>
        <n v="423.7"/>
        <n v="454.69"/>
        <n v="180.95"/>
        <n v="86.84"/>
        <n v="133.58000000000001"/>
        <n v="333.41"/>
        <n v="320.63"/>
        <n v="489.72"/>
        <n v="5.65"/>
        <n v="79.47"/>
        <n v="29.28"/>
        <n v="155.43"/>
        <n v="285.93"/>
        <n v="436.21"/>
        <n v="166.72"/>
        <n v="168.5"/>
        <n v="113.78"/>
        <n v="165.1"/>
        <n v="315.18"/>
        <n v="116.3"/>
        <n v="494.47"/>
        <n v="448.63"/>
        <n v="168.78"/>
        <n v="425.46"/>
        <n v="71.56"/>
        <n v="150.44999999999999"/>
        <n v="390.66"/>
        <n v="85.08"/>
        <n v="193.75"/>
        <n v="441.33"/>
        <n v="349.26"/>
        <n v="67.650000000000006"/>
        <n v="22.32"/>
        <n v="414.08"/>
        <n v="212.73"/>
        <n v="247.61"/>
        <n v="362.35"/>
        <n v="140.05000000000001"/>
        <n v="200.33"/>
        <n v="255.1"/>
        <n v="418.78"/>
        <n v="331.61"/>
        <n v="375.15"/>
        <n v="110.93"/>
        <n v="129.07"/>
        <n v="377.27"/>
        <n v="167.49"/>
        <n v="373.16"/>
        <n v="350.63"/>
        <n v="282.01"/>
        <n v="7.79"/>
        <n v="260.60000000000002"/>
        <n v="401.96"/>
        <n v="219.51"/>
        <n v="360.26"/>
        <n v="462.59"/>
        <n v="14.07"/>
        <n v="262.94"/>
        <n v="349.65"/>
        <n v="376.42"/>
        <n v="480.91"/>
        <n v="466.96"/>
        <n v="473.65"/>
        <n v="480.06"/>
        <n v="478.61"/>
        <n v="439.04"/>
        <n v="466.15"/>
        <n v="415.16"/>
        <n v="279.01"/>
        <n v="278.72000000000003"/>
        <n v="477.06"/>
        <n v="246.07"/>
        <n v="102.32"/>
        <n v="407.49"/>
        <n v="125.75"/>
        <n v="357.25"/>
        <n v="401.34"/>
        <n v="312.75"/>
        <n v="415.6"/>
        <n v="6.73"/>
        <n v="296.74"/>
        <n v="460.97"/>
        <n v="234.75"/>
        <n v="347.99"/>
        <n v="187.5"/>
        <n v="284.94"/>
        <n v="480.3"/>
        <n v="339.3"/>
        <n v="341.47"/>
        <n v="414.7"/>
        <n v="92.65"/>
        <n v="140.91"/>
        <n v="184.01"/>
        <n v="441.89"/>
        <n v="181.4"/>
        <n v="54.01"/>
        <n v="405.85"/>
        <n v="412.98"/>
        <n v="90.95"/>
        <n v="168.8"/>
        <n v="278.14999999999998"/>
        <n v="289.08999999999997"/>
        <n v="405.26"/>
        <n v="257.7"/>
        <n v="298.58999999999997"/>
        <n v="219.95"/>
        <n v="152.16"/>
        <n v="425.32"/>
        <n v="286.57"/>
        <n v="97.02"/>
        <n v="78.41"/>
        <n v="43.96"/>
        <n v="197.11"/>
        <n v="28.08"/>
        <n v="139.61000000000001"/>
        <n v="352.51"/>
        <n v="172.63"/>
        <n v="374.65"/>
        <n v="479.6"/>
        <n v="272.06"/>
        <n v="312.45999999999998"/>
        <n v="268.58999999999997"/>
        <n v="192.83"/>
        <n v="270.52999999999997"/>
        <n v="156.35"/>
        <n v="242.42"/>
        <n v="226.45"/>
        <n v="232.36"/>
        <n v="469.75"/>
        <n v="26.95"/>
        <n v="218.2"/>
        <n v="206.01"/>
        <n v="270.92"/>
        <n v="305.64"/>
        <n v="386.35"/>
        <n v="348.56"/>
        <n v="106.76"/>
        <n v="467.07"/>
        <n v="176.52"/>
        <n v="213.43"/>
        <n v="375.13"/>
        <n v="393.33"/>
        <n v="18.61"/>
        <n v="265.93"/>
        <n v="438.77"/>
        <n v="267.94"/>
        <n v="225.49"/>
        <n v="116.86"/>
        <n v="399.19"/>
        <n v="469.37"/>
        <n v="337.11"/>
        <n v="205.11"/>
        <n v="135.04"/>
        <n v="340.88"/>
        <n v="181.43"/>
        <n v="470.21"/>
        <n v="472.37"/>
        <n v="82.31"/>
        <n v="97.42"/>
        <n v="127.19"/>
        <n v="247.19"/>
        <n v="244.06"/>
        <n v="468.36"/>
        <n v="258.8"/>
        <n v="172.09"/>
        <n v="275.63"/>
        <n v="306.41000000000003"/>
        <n v="373.6"/>
        <n v="281.47000000000003"/>
        <n v="425.51"/>
        <n v="245.85"/>
        <n v="473.7"/>
        <n v="252.21"/>
        <n v="158.97"/>
        <n v="55.59"/>
        <n v="211.25"/>
        <n v="395.59"/>
        <n v="330.13"/>
        <n v="366.39"/>
        <n v="289.5"/>
        <n v="32.64"/>
        <n v="380.59"/>
        <n v="440.27"/>
        <n v="111.76"/>
        <n v="379.52"/>
        <n v="438.86"/>
        <n v="23.13"/>
        <n v="403.85"/>
        <n v="133.19999999999999"/>
        <n v="109.87"/>
        <n v="260.89"/>
        <n v="416.61"/>
        <n v="351"/>
        <n v="84.35"/>
        <n v="156.37"/>
        <n v="286.74"/>
        <n v="176.26"/>
        <n v="56.23"/>
        <n v="130.22"/>
        <n v="481.74"/>
        <n v="461.31"/>
        <n v="103.06"/>
        <n v="463.04"/>
        <n v="281.18"/>
        <n v="39.75"/>
        <n v="143.02000000000001"/>
        <n v="268.54000000000002"/>
        <n v="459"/>
        <n v="392.82"/>
        <n v="262.60000000000002"/>
        <n v="101.66"/>
        <n v="132.96"/>
        <n v="331.57"/>
        <n v="431.7"/>
        <n v="455.68"/>
        <n v="490.55"/>
        <n v="14.56"/>
        <n v="112.3"/>
        <n v="246.9"/>
        <n v="71.760000000000005"/>
        <n v="59.66"/>
        <n v="115.63"/>
        <n v="483.15"/>
        <n v="400.36"/>
        <n v="403.71"/>
        <n v="401.31"/>
        <n v="272.89999999999998"/>
        <n v="283.54000000000002"/>
        <n v="82.38"/>
        <n v="59.7"/>
        <n v="236.31"/>
        <n v="71.03"/>
        <n v="210.34"/>
        <n v="34.97"/>
        <n v="258.11"/>
        <n v="88.91"/>
        <n v="472.72"/>
        <n v="389.99"/>
        <n v="497.81"/>
        <n v="14.01"/>
        <n v="81.05"/>
        <n v="231.72"/>
        <n v="447.72"/>
        <n v="208.3"/>
        <n v="353.87"/>
        <n v="488.07"/>
        <n v="223.12"/>
        <n v="217.64"/>
        <n v="60.07"/>
        <n v="418.3"/>
        <n v="411.53"/>
        <n v="447.14"/>
        <n v="489.1"/>
        <n v="349.39"/>
        <n v="328.51"/>
        <n v="200.6"/>
        <n v="439.58"/>
        <n v="432.59"/>
        <n v="223.24"/>
        <n v="491.38"/>
        <n v="349.69"/>
        <n v="167.77"/>
        <n v="234.1"/>
        <n v="263.97000000000003"/>
        <n v="22.64"/>
        <n v="460.59"/>
        <n v="57.77"/>
        <n v="217.76"/>
        <n v="43.97"/>
        <n v="308.45999999999998"/>
        <n v="337.62"/>
        <n v="248.62"/>
        <n v="232.1"/>
        <n v="88.89"/>
        <n v="319.3"/>
        <n v="426.68"/>
        <n v="259.95"/>
        <n v="44.86"/>
        <n v="57.12"/>
        <n v="340.2"/>
        <n v="346.32"/>
        <n v="379.8"/>
        <n v="469.48"/>
        <n v="293.27"/>
        <n v="320.86"/>
        <n v="239.1"/>
        <n v="91.08"/>
        <n v="224.09"/>
        <n v="97.58"/>
        <n v="442.47"/>
        <n v="105.33"/>
        <n v="49.4"/>
        <n v="418.34"/>
        <n v="139.51"/>
        <n v="113.72"/>
        <n v="341.26"/>
        <n v="27.36"/>
        <n v="432.53"/>
        <n v="394.56"/>
        <n v="62.12"/>
        <n v="421.63"/>
        <n v="105.3"/>
        <n v="89.52"/>
        <n v="359.77"/>
        <n v="479.14"/>
        <n v="105.81"/>
        <n v="335.95"/>
        <n v="319.8"/>
        <n v="447.79"/>
        <n v="350.79"/>
        <n v="84.48"/>
        <n v="446.07"/>
        <n v="414.36"/>
        <n v="179.81"/>
        <n v="472.41"/>
        <n v="242.45"/>
        <n v="195.85"/>
        <n v="358.65"/>
        <n v="98.66"/>
        <n v="174.87"/>
        <n v="13.38"/>
        <n v="256.3"/>
        <n v="406.15"/>
        <n v="172.6"/>
        <n v="180.71"/>
        <n v="198.33"/>
        <n v="210.27"/>
        <n v="442.46"/>
        <n v="410.32"/>
        <n v="271.01"/>
        <n v="359.16"/>
        <n v="471.69"/>
        <n v="369.35"/>
        <n v="196.09"/>
        <n v="181.27"/>
        <n v="228.79"/>
        <n v="359.24"/>
        <n v="305.63"/>
        <n v="128.94999999999999"/>
        <n v="183.68"/>
        <n v="89.2"/>
        <n v="122.55"/>
        <n v="343.07"/>
        <n v="372.68"/>
        <n v="89.86"/>
        <n v="452.99"/>
        <n v="441.19"/>
        <n v="340.3"/>
        <n v="293.39"/>
        <n v="30.89"/>
        <n v="59.44"/>
        <n v="94.25"/>
        <n v="63.98"/>
        <n v="468.26"/>
        <n v="406.99"/>
        <n v="245.04"/>
        <n v="33.299999999999997"/>
        <n v="107.52"/>
        <n v="59.62"/>
        <n v="490.9"/>
        <n v="469.49"/>
        <n v="247.57"/>
        <n v="223.55"/>
        <n v="28.44"/>
        <n v="243.82"/>
        <n v="82.08"/>
        <n v="393.57"/>
        <n v="100.03"/>
        <n v="48.82"/>
        <n v="404"/>
        <n v="485.9"/>
        <n v="97.48"/>
        <n v="397.54"/>
        <n v="82.15"/>
        <n v="21.43"/>
        <n v="392.58"/>
        <n v="419.94"/>
        <n v="5.27"/>
        <n v="181.29"/>
        <n v="272.13"/>
        <n v="350.33"/>
        <n v="177.75"/>
        <n v="84.38"/>
        <n v="85.33"/>
        <n v="295.12"/>
        <n v="14.91"/>
        <n v="295.2"/>
        <n v="172.41"/>
        <n v="87.7"/>
        <n v="383.77"/>
        <n v="288.11"/>
        <n v="78.040000000000006"/>
        <n v="361.56"/>
        <n v="422.48"/>
        <n v="317.79000000000002"/>
        <n v="202.48"/>
        <n v="398.21"/>
        <n v="280.62"/>
        <n v="181.07"/>
        <n v="307.66000000000003"/>
        <n v="299.77"/>
        <n v="83.03"/>
        <n v="10.55"/>
        <n v="119.48"/>
        <n v="191.63"/>
        <n v="396.49"/>
        <n v="441.72"/>
        <n v="362.71"/>
        <n v="99.38"/>
        <n v="445.25"/>
        <n v="192.67"/>
        <n v="235.26"/>
        <n v="8.2100000000000009"/>
        <n v="399.79"/>
        <n v="51.16"/>
        <n v="300.56"/>
        <n v="156.88"/>
        <n v="460.4"/>
        <n v="464.77"/>
        <n v="437.58"/>
        <n v="398.34"/>
        <n v="430.84"/>
        <n v="37.4"/>
        <n v="104.76"/>
        <n v="342.08"/>
        <n v="217.03"/>
        <n v="360.55"/>
        <n v="206.59"/>
        <n v="106.23"/>
        <n v="122.34"/>
        <n v="191.3"/>
        <n v="76.41"/>
        <n v="327.13"/>
        <n v="297.27"/>
        <n v="277.02999999999997"/>
        <n v="304.49"/>
        <n v="469.66"/>
        <n v="277.08999999999997"/>
        <n v="384.92"/>
        <n v="380.75"/>
        <n v="132.26"/>
        <n v="238.43"/>
        <n v="231.12"/>
        <n v="329.06"/>
        <n v="72.430000000000007"/>
        <n v="52.86"/>
        <n v="498.4"/>
        <n v="165.79"/>
        <n v="467.87"/>
        <n v="159.09"/>
        <n v="341.44"/>
        <n v="431.53"/>
        <n v="41.12"/>
        <n v="446.48"/>
        <n v="467.28"/>
        <n v="142.94999999999999"/>
        <n v="119.16"/>
        <n v="492.75"/>
        <n v="454.08"/>
        <n v="9.7799999999999994"/>
        <n v="376.29"/>
        <n v="283.22000000000003"/>
        <n v="341.73"/>
        <n v="233.58"/>
        <n v="311.48"/>
        <n v="12.24"/>
        <n v="166.81"/>
        <n v="193.16"/>
        <n v="144.44999999999999"/>
        <n v="74.05"/>
        <n v="459.61"/>
        <n v="385.27"/>
        <n v="428.53"/>
        <n v="478.52"/>
        <n v="41.49"/>
        <n v="101.46"/>
        <n v="198.76"/>
        <n v="23.53"/>
        <n v="352.84"/>
        <n v="412.11"/>
        <n v="432.28"/>
        <n v="380"/>
        <n v="180.23"/>
        <n v="220.59"/>
        <n v="112.38"/>
        <n v="210.25"/>
        <n v="419.28"/>
        <n v="435.14"/>
        <n v="198.37"/>
        <n v="167.51"/>
        <n v="172.26"/>
        <n v="152.05000000000001"/>
        <n v="193.38"/>
        <n v="60.24"/>
        <n v="176.93"/>
        <n v="444.27"/>
        <n v="130.09"/>
        <n v="411.55"/>
        <n v="153.58000000000001"/>
        <n v="430.76"/>
        <n v="74.709999999999994"/>
        <n v="27.66"/>
        <n v="78.599999999999994"/>
        <n v="119.33"/>
        <n v="490.39"/>
        <n v="476.77"/>
        <n v="306.12"/>
        <n v="481.15"/>
        <n v="190.46"/>
        <n v="52.96"/>
        <n v="222.4"/>
        <n v="284.47000000000003"/>
        <n v="89.96"/>
        <n v="234.57"/>
        <n v="369.32"/>
        <n v="338.49"/>
        <n v="150.30000000000001"/>
        <n v="125.61"/>
        <n v="299.27999999999997"/>
        <n v="102.8"/>
        <n v="55.5"/>
        <n v="160.80000000000001"/>
        <n v="66.260000000000005"/>
        <n v="33.71"/>
        <n v="13.33"/>
        <n v="379.37"/>
        <n v="382.95"/>
        <n v="264.06"/>
        <n v="129.43"/>
        <n v="144.36000000000001"/>
        <n v="434.71"/>
        <n v="355.54"/>
        <n v="365.64"/>
        <n v="36.659999999999997"/>
        <n v="229.93"/>
        <n v="342.94"/>
        <n v="38.880000000000003"/>
        <n v="306.89"/>
        <n v="338.56"/>
        <n v="438.01"/>
        <n v="146.06"/>
        <n v="257.64"/>
        <n v="326.99"/>
        <n v="307.95999999999998"/>
        <n v="62.65"/>
        <n v="23.46"/>
        <n v="471.09"/>
        <n v="291.06"/>
        <n v="167.03"/>
        <n v="50.25"/>
        <n v="321.68"/>
        <n v="56.65"/>
        <n v="165.69"/>
        <n v="363.57"/>
        <n v="328.43"/>
        <n v="388.2"/>
        <n v="109.57"/>
        <n v="171.25"/>
        <n v="452.14"/>
        <n v="77.040000000000006"/>
        <n v="177.51"/>
        <n v="488.41"/>
        <n v="286.97000000000003"/>
        <n v="111.67"/>
        <n v="263.74"/>
        <n v="352.65"/>
        <n v="89.72"/>
        <n v="420.31"/>
        <n v="333.59"/>
        <n v="108.1"/>
        <n v="167.54"/>
        <n v="347.58"/>
        <n v="95.73"/>
        <n v="163.52000000000001"/>
        <n v="453.02"/>
        <n v="127.92"/>
        <n v="262.04000000000002"/>
        <n v="124.14"/>
        <n v="276.86"/>
        <n v="93.47"/>
        <n v="293.89"/>
        <n v="158.57"/>
        <n v="270.77"/>
        <n v="379.73"/>
        <n v="395.41"/>
        <n v="38.54"/>
        <n v="298.27"/>
        <n v="40.049999999999997"/>
        <n v="148.72999999999999"/>
        <n v="345.33"/>
        <n v="199.44"/>
        <n v="137.97"/>
        <n v="117.51"/>
        <n v="145.38"/>
        <n v="415.88"/>
        <n v="186.81"/>
        <n v="44.63"/>
        <n v="444.17"/>
        <n v="364.87"/>
        <n v="174.3"/>
        <n v="314.19"/>
        <n v="97.28"/>
        <n v="46.17"/>
        <n v="445.35"/>
        <n v="176.59"/>
        <n v="406.41"/>
        <n v="238.29"/>
        <n v="271.22000000000003"/>
        <n v="153.69999999999999"/>
        <n v="484.58"/>
        <n v="169.64"/>
        <n v="165.81"/>
        <n v="123.53"/>
        <n v="111.56"/>
        <n v="146.04"/>
        <n v="285.47000000000003"/>
        <n v="122.61"/>
        <n v="287.27"/>
        <n v="231.57"/>
        <n v="411.75"/>
        <n v="467.16"/>
        <n v="24.14"/>
        <n v="327.23"/>
        <n v="401.2"/>
        <n v="196.16"/>
        <n v="150.03"/>
        <n v="336.6"/>
        <n v="192.44"/>
        <n v="39.479999999999997"/>
        <n v="287.07"/>
        <n v="203.3"/>
        <n v="322.8"/>
        <n v="168.57"/>
        <n v="268.86"/>
        <n v="275.91000000000003"/>
        <n v="191.84"/>
        <n v="431.72"/>
        <n v="43.27"/>
        <n v="381.8"/>
        <n v="410.84"/>
        <n v="405.89"/>
        <n v="320.88"/>
        <n v="189.27"/>
        <n v="183.4"/>
        <n v="219.54"/>
        <n v="442.17"/>
        <n v="275.95"/>
        <n v="384.96"/>
        <n v="257.14999999999998"/>
        <n v="195.64"/>
        <n v="138.51"/>
        <n v="13.69"/>
        <n v="331.26"/>
        <n v="272.64999999999998"/>
        <n v="373.28"/>
        <n v="496.47"/>
        <n v="321.57"/>
        <n v="299.52999999999997"/>
        <n v="390.78"/>
        <n v="245.73"/>
        <n v="227.35"/>
        <n v="442.11"/>
        <n v="279.95999999999998"/>
        <n v="461.33"/>
        <n v="78.08"/>
        <n v="242.37"/>
        <n v="266.8"/>
        <n v="77.14"/>
        <n v="492.83"/>
        <n v="15.82"/>
        <n v="446.65"/>
        <n v="217.16"/>
        <n v="193.24"/>
        <n v="425.62"/>
        <n v="55.57"/>
        <n v="206.43"/>
        <n v="300.07"/>
        <n v="442.54"/>
        <n v="496.77"/>
        <n v="386.41"/>
        <n v="48.79"/>
        <n v="452.84"/>
        <n v="18.72"/>
        <n v="427.29"/>
        <n v="129.08000000000001"/>
        <n v="420.01"/>
        <n v="198.84"/>
        <n v="184"/>
        <n v="284.13"/>
        <n v="494.91"/>
        <n v="233.2"/>
        <n v="91.16"/>
        <n v="428.06"/>
        <n v="100.3"/>
        <n v="226.81"/>
        <n v="259.64999999999998"/>
        <n v="245.44"/>
        <n v="484.71"/>
        <n v="36.19"/>
        <n v="260.22000000000003"/>
        <n v="102.31"/>
        <n v="151.01"/>
        <n v="220.73"/>
        <n v="209.11"/>
        <n v="170.13"/>
        <n v="473.1"/>
        <n v="63.29"/>
        <n v="416.01"/>
        <n v="458.23"/>
        <n v="404.91"/>
        <n v="497.27"/>
        <n v="236.23"/>
        <n v="162.69"/>
        <n v="108.11"/>
        <n v="305.44"/>
        <n v="218.18"/>
        <n v="95.91"/>
        <n v="275.14"/>
        <n v="238.41"/>
        <n v="234.31"/>
        <n v="87.38"/>
        <n v="206.8"/>
        <n v="32.299999999999997"/>
        <n v="162.4"/>
        <n v="471.19"/>
        <n v="33.22"/>
        <n v="216.95"/>
        <n v="22.63"/>
        <n v="61.77"/>
        <n v="158.59"/>
        <n v="193.43"/>
        <n v="440.12"/>
        <n v="403.76"/>
        <n v="38.5"/>
        <n v="162.43"/>
        <n v="217.77"/>
        <n v="82.7"/>
        <n v="249.49"/>
        <n v="151.61000000000001"/>
        <n v="381.46"/>
        <n v="374.14"/>
        <n v="127.57"/>
        <n v="291.41000000000003"/>
        <n v="22.78"/>
        <n v="35.25"/>
        <n v="412.49"/>
        <n v="113.9"/>
        <n v="350.71"/>
        <n v="473.39"/>
        <n v="59.97"/>
        <n v="22.57"/>
        <n v="83.93"/>
        <n v="457.99"/>
        <n v="206.25"/>
        <n v="250.07"/>
        <n v="437.76"/>
        <n v="31.22"/>
        <n v="454.38"/>
        <n v="391.02"/>
        <n v="222.63"/>
        <n v="441.36"/>
        <n v="34.42"/>
        <n v="86.32"/>
        <n v="282.52"/>
        <n v="495.15"/>
        <n v="277.42"/>
        <n v="30.82"/>
        <n v="185.4"/>
        <n v="97.86"/>
        <n v="226.17"/>
        <n v="276.52999999999997"/>
        <n v="210.12"/>
        <n v="26.24"/>
        <n v="228.09"/>
        <n v="278.01"/>
        <n v="365.04"/>
        <n v="467.63"/>
        <n v="347.76"/>
        <n v="341.04"/>
        <n v="152.47999999999999"/>
        <n v="175.08"/>
        <n v="338.13"/>
        <n v="315.74"/>
        <n v="250.25"/>
        <n v="325.64"/>
        <n v="326.17"/>
        <n v="11.52"/>
        <n v="24.97"/>
        <n v="296.77"/>
        <n v="247.35"/>
        <n v="416.35"/>
        <n v="114.06"/>
        <n v="86.03"/>
        <n v="383.61"/>
        <n v="100.15"/>
        <n v="353.02"/>
        <n v="460.56"/>
        <n v="302.35000000000002"/>
        <n v="290.08"/>
        <n v="18.670000000000002"/>
        <n v="256.63"/>
        <n v="104.11"/>
        <n v="337.37"/>
        <n v="499.68"/>
        <n v="233.07"/>
        <n v="337.89"/>
        <n v="355.14"/>
        <n v="366.69"/>
        <n v="342.43"/>
        <n v="408.22"/>
        <n v="315.25"/>
        <n v="71.94"/>
        <n v="242.69"/>
        <n v="143.25"/>
        <n v="89.7"/>
        <n v="142.02000000000001"/>
        <n v="165.04"/>
        <n v="258.27"/>
        <n v="115.77"/>
        <n v="219.68"/>
        <n v="471.97"/>
        <n v="498.86"/>
        <n v="483.18"/>
        <n v="310.94"/>
        <n v="354.71"/>
        <n v="133.38999999999999"/>
        <n v="385.92"/>
        <n v="184.81"/>
        <n v="461.27"/>
        <n v="51.58"/>
        <n v="252.53"/>
        <n v="185.29"/>
        <n v="56.39"/>
        <n v="124.73"/>
        <n v="172.33"/>
        <n v="159.53"/>
        <n v="84.02"/>
        <n v="80.09"/>
        <n v="445.6"/>
        <n v="214.05"/>
        <n v="480.05"/>
        <n v="224.73"/>
        <n v="439.45"/>
        <n v="273.02999999999997"/>
        <n v="284.02"/>
        <n v="20.36"/>
        <n v="195.52"/>
        <n v="34.020000000000003"/>
        <n v="204.36"/>
        <n v="46.63"/>
        <n v="368.48"/>
        <n v="153.81"/>
        <n v="337.57"/>
        <n v="110.71"/>
        <n v="407.41"/>
        <n v="129"/>
        <n v="279.92"/>
        <n v="230.91"/>
        <n v="208.9"/>
        <n v="381.92"/>
        <n v="163.96"/>
        <n v="53.13"/>
        <n v="196.41"/>
        <n v="381.22"/>
        <n v="192.13"/>
        <n v="212.65"/>
        <n v="311.08"/>
        <n v="372.17"/>
        <n v="257.64999999999998"/>
        <n v="476.12"/>
        <n v="497.55"/>
        <n v="449.64"/>
        <n v="185.26"/>
        <n v="58.39"/>
        <n v="462.3"/>
        <n v="104.18"/>
        <n v="386.72"/>
        <n v="19.309999999999999"/>
        <n v="162.11000000000001"/>
        <n v="415.24"/>
        <n v="123.95"/>
        <n v="263.64999999999998"/>
        <n v="281.70999999999998"/>
        <n v="357.4"/>
        <n v="151.78"/>
        <n v="113.91"/>
        <n v="369.95"/>
        <n v="225.07"/>
        <n v="306.16000000000003"/>
        <n v="357.81"/>
        <n v="73.25"/>
        <n v="428.23"/>
        <n v="83.59"/>
        <n v="21.06"/>
        <n v="17.829999999999998"/>
        <n v="315.06"/>
        <n v="159.41"/>
        <n v="457.95"/>
        <n v="249.78"/>
        <n v="27.33"/>
        <n v="404.24"/>
        <n v="475.95"/>
        <n v="361.84"/>
        <n v="85.75"/>
        <n v="486.6"/>
        <n v="18.02"/>
        <n v="193.06"/>
        <n v="269.44"/>
        <n v="95.23"/>
        <n v="48.64"/>
        <n v="395.28"/>
        <n v="195.5"/>
        <n v="256.29000000000002"/>
        <n v="410.42"/>
        <n v="285.82"/>
        <n v="77.66"/>
        <n v="187.15"/>
        <n v="462.7"/>
        <n v="393.43"/>
        <n v="73.3"/>
        <n v="249.07"/>
        <n v="342.68"/>
        <n v="171.49"/>
        <n v="202.62"/>
        <n v="41.97"/>
        <n v="337.76"/>
        <n v="258.05"/>
        <n v="445.93"/>
        <n v="436.4"/>
        <n v="342.17"/>
        <n v="113.79"/>
        <n v="387.45"/>
        <n v="52.76"/>
        <n v="499.42"/>
        <n v="300.49"/>
        <n v="39.299999999999997"/>
        <n v="134.31"/>
        <n v="361.29"/>
        <n v="56.45"/>
        <n v="99.94"/>
        <n v="163.36000000000001"/>
        <n v="182.51"/>
        <n v="473.67"/>
        <n v="399.51"/>
        <n v="206.45"/>
        <n v="156.09"/>
        <n v="417.6"/>
        <n v="132.62"/>
        <n v="247.29"/>
        <n v="328.82"/>
        <n v="81.31"/>
        <n v="316"/>
        <n v="136.74"/>
        <n v="489.03"/>
        <n v="197.18"/>
        <n v="252.32"/>
        <n v="351.69"/>
        <n v="251.22"/>
        <n v="209.7"/>
        <n v="356.02"/>
        <n v="291.67"/>
        <n v="358.81"/>
        <n v="200.3"/>
        <n v="262.58999999999997"/>
        <n v="141.30000000000001"/>
        <n v="251.14"/>
        <n v="431.83"/>
        <n v="315.31"/>
        <n v="272.83"/>
        <n v="239.01"/>
        <n v="466.36"/>
        <n v="29.12"/>
        <n v="430.22"/>
        <n v="199.22"/>
        <n v="422.05"/>
        <n v="456.43"/>
        <n v="353.97"/>
        <n v="475.23"/>
        <n v="267.20999999999998"/>
        <n v="26.37"/>
        <n v="459.12"/>
        <n v="200.79"/>
        <n v="47.56"/>
        <n v="127.37"/>
        <n v="412.36"/>
        <n v="304.86"/>
        <n v="347.22"/>
        <n v="70.63"/>
        <n v="464.47"/>
        <n v="166.95"/>
        <n v="404.74"/>
        <n v="489.44"/>
        <n v="387.23"/>
        <n v="39.53"/>
        <n v="163.32"/>
        <n v="113.32"/>
        <n v="407.3"/>
        <n v="148.19"/>
        <n v="327.49"/>
        <n v="483.08"/>
        <n v="162.38999999999999"/>
        <n v="332.21"/>
        <n v="399.09"/>
        <n v="187.86"/>
        <n v="473.47"/>
        <n v="147.63"/>
        <n v="367.07"/>
        <n v="252"/>
        <n v="266.5"/>
        <n v="246.47"/>
        <n v="425.61"/>
        <n v="125.56"/>
        <n v="187.42"/>
        <n v="279.57"/>
        <n v="293.88"/>
        <n v="486.3"/>
        <n v="25.02"/>
        <n v="175.99"/>
        <n v="6.22"/>
        <n v="370.33"/>
        <n v="313.89"/>
        <n v="265.25"/>
        <n v="317.98"/>
        <n v="37.049999999999997"/>
        <n v="384.28"/>
        <n v="422.41"/>
        <n v="113.48"/>
        <n v="422.63"/>
        <n v="382.11"/>
        <n v="187.12"/>
        <n v="99.53"/>
        <n v="335.6"/>
        <n v="284.08999999999997"/>
        <n v="286.44"/>
        <n v="43.35"/>
        <n v="214.44"/>
        <n v="71.290000000000006"/>
        <n v="211.01"/>
        <n v="411.73"/>
        <n v="289.58"/>
        <n v="220.89"/>
        <n v="177.81"/>
        <n v="115.73"/>
        <n v="405.16"/>
        <n v="39.36"/>
        <n v="196.42"/>
        <n v="137.53"/>
        <n v="430.49"/>
        <n v="231.49"/>
        <n v="132.97"/>
        <n v="120.58"/>
        <n v="396.11"/>
        <n v="347.74"/>
        <n v="78.930000000000007"/>
        <n v="151.49"/>
        <n v="376"/>
        <n v="21.97"/>
        <n v="126.73"/>
        <n v="150.97999999999999"/>
        <n v="282.97000000000003"/>
        <n v="232.57"/>
        <n v="115.74"/>
        <n v="270.05"/>
        <n v="205.17"/>
        <n v="338.83"/>
        <n v="150.77000000000001"/>
        <n v="106.54"/>
        <n v="357.77"/>
        <n v="434.57"/>
        <n v="210.6"/>
        <n v="394.09"/>
        <n v="486.29"/>
        <n v="487.73"/>
        <n v="299.02"/>
        <n v="205.39"/>
        <n v="141.12"/>
        <n v="167.91"/>
        <n v="131.41999999999999"/>
        <n v="5.68"/>
        <n v="226.3"/>
        <n v="254.99"/>
        <n v="164.02"/>
        <n v="10.44"/>
        <n v="94.79"/>
        <n v="191.66"/>
        <n v="466.03"/>
        <n v="310.07"/>
        <n v="295.66000000000003"/>
        <n v="14.61"/>
        <n v="91.64"/>
        <n v="445.76"/>
        <n v="408.28"/>
        <n v="46.81"/>
        <n v="409.23"/>
        <n v="168.07"/>
        <n v="105.44"/>
        <n v="72.099999999999994"/>
        <n v="343.32"/>
        <n v="381.47"/>
        <n v="443.94"/>
        <n v="165.87"/>
        <n v="12.34"/>
        <n v="408.02"/>
        <n v="430.99"/>
        <n v="256.23"/>
        <n v="56.22"/>
        <n v="145.54"/>
        <n v="415.64"/>
        <n v="139.53"/>
        <n v="398.47"/>
        <n v="161.69"/>
        <n v="455.23"/>
        <n v="212.71"/>
        <n v="403.74"/>
        <n v="350.41"/>
        <n v="298.02999999999997"/>
        <n v="473.81"/>
        <n v="84.06"/>
        <n v="264.48"/>
        <n v="105.83"/>
        <n v="435.42"/>
        <n v="281.14999999999998"/>
        <n v="237.85"/>
        <n v="161.34"/>
        <n v="126.48"/>
        <n v="156.19"/>
        <n v="39.47"/>
        <n v="392.34"/>
        <n v="228.44"/>
        <n v="79.569999999999993"/>
        <n v="245.7"/>
        <n v="136.78"/>
        <n v="309.56"/>
        <n v="289.54000000000002"/>
        <n v="353"/>
        <n v="351.56"/>
        <n v="194.34"/>
        <n v="432.77"/>
        <n v="364.15"/>
        <n v="261.8"/>
        <n v="387.15"/>
        <n v="85.28"/>
        <n v="432.25"/>
        <n v="380.97"/>
        <n v="179.28"/>
        <n v="426.3"/>
        <n v="331.32"/>
        <n v="10.31"/>
        <n v="251.97"/>
        <n v="299.39"/>
        <n v="396.72"/>
        <n v="254.95"/>
        <n v="251.75"/>
        <n v="276.62"/>
        <n v="305.10000000000002"/>
        <n v="375.92"/>
        <n v="57.13"/>
        <n v="308.38"/>
        <n v="160.86000000000001"/>
        <n v="205.13"/>
        <n v="83.55"/>
        <n v="451.64"/>
        <n v="127.65"/>
        <n v="107.39"/>
        <n v="444.36"/>
        <n v="420.86"/>
        <n v="82.23"/>
        <n v="144.41999999999999"/>
        <n v="59.26"/>
        <n v="218.76"/>
        <n v="486.45"/>
        <n v="367.73"/>
        <n v="273.69"/>
        <n v="79.14"/>
        <n v="300.2"/>
        <n v="261.58999999999997"/>
        <n v="200.05"/>
        <n v="114.03"/>
        <n v="251.32"/>
        <n v="375.36"/>
        <n v="27.32"/>
        <n v="334.27"/>
        <n v="336.53"/>
        <n v="445.51"/>
        <n v="60.75"/>
        <n v="382.16"/>
        <n v="103.27"/>
        <n v="28.71"/>
        <n v="365.96"/>
        <n v="246.95"/>
        <n v="256.25"/>
        <n v="124.17"/>
        <n v="93.17"/>
        <n v="327.74"/>
        <n v="40.369999999999997"/>
        <n v="293.93"/>
        <n v="448.26"/>
        <n v="42.32"/>
        <n v="351.59"/>
        <n v="180.83"/>
        <n v="318.64999999999998"/>
        <n v="406.1"/>
        <n v="83.36"/>
        <n v="163.09"/>
        <n v="325.23"/>
        <n v="83.63"/>
        <n v="339.93"/>
        <n v="357.43"/>
        <n v="35.130000000000003"/>
        <n v="120.68"/>
        <n v="215.97"/>
        <n v="31.67"/>
        <n v="228.65"/>
        <n v="487.37"/>
        <n v="394.14"/>
        <n v="360.6"/>
        <n v="429.02"/>
        <n v="240.95"/>
        <n v="391.08"/>
        <n v="348.05"/>
        <n v="302.10000000000002"/>
        <n v="95.3"/>
        <n v="366.06"/>
        <n v="336.26"/>
        <n v="463.85"/>
        <n v="6.35"/>
        <n v="20.63"/>
        <n v="393.71"/>
        <n v="342.16"/>
        <n v="197.92"/>
      </sharedItems>
    </cacheField>
    <cacheField name="Supplier" numFmtId="0">
      <sharedItems count="5">
        <s v="Konga Wholesale"/>
        <s v="MegaBuild Ltd"/>
        <s v="FixRight Depot"/>
        <s v="Jumia Supplies"/>
        <s v="Alpha Materials"/>
      </sharedItems>
    </cacheField>
    <cacheField name="LastRestockDate" numFmtId="164">
      <sharedItems containsSemiMixedTypes="0" containsNonDate="0" containsDate="1" containsString="0" minDate="2024-01-01T00:00:00" maxDate="2024-12-31T00:00:00"/>
    </cacheField>
    <cacheField name="NextRestockDate" numFmtId="164">
      <sharedItems containsSemiMixedTypes="0" containsNonDate="0" containsDate="1" containsString="0" minDate="2024-01-06T00:00:00" maxDate="2025-02-06T00:00:00"/>
    </cacheField>
    <cacheField name="WarehouseLocation" numFmtId="0">
      <sharedItems count="3">
        <s v="Warehouse A"/>
        <s v="Warehouse C"/>
        <s v="Warehouse B"/>
      </sharedItems>
    </cacheField>
    <cacheField name="Stock Value" numFmtId="166">
      <sharedItems containsSemiMixedTypes="0" containsString="0" containsNumber="1" minValue="0" maxValue="236787.9" count="2992">
        <n v="105556.5"/>
        <n v="2293.69"/>
        <n v="4595.01"/>
        <n v="6801.57"/>
        <n v="37542.980000000003"/>
        <n v="7616.7999999999993"/>
        <n v="91279.63"/>
        <n v="64227.399999999994"/>
        <n v="586.6"/>
        <n v="31691.199999999997"/>
        <n v="67383.819999999992"/>
        <n v="182840.3"/>
        <n v="39738.15"/>
        <n v="20104.2"/>
        <n v="25576.46"/>
        <n v="56356.27"/>
        <n v="92299.56"/>
        <n v="32579.100000000002"/>
        <n v="15350.720000000001"/>
        <n v="33476.25"/>
        <n v="161020"/>
        <n v="11971.59"/>
        <n v="139966.5"/>
        <n v="114401.39000000001"/>
        <n v="89951.85"/>
        <n v="35706.300000000003"/>
        <n v="30121.32"/>
        <n v="117104.13"/>
        <n v="145833.61000000002"/>
        <n v="96153.11"/>
        <n v="87306.42"/>
        <n v="70021.56"/>
        <n v="41869.520000000004"/>
        <n v="206793.21"/>
        <n v="143096.79999999999"/>
        <n v="18473.73"/>
        <n v="108385.65"/>
        <n v="8010.0899999999992"/>
        <n v="28485.200000000001"/>
        <n v="29910.329999999998"/>
        <n v="21299.190000000002"/>
        <n v="29438.22"/>
        <n v="107240.76"/>
        <n v="11492.64"/>
        <n v="53891.95"/>
        <n v="108757.95000000001"/>
        <n v="27750.600000000002"/>
        <n v="114083.9"/>
        <n v="154814.38"/>
        <n v="1368.16"/>
        <n v="6602.96"/>
        <n v="23021.84"/>
        <n v="44243.4"/>
        <n v="162633.60000000001"/>
        <n v="566.64"/>
        <n v="64124.700000000004"/>
        <n v="20370.48"/>
        <n v="159878.39999999999"/>
        <n v="2111.88"/>
        <n v="80915.959999999992"/>
        <n v="25053.75"/>
        <n v="33178.6"/>
        <n v="0"/>
        <n v="27876.420000000002"/>
        <n v="56924.490000000005"/>
        <n v="63395.200000000004"/>
        <n v="16004.25"/>
        <n v="169657.28"/>
        <n v="78703.199999999997"/>
        <n v="116991.36000000002"/>
        <n v="90023.8"/>
        <n v="73737.159999999989"/>
        <n v="10195.880000000001"/>
        <n v="23957.53"/>
        <n v="189345.15"/>
        <n v="31465"/>
        <n v="16716.7"/>
        <n v="31940"/>
        <n v="8721.9599999999991"/>
        <n v="37916.97"/>
        <n v="43377.94"/>
        <n v="26142.839999999997"/>
        <n v="20778.8"/>
        <n v="10101.75"/>
        <n v="28875"/>
        <n v="49221.9"/>
        <n v="38435.300000000003"/>
        <n v="16614.18"/>
        <n v="45033"/>
        <n v="15949.44"/>
        <n v="28789.94"/>
        <n v="182669.74"/>
        <n v="123464.00000000001"/>
        <n v="77951.839999999997"/>
        <n v="95363.65"/>
        <n v="581.88"/>
        <n v="40054.340000000004"/>
        <n v="12642.900000000001"/>
        <n v="130233.60000000001"/>
        <n v="57536.509999999995"/>
        <n v="18033.32"/>
        <n v="28192.129999999997"/>
        <n v="223292.52000000002"/>
        <n v="69899.7"/>
        <n v="43356.9"/>
        <n v="1898.8799999999999"/>
        <n v="31080.77"/>
        <n v="174921.60000000001"/>
        <n v="48733.02"/>
        <n v="17500.140000000003"/>
        <n v="83258.759999999995"/>
        <n v="19729.280000000002"/>
        <n v="95430.45"/>
        <n v="62616"/>
        <n v="78019.199999999997"/>
        <n v="103156.01999999999"/>
        <n v="10696.050000000001"/>
        <n v="13503.6"/>
        <n v="75671.8"/>
        <n v="36761.599999999999"/>
        <n v="14029"/>
        <n v="99609.18"/>
        <n v="7476.35"/>
        <n v="114422"/>
        <n v="172539.6"/>
        <n v="52423.58"/>
        <n v="64860"/>
        <n v="86833.5"/>
        <n v="8619.9600000000009"/>
        <n v="88944.239999999991"/>
        <n v="36796.950000000004"/>
        <n v="109704.21"/>
        <n v="44035.32"/>
        <n v="41866"/>
        <n v="51789.07"/>
        <n v="120402.24000000001"/>
        <n v="74403.520000000004"/>
        <n v="1771.32"/>
        <n v="13588.1"/>
        <n v="177933.56"/>
        <n v="50586.080000000002"/>
        <n v="92704.04"/>
        <n v="24202.5"/>
        <n v="90762.2"/>
        <n v="70829.5"/>
        <n v="160181.25"/>
        <n v="103794.72"/>
        <n v="75335.759999999995"/>
        <n v="58636.560000000005"/>
        <n v="1266.96"/>
        <n v="98298.900000000009"/>
        <n v="8458.8000000000011"/>
        <n v="29397.120000000003"/>
        <n v="10829.130000000001"/>
        <n v="51637.47"/>
        <n v="143829.24000000002"/>
        <n v="113467.14"/>
        <n v="117534.48000000001"/>
        <n v="10358.039999999999"/>
        <n v="210.9"/>
        <n v="22081.05"/>
        <n v="6579.92"/>
        <n v="25209.77"/>
        <n v="12558.91"/>
        <n v="17203.32"/>
        <n v="3511.2499999999995"/>
        <n v="111734.09999999999"/>
        <n v="93469.2"/>
        <n v="32695.239999999998"/>
        <n v="79113.240000000005"/>
        <n v="1607.0600000000002"/>
        <n v="154125.94"/>
        <n v="35428.29"/>
        <n v="115705.89"/>
        <n v="102968.4"/>
        <n v="62243.199999999997"/>
        <n v="170622.69"/>
        <n v="49804.810000000005"/>
        <n v="22205.52"/>
        <n v="26925.8"/>
        <n v="531.14"/>
        <n v="7434.9600000000009"/>
        <n v="148751.61000000002"/>
        <n v="27631.56"/>
        <n v="186935.49"/>
        <n v="21100.45"/>
        <n v="145856.34"/>
        <n v="127846.57"/>
        <n v="93209.400000000009"/>
        <n v="69670.320000000007"/>
        <n v="17271.82"/>
        <n v="124806.65000000001"/>
        <n v="69349.040000000008"/>
        <n v="12272.939999999999"/>
        <n v="23638.560000000001"/>
        <n v="141892.69999999998"/>
        <n v="6725.76"/>
        <n v="43256.32"/>
        <n v="35123.79"/>
        <n v="80747.59"/>
        <n v="214656.56"/>
        <n v="120960.58"/>
        <n v="71536.5"/>
        <n v="175585.68"/>
        <n v="12960.199999999999"/>
        <n v="103577.4"/>
        <n v="130969.86"/>
        <n v="103426.46999999999"/>
        <n v="20292.75"/>
        <n v="3662.0600000000004"/>
        <n v="114458.40000000001"/>
        <n v="24707.7"/>
        <n v="24610.44"/>
        <n v="141777.60000000001"/>
        <n v="48094.219999999994"/>
        <n v="33079.200000000004"/>
        <n v="134358.32999999999"/>
        <n v="45776.23"/>
        <n v="21423.81"/>
        <n v="78242.430000000008"/>
        <n v="50273.760000000002"/>
        <n v="115054.6"/>
        <n v="195793.28999999998"/>
        <n v="51116.84"/>
        <n v="87879.4"/>
        <n v="3144.7000000000003"/>
        <n v="122729.74"/>
        <n v="61496.009999999995"/>
        <n v="34542.730000000003"/>
        <n v="22745.279999999999"/>
        <n v="40395.600000000006"/>
        <n v="130244.98"/>
        <n v="202999.72"/>
        <n v="194957.04"/>
        <n v="27055.600000000002"/>
        <n v="45844.07"/>
        <n v="72507.599999999991"/>
        <n v="12963.86"/>
        <n v="5015.76"/>
        <n v="42995.040000000001"/>
        <n v="60398.13"/>
        <n v="2907.31"/>
        <n v="8454.1099999999988"/>
        <n v="27210.19"/>
        <n v="4349.1600000000008"/>
        <n v="65006.5"/>
        <n v="108188.6"/>
        <n v="47962.18"/>
        <n v="52914.74"/>
        <n v="123427.40000000001"/>
        <n v="31600.960000000003"/>
        <n v="231795.47999999998"/>
        <n v="13372.78"/>
        <n v="76321.66"/>
        <n v="10202.08"/>
        <n v="48248.32"/>
        <n v="23587.199999999997"/>
        <n v="78847.38"/>
        <n v="12398.75"/>
        <n v="148588.80000000002"/>
        <n v="137723.4"/>
        <n v="3209.33"/>
        <n v="28683.440000000002"/>
        <n v="92201.25"/>
        <n v="12402.699999999999"/>
        <n v="79129.5"/>
        <n v="11435.28"/>
        <n v="127964.00000000001"/>
        <n v="38431.68"/>
        <n v="103063.19"/>
        <n v="3965.76"/>
        <n v="67705.680000000008"/>
        <n v="3301.65"/>
        <n v="55565.02"/>
        <n v="7621.44"/>
        <n v="40655.550000000003"/>
        <n v="60422.76"/>
        <n v="110520.15000000001"/>
        <n v="57824"/>
        <n v="128064.87000000001"/>
        <n v="24602.62"/>
        <n v="199659.98"/>
        <n v="75817.2"/>
        <n v="127395.70999999999"/>
        <n v="43252.170000000006"/>
        <n v="17011.28"/>
        <n v="41984.639999999999"/>
        <n v="39497.07"/>
        <n v="2911.3500000000004"/>
        <n v="230887.08000000002"/>
        <n v="7084.7999999999993"/>
        <n v="4017.0800000000004"/>
        <n v="29470.86"/>
        <n v="33726"/>
        <n v="28810.429999999997"/>
        <n v="161538.1"/>
        <n v="106833.59999999999"/>
        <n v="65174.200000000004"/>
        <n v="166041.88"/>
        <n v="75490.239999999991"/>
        <n v="1734.49"/>
        <n v="45114.01"/>
        <n v="33046.410000000003"/>
        <n v="12913.119999999999"/>
        <n v="164812.96"/>
        <n v="42038.45"/>
        <n v="113999.62"/>
        <n v="4232"/>
        <n v="29105.25"/>
        <n v="14632.019999999999"/>
        <n v="8911.3200000000015"/>
        <n v="95552"/>
        <n v="22412.120000000003"/>
        <n v="4263.1499999999996"/>
        <n v="97974.400000000009"/>
        <n v="60330.27"/>
        <n v="46808.68"/>
        <n v="183274.31999999998"/>
        <n v="45321.840000000004"/>
        <n v="53283.199999999997"/>
        <n v="91035.56"/>
        <n v="116642.2"/>
        <n v="37.89"/>
        <n v="10944.18"/>
        <n v="15612.52"/>
        <n v="74837.399999999994"/>
        <n v="110532.23999999999"/>
        <n v="9691.5500000000011"/>
        <n v="99314.06"/>
        <n v="28858.589999999997"/>
        <n v="6293.7"/>
        <n v="58975.64"/>
        <n v="54375.679999999993"/>
        <n v="83034.559999999998"/>
        <n v="1677"/>
        <n v="62719.200000000004"/>
        <n v="15066.52"/>
        <n v="68033.2"/>
        <n v="71669.460000000006"/>
        <n v="109531.84"/>
        <n v="91000.94"/>
        <n v="104463.86"/>
        <n v="37939.72"/>
        <n v="35703.360000000001"/>
        <n v="126233.52"/>
        <n v="87646.02"/>
        <n v="778.93999999999994"/>
        <n v="95137.35"/>
        <n v="88687.17"/>
        <n v="1377.72"/>
        <n v="11316.94"/>
        <n v="6077.76"/>
        <n v="104396.73999999999"/>
        <n v="16979.080000000002"/>
        <n v="20979.760000000002"/>
        <n v="27792.92"/>
        <n v="33720.25"/>
        <n v="175137.04"/>
        <n v="168887.03999999998"/>
        <n v="46146.400000000001"/>
        <n v="22344.66"/>
        <n v="104945.40000000001"/>
        <n v="1453.1799999999998"/>
        <n v="78319.839999999997"/>
        <n v="974.84"/>
        <n v="7629.7599999999993"/>
        <n v="8669.25"/>
        <n v="83688.960000000006"/>
        <n v="59455.840000000004"/>
        <n v="133018.20000000001"/>
        <n v="78193.710000000006"/>
        <n v="56856.200000000004"/>
        <n v="33002.22"/>
        <n v="18684.12"/>
        <n v="26079.399999999998"/>
        <n v="36677.700000000004"/>
        <n v="122360"/>
        <n v="51092.6"/>
        <n v="1269.24"/>
        <n v="11796.24"/>
        <n v="10585.08"/>
        <n v="82702.880000000005"/>
        <n v="123158.17"/>
        <n v="97048.6"/>
        <n v="43481.840000000004"/>
        <n v="2523.9899999999998"/>
        <n v="103227.53"/>
        <n v="62519.25"/>
        <n v="91383.039999999994"/>
        <n v="13560.54"/>
        <n v="32556.16"/>
        <n v="29702.699999999997"/>
        <n v="143882.82"/>
        <n v="92656.72"/>
        <n v="28190.3"/>
        <n v="90712.08"/>
        <n v="71640.36"/>
        <n v="9505.2099999999991"/>
        <n v="96467"/>
        <n v="93251.45"/>
        <n v="88362.909999999989"/>
        <n v="38667.1"/>
        <n v="50438.400000000001"/>
        <n v="39202.65"/>
        <n v="17134.2"/>
        <n v="148535.1"/>
        <n v="23958.2"/>
        <n v="30451.13"/>
        <n v="2795.9399999999996"/>
        <n v="128576.72"/>
        <n v="88870.209999999992"/>
        <n v="67005.069999999992"/>
        <n v="70775.759999999995"/>
        <n v="81002.760000000009"/>
        <n v="67931.25"/>
        <n v="21735"/>
        <n v="66898"/>
        <n v="7767.68"/>
        <n v="49595.4"/>
        <n v="47444.479999999996"/>
        <n v="19182.02"/>
        <n v="108841.04"/>
        <n v="32292.079999999998"/>
        <n v="125249.59999999999"/>
        <n v="3571.4599999999996"/>
        <n v="176273.3"/>
        <n v="2695.05"/>
        <n v="204241.5"/>
        <n v="10600.640000000001"/>
        <n v="15764.349999999999"/>
        <n v="62449.200000000004"/>
        <n v="53683.63"/>
        <n v="105601.83000000002"/>
        <n v="56809.8"/>
        <n v="28339.68"/>
        <n v="21.38"/>
        <n v="67091.790000000008"/>
        <n v="84001.1"/>
        <n v="20698.009999999998"/>
        <n v="2076.4500000000003"/>
        <n v="95852.640000000014"/>
        <n v="88751.87999999999"/>
        <n v="103292.28"/>
        <n v="6883.9"/>
        <n v="37815.420000000006"/>
        <n v="97290.33"/>
        <n v="76022.51999999999"/>
        <n v="39714.720000000001"/>
        <n v="65110.42"/>
        <n v="82115.199999999997"/>
        <n v="103774"/>
        <n v="474.75"/>
        <n v="20988.720000000001"/>
        <n v="12767.3"/>
        <n v="20428.32"/>
        <n v="60275.600000000006"/>
        <n v="78208.2"/>
        <n v="121872"/>
        <n v="158872.07999999999"/>
        <n v="167467.30000000002"/>
        <n v="162664.95000000001"/>
        <n v="52380"/>
        <n v="48276.450000000004"/>
        <n v="44459.03"/>
        <n v="97.16"/>
        <n v="42598.74"/>
        <n v="18479.649999999998"/>
        <n v="99554.58"/>
        <n v="142059.47999999998"/>
        <n v="47003.32"/>
        <n v="13290.16"/>
        <n v="43607.28"/>
        <n v="45087"/>
        <n v="139450.87"/>
        <n v="23506.84"/>
        <n v="19003.949999999997"/>
        <n v="15015"/>
        <n v="56237.22"/>
        <n v="134091.33000000002"/>
        <n v="1312.08"/>
        <n v="88067.14"/>
        <n v="115863.16"/>
        <n v="112191.70000000001"/>
        <n v="43030.020000000004"/>
        <n v="42123.049999999996"/>
        <n v="6873.44"/>
        <n v="1168.56"/>
        <n v="6924.55"/>
        <n v="38548.199999999997"/>
        <n v="41452"/>
        <n v="30140.91"/>
        <n v="62031.060000000005"/>
        <n v="81431.01999999999"/>
        <n v="81335.199999999997"/>
        <n v="68379.75"/>
        <n v="66411.3"/>
        <n v="16387.560000000001"/>
        <n v="13383.25"/>
        <n v="69230"/>
        <n v="99516.04"/>
        <n v="199912"/>
        <n v="2557.5"/>
        <n v="16381.559999999998"/>
        <n v="35463.24"/>
        <n v="82057.11"/>
        <n v="141228.65"/>
        <n v="50565.340000000004"/>
        <n v="11467.46"/>
        <n v="8416.17"/>
        <n v="91299.56"/>
        <n v="210753.25"/>
        <n v="11638.88"/>
        <n v="8652.75"/>
        <n v="14341.320000000002"/>
        <n v="74609.460000000006"/>
        <n v="27371.38"/>
        <n v="119750.39999999999"/>
        <n v="19629.12"/>
        <n v="59654.959999999992"/>
        <n v="26009.3"/>
        <n v="130217.62000000001"/>
        <n v="7785.92"/>
        <n v="214947.19"/>
        <n v="554.69999999999993"/>
        <n v="158890.5"/>
        <n v="33985.440000000002"/>
        <n v="37922"/>
        <n v="6010.5"/>
        <n v="104956.08"/>
        <n v="60668.160000000003"/>
        <n v="156910.32"/>
        <n v="68172.72"/>
        <n v="10111.27"/>
        <n v="19521.04"/>
        <n v="42549.64"/>
        <n v="47609.71"/>
        <n v="65814.48000000001"/>
        <n v="164858.54"/>
        <n v="4440"/>
        <n v="87086.28"/>
        <n v="139408.62"/>
        <n v="32149.8"/>
        <n v="29206.800000000003"/>
        <n v="176855.44"/>
        <n v="3134.7"/>
        <n v="10055.780000000001"/>
        <n v="36866.700000000004"/>
        <n v="27532.32"/>
        <n v="7625.5999999999995"/>
        <n v="128696.5"/>
        <n v="9415.77"/>
        <n v="16436.490000000002"/>
        <n v="5938.1399999999994"/>
        <n v="45979.58"/>
        <n v="21735.210000000003"/>
        <n v="21386.32"/>
        <n v="46500.74"/>
        <n v="15598.89"/>
        <n v="111710.08"/>
        <n v="22297.45"/>
        <n v="29328.6"/>
        <n v="18359.439999999999"/>
        <n v="42689.5"/>
        <n v="76285.56"/>
        <n v="45857.39"/>
        <n v="111081.09000000001"/>
        <n v="66877.98"/>
        <n v="140935.19999999998"/>
        <n v="161365.09999999998"/>
        <n v="40199"/>
        <n v="36800.280000000006"/>
        <n v="21350.560000000001"/>
        <n v="4457.21"/>
        <n v="62641.26"/>
        <n v="13916.46"/>
        <n v="34829.74"/>
        <n v="19559.490000000002"/>
        <n v="2639.9"/>
        <n v="25548.18"/>
        <n v="61389.72"/>
        <n v="19775.34"/>
        <n v="96285.560000000012"/>
        <n v="1203.4399999999998"/>
        <n v="83983.55"/>
        <n v="49365.05"/>
        <n v="46802.559999999998"/>
        <n v="4459.95"/>
        <n v="11780.08"/>
        <n v="47230"/>
        <n v="44424.26"/>
        <n v="7971.34"/>
        <n v="2578.0699999999997"/>
        <n v="18674.88"/>
        <n v="4351.01"/>
        <n v="94113.600000000006"/>
        <n v="3754.87"/>
        <n v="120894.43999999999"/>
        <n v="6097"/>
        <n v="33352.9"/>
        <n v="39534.01"/>
        <n v="170083.44"/>
        <n v="89903.12"/>
        <n v="30637.920000000002"/>
        <n v="9470.7899999999991"/>
        <n v="39699.760000000002"/>
        <n v="5925.08"/>
        <n v="145235.80000000002"/>
        <n v="68200.149999999994"/>
        <n v="80399.28"/>
        <n v="30384.610000000004"/>
        <n v="50563.15"/>
        <n v="88044.959999999992"/>
        <n v="18223.600000000002"/>
        <n v="30166.879999999997"/>
        <n v="5180.3999999999996"/>
        <n v="103716.00000000001"/>
        <n v="66415.23"/>
        <n v="44775.219999999994"/>
        <n v="108480.40000000001"/>
        <n v="55496.100000000006"/>
        <n v="767"/>
        <n v="81241.76999999999"/>
        <n v="5793.39"/>
        <n v="119815.97"/>
        <n v="13249.52"/>
        <n v="49040.18"/>
        <n v="209874.83"/>
        <n v="47215.29"/>
        <n v="11845.18"/>
        <n v="96986.16"/>
        <n v="11456.45"/>
        <n v="81711.399999999994"/>
        <n v="22269.52"/>
        <n v="193453.38999999998"/>
        <n v="118239"/>
        <n v="7729.75"/>
        <n v="91314.299999999988"/>
        <n v="187002.35"/>
        <n v="5813.8"/>
        <n v="7021.44"/>
        <n v="4340.82"/>
        <n v="87291.9"/>
        <n v="18524"/>
        <n v="60513.3"/>
        <n v="63012"/>
        <n v="41849.280000000006"/>
        <n v="39041.760000000002"/>
        <n v="20924.66"/>
        <n v="93705.45"/>
        <n v="179906.72"/>
        <n v="34545.699999999997"/>
        <n v="131373.6"/>
        <n v="81680.14"/>
        <n v="47451.96"/>
        <n v="24536.879999999997"/>
        <n v="99221.51999999999"/>
        <n v="28741.9"/>
        <n v="93853.36"/>
        <n v="2314.92"/>
        <n v="76716.5"/>
        <n v="31515.84"/>
        <n v="37782.629999999997"/>
        <n v="7398.73"/>
        <n v="10748.76"/>
        <n v="12557.789999999999"/>
        <n v="30790.44"/>
        <n v="135204.09000000003"/>
        <n v="84769.02"/>
        <n v="72015.62"/>
        <n v="52307.5"/>
        <n v="82288.41"/>
        <n v="58052.770000000004"/>
        <n v="7130.72"/>
        <n v="51428.4"/>
        <n v="73588.41"/>
        <n v="41954.880000000005"/>
        <n v="78941.31"/>
        <n v="862.56"/>
        <n v="7942.9"/>
        <n v="12138.83"/>
        <n v="23099.52"/>
        <n v="9580.86"/>
        <n v="112228.17"/>
        <n v="11191.18"/>
        <n v="136345.39000000001"/>
        <n v="45799.86"/>
        <n v="596.55999999999995"/>
        <n v="16210.86"/>
        <n v="496.62"/>
        <n v="90491.24"/>
        <n v="56394.799999999996"/>
        <n v="61986.599999999991"/>
        <n v="142364.85"/>
        <n v="36282.25"/>
        <n v="93089.73000000001"/>
        <n v="42022.77"/>
        <n v="34820.870000000003"/>
        <n v="34740.839999999997"/>
        <n v="112073.94"/>
        <n v="80143.849999999991"/>
        <n v="36547.279999999999"/>
        <n v="178624.44"/>
        <n v="4954.63"/>
        <n v="20851.740000000002"/>
        <n v="13656.119999999999"/>
        <n v="154489.9"/>
        <n v="21368.59"/>
        <n v="210502.39999999999"/>
        <n v="5159"/>
        <n v="86110.85"/>
        <n v="67850.959999999992"/>
        <n v="20675.400000000001"/>
        <n v="969.51"/>
        <n v="5665.8"/>
        <n v="159417.16"/>
        <n v="126984.02"/>
        <n v="100006.48"/>
        <n v="77408.600000000006"/>
        <n v="146691.90000000002"/>
        <n v="15434.550000000001"/>
        <n v="60556.319999999992"/>
        <n v="523.56000000000006"/>
        <n v="9170.08"/>
        <n v="22132.9"/>
        <n v="145751.76"/>
        <n v="59419.799999999996"/>
        <n v="9276.4"/>
        <n v="34750.379999999997"/>
        <n v="84647.25"/>
        <n v="29000.7"/>
        <n v="693.16000000000008"/>
        <n v="2120.48"/>
        <n v="29931.65"/>
        <n v="25260.35"/>
        <n v="50364.21"/>
        <n v="66060.899999999994"/>
        <n v="13156.56"/>
        <n v="147300.1"/>
        <n v="29350.949999999997"/>
        <n v="98177.7"/>
        <n v="15657.39"/>
        <n v="98339.13"/>
        <n v="113932.97"/>
        <n v="35729.939999999995"/>
        <n v="680.38"/>
        <n v="18006.919999999998"/>
        <n v="4148.1400000000003"/>
        <n v="50106.99"/>
        <n v="3383.2400000000002"/>
        <n v="100222.29000000001"/>
        <n v="131688.34"/>
        <n v="131895.35999999999"/>
        <n v="4450.6000000000004"/>
        <n v="18391.96"/>
        <n v="129278.86000000002"/>
        <n v="27940.86"/>
        <n v="53295.08"/>
        <n v="71483.22"/>
        <n v="88118.31"/>
        <n v="6269.9000000000005"/>
        <n v="54304.499999999993"/>
        <n v="57079.08"/>
        <n v="88795.3"/>
        <n v="171794.1"/>
        <n v="13157.76"/>
        <n v="10073.800000000001"/>
        <n v="60599.92"/>
        <n v="169020.12"/>
        <n v="193992.59999999998"/>
        <n v="23118.81"/>
        <n v="152125.5"/>
        <n v="4620.24"/>
        <n v="65627.06"/>
        <n v="123357.68000000001"/>
        <n v="14196.66"/>
        <n v="17761.2"/>
        <n v="2823.3799999999997"/>
        <n v="5335"/>
        <n v="12873.6"/>
        <n v="150349.99000000002"/>
        <n v="52832.12"/>
        <n v="218152.74000000002"/>
        <n v="75825.600000000006"/>
        <n v="75435.079999999987"/>
        <n v="4762.5599999999995"/>
        <n v="15766.2"/>
        <n v="31305.780000000002"/>
        <n v="52095.340000000004"/>
        <n v="44961.22"/>
        <n v="3158.1200000000003"/>
        <n v="81030.5"/>
        <n v="58589.280000000006"/>
        <n v="6262.9199999999992"/>
        <n v="4826.57"/>
        <n v="127552.7"/>
        <n v="1565.08"/>
        <n v="8971.84"/>
        <n v="16831.400000000001"/>
        <n v="2467.04"/>
        <n v="638.58000000000004"/>
        <n v="72856.7"/>
        <n v="40966.199999999997"/>
        <n v="91808.75"/>
        <n v="6888.7"/>
        <n v="31521"/>
        <n v="95254.48000000001"/>
        <n v="123928.64"/>
        <n v="12194.000000000002"/>
        <n v="30673.439999999999"/>
        <n v="178586.47999999998"/>
        <n v="16078.14"/>
        <n v="2466.1"/>
        <n v="47742.94"/>
        <n v="5094.16"/>
        <n v="8944.8799999999992"/>
        <n v="32958.959999999999"/>
        <n v="6859.8"/>
        <n v="135318.39999999999"/>
        <n v="100514.51999999999"/>
        <n v="19439.84"/>
        <n v="2274.6"/>
        <n v="27182.73"/>
        <n v="9214.56"/>
        <n v="133673.03999999998"/>
        <n v="81972.799999999988"/>
        <n v="44690.67"/>
        <n v="2056.56"/>
        <n v="120051.34999999999"/>
        <n v="30718.25"/>
        <n v="71431"/>
        <n v="125358.88"/>
        <n v="144156.87"/>
        <n v="9270.69"/>
        <n v="100539.36"/>
        <n v="115903.2"/>
        <n v="23146.5"/>
        <n v="73341.13"/>
        <n v="213565.53"/>
        <n v="56799.360000000001"/>
        <n v="11100.75"/>
        <n v="111157.92"/>
        <n v="2842.56"/>
        <n v="111728.2"/>
        <n v="20114.16"/>
        <n v="133156.24"/>
        <n v="195647.19"/>
        <n v="63980.77"/>
        <n v="65187.850000000006"/>
        <n v="102023.31999999999"/>
        <n v="16074.5"/>
        <n v="148366.68"/>
        <n v="186930.52000000002"/>
        <n v="42661.08"/>
        <n v="5632.11"/>
        <n v="1237.08"/>
        <n v="92149.049999999988"/>
        <n v="78179.290000000008"/>
        <n v="2442.56"/>
        <n v="20301.900000000001"/>
        <n v="95707.77"/>
        <n v="43894.239999999998"/>
        <n v="127416.23999999999"/>
        <n v="62259.14"/>
        <n v="25206.48"/>
        <n v="7340.9600000000009"/>
        <n v="49935.200000000004"/>
        <n v="9324.9600000000009"/>
        <n v="71946.720000000001"/>
        <n v="138377.96"/>
        <n v="59405.5"/>
        <n v="9628.8000000000011"/>
        <n v="36334.65"/>
        <n v="60485.42"/>
        <n v="65144.229999999996"/>
        <n v="18711.920000000002"/>
        <n v="23976.11"/>
        <n v="14522.699999999999"/>
        <n v="153629.46000000002"/>
        <n v="75351.360000000001"/>
        <n v="25147.08"/>
        <n v="2979.6"/>
        <n v="165150.75"/>
        <n v="66474"/>
        <n v="53741.340000000004"/>
        <n v="132728.32000000001"/>
        <n v="50405.88"/>
        <n v="8015.02"/>
        <n v="74479.11"/>
        <n v="108819.37"/>
        <n v="87452.19"/>
        <n v="25366.77"/>
        <n v="60423.15"/>
        <n v="409.16999999999996"/>
        <n v="108538.48000000001"/>
        <n v="24462.120000000003"/>
        <n v="70852.319999999992"/>
        <n v="13442.519999999999"/>
        <n v="202638.19"/>
        <n v="12803.939999999999"/>
        <n v="22744.54"/>
        <n v="15504.58"/>
        <n v="38193.550000000003"/>
        <n v="339.85"/>
        <n v="24925.120000000003"/>
        <n v="65840.06"/>
        <n v="28439.449999999997"/>
        <n v="85997.1"/>
        <n v="30443.119999999999"/>
        <n v="88977.330000000016"/>
        <n v="46680.3"/>
        <n v="31414.16"/>
        <n v="93404.160000000003"/>
        <n v="76236.479999999996"/>
        <n v="91164.900000000009"/>
        <n v="8993.5300000000007"/>
        <n v="10743.63"/>
        <n v="117085.45999999999"/>
        <n v="160144.13999999998"/>
        <n v="94767"/>
        <n v="42269.04"/>
        <n v="29508.080000000002"/>
        <n v="16352.7"/>
        <n v="22334.880000000001"/>
        <n v="10087.65"/>
        <n v="16277.76"/>
        <n v="66268.2"/>
        <n v="607.20000000000005"/>
        <n v="179820"/>
        <n v="19932.48"/>
        <n v="178165.88999999998"/>
        <n v="131933.49000000002"/>
        <n v="135142.04999999999"/>
        <n v="74690.7"/>
        <n v="119611.12"/>
        <n v="19319.52"/>
        <n v="103076"/>
        <n v="188332.56"/>
        <n v="31824.240000000002"/>
        <n v="111629.14"/>
        <n v="192034.71000000002"/>
        <n v="8397.92"/>
        <n v="15555.12"/>
        <n v="39044.25"/>
        <n v="100437.12"/>
        <n v="19084.82"/>
        <n v="19244.72"/>
        <n v="88288.66"/>
        <n v="2827.02"/>
        <n v="113621.75999999999"/>
        <n v="39549.300000000003"/>
        <n v="42617.25"/>
        <n v="76074.680000000008"/>
        <n v="145309.71"/>
        <n v="23495.759999999998"/>
        <n v="61819.880000000005"/>
        <n v="54229.999999999993"/>
        <n v="3740"/>
        <n v="22632.440000000002"/>
        <n v="31594.29"/>
        <n v="37533.300000000003"/>
        <n v="8887.06"/>
        <n v="24203.399999999998"/>
        <n v="113881.82"/>
        <n v="45745.919999999998"/>
        <n v="2450.8100000000004"/>
        <n v="74563.62"/>
        <n v="17586.5"/>
        <n v="18506.439999999999"/>
        <n v="53514.810000000005"/>
        <n v="45847.05"/>
        <n v="20444.38"/>
        <n v="87308.9"/>
        <n v="178108.7"/>
        <n v="3114.2000000000003"/>
        <n v="40829.799999999996"/>
        <n v="99867.8"/>
        <n v="133117.98000000001"/>
        <n v="44260.37"/>
        <n v="17043.8"/>
        <n v="2463.2999999999997"/>
        <n v="83328"/>
        <n v="98280"/>
        <n v="37558.080000000002"/>
        <n v="107826.88"/>
        <n v="130402.8"/>
        <n v="150396.42000000001"/>
        <n v="52567.200000000004"/>
        <n v="25882.769999999997"/>
        <n v="47113.950000000004"/>
        <n v="9878.18"/>
        <n v="127958.40000000001"/>
        <n v="83786.819999999992"/>
        <n v="5654.2199999999993"/>
        <n v="224348.94"/>
        <n v="149338.39000000001"/>
        <n v="56606.240000000005"/>
        <n v="96318.86"/>
        <n v="160286.25"/>
        <n v="48829.340000000004"/>
        <n v="2432.6499999999996"/>
        <n v="29119.23"/>
        <n v="154723.92000000001"/>
        <n v="126402.25"/>
        <n v="12368.95"/>
        <n v="25955.88"/>
        <n v="6824.48"/>
        <n v="76743.679999999993"/>
        <n v="62079.43"/>
        <n v="18244.7"/>
        <n v="32290.199999999997"/>
        <n v="40634.32"/>
        <n v="164604.15"/>
        <n v="29607.3"/>
        <n v="45227.82"/>
        <n v="32520"/>
        <n v="19085"/>
        <n v="85589.28"/>
        <n v="34952.230000000003"/>
        <n v="7276.9000000000005"/>
        <n v="13498.57"/>
        <n v="11461.560000000001"/>
        <n v="92704.95"/>
        <n v="28738.32"/>
        <n v="24491.079999999998"/>
        <n v="78694.5"/>
        <n v="23160.239999999998"/>
        <n v="121019.7"/>
        <n v="170561.16"/>
        <n v="62983.5"/>
        <n v="3793.3799999999997"/>
        <n v="19491.84"/>
        <n v="26710.2"/>
        <n v="41683.199999999997"/>
        <n v="47667.600000000006"/>
        <n v="33425.279999999999"/>
        <n v="4340.05"/>
        <n v="137970.4"/>
        <n v="6914.16"/>
        <n v="76457.5"/>
        <n v="4740.13"/>
        <n v="32828.400000000001"/>
        <n v="173259.09"/>
        <n v="228927.13999999998"/>
        <n v="150897.72"/>
        <n v="92259.68"/>
        <n v="8489.2800000000007"/>
        <n v="192505.92"/>
        <n v="48833.1"/>
        <n v="3626.66"/>
        <n v="16569.09"/>
        <n v="163059.13999999998"/>
        <n v="3764.7"/>
        <n v="7244.4000000000005"/>
        <n v="37357.21"/>
        <n v="110910.6"/>
        <n v="10247.76"/>
        <n v="53762.07"/>
        <n v="119068.16"/>
        <n v="4053.62"/>
        <n v="136281.12"/>
        <n v="60262.399999999994"/>
        <n v="66504.539999999994"/>
        <n v="12616.47"/>
        <n v="92714.319999999992"/>
        <n v="49773.36"/>
        <n v="106784.59999999999"/>
        <n v="27891.22"/>
        <n v="72569.23"/>
        <n v="4108.03"/>
        <n v="55138.44"/>
        <n v="8010.68"/>
        <n v="1316.9"/>
        <n v="3980.4"/>
        <n v="105935.24"/>
        <n v="37881.14"/>
        <n v="40862.22"/>
        <n v="178346.03"/>
        <n v="104695.51999999999"/>
        <n v="90367.76999999999"/>
        <n v="58695.6"/>
        <n v="110639.4"/>
        <n v="163445.09999999998"/>
        <n v="38857.39"/>
        <n v="49221.969999999994"/>
        <n v="5844.3"/>
        <n v="61120.2"/>
        <n v="80603.59"/>
        <n v="94152.6"/>
        <n v="211830.43"/>
        <n v="30215.1"/>
        <n v="138487.96"/>
        <n v="14959.35"/>
        <n v="50602.5"/>
        <n v="83721.600000000006"/>
        <n v="23088.880000000001"/>
        <n v="27551.800000000003"/>
        <n v="1870.36"/>
        <n v="29461.510000000002"/>
        <n v="41117.360000000001"/>
        <n v="112637.72"/>
        <n v="75046.58"/>
        <n v="76282.829999999987"/>
        <n v="166596.11000000002"/>
        <n v="16031.400000000001"/>
        <n v="47690.9"/>
        <n v="2410.7999999999997"/>
        <n v="24079.54"/>
        <n v="19843.2"/>
        <n v="22414.3"/>
        <n v="67007.56"/>
        <n v="36771.060000000005"/>
        <n v="5213.28"/>
        <n v="51766.280000000006"/>
        <n v="33843.120000000003"/>
        <n v="90898.2"/>
        <n v="30567.989999999998"/>
        <n v="138143.51999999999"/>
        <n v="142011.36000000002"/>
        <n v="106640.73"/>
        <n v="30252.18"/>
        <n v="67094.720000000001"/>
        <n v="43608.689999999995"/>
        <n v="87576.7"/>
        <n v="11555.84"/>
        <n v="4468.5"/>
        <n v="180751.48"/>
        <n v="16202.06"/>
        <n v="40829.440000000002"/>
        <n v="5594.04"/>
        <n v="55330.82"/>
        <n v="33798.76"/>
        <n v="145476.88"/>
        <n v="17773.32"/>
        <n v="4235.88"/>
        <n v="74180"/>
        <n v="20623.64"/>
        <n v="27222.399999999998"/>
        <n v="221207.36000000002"/>
        <n v="50874.48"/>
        <n v="56899.65"/>
        <n v="30237.9"/>
        <n v="83327.200000000012"/>
        <n v="30833.34"/>
        <n v="8342.34"/>
        <n v="116979.2"/>
        <n v="50451.67"/>
        <n v="42634.2"/>
        <n v="24154.260000000002"/>
        <n v="122742.71999999999"/>
        <n v="27423.56"/>
        <n v="2430.7000000000003"/>
        <n v="7494.91"/>
        <n v="28991.88"/>
        <n v="126607.04999999999"/>
        <n v="146181.96"/>
        <n v="18452.189999999999"/>
        <n v="29061.449999999997"/>
        <n v="76808.160000000003"/>
        <n v="11946"/>
        <n v="129638.72999999998"/>
        <n v="95769.05"/>
        <n v="5311.25"/>
        <n v="3023.2999999999997"/>
        <n v="77233.52"/>
        <n v="110331.2"/>
        <n v="111179.64"/>
        <n v="96565.36"/>
        <n v="4207.6000000000004"/>
        <n v="70915.600000000006"/>
        <n v="25147.280000000002"/>
        <n v="46167.24"/>
        <n v="72056.820000000007"/>
        <n v="123645.32"/>
        <n v="27557.14"/>
        <n v="38282.46"/>
        <n v="1024.8600000000001"/>
        <n v="30420.720000000001"/>
        <n v="137863.11000000002"/>
        <n v="84564.479999999996"/>
        <n v="134041.5"/>
        <n v="104873.22"/>
        <n v="121046.24"/>
        <n v="50382.16"/>
        <n v="7465.9"/>
        <n v="2216.06"/>
        <n v="12477.300000000001"/>
        <n v="12768.7"/>
        <n v="20973.7"/>
        <n v="322.92"/>
        <n v="60594.049999999996"/>
        <n v="12610.4"/>
        <n v="43183.62"/>
        <n v="77609.119999999995"/>
        <n v="46671.8"/>
        <n v="23726.52"/>
        <n v="1514.46"/>
        <n v="22260.080000000002"/>
        <n v="7695.76"/>
        <n v="98924.150000000009"/>
        <n v="49528.6"/>
        <n v="198931.59999999998"/>
        <n v="200721.30000000002"/>
        <n v="151464.57"/>
        <n v="2253.79"/>
        <n v="25824.230000000003"/>
        <n v="2081.94"/>
        <n v="17314.8"/>
        <n v="5862.33"/>
        <n v="32475.120000000003"/>
        <n v="19503.54"/>
        <n v="29892.67"/>
        <n v="6408.6399999999994"/>
        <n v="3856.0499999999997"/>
        <n v="17374.169999999998"/>
        <n v="22928.149999999998"/>
        <n v="25336.080000000002"/>
        <n v="73418.240000000005"/>
        <n v="57876.630000000005"/>
        <n v="66942.720000000001"/>
        <n v="52020.75"/>
        <n v="83851.040000000008"/>
        <n v="66316.319999999992"/>
        <n v="59238.879999999997"/>
        <n v="8770.44"/>
        <n v="1245.8399999999999"/>
        <n v="25114.880000000001"/>
        <n v="21623.34"/>
        <n v="5829.2"/>
        <n v="1893.75"/>
        <n v="100124.62999999999"/>
        <n v="98474.94"/>
        <n v="3378.18"/>
        <n v="31882.55"/>
        <n v="14005.900000000001"/>
        <n v="65156.520000000004"/>
        <n v="72299.7"/>
        <n v="50620.44"/>
        <n v="53049.9"/>
        <n v="100353.59999999999"/>
        <n v="60253.2"/>
        <n v="134993.1"/>
        <n v="166249.80000000002"/>
        <n v="157066.07999999999"/>
        <n v="31436.600000000002"/>
        <n v="190490.27"/>
        <n v="24465.72"/>
        <n v="36504"/>
        <n v="83006.880000000005"/>
        <n v="692.28"/>
        <n v="166403.20000000001"/>
        <n v="143161.01"/>
        <n v="6198.3"/>
        <n v="133433.1"/>
        <n v="60240.18"/>
        <n v="5100.32"/>
        <n v="22852.48"/>
        <n v="21392.91"/>
        <n v="65497.5"/>
        <n v="190842.34"/>
        <n v="215519.35999999999"/>
        <n v="55718.52"/>
        <n v="96675.11"/>
        <n v="16095.650000000001"/>
        <n v="10272.960000000001"/>
        <n v="61982.559999999998"/>
        <n v="41871.360000000001"/>
        <n v="23698.32"/>
        <n v="25419.599999999999"/>
        <n v="135465.96"/>
        <n v="6397.5"/>
        <n v="51810.36"/>
        <n v="152697.96000000002"/>
        <n v="56074.409999999996"/>
        <n v="111957.06"/>
        <n v="928.66"/>
        <n v="23731.11"/>
        <n v="111787.75"/>
        <n v="71797.100000000006"/>
        <n v="48435.199999999997"/>
        <n v="47997.359999999993"/>
        <n v="786.78"/>
        <n v="148270.41"/>
        <n v="65296.480000000003"/>
        <n v="108088"/>
        <n v="23683.5"/>
        <n v="114182.88"/>
        <n v="22674.6"/>
        <n v="10628.220000000001"/>
        <n v="123453.84"/>
        <n v="4604.96"/>
        <n v="89401.83"/>
        <n v="155327.69999999998"/>
        <n v="905.05000000000007"/>
        <n v="40180.300000000003"/>
        <n v="4623.24"/>
        <n v="227883.32"/>
        <n v="31377.960000000003"/>
        <n v="108759.90000000001"/>
        <n v="106617.15"/>
        <n v="143323.6"/>
        <n v="133285.32"/>
        <n v="59690.720000000001"/>
        <n v="91954"/>
        <n v="146599.86000000002"/>
        <n v="11398.8"/>
        <n v="107309.51000000001"/>
        <n v="51880.259999999995"/>
        <n v="132443.71000000002"/>
        <n v="127101.78"/>
        <n v="77976.36"/>
        <n v="63712.740000000005"/>
        <n v="111103.93000000001"/>
        <n v="143364.52000000002"/>
        <n v="26804.02"/>
        <n v="154748.12"/>
        <n v="4677.42"/>
        <n v="23350.25"/>
        <n v="6787.99"/>
        <n v="75100.56"/>
        <n v="41392.049999999996"/>
        <n v="124383.59999999999"/>
        <n v="6292.9699999999993"/>
        <n v="55844.1"/>
        <n v="98191.6"/>
        <n v="24102"/>
        <n v="2028.6000000000001"/>
        <n v="158245.80000000002"/>
        <n v="52091.58"/>
        <n v="2355.48"/>
        <n v="205767.24"/>
        <n v="207712.08000000002"/>
        <n v="88157.97"/>
        <n v="22019.119999999999"/>
        <n v="16298.56"/>
        <n v="27941.119999999999"/>
        <n v="59952.149999999994"/>
        <n v="5264.3499999999995"/>
        <n v="238.64"/>
        <n v="23268.75"/>
        <n v="55639.98"/>
        <n v="3115"/>
        <n v="38966.199999999997"/>
        <n v="100215.78"/>
        <n v="65829.599999999991"/>
        <n v="115755.90000000001"/>
        <n v="41946.05"/>
        <n v="26293.759999999998"/>
        <n v="35698.409999999996"/>
        <n v="27940.52"/>
        <n v="70232.400000000009"/>
        <n v="45888.88"/>
        <n v="94366.8"/>
        <n v="34632"/>
        <n v="40053.94"/>
        <n v="1117.9000000000001"/>
        <n v="61132.4"/>
        <n v="24652.65"/>
        <n v="72801.540000000008"/>
        <n v="24554.48"/>
        <n v="58388.340000000004"/>
        <n v="192647.31"/>
        <n v="33952.6"/>
        <n v="86544.85"/>
        <n v="64688.71"/>
        <n v="35653.1"/>
        <n v="4314.9799999999996"/>
        <n v="1915.36"/>
        <n v="7442.2599999999993"/>
        <n v="31577.65"/>
        <n v="67611.600000000006"/>
        <n v="7478.170000000001"/>
        <n v="185429.09999999998"/>
        <n v="12645.220000000001"/>
        <n v="37178.9"/>
        <n v="148793.28"/>
        <n v="1674.61"/>
        <n v="36123.840000000004"/>
        <n v="91222.56"/>
        <n v="61835.94"/>
        <n v="208461.28"/>
        <n v="231695.21000000002"/>
        <n v="3184.02"/>
        <n v="63.49"/>
        <n v="105487.2"/>
        <n v="108883.32"/>
        <n v="1646.47"/>
        <n v="60383.519999999997"/>
        <n v="73713.680000000008"/>
        <n v="8558.17"/>
        <n v="73220.5"/>
        <n v="8846.49"/>
        <n v="145457.15"/>
        <n v="37777.950000000004"/>
        <n v="44493.54"/>
        <n v="5806.0199999999995"/>
        <n v="89944.799999999988"/>
        <n v="18330.759999999998"/>
        <n v="24698.960000000003"/>
        <n v="15927.119999999999"/>
        <n v="38801.700000000004"/>
        <n v="180024.81"/>
        <n v="21533.52"/>
        <n v="29990.55"/>
        <n v="118826.63"/>
        <n v="134021.88"/>
        <n v="21861.759999999998"/>
        <n v="19434.8"/>
        <n v="88170.12"/>
        <n v="86776.68"/>
        <n v="4181.2400000000007"/>
        <n v="337.7"/>
        <n v="48896.380000000005"/>
        <n v="54791.100000000006"/>
        <n v="206707.20000000001"/>
        <n v="113960"/>
        <n v="116760.16"/>
        <n v="86729.280000000013"/>
        <n v="60918"/>
        <n v="172989.91"/>
        <n v="18619.2"/>
        <n v="65308.2"/>
        <n v="224536.5"/>
        <n v="2539.3200000000002"/>
        <n v="8440.3799999999992"/>
        <n v="98713.93"/>
        <n v="44755.700000000004"/>
        <n v="5087.68"/>
        <n v="23274.16"/>
        <n v="3127.14"/>
        <n v="143922.05000000002"/>
        <n v="30915.200000000001"/>
        <n v="24393.599999999999"/>
        <n v="154316.25"/>
        <n v="2022.2"/>
        <n v="64994.000000000007"/>
        <n v="11333.1"/>
        <n v="3884.58"/>
        <n v="7109.52"/>
        <n v="44608.959999999999"/>
        <n v="36268.720000000001"/>
        <n v="119967.66"/>
        <n v="139465.60000000001"/>
        <n v="70469.78"/>
        <n v="112097.12"/>
        <n v="3975.12"/>
        <n v="2380.8000000000002"/>
        <n v="39537.089999999997"/>
        <n v="4821.18"/>
        <n v="75763.05"/>
        <n v="49284.45"/>
        <n v="167446.44"/>
        <n v="75707.02"/>
        <n v="15497.9"/>
        <n v="24062.58"/>
        <n v="44342.1"/>
        <n v="42955.360000000001"/>
        <n v="11176.1"/>
        <n v="8221.58"/>
        <n v="43984.65"/>
        <n v="79272"/>
        <n v="114493.16"/>
        <n v="12169.439999999999"/>
        <n v="31868.159999999996"/>
        <n v="4608.46"/>
        <n v="29039.399999999998"/>
        <n v="11085.91"/>
        <n v="39392.080000000002"/>
        <n v="1126.17"/>
        <n v="172779.78"/>
        <n v="83418.040000000008"/>
        <n v="54892.68"/>
        <n v="10007.799999999999"/>
        <n v="32224.920000000002"/>
        <n v="165643.01999999999"/>
        <n v="21577.5"/>
        <n v="79948.14"/>
        <n v="594.88"/>
        <n v="63283.099999999991"/>
        <n v="12938.04"/>
        <n v="3612.96"/>
        <n v="37468.480000000003"/>
        <n v="119111.95"/>
        <n v="174768.61000000002"/>
        <n v="46742.400000000001"/>
        <n v="14522.619999999999"/>
        <n v="4256.76"/>
        <n v="67936.639999999999"/>
        <n v="62825.119999999995"/>
        <n v="56302.37"/>
        <n v="163341.09999999998"/>
        <n v="50351.07"/>
        <n v="80477.22"/>
        <n v="42379.040000000001"/>
        <n v="17538.8"/>
        <n v="88670.400000000009"/>
        <n v="68051.62"/>
        <n v="99561.8"/>
        <n v="96167.34"/>
        <n v="66834.559999999998"/>
        <n v="231933.58"/>
        <n v="2178.9"/>
        <n v="89942.399999999994"/>
        <n v="155024.79999999999"/>
        <n v="41784.839999999997"/>
        <n v="24620.82"/>
        <n v="49385.25"/>
        <n v="2064.15"/>
        <n v="167215.54"/>
        <n v="39244.379999999997"/>
        <n v="198936.31999999998"/>
        <n v="71055.19"/>
        <n v="174227.52000000002"/>
        <n v="92744.75"/>
        <n v="86276.010000000009"/>
        <n v="22573.279999999999"/>
        <n v="84229.33"/>
        <n v="78640.98"/>
        <n v="70140.06"/>
        <n v="82867.56"/>
        <n v="39712.959999999999"/>
        <n v="2494.02"/>
        <n v="45593.560000000005"/>
        <n v="3343.56"/>
        <n v="5487.62"/>
        <n v="76847.680000000008"/>
        <n v="88381.799999999988"/>
        <n v="84467.79"/>
        <n v="18482.640000000003"/>
        <n v="6941.34"/>
        <n v="90673.919999999998"/>
        <n v="282.60000000000002"/>
        <n v="46849.700000000004"/>
        <n v="179433.75"/>
        <n v="78948.639999999999"/>
        <n v="53634.42"/>
        <n v="16801.5"/>
        <n v="8985.06"/>
        <n v="28285.05"/>
        <n v="58932.9"/>
        <n v="138090.32999999999"/>
        <n v="171010"/>
        <n v="168308.76"/>
        <n v="38470.49"/>
        <n v="99291.4"/>
        <n v="30853.769999999997"/>
        <n v="37899.75"/>
        <n v="119628.18000000001"/>
        <n v="10514.24"/>
        <n v="66163.5"/>
        <n v="17817.72"/>
        <n v="34862.880000000005"/>
        <n v="11931.47"/>
        <n v="24326.079999999998"/>
        <n v="6773.7599999999993"/>
        <n v="15106.7"/>
        <n v="106164.38"/>
        <n v="116438.06"/>
        <n v="172548.09"/>
        <n v="11350.900000000001"/>
        <n v="4566.2"/>
        <n v="84884.35"/>
        <n v="32164.350000000002"/>
        <n v="6020.8499999999995"/>
        <n v="161442.84"/>
        <n v="83911.540000000008"/>
        <n v="88327.98000000001"/>
        <n v="39283.65"/>
        <n v="116115.62999999999"/>
        <n v="12652.12"/>
        <n v="226370.37999999998"/>
        <n v="52425.36"/>
        <n v="76089"/>
        <n v="62464"/>
        <n v="98672.099999999991"/>
        <n v="77607.210000000006"/>
        <n v="142086.39999999999"/>
        <n v="59902.039999999994"/>
        <n v="32295.9"/>
        <n v="73572.039999999994"/>
        <n v="12606.88"/>
        <n v="14654"/>
        <n v="132648.88"/>
        <n v="562.1"/>
        <n v="41943.920000000006"/>
        <n v="30103.600000000002"/>
        <n v="96263.37000000001"/>
        <n v="83418.720000000001"/>
        <n v="72370.05"/>
        <n v="11817"/>
        <n v="7937.8200000000006"/>
        <n v="157439.75999999998"/>
        <n v="112661.64"/>
        <n v="37071.9"/>
        <n v="31212.720000000001"/>
        <n v="9807"/>
        <n v="102173.40000000001"/>
        <n v="28191.38"/>
        <n v="61624.18"/>
        <n v="62389.599999999999"/>
        <n v="133486.91999999998"/>
        <n v="66934.48"/>
        <n v="12096.76"/>
        <n v="34570.67"/>
        <n v="117340.20000000001"/>
        <n v="107677.95"/>
        <n v="69098.400000000009"/>
        <n v="23294.11"/>
        <n v="70537.52"/>
        <n v="119072.84999999999"/>
        <n v="15273.300000000001"/>
        <n v="131442.5"/>
        <n v="88678.24"/>
        <n v="41454"/>
        <n v="79754.22"/>
        <n v="61221.9"/>
        <n v="4089.6000000000004"/>
        <n v="16463.5"/>
        <n v="64421.34"/>
        <n v="106437.24"/>
        <n v="41631.15"/>
        <n v="2225.3000000000002"/>
        <n v="90787.199999999997"/>
        <n v="113757.59999999999"/>
        <n v="73635.099999999991"/>
        <n v="61179.77"/>
        <n v="84883.199999999997"/>
        <n v="2839.2"/>
        <n v="3382.1"/>
        <n v="112011.26"/>
        <n v="177935.94"/>
        <n v="45406.04"/>
        <n v="11165.939999999999"/>
        <n v="132582.49"/>
        <n v="45426.720000000001"/>
        <n v="56834.700000000004"/>
        <n v="16737.03"/>
        <n v="108810.66"/>
        <n v="145278.40000000002"/>
        <n v="22659.780000000002"/>
        <n v="1345.68"/>
        <n v="103689.59999999999"/>
        <n v="34478.080000000002"/>
        <n v="11970"/>
        <n v="72793.05"/>
        <n v="236478.59999999998"/>
        <n v="24782.05"/>
        <n v="35425.200000000004"/>
        <n v="40914.909999999996"/>
        <n v="57619.520000000004"/>
        <n v="185169.12"/>
        <n v="14386.24"/>
        <n v="16377.599999999999"/>
        <n v="90409.21"/>
        <n v="52313.33"/>
        <n v="59546.04"/>
        <n v="115799.01"/>
        <n v="95773.3"/>
        <n v="9589.32"/>
        <n v="126442.31999999999"/>
        <n v="27278.7"/>
        <n v="66975.75"/>
        <n v="4274.1499999999996"/>
        <n v="6559.14"/>
        <n v="33525.360000000001"/>
        <n v="30101.599999999999"/>
        <n v="97126.6"/>
        <n v="35689.599999999999"/>
        <n v="14682.56"/>
        <n v="91598.209999999992"/>
        <n v="27665.919999999998"/>
        <n v="71745"/>
        <n v="1627.2"/>
        <n v="8808.44"/>
        <n v="21606.2"/>
        <n v="82607.63"/>
        <n v="97229.52"/>
        <n v="74179.960000000006"/>
        <n v="49541.7"/>
        <n v="8745.94"/>
        <n v="21910.5"/>
        <n v="30511.140000000003"/>
        <n v="24284.32"/>
        <n v="143371.20000000001"/>
        <n v="68972.75"/>
        <n v="614.07000000000005"/>
        <n v="82632.399999999994"/>
        <n v="137678.54999999999"/>
        <n v="17943.899999999998"/>
        <n v="5763.2400000000007"/>
        <n v="47087.44"/>
        <n v="102199.02"/>
        <n v="188383.44"/>
        <n v="121867.5"/>
        <n v="74715.38"/>
        <n v="30739.690000000002"/>
        <n v="156361.09"/>
        <n v="68609.399999999994"/>
        <n v="64949.85"/>
        <n v="101034.78"/>
        <n v="8208.5400000000009"/>
        <n v="22331.399999999998"/>
        <n v="9745.1"/>
        <n v="109580.29"/>
        <n v="22076.04"/>
        <n v="40713.75"/>
        <n v="39164.840000000004"/>
        <n v="16029.600000000002"/>
        <n v="142032.66"/>
        <n v="66691.039999999994"/>
        <n v="51910.32"/>
        <n v="2802.4"/>
        <n v="8582.76"/>
        <n v="7788.4800000000005"/>
        <n v="35904.33"/>
        <n v="3316.14"/>
        <n v="120376.53"/>
        <n v="26608.809999999998"/>
        <n v="47854"/>
        <n v="2389.38"/>
        <n v="41605.199999999997"/>
        <n v="128593.44"/>
        <n v="1744.5"/>
        <n v="93949.3"/>
        <n v="149393.79"/>
        <n v="4894.62"/>
        <n v="152740.13999999998"/>
        <n v="54940.5"/>
        <n v="23400.12"/>
        <n v="57170.999999999993"/>
        <n v="60552.3"/>
        <n v="24417.96"/>
        <n v="81375"/>
        <n v="75026.099999999991"/>
        <n v="19558.559999999998"/>
        <n v="202.95000000000002"/>
        <n v="937.44"/>
        <n v="175155.84"/>
        <n v="31271.309999999998"/>
        <n v="56702.69"/>
        <n v="80079.350000000006"/>
        <n v="5742.05"/>
        <n v="63905.270000000004"/>
        <n v="22448.799999999999"/>
        <n v="195570.25999999998"/>
        <n v="128333.07"/>
        <n v="118547.4"/>
        <n v="17083.22"/>
        <n v="29298.89"/>
        <n v="5659.0499999999993"/>
        <n v="9714.42"/>
        <n v="18658"/>
        <n v="83800.569999999992"/>
        <n v="6486.23"/>
        <n v="1526.84"/>
        <n v="95119.000000000015"/>
        <n v="141489.91999999998"/>
        <n v="13383.81"/>
        <n v="14926.68"/>
        <n v="81058.5"/>
        <n v="113334.54999999999"/>
        <n v="2110.5"/>
        <n v="80196.7"/>
        <n v="179146.52"/>
        <n v="33566.399999999994"/>
        <n v="106150.44"/>
        <n v="125036.6"/>
        <n v="98528.56"/>
        <n v="208879.65"/>
        <n v="98412.3"/>
        <n v="85192.58"/>
        <n v="216885.76000000001"/>
        <n v="67591.75"/>
        <n v="8303.2000000000007"/>
        <n v="83144.98"/>
        <n v="27035.840000000004"/>
        <n v="136439.16"/>
        <n v="101134.77"/>
        <n v="2046.3999999999999"/>
        <n v="126729.39"/>
        <n v="25150"/>
        <n v="152903"/>
        <n v="138863.63999999998"/>
        <n v="17201.25"/>
        <n v="97666"/>
        <n v="36500.31"/>
        <n v="2422.8000000000002"/>
        <n v="296.74"/>
        <n v="32796.400000000001"/>
        <n v="51628.639999999999"/>
        <n v="103290"/>
        <n v="11483.67"/>
        <n v="21562.5"/>
        <n v="49864.5"/>
        <n v="236787.9"/>
        <n v="35965.800000000003"/>
        <n v="116782.74"/>
        <n v="60131.5"/>
        <n v="41321.9"/>
        <n v="69186.81"/>
        <n v="27785.51"/>
        <n v="165708.75"/>
        <n v="16870.2"/>
        <n v="21441.969999999998"/>
        <n v="36526.5"/>
        <n v="152389.62"/>
        <n v="18008.100000000002"/>
        <n v="45238.400000000001"/>
        <n v="18079.75"/>
        <n v="18212.669999999998"/>
        <n v="190472.19999999998"/>
        <n v="112099.5"/>
        <n v="736.64"/>
        <n v="33143.49"/>
        <n v="104916.15"/>
        <n v="41691.839999999997"/>
        <n v="161621.6"/>
        <n v="128096.79"/>
        <n v="12612.6"/>
        <n v="12310.369999999999"/>
        <n v="13319.880000000001"/>
        <n v="70605.149999999994"/>
        <n v="39422"/>
        <n v="4212"/>
        <n v="23314.870000000003"/>
        <n v="15862.949999999999"/>
        <n v="86142.37"/>
        <n v="138995.15"/>
        <n v="136206.39999999999"/>
        <n v="75632.680000000008"/>
        <n v="143731.59999999998"/>
        <n v="125968.70999999999"/>
        <n v="73275.400000000009"/>
        <n v="84134.829999999987"/>
        <n v="75517.05"/>
        <n v="93331.7"/>
        <n v="19927.599999999999"/>
        <n v="83417.240000000005"/>
        <n v="223601"/>
        <n v="12343.1"/>
        <n v="77024.599999999991"/>
        <n v="17152.52"/>
        <n v="97442.73"/>
        <n v="101324.08"/>
        <n v="113282.22"/>
        <n v="135092.88"/>
        <n v="151449.20000000001"/>
        <n v="171142.96"/>
        <n v="10248.960000000001"/>
        <n v="202708.38"/>
        <n v="65665.440000000002"/>
        <n v="16220.68"/>
        <n v="12754.42"/>
        <n v="171491.88"/>
        <n v="7872.03"/>
        <n v="42814.73"/>
        <n v="50897.32"/>
        <n v="45817.74"/>
        <n v="13980.380000000001"/>
        <n v="46510.28"/>
        <n v="166462.23000000001"/>
        <n v="192441.7"/>
        <n v="34048.11"/>
        <n v="28715.4"/>
        <n v="37271.040000000001"/>
        <n v="97150.8"/>
        <n v="33264.14"/>
        <n v="84727.81"/>
        <n v="123195.01999999999"/>
        <n v="17983.23"/>
        <n v="151158.39999999999"/>
        <n v="39344.18"/>
        <n v="4871"/>
        <n v="35104.44"/>
        <n v="115684.92"/>
        <n v="106654.22"/>
        <n v="84773.16"/>
        <n v="34161.599999999999"/>
        <n v="76580.05"/>
        <n v="100329.31999999999"/>
        <n v="93148.640000000014"/>
        <n v="122540.8"/>
        <n v="48131.37"/>
        <n v="140418.29999999999"/>
        <n v="27289.35"/>
        <n v="88108.2"/>
        <n v="56495.040000000001"/>
        <n v="48008.94"/>
        <n v="19234.14"/>
        <n v="44785"/>
        <n v="70415.01999999999"/>
        <n v="104321.08"/>
        <n v="69980.489999999991"/>
        <n v="69769.5"/>
        <n v="2807.04"/>
        <n v="112274.04999999999"/>
        <n v="61197.53"/>
        <n v="32410.400000000001"/>
        <n v="155603.19999999998"/>
        <n v="140874.06"/>
        <n v="555.12"/>
        <n v="16557.850000000002"/>
        <n v="49683.6"/>
        <n v="15711.41"/>
        <n v="7826.7"/>
        <n v="152895.87"/>
        <n v="134433"/>
        <n v="26148.5"/>
        <n v="29710.3"/>
        <n v="58494.96"/>
        <n v="8715.65"/>
        <n v="35029.18"/>
        <n v="189805.56"/>
        <n v="41056.590000000004"/>
        <n v="9275.4"/>
        <n v="57880"/>
        <n v="103755.42"/>
        <n v="10772.25"/>
        <n v="8295.16"/>
        <n v="18797.800000000003"/>
        <n v="100980"/>
        <n v="179911.56"/>
        <n v="23634.000000000004"/>
        <n v="23585.119999999999"/>
        <n v="28586.400000000001"/>
        <n v="15252.22"/>
        <n v="42738.299999999996"/>
        <n v="119843.84"/>
        <n v="99581.650000000009"/>
        <n v="4848.4800000000005"/>
        <n v="21112.399999999998"/>
        <n v="57527.700000000004"/>
        <n v="7534.8"/>
        <n v="178.98"/>
        <n v="3700.16"/>
        <n v="56528.549999999996"/>
        <n v="144129.60000000001"/>
        <n v="59749.079999999994"/>
        <n v="195437.97"/>
        <n v="109159.99999999999"/>
        <n v="50470.12"/>
        <n v="21171.66"/>
        <n v="10149"/>
        <n v="77745.990000000005"/>
        <n v="30542.9"/>
        <n v="43750.720000000001"/>
        <n v="16400.93"/>
        <n v="122344.14"/>
        <n v="15825.98"/>
        <n v="1045.44"/>
        <n v="151743.12"/>
        <n v="161455.86000000002"/>
        <n v="130426.22"/>
        <n v="3852.75"/>
        <n v="28691.7"/>
        <n v="32209.079999999998"/>
        <n v="103871.04000000001"/>
        <n v="38118.9"/>
        <n v="39633.440000000002"/>
        <n v="116160.66"/>
        <n v="93264.16"/>
        <n v="49186.64"/>
        <n v="24508.560000000001"/>
        <n v="104575"/>
        <n v="162965.87999999998"/>
        <n v="132353.44"/>
        <n v="163359.4"/>
        <n v="22360.959999999999"/>
        <n v="162283.94"/>
        <n v="40721.799999999996"/>
        <n v="43518.42"/>
        <n v="30281.3"/>
        <n v="81036.12000000001"/>
        <n v="37836.26"/>
        <n v="110502.04"/>
        <n v="54357.48"/>
        <n v="72336.899999999994"/>
        <n v="27980.820000000003"/>
        <n v="9123.92"/>
        <n v="179630.09999999998"/>
        <n v="23281.31"/>
        <n v="72078.559999999998"/>
        <n v="9189.73"/>
        <n v="85751.87999999999"/>
        <n v="166446.66"/>
        <n v="2734.82"/>
        <n v="52378.559999999998"/>
        <n v="103516.59999999999"/>
        <n v="35378.22"/>
        <n v="42147.6"/>
        <n v="202246.32"/>
        <n v="15337.05"/>
        <n v="8388.82"/>
        <n v="17821.439999999999"/>
        <n v="110224.8"/>
        <n v="165540.96"/>
        <n v="185342.4"/>
        <n v="198590.04"/>
        <n v="33726.049999999996"/>
        <n v="60963.4"/>
        <n v="32039.399999999998"/>
        <n v="40257.360000000001"/>
        <n v="30700.33"/>
        <n v="31128.02"/>
        <n v="204863.61000000002"/>
        <n v="28755.09"/>
        <n v="17191.2"/>
        <n v="40997.32"/>
        <n v="28878.57"/>
        <n v="30363.239999999998"/>
        <n v="55284.119999999995"/>
        <n v="13351.68"/>
        <n v="115918.04"/>
        <n v="43796.160000000003"/>
        <n v="16834.52"/>
        <n v="104142.61"/>
        <n v="38645.1"/>
        <n v="40104.959999999999"/>
        <n v="89582.73"/>
        <n v="196447.4"/>
        <n v="7406.7"/>
        <n v="31243.35"/>
        <n v="144869.4"/>
        <n v="49704.69"/>
        <n v="114708.33"/>
        <n v="24414.720000000001"/>
        <n v="162815.54999999999"/>
        <n v="25079.879999999997"/>
        <n v="52623.72"/>
        <n v="87028.040000000008"/>
        <n v="47241"/>
        <n v="92615.9"/>
        <n v="4504.55"/>
        <n v="94683.599999999991"/>
        <n v="2959.7999999999997"/>
        <n v="51062.04"/>
        <n v="5659.7400000000007"/>
        <n v="86885.7"/>
        <n v="406.15"/>
        <n v="32103.599999999999"/>
        <n v="100002.56"/>
        <n v="89993.58"/>
        <n v="41252.639999999999"/>
        <n v="50675.07"/>
        <n v="11946.42"/>
        <n v="162076.4"/>
        <n v="75300.81"/>
        <n v="108132.98999999999"/>
        <n v="15084.720000000001"/>
        <n v="172166.85"/>
        <n v="147740"/>
        <n v="57307.079999999994"/>
        <n v="86475.69"/>
        <n v="55831.16"/>
        <n v="87168.989999999991"/>
        <n v="30176.16"/>
        <n v="103302.94"/>
        <n v="15602.949999999999"/>
        <n v="43164.800000000003"/>
        <n v="32647.200000000001"/>
        <n v="43995.45"/>
        <n v="69643.209999999992"/>
        <n v="118139.56"/>
        <n v="2875.52"/>
        <n v="108717.6"/>
        <n v="115150.59"/>
        <n v="23140.400000000001"/>
        <n v="33656"/>
        <n v="24938.149999999998"/>
        <n v="7753.39"/>
        <n v="26213.039999999997"/>
        <n v="34115.050000000003"/>
        <n v="33741.5"/>
        <n v="447.85999999999996"/>
        <n v="42770.76"/>
        <n v="40738.620000000003"/>
        <n v="13837.66"/>
        <n v="91399.92"/>
        <n v="15218.099999999999"/>
        <n v="38814.720000000001"/>
        <n v="6260.0999999999995"/>
        <n v="236122.9"/>
        <n v="77465.850000000006"/>
        <n v="123289.86"/>
        <n v="26155.350000000002"/>
        <n v="12172.32"/>
        <n v="116545.95999999999"/>
        <n v="60350.14"/>
        <n v="5335.2"/>
        <n v="43292.7"/>
        <n v="35810.74"/>
        <n v="9471.08"/>
        <n v="61812"/>
        <n v="97180"/>
        <n v="45425.68"/>
        <n v="131983.28"/>
        <n v="37953.300000000003"/>
        <n v="10586.42"/>
        <n v="138580.74"/>
        <n v="196111.98"/>
        <n v="1443.9799999999998"/>
        <n v="86656.62"/>
        <n v="115927.38"/>
        <n v="97041.409999999989"/>
        <n v="57591"/>
        <n v="38139.759999999995"/>
        <n v="12202.19"/>
        <n v="98274.96"/>
        <n v="3578.4"/>
        <n v="136972.79999999999"/>
        <n v="59998.68"/>
        <n v="37711"/>
        <n v="163869.78999999998"/>
        <n v="83840.010000000009"/>
        <n v="13891.12"/>
        <n v="49533.72"/>
        <n v="158852.48000000001"/>
        <n v="47350.710000000006"/>
        <n v="83016.800000000003"/>
        <n v="102339.97"/>
        <n v="136381.32"/>
        <n v="68082.319999999992"/>
        <n v="69223.5"/>
        <n v="19784.82"/>
        <n v="25490.21"/>
        <n v="696.30000000000007"/>
        <n v="50420.560000000005"/>
        <n v="54231.29"/>
        <n v="183971.36000000002"/>
        <n v="162552.96000000002"/>
        <n v="89952.08"/>
        <n v="45317.279999999999"/>
        <n v="105079"/>
        <n v="77260.67"/>
        <n v="62108.639999999999"/>
        <n v="402.29"/>
        <n v="90752.33"/>
        <n v="10232"/>
        <n v="50193.52"/>
        <n v="50986"/>
        <n v="148709.19999999998"/>
        <n v="121769.73999999999"/>
        <n v="26254.799999999999"/>
        <n v="105161.76"/>
        <n v="100385.72"/>
        <n v="1608.2"/>
        <n v="51856.200000000004"/>
        <n v="32155.519999999997"/>
        <n v="98531.62"/>
        <n v="151431"/>
        <n v="60324.28"/>
        <n v="41111.01"/>
        <n v="43308.36"/>
        <n v="66572.400000000009"/>
        <n v="12072.779999999999"/>
        <n v="128234.95999999999"/>
        <n v="110584.43999999999"/>
        <n v="50696.49"/>
        <n v="111747.83"/>
        <n v="195848.22"/>
        <n v="102523.29999999999"/>
        <n v="3173.4"/>
        <n v="158971.96000000002"/>
        <n v="114605.75"/>
        <n v="10316.279999999999"/>
        <n v="24558.29"/>
        <n v="49690.8"/>
        <n v="137876.14000000001"/>
        <n v="21946.29"/>
        <n v="16386.599999999999"/>
        <n v="74261.599999999991"/>
        <n v="55373.86"/>
        <n v="86088.08"/>
        <n v="88829.12000000001"/>
        <n v="30227.100000000002"/>
        <n v="147502.07999999999"/>
        <n v="148014.78999999998"/>
        <n v="1562.56"/>
        <n v="216989.28"/>
        <n v="188313.84"/>
        <n v="33450.299999999996"/>
        <n v="12392.64"/>
        <n v="225186.75"/>
        <n v="101259.84"/>
        <n v="1398.54"/>
        <n v="45907.380000000005"/>
        <n v="10195.920000000002"/>
        <n v="29730.510000000002"/>
        <n v="40360.43"/>
        <n v="11445.42"/>
        <n v="121477.20000000001"/>
        <n v="4369.68"/>
        <n v="28691.32"/>
        <n v="15645.96"/>
        <n v="69624.899999999994"/>
        <n v="24584.6"/>
        <n v="100654.59"/>
        <n v="189167.56999999998"/>
        <n v="9427.66"/>
        <n v="194279.12"/>
        <n v="16554.510000000002"/>
        <n v="120366.82"/>
        <n v="3043.7999999999997"/>
        <n v="8944.1999999999989"/>
        <n v="305.89"/>
        <n v="164070.59999999998"/>
        <n v="124869.33"/>
        <n v="109799.12"/>
        <n v="110580"/>
        <n v="43615.659999999996"/>
        <n v="5514.75"/>
        <n v="41580.6"/>
        <n v="78843.75"/>
        <n v="28511.039999999997"/>
        <n v="20016.439999999999"/>
        <n v="72206.680000000008"/>
        <n v="4690.28"/>
        <n v="9302.0399999999991"/>
        <n v="37100.200000000004"/>
        <n v="53179.5"/>
        <n v="26565.84"/>
        <n v="73779.81"/>
        <n v="127505.48999999999"/>
        <n v="17301.97"/>
        <n v="141984.75"/>
        <n v="69878.900000000009"/>
        <n v="102520.88"/>
        <n v="5154.99"/>
        <n v="1161.72"/>
        <n v="4892.53"/>
        <n v="25009.89"/>
        <n v="97261.08"/>
        <n v="45611.88"/>
        <n v="197752.65"/>
        <n v="16189.1"/>
        <n v="11280.48"/>
        <n v="46704"/>
        <n v="9671.9800000000014"/>
        <n v="20600.84"/>
        <n v="109778.76"/>
        <n v="12187.56"/>
        <n v="124225.83"/>
        <n v="5110.2000000000007"/>
        <n v="7662.21"/>
        <n v="14664.72"/>
        <n v="28578.399999999998"/>
        <n v="26806.5"/>
        <n v="33124.800000000003"/>
        <n v="25178.800000000003"/>
        <n v="7921.85"/>
        <n v="6371.74"/>
        <n v="177545.16"/>
        <n v="35997.299999999996"/>
        <n v="85555.44"/>
        <n v="61349.82"/>
        <n v="26129.160000000003"/>
        <n v="25647.89"/>
        <n v="4266.4800000000005"/>
        <n v="9506.64"/>
        <n v="11034.66"/>
        <n v="25982.09"/>
        <n v="34979.879999999997"/>
        <n v="6026.4000000000005"/>
        <n v="147307.19999999998"/>
        <n v="38934.400000000001"/>
        <n v="100742.3"/>
        <n v="33739.86"/>
        <n v="80221.11"/>
        <n v="95069.159999999989"/>
        <n v="138970.75"/>
        <n v="22789.039999999997"/>
        <n v="30761.149999999998"/>
        <n v="281.52"/>
        <n v="20256.87"/>
        <n v="77130.899999999994"/>
        <n v="6848.2300000000005"/>
        <n v="13065"/>
        <n v="16084"/>
        <n v="26059"/>
        <n v="63790.65"/>
        <n v="50172.659999999996"/>
        <n v="53059.5"/>
        <n v="11495.050000000001"/>
        <n v="170808"/>
        <n v="16654.64"/>
        <n v="11816.25"/>
        <n v="167291.79999999999"/>
        <n v="35900.639999999999"/>
        <n v="82542.149999999994"/>
        <n v="164105.76"/>
        <n v="53950.360000000008"/>
        <n v="43216.29"/>
        <n v="14505.7"/>
        <n v="82520.099999999991"/>
        <n v="12829.96"/>
        <n v="132817.96"/>
        <n v="54041.579999999994"/>
        <n v="14053"/>
        <n v="69026.48"/>
        <n v="39624.119999999995"/>
        <n v="17901.510000000002"/>
        <n v="27961.920000000002"/>
        <n v="116426.14"/>
        <n v="22002.240000000002"/>
        <n v="37471.72"/>
        <n v="51021.54"/>
        <n v="108805.98000000001"/>
        <n v="13459.68"/>
        <n v="92575.349999999991"/>
        <n v="8562.7799999999988"/>
        <n v="12184.65"/>
        <n v="21644.61"/>
        <n v="56543.630000000005"/>
        <n v="10213.1"/>
        <n v="59654"/>
        <n v="17261.55"/>
        <n v="49973.279999999999"/>
        <n v="4489.29"/>
        <n v="31312.079999999998"/>
        <n v="67053.42"/>
        <n v="6698.0700000000006"/>
        <n v="56116.68"/>
        <n v="176749"/>
        <n v="14197.56"/>
        <n v="10086.380000000001"/>
        <n v="162122.05000000002"/>
        <n v="43054.66"/>
        <n v="20044.5"/>
        <n v="40530.51"/>
        <n v="41538.559999999998"/>
        <n v="10988.460000000001"/>
        <n v="16923.3"/>
        <n v="11555.17"/>
        <n v="188117.28"/>
        <n v="44853.86"/>
        <n v="32106.390000000003"/>
        <n v="47181.42"/>
        <n v="38513.240000000005"/>
        <n v="44419.299999999996"/>
        <n v="22775.26"/>
        <n v="38169"/>
        <n v="32498.760000000002"/>
        <n v="5929.4400000000005"/>
        <n v="7809.2"/>
        <n v="25264.92"/>
        <n v="134741.84000000003"/>
        <n v="34330.800000000003"/>
        <n v="89628.239999999991"/>
        <n v="102585.51"/>
        <n v="151524"/>
        <n v="217229.40000000002"/>
        <n v="2969.2200000000003"/>
        <n v="5030.76"/>
        <n v="83443.650000000009"/>
        <n v="53359.6"/>
        <n v="62378.879999999997"/>
        <n v="22354.47"/>
        <n v="96604.200000000012"/>
        <n v="52921"/>
        <n v="3039.9599999999996"/>
        <n v="109660.73999999999"/>
        <n v="92298.200000000012"/>
        <n v="82959.600000000006"/>
        <n v="72990.81"/>
        <n v="104586.54000000001"/>
        <n v="40006.950000000004"/>
        <n v="49111.040000000001"/>
        <n v="176573.48"/>
        <n v="15404.12"/>
        <n v="40470.800000000003"/>
        <n v="21607.199999999997"/>
        <n v="14790.24"/>
        <n v="68189.52"/>
        <n v="101398.08"/>
        <n v="78736.320000000007"/>
        <n v="66024"/>
        <n v="80132.099999999991"/>
        <n v="64114.65"/>
        <n v="48843.15"/>
        <n v="40805.759999999995"/>
        <n v="1542.8999999999999"/>
        <n v="12912.24"/>
        <n v="49725.09"/>
        <n v="4189.1399999999994"/>
        <n v="88446.42"/>
        <n v="97608.7"/>
        <n v="97052.799999999988"/>
        <n v="222915.03"/>
        <n v="127663.29"/>
        <n v="25460.05"/>
        <n v="50410.619999999995"/>
        <n v="59466.659999999996"/>
        <n v="28418.75"/>
        <n v="83558.790000000008"/>
        <n v="134940.72"/>
        <n v="138860.32999999999"/>
        <n v="34199.040000000001"/>
        <n v="9557.7800000000007"/>
        <n v="28842.03"/>
        <n v="82708"/>
        <n v="8408.26"/>
        <n v="112858.06999999999"/>
        <n v="2910.88"/>
        <n v="134888.29999999999"/>
        <n v="55810.12"/>
        <n v="31498.120000000003"/>
        <n v="6809.92"/>
        <n v="388.99"/>
        <n v="23945.88"/>
        <n v="32107.489999999998"/>
        <n v="156216.62"/>
        <n v="84715.47"/>
        <n v="118728.03"/>
        <n v="44823.560000000005"/>
        <n v="195.16"/>
        <n v="61586.239999999998"/>
        <n v="2602.08"/>
        <n v="198689.85"/>
        <n v="60538.520000000004"/>
        <n v="28140.67"/>
        <n v="11333.880000000001"/>
        <n v="51888"/>
        <n v="115072.65"/>
        <n v="99476.91"/>
        <n v="68094.399999999994"/>
        <n v="38925.32"/>
        <n v="68917.66"/>
        <n v="1705.1"/>
        <n v="65774.899999999994"/>
        <n v="114245.99999999999"/>
        <n v="118056.64"/>
        <n v="101304.39"/>
        <n v="16140.74"/>
        <n v="107731.08000000002"/>
        <n v="43788.68"/>
        <n v="17366.149999999998"/>
        <n v="13023.07"/>
        <n v="89289.97"/>
        <n v="63798.75"/>
        <n v="155176.80000000002"/>
        <n v="28670.37"/>
        <n v="98178.36"/>
        <n v="46739.46"/>
        <n v="161964"/>
        <n v="151170.07999999999"/>
        <n v="59766.189999999995"/>
        <n v="29284.2"/>
        <n v="22486.880000000001"/>
        <n v="79414.399999999994"/>
        <n v="79199.34"/>
        <n v="29060.73"/>
        <n v="100701.23999999999"/>
        <n v="77960.069999999992"/>
        <n v="19916.349999999999"/>
        <n v="4019.4799999999996"/>
        <n v="17371.2"/>
        <n v="9657.6999999999989"/>
        <n v="40437.599999999999"/>
        <n v="157377.46"/>
        <n v="10929.38"/>
        <n v="39267.949999999997"/>
        <n v="4050.77"/>
        <n v="7103.55"/>
        <n v="77391.92"/>
        <n v="26113.05"/>
        <n v="36529.96"/>
        <n v="95691.12"/>
        <n v="8624"/>
        <n v="18841.88"/>
        <n v="19381.530000000002"/>
        <n v="6533.3"/>
        <n v="46904.12"/>
        <n v="60947.220000000008"/>
        <n v="179286.19999999998"/>
        <n v="52652.399999999994"/>
        <n v="24693.239999999998"/>
        <n v="56385.939999999995"/>
        <n v="136379.88"/>
        <n v="8246.36"/>
        <n v="2643.75"/>
        <n v="3712.41"/>
        <n v="50229.9"/>
        <n v="67336.319999999992"/>
        <n v="141070.22"/>
        <n v="145112.94"/>
        <n v="719.64"/>
        <n v="4514"/>
        <n v="151015.23000000001"/>
        <n v="22996.820000000003"/>
        <n v="119535.39"/>
        <n v="70537.5"/>
        <n v="68269.11"/>
        <n v="198743.04000000001"/>
        <n v="2622.48"/>
        <n v="181297.62"/>
        <n v="159927.18"/>
        <n v="18033.03"/>
        <n v="109015.92"/>
        <n v="378.62"/>
        <n v="38844"/>
        <n v="29099.559999999998"/>
        <n v="223312.65"/>
        <n v="20806.5"/>
        <n v="3698.4"/>
        <n v="14090.4"/>
        <n v="53716.800000000003"/>
        <n v="34055.279999999999"/>
        <n v="42067.619999999995"/>
        <n v="69574.799999999988"/>
        <n v="60836.599999999991"/>
        <n v="4202.3999999999996"/>
        <n v="8869.119999999999"/>
        <n v="3214.9"/>
        <n v="3649.44"/>
        <n v="25020.899999999998"/>
        <n v="3285.36"/>
        <n v="142627.15"/>
        <n v="124150.31999999999"/>
        <n v="55589.520000000004"/>
        <n v="2439.6799999999998"/>
        <n v="37642.200000000004"/>
        <n v="57482.1"/>
        <n v="21786.06"/>
        <n v="9759.75"/>
        <n v="101599.67999999999"/>
        <n v="150690.54"/>
        <n v="5495.04"/>
        <n v="374.54999999999995"/>
        <n v="141856.06"/>
        <n v="27455.85"/>
        <n v="118659.75"/>
        <n v="41517.840000000004"/>
        <n v="5075.7700000000004"/>
        <n v="120453.54000000001"/>
        <n v="18027"/>
        <n v="136265.72"/>
        <n v="227977.2"/>
        <n v="101891.95000000001"/>
        <n v="138368.16"/>
        <n v="7673.3700000000008"/>
        <n v="76989"/>
        <n v="29463.13"/>
        <n v="15181.65"/>
        <n v="105432.48"/>
        <n v="55470.659999999996"/>
        <n v="97312.319999999992"/>
        <n v="36958.439999999995"/>
        <n v="64990.619999999995"/>
        <n v="47669.7"/>
        <n v="33215.71"/>
        <n v="86134.420000000013"/>
        <n v="27426.75"/>
        <n v="8632.7999999999993"/>
        <n v="8494.15"/>
        <n v="14991.06"/>
        <n v="41542.5"/>
        <n v="4305.6000000000004"/>
        <n v="54251.640000000007"/>
        <n v="42836.5"/>
        <n v="20134.879999999997"/>
        <n v="106923.78"/>
        <n v="6946.2"/>
        <n v="63707.200000000004"/>
        <n v="226073.63"/>
        <n v="215008.66"/>
        <n v="64262.94"/>
        <n v="108518.06"/>
        <n v="78745.62"/>
        <n v="5735.7699999999995"/>
        <n v="62519.040000000001"/>
        <n v="6098.7300000000005"/>
        <n v="210800.38999999998"/>
        <n v="8046.48"/>
        <n v="12879.03"/>
        <n v="134971.62"/>
        <n v="12229.14"/>
        <n v="24642.43"/>
        <n v="23823.43"/>
        <n v="59281.520000000004"/>
        <n v="10688.51"/>
        <n v="20248.82"/>
        <n v="26509.79"/>
        <n v="110508.8"/>
        <n v="84977.85"/>
        <n v="184819.25"/>
        <n v="44721.27"/>
        <n v="10986.25"/>
        <n v="76448.399999999994"/>
        <n v="12496.88"/>
        <n v="3176.16"/>
        <n v="27763.84"/>
        <n v="4728.7800000000007"/>
        <n v="47207.16"/>
        <n v="18698.63"/>
        <n v="159551.84"/>
        <n v="57524.94"/>
        <n v="107009.69"/>
        <n v="6199.7599999999993"/>
        <n v="193112.34000000003"/>
        <n v="55341"/>
        <n v="18474.72"/>
        <n v="164288.98000000001"/>
        <n v="56572.95"/>
        <n v="85146.6"/>
        <n v="34420.36"/>
        <n v="57656.4"/>
        <n v="158878.72"/>
        <n v="64764.200000000004"/>
        <n v="637.56000000000006"/>
        <n v="8445.6299999999992"/>
        <n v="18298.560000000001"/>
        <n v="35928.31"/>
        <n v="4890.95"/>
        <n v="38573.919999999998"/>
        <n v="161893.95000000001"/>
        <n v="62351.299999999996"/>
        <n v="131409.12"/>
        <n v="119909.55"/>
        <n v="214927.91999999998"/>
        <n v="53910.659999999996"/>
        <n v="350.34000000000003"/>
        <n v="52239.9"/>
        <n v="31670.720000000001"/>
        <n v="29004.000000000004"/>
        <n v="637.2299999999999"/>
        <n v="25613.38"/>
        <n v="86369.919999999998"/>
        <n v="44745.950000000004"/>
        <n v="103350.79999999999"/>
        <n v="45073.599999999999"/>
        <n v="58256.2"/>
        <n v="47810.7"/>
        <n v="1139.0999999999999"/>
        <n v="172026.75"/>
        <n v="94304.33"/>
        <n v="131342.64000000001"/>
        <n v="51524.639999999999"/>
        <n v="28787.25"/>
        <n v="159301.56"/>
        <n v="15507.09"/>
        <n v="28002.65"/>
        <n v="3376.23"/>
        <n v="6128.46"/>
        <n v="6115.69"/>
        <n v="149968.56"/>
        <n v="63445.18"/>
        <n v="167609.69999999998"/>
        <n v="91669.26"/>
        <n v="1421.1599999999999"/>
        <n v="122080.48"/>
        <n v="21893.7"/>
        <n v="59341.759999999995"/>
        <n v="42189"/>
        <n v="199019.40000000002"/>
        <n v="4378.8599999999997"/>
        <n v="81947.520000000004"/>
        <n v="93634.1"/>
        <n v="66551.679999999993"/>
        <n v="22664.74"/>
        <n v="13862.4"/>
        <n v="164436.47999999998"/>
        <n v="1368.5"/>
        <n v="108666.96"/>
        <n v="54996.28"/>
        <n v="39728.979999999996"/>
        <n v="7222.38"/>
        <n v="37804.300000000003"/>
        <n v="176751.4"/>
        <n v="169568.33000000002"/>
        <n v="13927"/>
        <n v="34532.699999999997"/>
        <n v="78207.98"/>
        <n v="156604.76"/>
        <n v="55905.740000000005"/>
        <n v="100499.52"/>
        <n v="4364.88"/>
        <n v="8106.24"/>
        <n v="27869.4"/>
        <n v="43255.21"/>
        <n v="16146.8"/>
        <n v="97860.62000000001"/>
        <n v="55529.520000000004"/>
        <n v="127858.5"/>
        <n v="3271.12"/>
        <n v="188780.76"/>
        <n v="45974.97"/>
        <n v="1336.1999999999998"/>
        <n v="57887.61"/>
        <n v="52387.05"/>
        <n v="8975.5500000000011"/>
        <n v="7695.38"/>
        <n v="32018.560000000001"/>
        <n v="83042.05"/>
        <n v="221677.56"/>
        <n v="4394.6099999999997"/>
        <n v="122620.26000000001"/>
        <n v="5367.7"/>
        <n v="14048.1"/>
        <n v="166622.40000000002"/>
        <n v="40979.58"/>
        <n v="6182.25"/>
        <n v="106866.5"/>
        <n v="33581.03"/>
        <n v="30968"/>
        <n v="58524.72"/>
        <n v="169693.41"/>
        <n v="5323.8600000000006"/>
        <n v="31287.68"/>
        <n v="151226.70000000001"/>
        <n v="4019.52"/>
        <n v="38165.4"/>
        <n v="30617.719999999998"/>
        <n v="107042.89"/>
        <n v="99031.56"/>
        <n v="76714.900000000009"/>
        <n v="48053.969999999994"/>
        <n v="4380.3"/>
        <n v="46460.899999999994"/>
        <n v="180504.94"/>
        <n v="945.93000000000006"/>
        <n v="60568.259999999995"/>
        <n v="61186.559999999998"/>
        <n v="24250.720000000001"/>
        <n v="4105.92"/>
        <n v="151437.44"/>
        <n v="90246.66"/>
        <n v="58242.9"/>
        <n v="181202.71"/>
        <n v="16636.59"/>
        <n v="200071.83000000002"/>
        <n v="132803.37"/>
        <n v="8385.66"/>
        <n v="203849.28"/>
        <n v="43169.85"/>
        <n v="9512"/>
        <n v="33694.049999999996"/>
        <n v="165874.19999999998"/>
        <n v="35790.97"/>
        <n v="152573.20000000001"/>
        <n v="146332.80000000002"/>
        <n v="54860.76"/>
        <n v="4944.0999999999995"/>
        <n v="141198.88"/>
        <n v="58432.499999999993"/>
        <n v="35212.379999999997"/>
        <n v="74394.880000000005"/>
        <n v="133207.12"/>
        <n v="10831.220000000001"/>
        <n v="52099.079999999994"/>
        <n v="44308.119999999995"/>
        <n v="111600.2"/>
        <n v="28600.67"/>
        <n v="149990.42000000001"/>
        <n v="40095.64"/>
        <n v="70477.259999999995"/>
        <n v="88367.86"/>
        <n v="98826.900000000009"/>
        <n v="46294.439999999995"/>
        <n v="89421.36"/>
        <n v="208800.27000000002"/>
        <n v="16682.189999999999"/>
        <n v="36707"/>
        <n v="5796"/>
        <n v="16523"/>
        <n v="87743.319999999992"/>
        <n v="139174.47"/>
        <n v="45703.840000000004"/>
        <n v="47042.42"/>
        <n v="59268.84"/>
        <n v="2938.8"/>
        <n v="65164.200000000004"/>
        <n v="6204.96"/>
        <n v="137309.76000000001"/>
        <n v="124067.51999999999"/>
        <n v="17950.98"/>
        <n v="2313.8399999999997"/>
        <n v="75176.989999999991"/>
        <n v="86319.75"/>
        <n v="117771"/>
        <n v="150086.56"/>
        <n v="3482.7"/>
        <n v="156017.68"/>
        <n v="196843.06"/>
        <n v="20199.440000000002"/>
        <n v="25613.280000000002"/>
        <n v="39727.22"/>
        <n v="55023.840000000004"/>
        <n v="83455.520000000004"/>
        <n v="10649.710000000001"/>
        <n v="48997.600000000006"/>
        <n v="84942.909999999989"/>
        <n v="81921.84"/>
        <n v="10100.550000000001"/>
        <n v="19299.599999999999"/>
        <n v="18963.140000000003"/>
        <n v="55073.61"/>
        <n v="191042.72"/>
        <n v="68630.459999999992"/>
        <n v="59419.409999999996"/>
        <n v="16358.52"/>
        <n v="231.46"/>
        <n v="56317.240000000005"/>
        <n v="9288.9599999999991"/>
        <n v="89371.099999999991"/>
        <n v="32457.08"/>
        <n v="62421.05"/>
        <n v="100929.64"/>
        <n v="62096.99"/>
        <n v="22225.439999999999"/>
        <n v="3737.98"/>
        <n v="110118.58"/>
        <n v="113499.75"/>
        <n v="10924.84"/>
        <n v="166219.72"/>
        <n v="30782.700000000004"/>
        <n v="60141.530000000006"/>
        <n v="66552"/>
        <n v="3734.8999999999996"/>
        <n v="54874.090000000004"/>
        <n v="46350.859999999993"/>
        <n v="63102.310000000005"/>
        <n v="9302.7999999999993"/>
        <n v="50115.42"/>
        <n v="27005"/>
        <n v="45137.399999999994"/>
        <n v="160266.59"/>
        <n v="9800.0500000000011"/>
        <n v="958.86"/>
        <n v="164216.43"/>
        <n v="101254.81"/>
        <n v="31379.399999999998"/>
        <n v="97734.319999999992"/>
        <n v="3890.32"/>
        <n v="181923.29"/>
        <n v="36480.439999999995"/>
        <n v="95300.959999999992"/>
        <n v="44170.560000000005"/>
        <n v="175422.66"/>
        <n v="15951.449999999999"/>
        <n v="16427.5"/>
        <n v="2033.4399999999998"/>
        <n v="4752.3"/>
        <n v="19379.240000000002"/>
        <n v="4920.6000000000004"/>
        <n v="4478.76"/>
        <n v="6066.56"/>
        <n v="84330.4"/>
        <n v="24699.59"/>
        <n v="113795.69"/>
        <n v="79828.200000000012"/>
        <n v="1577.8799999999999"/>
        <n v="16861.759999999998"/>
        <n v="185881.91999999998"/>
        <n v="33070.68"/>
        <n v="18115.47"/>
        <n v="165738.15"/>
        <n v="29916.46"/>
        <n v="10227.68"/>
        <n v="4470.2"/>
        <n v="17509.32"/>
        <n v="114059.53000000001"/>
        <n v="55048.56"/>
        <n v="58552.11"/>
        <n v="703.38"/>
        <n v="161983.94"/>
        <n v="40513.06"/>
        <n v="119403.18000000001"/>
        <n v="20014.32"/>
        <n v="35366.22"/>
        <n v="86037.48"/>
        <n v="47719.26"/>
        <n v="117947.12000000001"/>
        <n v="60795.44"/>
        <n v="64187.43"/>
        <n v="8721.11"/>
        <n v="40374"/>
        <n v="151377.12000000002"/>
        <n v="36657.689999999995"/>
        <n v="232166.9"/>
        <n v="10843.74"/>
        <n v="117164.64000000001"/>
        <n v="19627.760000000002"/>
        <n v="39686.25"/>
        <n v="215097.48"/>
        <n v="48920.1"/>
        <n v="56846.15"/>
        <n v="50983.44"/>
        <n v="31493.52"/>
        <n v="15619"/>
        <n v="8130.82"/>
        <n v="173414.28"/>
        <n v="35408.199999999997"/>
        <n v="33737.68"/>
        <n v="30712.5"/>
        <n v="43496.04"/>
        <n v="62531.12"/>
        <n v="133767.48000000001"/>
        <n v="38830"/>
        <n v="112850.76"/>
        <n v="52471.8"/>
        <n v="58856.72"/>
        <n v="162046.75"/>
        <n v="46862.200000000004"/>
        <n v="78978.599999999991"/>
        <n v="16544.32"/>
        <n v="156474.5"/>
        <n v="57011.040000000001"/>
        <n v="101459.40000000001"/>
        <n v="67920.600000000006"/>
        <n v="2814.63"/>
        <n v="114394.38"/>
        <n v="41315.82"/>
        <n v="130124.16"/>
        <n v="8668.2999999999993"/>
        <n v="51608.75"/>
        <n v="61962.880000000005"/>
        <n v="103123.8"/>
        <n v="68597.899999999994"/>
        <n v="171043.6"/>
        <n v="20795.32"/>
        <n v="138462.62"/>
        <n v="21072.660000000003"/>
        <n v="41846.519999999997"/>
        <n v="29242.5"/>
        <n v="142266.6"/>
        <n v="57570.15"/>
        <n v="12994.19"/>
        <n v="211959.72"/>
        <n v="16834.400000000001"/>
        <n v="22202.100000000002"/>
        <n v="22529.519999999997"/>
        <n v="13511.279999999999"/>
        <n v="106754.87999999999"/>
        <n v="75886.2"/>
        <n v="162536.66"/>
        <n v="98528.4"/>
        <n v="14640.9"/>
        <n v="19513"/>
        <n v="86847.87999999999"/>
        <n v="47411.850000000006"/>
        <n v="23376.15"/>
        <n v="113596.64"/>
        <n v="73195.199999999997"/>
        <n v="11228.52"/>
        <n v="146075.99"/>
        <n v="58892.749999999993"/>
        <n v="15592.85"/>
        <n v="16524"/>
        <n v="46623.520000000004"/>
        <n v="34698.720000000001"/>
        <n v="6832.9800000000005"/>
        <n v="55259.96"/>
        <n v="69886.849999999991"/>
        <n v="77643.75"/>
        <n v="59725.770000000004"/>
        <n v="45466.96"/>
        <n v="114709"/>
        <n v="7387.7099999999991"/>
        <n v="76421.8"/>
        <n v="207544.38"/>
        <n v="20567.52"/>
        <n v="142745.53999999998"/>
        <n v="28028.65"/>
        <n v="57038.35"/>
        <n v="42640.5"/>
        <n v="12754.08"/>
        <n v="8969.9500000000007"/>
        <n v="21139.95"/>
        <n v="32030.289999999997"/>
        <n v="16316.64"/>
        <n v="62192.82"/>
        <n v="6850.35"/>
        <n v="33669.72"/>
        <n v="58527.87"/>
        <n v="12541.320000000002"/>
        <n v="79341.55"/>
        <n v="217854.39"/>
        <n v="40990.559999999998"/>
        <n v="97722.6"/>
        <n v="36466.699999999997"/>
        <n v="1445.6999999999998"/>
        <n v="81344.639999999999"/>
        <n v="22275.200000000001"/>
        <n v="38668.800000000003"/>
        <n v="44314.5"/>
        <n v="59301.72"/>
        <n v="50102.74"/>
        <n v="187859.25"/>
        <n v="2425.6999999999998"/>
        <n v="536.38"/>
        <n v="175200.94999999998"/>
        <n v="61246.640000000007"/>
        <n v="67094.87999999999"/>
      </sharedItems>
    </cacheField>
    <cacheField name="Stock Inventry" numFmtId="0">
      <sharedItems count="2">
        <s v="Okay"/>
        <s v="Reorder Needed"/>
      </sharedItems>
    </cacheField>
    <cacheField name="Stock Gap" numFmtId="0">
      <sharedItems containsMixedTypes="1" containsNumber="1" containsInteger="1" minValue="-150" maxValue="-1" count="129">
        <s v=""/>
        <n v="-59"/>
        <n v="-66"/>
        <n v="-116"/>
        <n v="-46"/>
        <n v="-55"/>
        <n v="-2"/>
        <n v="-98"/>
        <n v="-94"/>
        <n v="-40"/>
        <n v="-79"/>
        <n v="-25"/>
        <n v="-18"/>
        <n v="-88"/>
        <n v="-17"/>
        <n v="-45"/>
        <n v="-76"/>
        <n v="-112"/>
        <n v="-5"/>
        <n v="-143"/>
        <n v="-78"/>
        <n v="-148"/>
        <n v="-56"/>
        <n v="-22"/>
        <n v="-42"/>
        <n v="-95"/>
        <n v="-68"/>
        <n v="-39"/>
        <n v="-21"/>
        <n v="-69"/>
        <n v="-52"/>
        <n v="-32"/>
        <n v="-1"/>
        <n v="-61"/>
        <n v="-92"/>
        <n v="-121"/>
        <n v="-27"/>
        <n v="-13"/>
        <n v="-34"/>
        <n v="-48"/>
        <n v="-35"/>
        <n v="-93"/>
        <n v="-38"/>
        <n v="-7"/>
        <n v="-8"/>
        <n v="-104"/>
        <n v="-14"/>
        <n v="-3"/>
        <n v="-6"/>
        <n v="-87"/>
        <n v="-12"/>
        <n v="-147"/>
        <n v="-11"/>
        <n v="-20"/>
        <n v="-125"/>
        <n v="-60"/>
        <n v="-29"/>
        <n v="-62"/>
        <n v="-81"/>
        <n v="-90"/>
        <n v="-10"/>
        <n v="-26"/>
        <n v="-67"/>
        <n v="-119"/>
        <n v="-4"/>
        <n v="-37"/>
        <n v="-142"/>
        <n v="-150"/>
        <n v="-30"/>
        <n v="-24"/>
        <n v="-31"/>
        <n v="-109"/>
        <n v="-122"/>
        <n v="-28"/>
        <n v="-74"/>
        <n v="-23"/>
        <n v="-144"/>
        <n v="-50"/>
        <n v="-127"/>
        <n v="-9"/>
        <n v="-149"/>
        <n v="-85"/>
        <n v="-58"/>
        <n v="-47"/>
        <n v="-33"/>
        <n v="-117"/>
        <n v="-36"/>
        <n v="-77"/>
        <n v="-136"/>
        <n v="-54"/>
        <n v="-64"/>
        <n v="-16"/>
        <n v="-73"/>
        <n v="-135"/>
        <n v="-43"/>
        <n v="-115"/>
        <n v="-103"/>
        <n v="-53"/>
        <n v="-19"/>
        <n v="-130"/>
        <n v="-128"/>
        <n v="-134"/>
        <n v="-99"/>
        <n v="-129"/>
        <n v="-101"/>
        <n v="-86"/>
        <n v="-65"/>
        <n v="-80"/>
        <n v="-96"/>
        <n v="-71"/>
        <n v="-57"/>
        <n v="-44"/>
        <n v="-118"/>
        <n v="-41"/>
        <n v="-108"/>
        <n v="-63"/>
        <n v="-114"/>
        <n v="-82"/>
        <n v="-49"/>
        <n v="-15"/>
        <n v="-138"/>
        <n v="-137"/>
        <n v="-91"/>
        <n v="-89"/>
        <n v="-102"/>
        <n v="-107"/>
        <n v="-106"/>
        <n v="-140"/>
        <n v="-120"/>
      </sharedItems>
    </cacheField>
    <cacheField name="Low Stock Products" numFmtId="0">
      <sharedItems count="2">
        <s v="Okay"/>
        <s v="Understock"/>
      </sharedItems>
    </cacheField>
    <cacheField name="Low Stock_Flag" numFmtId="0">
      <sharedItems count="2">
        <s v="No"/>
        <s v="Yes"/>
      </sharedItems>
    </cacheField>
    <cacheField name="Reorder Products" numFmtId="0">
      <sharedItems count="2">
        <s v="Okay"/>
        <s v="Reorder"/>
      </sharedItems>
    </cacheField>
    <cacheField name="OverStock" numFmtId="0">
      <sharedItems count="2">
        <s v="Overstock"/>
        <s v="Okay"/>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000">
  <r>
    <n v="47194"/>
    <x v="0"/>
    <x v="0"/>
    <x v="0"/>
    <x v="0"/>
    <x v="0"/>
    <x v="0"/>
    <d v="2024-01-21T00:00:00"/>
    <d v="2024-02-13T00:00:00"/>
    <x v="0"/>
    <x v="0"/>
    <x v="0"/>
    <x v="0"/>
    <x v="0"/>
    <x v="0"/>
    <x v="0"/>
    <x v="0"/>
  </r>
  <r>
    <n v="72955"/>
    <x v="1"/>
    <x v="0"/>
    <x v="1"/>
    <x v="0"/>
    <x v="1"/>
    <x v="1"/>
    <d v="2024-09-14T00:00:00"/>
    <d v="2024-10-12T00:00:00"/>
    <x v="0"/>
    <x v="1"/>
    <x v="0"/>
    <x v="0"/>
    <x v="0"/>
    <x v="0"/>
    <x v="0"/>
    <x v="0"/>
  </r>
  <r>
    <n v="35658"/>
    <x v="2"/>
    <x v="1"/>
    <x v="2"/>
    <x v="1"/>
    <x v="2"/>
    <x v="1"/>
    <d v="2024-02-18T00:00:00"/>
    <d v="2024-03-20T00:00:00"/>
    <x v="1"/>
    <x v="2"/>
    <x v="1"/>
    <x v="1"/>
    <x v="1"/>
    <x v="1"/>
    <x v="1"/>
    <x v="1"/>
  </r>
  <r>
    <n v="90038"/>
    <x v="3"/>
    <x v="2"/>
    <x v="3"/>
    <x v="2"/>
    <x v="3"/>
    <x v="1"/>
    <d v="2024-11-02T00:00:00"/>
    <d v="2024-11-13T00:00:00"/>
    <x v="0"/>
    <x v="3"/>
    <x v="0"/>
    <x v="0"/>
    <x v="0"/>
    <x v="0"/>
    <x v="0"/>
    <x v="0"/>
  </r>
  <r>
    <n v="33483"/>
    <x v="4"/>
    <x v="0"/>
    <x v="4"/>
    <x v="3"/>
    <x v="4"/>
    <x v="2"/>
    <d v="2024-02-22T00:00:00"/>
    <d v="2024-02-28T00:00:00"/>
    <x v="0"/>
    <x v="4"/>
    <x v="0"/>
    <x v="0"/>
    <x v="0"/>
    <x v="0"/>
    <x v="0"/>
    <x v="0"/>
  </r>
  <r>
    <n v="88953"/>
    <x v="5"/>
    <x v="2"/>
    <x v="5"/>
    <x v="4"/>
    <x v="5"/>
    <x v="2"/>
    <d v="2024-01-02T00:00:00"/>
    <d v="2024-01-12T00:00:00"/>
    <x v="2"/>
    <x v="5"/>
    <x v="0"/>
    <x v="0"/>
    <x v="0"/>
    <x v="0"/>
    <x v="0"/>
    <x v="1"/>
  </r>
  <r>
    <n v="42606"/>
    <x v="6"/>
    <x v="3"/>
    <x v="6"/>
    <x v="3"/>
    <x v="6"/>
    <x v="2"/>
    <d v="2024-07-20T00:00:00"/>
    <d v="2024-08-07T00:00:00"/>
    <x v="0"/>
    <x v="6"/>
    <x v="0"/>
    <x v="0"/>
    <x v="0"/>
    <x v="0"/>
    <x v="0"/>
    <x v="0"/>
  </r>
  <r>
    <n v="73704"/>
    <x v="7"/>
    <x v="3"/>
    <x v="7"/>
    <x v="3"/>
    <x v="7"/>
    <x v="2"/>
    <d v="2024-10-06T00:00:00"/>
    <d v="2024-11-05T00:00:00"/>
    <x v="0"/>
    <x v="7"/>
    <x v="0"/>
    <x v="0"/>
    <x v="0"/>
    <x v="0"/>
    <x v="0"/>
    <x v="0"/>
  </r>
  <r>
    <n v="72592"/>
    <x v="8"/>
    <x v="1"/>
    <x v="8"/>
    <x v="1"/>
    <x v="8"/>
    <x v="2"/>
    <d v="2024-11-22T00:00:00"/>
    <d v="2024-12-05T00:00:00"/>
    <x v="1"/>
    <x v="8"/>
    <x v="1"/>
    <x v="2"/>
    <x v="1"/>
    <x v="1"/>
    <x v="1"/>
    <x v="1"/>
  </r>
  <r>
    <n v="32662"/>
    <x v="3"/>
    <x v="2"/>
    <x v="5"/>
    <x v="0"/>
    <x v="9"/>
    <x v="3"/>
    <d v="2024-09-17T00:00:00"/>
    <d v="2024-10-19T00:00:00"/>
    <x v="2"/>
    <x v="9"/>
    <x v="0"/>
    <x v="0"/>
    <x v="0"/>
    <x v="0"/>
    <x v="0"/>
    <x v="1"/>
  </r>
  <r>
    <n v="34538"/>
    <x v="9"/>
    <x v="1"/>
    <x v="9"/>
    <x v="5"/>
    <x v="10"/>
    <x v="0"/>
    <d v="2024-04-08T00:00:00"/>
    <d v="2024-05-04T00:00:00"/>
    <x v="0"/>
    <x v="10"/>
    <x v="0"/>
    <x v="0"/>
    <x v="0"/>
    <x v="0"/>
    <x v="0"/>
    <x v="0"/>
  </r>
  <r>
    <n v="16910"/>
    <x v="10"/>
    <x v="2"/>
    <x v="10"/>
    <x v="5"/>
    <x v="11"/>
    <x v="0"/>
    <d v="2024-01-05T00:00:00"/>
    <d v="2024-02-04T00:00:00"/>
    <x v="0"/>
    <x v="11"/>
    <x v="0"/>
    <x v="0"/>
    <x v="0"/>
    <x v="0"/>
    <x v="0"/>
    <x v="0"/>
  </r>
  <r>
    <n v="97939"/>
    <x v="11"/>
    <x v="4"/>
    <x v="11"/>
    <x v="1"/>
    <x v="12"/>
    <x v="4"/>
    <d v="2024-12-17T00:00:00"/>
    <d v="2025-01-22T00:00:00"/>
    <x v="1"/>
    <x v="12"/>
    <x v="0"/>
    <x v="0"/>
    <x v="0"/>
    <x v="0"/>
    <x v="0"/>
    <x v="0"/>
  </r>
  <r>
    <n v="85450"/>
    <x v="6"/>
    <x v="3"/>
    <x v="12"/>
    <x v="1"/>
    <x v="13"/>
    <x v="0"/>
    <d v="2024-06-08T00:00:00"/>
    <d v="2024-06-19T00:00:00"/>
    <x v="2"/>
    <x v="13"/>
    <x v="0"/>
    <x v="0"/>
    <x v="0"/>
    <x v="0"/>
    <x v="0"/>
    <x v="1"/>
  </r>
  <r>
    <n v="79163"/>
    <x v="4"/>
    <x v="0"/>
    <x v="13"/>
    <x v="1"/>
    <x v="14"/>
    <x v="2"/>
    <d v="2024-05-13T00:00:00"/>
    <d v="2024-06-14T00:00:00"/>
    <x v="2"/>
    <x v="14"/>
    <x v="0"/>
    <x v="0"/>
    <x v="0"/>
    <x v="0"/>
    <x v="0"/>
    <x v="1"/>
  </r>
  <r>
    <n v="76842"/>
    <x v="5"/>
    <x v="2"/>
    <x v="14"/>
    <x v="2"/>
    <x v="15"/>
    <x v="3"/>
    <d v="2024-08-12T00:00:00"/>
    <d v="2024-08-17T00:00:00"/>
    <x v="0"/>
    <x v="15"/>
    <x v="0"/>
    <x v="0"/>
    <x v="0"/>
    <x v="0"/>
    <x v="0"/>
    <x v="0"/>
  </r>
  <r>
    <n v="23545"/>
    <x v="9"/>
    <x v="1"/>
    <x v="15"/>
    <x v="5"/>
    <x v="16"/>
    <x v="2"/>
    <d v="2024-05-16T00:00:00"/>
    <d v="2024-06-22T00:00:00"/>
    <x v="1"/>
    <x v="16"/>
    <x v="0"/>
    <x v="0"/>
    <x v="0"/>
    <x v="0"/>
    <x v="0"/>
    <x v="0"/>
  </r>
  <r>
    <n v="62733"/>
    <x v="5"/>
    <x v="2"/>
    <x v="16"/>
    <x v="2"/>
    <x v="17"/>
    <x v="1"/>
    <d v="2024-11-13T00:00:00"/>
    <d v="2024-11-29T00:00:00"/>
    <x v="1"/>
    <x v="17"/>
    <x v="0"/>
    <x v="0"/>
    <x v="0"/>
    <x v="0"/>
    <x v="0"/>
    <x v="0"/>
  </r>
  <r>
    <n v="10854"/>
    <x v="8"/>
    <x v="1"/>
    <x v="17"/>
    <x v="2"/>
    <x v="18"/>
    <x v="4"/>
    <d v="2024-01-02T00:00:00"/>
    <d v="2024-01-08T00:00:00"/>
    <x v="0"/>
    <x v="18"/>
    <x v="0"/>
    <x v="0"/>
    <x v="0"/>
    <x v="0"/>
    <x v="0"/>
    <x v="0"/>
  </r>
  <r>
    <n v="36309"/>
    <x v="9"/>
    <x v="1"/>
    <x v="18"/>
    <x v="3"/>
    <x v="19"/>
    <x v="2"/>
    <d v="2024-08-05T00:00:00"/>
    <d v="2024-09-10T00:00:00"/>
    <x v="1"/>
    <x v="19"/>
    <x v="0"/>
    <x v="0"/>
    <x v="0"/>
    <x v="0"/>
    <x v="0"/>
    <x v="0"/>
  </r>
  <r>
    <n v="75733"/>
    <x v="3"/>
    <x v="2"/>
    <x v="19"/>
    <x v="6"/>
    <x v="20"/>
    <x v="0"/>
    <d v="2024-11-20T00:00:00"/>
    <d v="2024-12-28T00:00:00"/>
    <x v="1"/>
    <x v="20"/>
    <x v="0"/>
    <x v="0"/>
    <x v="0"/>
    <x v="0"/>
    <x v="0"/>
    <x v="1"/>
  </r>
  <r>
    <n v="59811"/>
    <x v="8"/>
    <x v="1"/>
    <x v="20"/>
    <x v="0"/>
    <x v="21"/>
    <x v="2"/>
    <d v="2024-12-14T00:00:00"/>
    <d v="2024-12-21T00:00:00"/>
    <x v="1"/>
    <x v="21"/>
    <x v="0"/>
    <x v="0"/>
    <x v="0"/>
    <x v="0"/>
    <x v="0"/>
    <x v="0"/>
  </r>
  <r>
    <n v="77270"/>
    <x v="12"/>
    <x v="0"/>
    <x v="21"/>
    <x v="0"/>
    <x v="22"/>
    <x v="2"/>
    <d v="2024-05-27T00:00:00"/>
    <d v="2024-07-02T00:00:00"/>
    <x v="0"/>
    <x v="22"/>
    <x v="0"/>
    <x v="0"/>
    <x v="0"/>
    <x v="0"/>
    <x v="0"/>
    <x v="0"/>
  </r>
  <r>
    <n v="95981"/>
    <x v="9"/>
    <x v="1"/>
    <x v="22"/>
    <x v="2"/>
    <x v="23"/>
    <x v="1"/>
    <d v="2024-05-30T00:00:00"/>
    <d v="2024-07-04T00:00:00"/>
    <x v="1"/>
    <x v="23"/>
    <x v="0"/>
    <x v="0"/>
    <x v="0"/>
    <x v="0"/>
    <x v="0"/>
    <x v="0"/>
  </r>
  <r>
    <n v="30932"/>
    <x v="1"/>
    <x v="0"/>
    <x v="21"/>
    <x v="2"/>
    <x v="24"/>
    <x v="4"/>
    <d v="2024-01-02T00:00:00"/>
    <d v="2024-01-07T00:00:00"/>
    <x v="1"/>
    <x v="24"/>
    <x v="0"/>
    <x v="0"/>
    <x v="0"/>
    <x v="0"/>
    <x v="0"/>
    <x v="0"/>
  </r>
  <r>
    <n v="16295"/>
    <x v="8"/>
    <x v="1"/>
    <x v="23"/>
    <x v="0"/>
    <x v="25"/>
    <x v="3"/>
    <d v="2024-05-10T00:00:00"/>
    <d v="2024-06-03T00:00:00"/>
    <x v="1"/>
    <x v="25"/>
    <x v="0"/>
    <x v="0"/>
    <x v="0"/>
    <x v="0"/>
    <x v="0"/>
    <x v="1"/>
  </r>
  <r>
    <n v="92018"/>
    <x v="2"/>
    <x v="1"/>
    <x v="24"/>
    <x v="4"/>
    <x v="26"/>
    <x v="3"/>
    <d v="2024-04-21T00:00:00"/>
    <d v="2024-05-20T00:00:00"/>
    <x v="0"/>
    <x v="26"/>
    <x v="0"/>
    <x v="0"/>
    <x v="0"/>
    <x v="0"/>
    <x v="0"/>
    <x v="1"/>
  </r>
  <r>
    <n v="48467"/>
    <x v="11"/>
    <x v="4"/>
    <x v="22"/>
    <x v="3"/>
    <x v="27"/>
    <x v="3"/>
    <d v="2024-07-26T00:00:00"/>
    <d v="2024-09-01T00:00:00"/>
    <x v="2"/>
    <x v="27"/>
    <x v="0"/>
    <x v="0"/>
    <x v="0"/>
    <x v="0"/>
    <x v="0"/>
    <x v="0"/>
  </r>
  <r>
    <n v="80091"/>
    <x v="7"/>
    <x v="3"/>
    <x v="25"/>
    <x v="6"/>
    <x v="28"/>
    <x v="0"/>
    <d v="2024-05-07T00:00:00"/>
    <d v="2024-06-13T00:00:00"/>
    <x v="1"/>
    <x v="28"/>
    <x v="0"/>
    <x v="0"/>
    <x v="0"/>
    <x v="0"/>
    <x v="0"/>
    <x v="1"/>
  </r>
  <r>
    <n v="49790"/>
    <x v="6"/>
    <x v="3"/>
    <x v="26"/>
    <x v="0"/>
    <x v="29"/>
    <x v="3"/>
    <d v="2024-10-03T00:00:00"/>
    <d v="2024-11-06T00:00:00"/>
    <x v="0"/>
    <x v="29"/>
    <x v="0"/>
    <x v="0"/>
    <x v="0"/>
    <x v="0"/>
    <x v="0"/>
    <x v="0"/>
  </r>
  <r>
    <n v="66491"/>
    <x v="0"/>
    <x v="0"/>
    <x v="27"/>
    <x v="0"/>
    <x v="30"/>
    <x v="2"/>
    <d v="2024-07-10T00:00:00"/>
    <d v="2024-07-31T00:00:00"/>
    <x v="2"/>
    <x v="30"/>
    <x v="0"/>
    <x v="0"/>
    <x v="0"/>
    <x v="0"/>
    <x v="0"/>
    <x v="0"/>
  </r>
  <r>
    <n v="13420"/>
    <x v="13"/>
    <x v="3"/>
    <x v="28"/>
    <x v="5"/>
    <x v="31"/>
    <x v="3"/>
    <d v="2024-08-20T00:00:00"/>
    <d v="2024-09-17T00:00:00"/>
    <x v="2"/>
    <x v="31"/>
    <x v="0"/>
    <x v="0"/>
    <x v="0"/>
    <x v="0"/>
    <x v="0"/>
    <x v="0"/>
  </r>
  <r>
    <n v="16102"/>
    <x v="6"/>
    <x v="3"/>
    <x v="23"/>
    <x v="4"/>
    <x v="32"/>
    <x v="3"/>
    <d v="2024-07-09T00:00:00"/>
    <d v="2024-08-03T00:00:00"/>
    <x v="1"/>
    <x v="32"/>
    <x v="0"/>
    <x v="0"/>
    <x v="0"/>
    <x v="0"/>
    <x v="0"/>
    <x v="1"/>
  </r>
  <r>
    <n v="82991"/>
    <x v="14"/>
    <x v="4"/>
    <x v="29"/>
    <x v="6"/>
    <x v="33"/>
    <x v="1"/>
    <d v="2024-11-18T00:00:00"/>
    <d v="2024-12-16T00:00:00"/>
    <x v="1"/>
    <x v="33"/>
    <x v="0"/>
    <x v="0"/>
    <x v="0"/>
    <x v="0"/>
    <x v="0"/>
    <x v="0"/>
  </r>
  <r>
    <n v="15801"/>
    <x v="5"/>
    <x v="2"/>
    <x v="30"/>
    <x v="3"/>
    <x v="34"/>
    <x v="1"/>
    <d v="2024-10-25T00:00:00"/>
    <d v="2024-11-27T00:00:00"/>
    <x v="1"/>
    <x v="34"/>
    <x v="0"/>
    <x v="0"/>
    <x v="0"/>
    <x v="0"/>
    <x v="0"/>
    <x v="0"/>
  </r>
  <r>
    <n v="12368"/>
    <x v="14"/>
    <x v="4"/>
    <x v="31"/>
    <x v="1"/>
    <x v="35"/>
    <x v="2"/>
    <d v="2024-11-08T00:00:00"/>
    <d v="2024-12-02T00:00:00"/>
    <x v="1"/>
    <x v="35"/>
    <x v="0"/>
    <x v="0"/>
    <x v="0"/>
    <x v="0"/>
    <x v="0"/>
    <x v="0"/>
  </r>
  <r>
    <n v="62921"/>
    <x v="4"/>
    <x v="0"/>
    <x v="32"/>
    <x v="6"/>
    <x v="36"/>
    <x v="4"/>
    <d v="2024-02-20T00:00:00"/>
    <d v="2024-03-20T00:00:00"/>
    <x v="2"/>
    <x v="36"/>
    <x v="0"/>
    <x v="0"/>
    <x v="0"/>
    <x v="0"/>
    <x v="0"/>
    <x v="1"/>
  </r>
  <r>
    <n v="25338"/>
    <x v="11"/>
    <x v="4"/>
    <x v="33"/>
    <x v="2"/>
    <x v="37"/>
    <x v="2"/>
    <d v="2024-11-21T00:00:00"/>
    <d v="2024-12-10T00:00:00"/>
    <x v="0"/>
    <x v="37"/>
    <x v="0"/>
    <x v="0"/>
    <x v="0"/>
    <x v="0"/>
    <x v="0"/>
    <x v="0"/>
  </r>
  <r>
    <n v="64021"/>
    <x v="8"/>
    <x v="1"/>
    <x v="34"/>
    <x v="4"/>
    <x v="38"/>
    <x v="4"/>
    <d v="2024-04-12T00:00:00"/>
    <d v="2024-04-20T00:00:00"/>
    <x v="2"/>
    <x v="38"/>
    <x v="0"/>
    <x v="0"/>
    <x v="0"/>
    <x v="0"/>
    <x v="0"/>
    <x v="1"/>
  </r>
  <r>
    <n v="96672"/>
    <x v="3"/>
    <x v="2"/>
    <x v="35"/>
    <x v="4"/>
    <x v="39"/>
    <x v="0"/>
    <d v="2024-05-03T00:00:00"/>
    <d v="2024-06-06T00:00:00"/>
    <x v="2"/>
    <x v="39"/>
    <x v="0"/>
    <x v="0"/>
    <x v="0"/>
    <x v="0"/>
    <x v="0"/>
    <x v="0"/>
  </r>
  <r>
    <n v="84740"/>
    <x v="14"/>
    <x v="4"/>
    <x v="36"/>
    <x v="1"/>
    <x v="40"/>
    <x v="3"/>
    <d v="2024-05-06T00:00:00"/>
    <d v="2024-05-19T00:00:00"/>
    <x v="2"/>
    <x v="40"/>
    <x v="0"/>
    <x v="0"/>
    <x v="0"/>
    <x v="0"/>
    <x v="0"/>
    <x v="0"/>
  </r>
  <r>
    <n v="55543"/>
    <x v="14"/>
    <x v="4"/>
    <x v="37"/>
    <x v="3"/>
    <x v="41"/>
    <x v="4"/>
    <d v="2024-04-27T00:00:00"/>
    <d v="2024-05-26T00:00:00"/>
    <x v="0"/>
    <x v="41"/>
    <x v="0"/>
    <x v="0"/>
    <x v="0"/>
    <x v="0"/>
    <x v="0"/>
    <x v="0"/>
  </r>
  <r>
    <n v="95067"/>
    <x v="8"/>
    <x v="1"/>
    <x v="38"/>
    <x v="6"/>
    <x v="42"/>
    <x v="1"/>
    <d v="2024-12-14T00:00:00"/>
    <d v="2024-12-21T00:00:00"/>
    <x v="1"/>
    <x v="42"/>
    <x v="0"/>
    <x v="0"/>
    <x v="0"/>
    <x v="0"/>
    <x v="0"/>
    <x v="0"/>
  </r>
  <r>
    <n v="88781"/>
    <x v="13"/>
    <x v="3"/>
    <x v="39"/>
    <x v="1"/>
    <x v="43"/>
    <x v="2"/>
    <d v="2024-03-09T00:00:00"/>
    <d v="2024-04-12T00:00:00"/>
    <x v="0"/>
    <x v="43"/>
    <x v="0"/>
    <x v="0"/>
    <x v="0"/>
    <x v="0"/>
    <x v="0"/>
    <x v="1"/>
  </r>
  <r>
    <n v="66573"/>
    <x v="1"/>
    <x v="0"/>
    <x v="40"/>
    <x v="3"/>
    <x v="44"/>
    <x v="4"/>
    <d v="2024-02-08T00:00:00"/>
    <d v="2024-03-16T00:00:00"/>
    <x v="1"/>
    <x v="44"/>
    <x v="0"/>
    <x v="0"/>
    <x v="0"/>
    <x v="0"/>
    <x v="0"/>
    <x v="0"/>
  </r>
  <r>
    <n v="75417"/>
    <x v="11"/>
    <x v="4"/>
    <x v="41"/>
    <x v="1"/>
    <x v="45"/>
    <x v="1"/>
    <d v="2024-06-28T00:00:00"/>
    <d v="2024-08-02T00:00:00"/>
    <x v="1"/>
    <x v="45"/>
    <x v="0"/>
    <x v="0"/>
    <x v="0"/>
    <x v="0"/>
    <x v="0"/>
    <x v="0"/>
  </r>
  <r>
    <n v="40977"/>
    <x v="14"/>
    <x v="4"/>
    <x v="42"/>
    <x v="1"/>
    <x v="46"/>
    <x v="3"/>
    <d v="2024-10-06T00:00:00"/>
    <d v="2024-10-26T00:00:00"/>
    <x v="1"/>
    <x v="46"/>
    <x v="0"/>
    <x v="0"/>
    <x v="0"/>
    <x v="0"/>
    <x v="0"/>
    <x v="0"/>
  </r>
  <r>
    <n v="80588"/>
    <x v="1"/>
    <x v="0"/>
    <x v="43"/>
    <x v="3"/>
    <x v="47"/>
    <x v="0"/>
    <d v="2024-02-02T00:00:00"/>
    <d v="2024-03-10T00:00:00"/>
    <x v="1"/>
    <x v="47"/>
    <x v="0"/>
    <x v="0"/>
    <x v="0"/>
    <x v="0"/>
    <x v="0"/>
    <x v="0"/>
  </r>
  <r>
    <n v="96027"/>
    <x v="7"/>
    <x v="3"/>
    <x v="44"/>
    <x v="2"/>
    <x v="48"/>
    <x v="1"/>
    <d v="2024-11-25T00:00:00"/>
    <d v="2024-12-28T00:00:00"/>
    <x v="0"/>
    <x v="48"/>
    <x v="0"/>
    <x v="0"/>
    <x v="0"/>
    <x v="0"/>
    <x v="0"/>
    <x v="0"/>
  </r>
  <r>
    <n v="25305"/>
    <x v="5"/>
    <x v="2"/>
    <x v="45"/>
    <x v="6"/>
    <x v="49"/>
    <x v="1"/>
    <d v="2024-09-20T00:00:00"/>
    <d v="2024-10-23T00:00:00"/>
    <x v="2"/>
    <x v="49"/>
    <x v="1"/>
    <x v="3"/>
    <x v="1"/>
    <x v="1"/>
    <x v="1"/>
    <x v="1"/>
  </r>
  <r>
    <n v="10412"/>
    <x v="15"/>
    <x v="4"/>
    <x v="46"/>
    <x v="6"/>
    <x v="50"/>
    <x v="2"/>
    <d v="2024-04-23T00:00:00"/>
    <d v="2024-05-08T00:00:00"/>
    <x v="0"/>
    <x v="50"/>
    <x v="1"/>
    <x v="4"/>
    <x v="1"/>
    <x v="1"/>
    <x v="1"/>
    <x v="1"/>
  </r>
  <r>
    <n v="93042"/>
    <x v="16"/>
    <x v="3"/>
    <x v="47"/>
    <x v="4"/>
    <x v="51"/>
    <x v="2"/>
    <d v="2024-07-10T00:00:00"/>
    <d v="2024-08-18T00:00:00"/>
    <x v="2"/>
    <x v="51"/>
    <x v="0"/>
    <x v="0"/>
    <x v="0"/>
    <x v="0"/>
    <x v="0"/>
    <x v="0"/>
  </r>
  <r>
    <n v="46208"/>
    <x v="9"/>
    <x v="1"/>
    <x v="48"/>
    <x v="6"/>
    <x v="52"/>
    <x v="4"/>
    <d v="2024-02-06T00:00:00"/>
    <d v="2024-02-22T00:00:00"/>
    <x v="1"/>
    <x v="52"/>
    <x v="1"/>
    <x v="5"/>
    <x v="1"/>
    <x v="1"/>
    <x v="1"/>
    <x v="1"/>
  </r>
  <r>
    <n v="56959"/>
    <x v="9"/>
    <x v="1"/>
    <x v="49"/>
    <x v="5"/>
    <x v="53"/>
    <x v="3"/>
    <d v="2024-03-02T00:00:00"/>
    <d v="2024-03-26T00:00:00"/>
    <x v="2"/>
    <x v="53"/>
    <x v="0"/>
    <x v="0"/>
    <x v="0"/>
    <x v="0"/>
    <x v="0"/>
    <x v="0"/>
  </r>
  <r>
    <n v="46939"/>
    <x v="6"/>
    <x v="3"/>
    <x v="50"/>
    <x v="2"/>
    <x v="54"/>
    <x v="3"/>
    <d v="2024-08-20T00:00:00"/>
    <d v="2024-09-12T00:00:00"/>
    <x v="1"/>
    <x v="54"/>
    <x v="1"/>
    <x v="6"/>
    <x v="1"/>
    <x v="1"/>
    <x v="1"/>
    <x v="1"/>
  </r>
  <r>
    <n v="99112"/>
    <x v="4"/>
    <x v="0"/>
    <x v="51"/>
    <x v="4"/>
    <x v="55"/>
    <x v="2"/>
    <d v="2024-05-23T00:00:00"/>
    <d v="2024-06-01T00:00:00"/>
    <x v="1"/>
    <x v="55"/>
    <x v="0"/>
    <x v="0"/>
    <x v="0"/>
    <x v="0"/>
    <x v="0"/>
    <x v="0"/>
  </r>
  <r>
    <n v="19348"/>
    <x v="7"/>
    <x v="3"/>
    <x v="52"/>
    <x v="6"/>
    <x v="56"/>
    <x v="0"/>
    <d v="2024-02-08T00:00:00"/>
    <d v="2024-02-26T00:00:00"/>
    <x v="1"/>
    <x v="56"/>
    <x v="1"/>
    <x v="7"/>
    <x v="1"/>
    <x v="1"/>
    <x v="1"/>
    <x v="1"/>
  </r>
  <r>
    <n v="92873"/>
    <x v="6"/>
    <x v="3"/>
    <x v="53"/>
    <x v="3"/>
    <x v="57"/>
    <x v="2"/>
    <d v="2024-01-09T00:00:00"/>
    <d v="2024-01-23T00:00:00"/>
    <x v="0"/>
    <x v="57"/>
    <x v="0"/>
    <x v="0"/>
    <x v="0"/>
    <x v="0"/>
    <x v="0"/>
    <x v="0"/>
  </r>
  <r>
    <n v="98858"/>
    <x v="13"/>
    <x v="3"/>
    <x v="54"/>
    <x v="5"/>
    <x v="58"/>
    <x v="1"/>
    <d v="2024-06-18T00:00:00"/>
    <d v="2024-07-01T00:00:00"/>
    <x v="2"/>
    <x v="58"/>
    <x v="1"/>
    <x v="8"/>
    <x v="1"/>
    <x v="1"/>
    <x v="1"/>
    <x v="1"/>
  </r>
  <r>
    <n v="93285"/>
    <x v="16"/>
    <x v="3"/>
    <x v="55"/>
    <x v="5"/>
    <x v="59"/>
    <x v="2"/>
    <d v="2024-12-30T00:00:00"/>
    <d v="2025-01-04T00:00:00"/>
    <x v="0"/>
    <x v="59"/>
    <x v="0"/>
    <x v="0"/>
    <x v="0"/>
    <x v="0"/>
    <x v="0"/>
    <x v="1"/>
  </r>
  <r>
    <n v="35289"/>
    <x v="8"/>
    <x v="1"/>
    <x v="56"/>
    <x v="4"/>
    <x v="60"/>
    <x v="1"/>
    <d v="2024-10-01T00:00:00"/>
    <d v="2024-11-01T00:00:00"/>
    <x v="1"/>
    <x v="60"/>
    <x v="0"/>
    <x v="0"/>
    <x v="0"/>
    <x v="0"/>
    <x v="0"/>
    <x v="1"/>
  </r>
  <r>
    <n v="65771"/>
    <x v="10"/>
    <x v="2"/>
    <x v="57"/>
    <x v="3"/>
    <x v="61"/>
    <x v="4"/>
    <d v="2024-02-27T00:00:00"/>
    <d v="2024-03-22T00:00:00"/>
    <x v="1"/>
    <x v="61"/>
    <x v="0"/>
    <x v="0"/>
    <x v="0"/>
    <x v="0"/>
    <x v="0"/>
    <x v="0"/>
  </r>
  <r>
    <n v="43591"/>
    <x v="9"/>
    <x v="1"/>
    <x v="58"/>
    <x v="0"/>
    <x v="62"/>
    <x v="3"/>
    <d v="2024-07-08T00:00:00"/>
    <d v="2024-08-06T00:00:00"/>
    <x v="2"/>
    <x v="62"/>
    <x v="1"/>
    <x v="9"/>
    <x v="1"/>
    <x v="1"/>
    <x v="1"/>
    <x v="1"/>
  </r>
  <r>
    <n v="30559"/>
    <x v="13"/>
    <x v="3"/>
    <x v="59"/>
    <x v="4"/>
    <x v="63"/>
    <x v="4"/>
    <d v="2024-06-21T00:00:00"/>
    <d v="2024-07-16T00:00:00"/>
    <x v="1"/>
    <x v="63"/>
    <x v="0"/>
    <x v="0"/>
    <x v="0"/>
    <x v="0"/>
    <x v="0"/>
    <x v="1"/>
  </r>
  <r>
    <n v="62638"/>
    <x v="0"/>
    <x v="0"/>
    <x v="60"/>
    <x v="0"/>
    <x v="64"/>
    <x v="3"/>
    <d v="2024-02-16T00:00:00"/>
    <d v="2024-03-05T00:00:00"/>
    <x v="0"/>
    <x v="64"/>
    <x v="0"/>
    <x v="0"/>
    <x v="0"/>
    <x v="0"/>
    <x v="0"/>
    <x v="0"/>
  </r>
  <r>
    <n v="31447"/>
    <x v="3"/>
    <x v="2"/>
    <x v="61"/>
    <x v="0"/>
    <x v="65"/>
    <x v="2"/>
    <d v="2024-08-11T00:00:00"/>
    <d v="2024-08-31T00:00:00"/>
    <x v="0"/>
    <x v="65"/>
    <x v="0"/>
    <x v="0"/>
    <x v="0"/>
    <x v="0"/>
    <x v="0"/>
    <x v="0"/>
  </r>
  <r>
    <n v="14835"/>
    <x v="11"/>
    <x v="4"/>
    <x v="62"/>
    <x v="3"/>
    <x v="66"/>
    <x v="0"/>
    <d v="2024-01-28T00:00:00"/>
    <d v="2024-02-29T00:00:00"/>
    <x v="2"/>
    <x v="66"/>
    <x v="0"/>
    <x v="0"/>
    <x v="0"/>
    <x v="0"/>
    <x v="0"/>
    <x v="0"/>
  </r>
  <r>
    <n v="37532"/>
    <x v="8"/>
    <x v="1"/>
    <x v="63"/>
    <x v="1"/>
    <x v="67"/>
    <x v="0"/>
    <d v="2024-08-07T00:00:00"/>
    <d v="2024-09-09T00:00:00"/>
    <x v="0"/>
    <x v="67"/>
    <x v="0"/>
    <x v="0"/>
    <x v="0"/>
    <x v="0"/>
    <x v="0"/>
    <x v="0"/>
  </r>
  <r>
    <n v="33793"/>
    <x v="15"/>
    <x v="4"/>
    <x v="64"/>
    <x v="1"/>
    <x v="68"/>
    <x v="0"/>
    <d v="2024-01-10T00:00:00"/>
    <d v="2024-02-13T00:00:00"/>
    <x v="0"/>
    <x v="68"/>
    <x v="0"/>
    <x v="0"/>
    <x v="0"/>
    <x v="0"/>
    <x v="0"/>
    <x v="0"/>
  </r>
  <r>
    <n v="72292"/>
    <x v="6"/>
    <x v="3"/>
    <x v="65"/>
    <x v="5"/>
    <x v="69"/>
    <x v="1"/>
    <d v="2024-08-11T00:00:00"/>
    <d v="2024-08-26T00:00:00"/>
    <x v="1"/>
    <x v="69"/>
    <x v="0"/>
    <x v="0"/>
    <x v="0"/>
    <x v="0"/>
    <x v="0"/>
    <x v="1"/>
  </r>
  <r>
    <n v="18702"/>
    <x v="2"/>
    <x v="1"/>
    <x v="66"/>
    <x v="0"/>
    <x v="70"/>
    <x v="3"/>
    <d v="2024-04-07T00:00:00"/>
    <d v="2024-05-16T00:00:00"/>
    <x v="0"/>
    <x v="70"/>
    <x v="0"/>
    <x v="0"/>
    <x v="0"/>
    <x v="0"/>
    <x v="0"/>
    <x v="0"/>
  </r>
  <r>
    <n v="33524"/>
    <x v="0"/>
    <x v="0"/>
    <x v="67"/>
    <x v="6"/>
    <x v="71"/>
    <x v="4"/>
    <d v="2024-09-15T00:00:00"/>
    <d v="2024-10-12T00:00:00"/>
    <x v="0"/>
    <x v="71"/>
    <x v="0"/>
    <x v="0"/>
    <x v="0"/>
    <x v="0"/>
    <x v="0"/>
    <x v="1"/>
  </r>
  <r>
    <n v="67091"/>
    <x v="11"/>
    <x v="4"/>
    <x v="68"/>
    <x v="2"/>
    <x v="72"/>
    <x v="3"/>
    <d v="2024-01-01T00:00:00"/>
    <d v="2024-01-18T00:00:00"/>
    <x v="0"/>
    <x v="72"/>
    <x v="0"/>
    <x v="0"/>
    <x v="0"/>
    <x v="0"/>
    <x v="0"/>
    <x v="0"/>
  </r>
  <r>
    <n v="42049"/>
    <x v="15"/>
    <x v="4"/>
    <x v="69"/>
    <x v="6"/>
    <x v="73"/>
    <x v="2"/>
    <d v="2024-06-10T00:00:00"/>
    <d v="2024-06-17T00:00:00"/>
    <x v="0"/>
    <x v="73"/>
    <x v="1"/>
    <x v="10"/>
    <x v="1"/>
    <x v="1"/>
    <x v="1"/>
    <x v="1"/>
  </r>
  <r>
    <n v="54238"/>
    <x v="0"/>
    <x v="0"/>
    <x v="70"/>
    <x v="5"/>
    <x v="74"/>
    <x v="4"/>
    <d v="2024-04-21T00:00:00"/>
    <d v="2024-05-18T00:00:00"/>
    <x v="0"/>
    <x v="74"/>
    <x v="0"/>
    <x v="0"/>
    <x v="0"/>
    <x v="0"/>
    <x v="0"/>
    <x v="0"/>
  </r>
  <r>
    <n v="16949"/>
    <x v="15"/>
    <x v="4"/>
    <x v="71"/>
    <x v="6"/>
    <x v="75"/>
    <x v="1"/>
    <d v="2024-09-08T00:00:00"/>
    <d v="2024-10-16T00:00:00"/>
    <x v="2"/>
    <x v="75"/>
    <x v="0"/>
    <x v="0"/>
    <x v="0"/>
    <x v="0"/>
    <x v="0"/>
    <x v="1"/>
  </r>
  <r>
    <n v="52318"/>
    <x v="11"/>
    <x v="4"/>
    <x v="72"/>
    <x v="0"/>
    <x v="76"/>
    <x v="2"/>
    <d v="2024-11-03T00:00:00"/>
    <d v="2024-12-10T00:00:00"/>
    <x v="2"/>
    <x v="76"/>
    <x v="0"/>
    <x v="0"/>
    <x v="0"/>
    <x v="0"/>
    <x v="0"/>
    <x v="0"/>
  </r>
  <r>
    <n v="97369"/>
    <x v="15"/>
    <x v="4"/>
    <x v="5"/>
    <x v="1"/>
    <x v="77"/>
    <x v="3"/>
    <d v="2024-05-17T00:00:00"/>
    <d v="2024-06-07T00:00:00"/>
    <x v="0"/>
    <x v="77"/>
    <x v="1"/>
    <x v="0"/>
    <x v="0"/>
    <x v="0"/>
    <x v="0"/>
    <x v="1"/>
  </r>
  <r>
    <n v="16254"/>
    <x v="11"/>
    <x v="4"/>
    <x v="52"/>
    <x v="3"/>
    <x v="78"/>
    <x v="3"/>
    <d v="2024-08-22T00:00:00"/>
    <d v="2024-09-06T00:00:00"/>
    <x v="1"/>
    <x v="78"/>
    <x v="0"/>
    <x v="0"/>
    <x v="0"/>
    <x v="0"/>
    <x v="0"/>
    <x v="1"/>
  </r>
  <r>
    <n v="93807"/>
    <x v="5"/>
    <x v="2"/>
    <x v="73"/>
    <x v="4"/>
    <x v="79"/>
    <x v="0"/>
    <d v="2024-07-02T00:00:00"/>
    <d v="2024-07-31T00:00:00"/>
    <x v="1"/>
    <x v="79"/>
    <x v="0"/>
    <x v="0"/>
    <x v="0"/>
    <x v="0"/>
    <x v="0"/>
    <x v="0"/>
  </r>
  <r>
    <n v="97505"/>
    <x v="7"/>
    <x v="3"/>
    <x v="74"/>
    <x v="1"/>
    <x v="80"/>
    <x v="2"/>
    <d v="2024-10-03T00:00:00"/>
    <d v="2024-10-12T00:00:00"/>
    <x v="2"/>
    <x v="80"/>
    <x v="0"/>
    <x v="0"/>
    <x v="0"/>
    <x v="0"/>
    <x v="0"/>
    <x v="0"/>
  </r>
  <r>
    <n v="28777"/>
    <x v="13"/>
    <x v="3"/>
    <x v="75"/>
    <x v="5"/>
    <x v="81"/>
    <x v="1"/>
    <d v="2024-08-20T00:00:00"/>
    <d v="2024-09-05T00:00:00"/>
    <x v="0"/>
    <x v="81"/>
    <x v="0"/>
    <x v="0"/>
    <x v="0"/>
    <x v="0"/>
    <x v="0"/>
    <x v="0"/>
  </r>
  <r>
    <n v="20478"/>
    <x v="14"/>
    <x v="4"/>
    <x v="76"/>
    <x v="2"/>
    <x v="82"/>
    <x v="0"/>
    <d v="2024-02-16T00:00:00"/>
    <d v="2024-03-13T00:00:00"/>
    <x v="1"/>
    <x v="82"/>
    <x v="0"/>
    <x v="0"/>
    <x v="0"/>
    <x v="0"/>
    <x v="0"/>
    <x v="0"/>
  </r>
  <r>
    <n v="60428"/>
    <x v="16"/>
    <x v="3"/>
    <x v="77"/>
    <x v="4"/>
    <x v="83"/>
    <x v="2"/>
    <d v="2024-04-22T00:00:00"/>
    <d v="2024-05-31T00:00:00"/>
    <x v="1"/>
    <x v="83"/>
    <x v="1"/>
    <x v="11"/>
    <x v="1"/>
    <x v="1"/>
    <x v="1"/>
    <x v="1"/>
  </r>
  <r>
    <n v="15122"/>
    <x v="15"/>
    <x v="4"/>
    <x v="78"/>
    <x v="3"/>
    <x v="84"/>
    <x v="0"/>
    <d v="2024-01-14T00:00:00"/>
    <d v="2024-01-25T00:00:00"/>
    <x v="1"/>
    <x v="84"/>
    <x v="0"/>
    <x v="0"/>
    <x v="0"/>
    <x v="0"/>
    <x v="0"/>
    <x v="1"/>
  </r>
  <r>
    <n v="48518"/>
    <x v="0"/>
    <x v="0"/>
    <x v="79"/>
    <x v="3"/>
    <x v="85"/>
    <x v="4"/>
    <d v="2024-01-15T00:00:00"/>
    <d v="2024-02-13T00:00:00"/>
    <x v="2"/>
    <x v="85"/>
    <x v="0"/>
    <x v="0"/>
    <x v="0"/>
    <x v="0"/>
    <x v="0"/>
    <x v="0"/>
  </r>
  <r>
    <n v="13596"/>
    <x v="8"/>
    <x v="1"/>
    <x v="80"/>
    <x v="5"/>
    <x v="86"/>
    <x v="2"/>
    <d v="2024-10-26T00:00:00"/>
    <d v="2024-11-24T00:00:00"/>
    <x v="0"/>
    <x v="86"/>
    <x v="0"/>
    <x v="0"/>
    <x v="0"/>
    <x v="0"/>
    <x v="0"/>
    <x v="1"/>
  </r>
  <r>
    <n v="89905"/>
    <x v="4"/>
    <x v="0"/>
    <x v="81"/>
    <x v="2"/>
    <x v="87"/>
    <x v="3"/>
    <d v="2024-04-20T00:00:00"/>
    <d v="2024-05-16T00:00:00"/>
    <x v="1"/>
    <x v="87"/>
    <x v="0"/>
    <x v="0"/>
    <x v="0"/>
    <x v="0"/>
    <x v="0"/>
    <x v="0"/>
  </r>
  <r>
    <n v="85703"/>
    <x v="14"/>
    <x v="4"/>
    <x v="82"/>
    <x v="5"/>
    <x v="88"/>
    <x v="0"/>
    <d v="2024-11-15T00:00:00"/>
    <d v="2024-12-23T00:00:00"/>
    <x v="0"/>
    <x v="88"/>
    <x v="1"/>
    <x v="0"/>
    <x v="0"/>
    <x v="0"/>
    <x v="0"/>
    <x v="1"/>
  </r>
  <r>
    <n v="81158"/>
    <x v="16"/>
    <x v="3"/>
    <x v="65"/>
    <x v="1"/>
    <x v="89"/>
    <x v="2"/>
    <d v="2024-07-16T00:00:00"/>
    <d v="2024-07-26T00:00:00"/>
    <x v="2"/>
    <x v="89"/>
    <x v="0"/>
    <x v="0"/>
    <x v="0"/>
    <x v="0"/>
    <x v="0"/>
    <x v="0"/>
  </r>
  <r>
    <n v="23046"/>
    <x v="5"/>
    <x v="2"/>
    <x v="83"/>
    <x v="5"/>
    <x v="90"/>
    <x v="0"/>
    <d v="2024-11-06T00:00:00"/>
    <d v="2024-11-19T00:00:00"/>
    <x v="1"/>
    <x v="90"/>
    <x v="0"/>
    <x v="0"/>
    <x v="0"/>
    <x v="0"/>
    <x v="0"/>
    <x v="0"/>
  </r>
  <r>
    <n v="97886"/>
    <x v="7"/>
    <x v="3"/>
    <x v="31"/>
    <x v="6"/>
    <x v="91"/>
    <x v="3"/>
    <d v="2024-08-07T00:00:00"/>
    <d v="2024-08-22T00:00:00"/>
    <x v="2"/>
    <x v="91"/>
    <x v="0"/>
    <x v="0"/>
    <x v="0"/>
    <x v="0"/>
    <x v="0"/>
    <x v="1"/>
  </r>
  <r>
    <n v="16469"/>
    <x v="5"/>
    <x v="2"/>
    <x v="61"/>
    <x v="3"/>
    <x v="92"/>
    <x v="1"/>
    <d v="2024-01-26T00:00:00"/>
    <d v="2024-02-04T00:00:00"/>
    <x v="2"/>
    <x v="92"/>
    <x v="0"/>
    <x v="0"/>
    <x v="0"/>
    <x v="0"/>
    <x v="0"/>
    <x v="0"/>
  </r>
  <r>
    <n v="88477"/>
    <x v="12"/>
    <x v="0"/>
    <x v="84"/>
    <x v="2"/>
    <x v="93"/>
    <x v="4"/>
    <d v="2024-05-19T00:00:00"/>
    <d v="2024-05-24T00:00:00"/>
    <x v="2"/>
    <x v="93"/>
    <x v="0"/>
    <x v="0"/>
    <x v="0"/>
    <x v="0"/>
    <x v="0"/>
    <x v="0"/>
  </r>
  <r>
    <n v="69383"/>
    <x v="3"/>
    <x v="2"/>
    <x v="85"/>
    <x v="1"/>
    <x v="94"/>
    <x v="1"/>
    <d v="2024-06-09T00:00:00"/>
    <d v="2024-06-19T00:00:00"/>
    <x v="0"/>
    <x v="94"/>
    <x v="0"/>
    <x v="0"/>
    <x v="0"/>
    <x v="0"/>
    <x v="0"/>
    <x v="0"/>
  </r>
  <r>
    <n v="29216"/>
    <x v="11"/>
    <x v="4"/>
    <x v="86"/>
    <x v="3"/>
    <x v="95"/>
    <x v="3"/>
    <d v="2024-11-14T00:00:00"/>
    <d v="2024-11-27T00:00:00"/>
    <x v="1"/>
    <x v="95"/>
    <x v="1"/>
    <x v="12"/>
    <x v="1"/>
    <x v="1"/>
    <x v="1"/>
    <x v="1"/>
  </r>
  <r>
    <n v="77444"/>
    <x v="5"/>
    <x v="2"/>
    <x v="87"/>
    <x v="2"/>
    <x v="96"/>
    <x v="0"/>
    <d v="2024-08-23T00:00:00"/>
    <d v="2024-09-10T00:00:00"/>
    <x v="0"/>
    <x v="96"/>
    <x v="0"/>
    <x v="0"/>
    <x v="0"/>
    <x v="0"/>
    <x v="0"/>
    <x v="0"/>
  </r>
  <r>
    <n v="18007"/>
    <x v="15"/>
    <x v="4"/>
    <x v="45"/>
    <x v="2"/>
    <x v="97"/>
    <x v="0"/>
    <d v="2024-02-29T00:00:00"/>
    <d v="2024-04-02T00:00:00"/>
    <x v="0"/>
    <x v="97"/>
    <x v="0"/>
    <x v="0"/>
    <x v="0"/>
    <x v="0"/>
    <x v="0"/>
    <x v="1"/>
  </r>
  <r>
    <n v="29282"/>
    <x v="13"/>
    <x v="3"/>
    <x v="88"/>
    <x v="5"/>
    <x v="98"/>
    <x v="0"/>
    <d v="2024-06-13T00:00:00"/>
    <d v="2024-06-22T00:00:00"/>
    <x v="2"/>
    <x v="98"/>
    <x v="0"/>
    <x v="0"/>
    <x v="0"/>
    <x v="0"/>
    <x v="0"/>
    <x v="0"/>
  </r>
  <r>
    <n v="53303"/>
    <x v="11"/>
    <x v="4"/>
    <x v="56"/>
    <x v="2"/>
    <x v="99"/>
    <x v="0"/>
    <d v="2024-03-29T00:00:00"/>
    <d v="2024-04-20T00:00:00"/>
    <x v="0"/>
    <x v="99"/>
    <x v="0"/>
    <x v="0"/>
    <x v="0"/>
    <x v="0"/>
    <x v="0"/>
    <x v="0"/>
  </r>
  <r>
    <n v="21246"/>
    <x v="9"/>
    <x v="1"/>
    <x v="89"/>
    <x v="6"/>
    <x v="100"/>
    <x v="1"/>
    <d v="2024-05-24T00:00:00"/>
    <d v="2024-06-30T00:00:00"/>
    <x v="2"/>
    <x v="100"/>
    <x v="1"/>
    <x v="13"/>
    <x v="1"/>
    <x v="1"/>
    <x v="1"/>
    <x v="1"/>
  </r>
  <r>
    <n v="93122"/>
    <x v="7"/>
    <x v="3"/>
    <x v="24"/>
    <x v="0"/>
    <x v="101"/>
    <x v="1"/>
    <d v="2024-07-16T00:00:00"/>
    <d v="2024-07-26T00:00:00"/>
    <x v="1"/>
    <x v="101"/>
    <x v="0"/>
    <x v="0"/>
    <x v="0"/>
    <x v="0"/>
    <x v="0"/>
    <x v="1"/>
  </r>
  <r>
    <n v="54028"/>
    <x v="16"/>
    <x v="3"/>
    <x v="90"/>
    <x v="5"/>
    <x v="102"/>
    <x v="4"/>
    <d v="2024-06-05T00:00:00"/>
    <d v="2024-07-12T00:00:00"/>
    <x v="1"/>
    <x v="102"/>
    <x v="0"/>
    <x v="0"/>
    <x v="0"/>
    <x v="0"/>
    <x v="0"/>
    <x v="0"/>
  </r>
  <r>
    <n v="53872"/>
    <x v="2"/>
    <x v="1"/>
    <x v="91"/>
    <x v="5"/>
    <x v="103"/>
    <x v="4"/>
    <d v="2024-01-05T00:00:00"/>
    <d v="2024-01-19T00:00:00"/>
    <x v="1"/>
    <x v="103"/>
    <x v="0"/>
    <x v="0"/>
    <x v="0"/>
    <x v="0"/>
    <x v="0"/>
    <x v="1"/>
  </r>
  <r>
    <n v="74772"/>
    <x v="0"/>
    <x v="0"/>
    <x v="92"/>
    <x v="4"/>
    <x v="104"/>
    <x v="4"/>
    <d v="2024-06-05T00:00:00"/>
    <d v="2024-06-17T00:00:00"/>
    <x v="1"/>
    <x v="104"/>
    <x v="0"/>
    <x v="0"/>
    <x v="0"/>
    <x v="0"/>
    <x v="0"/>
    <x v="0"/>
  </r>
  <r>
    <n v="81315"/>
    <x v="1"/>
    <x v="0"/>
    <x v="93"/>
    <x v="3"/>
    <x v="105"/>
    <x v="0"/>
    <d v="2024-04-24T00:00:00"/>
    <d v="2024-05-24T00:00:00"/>
    <x v="2"/>
    <x v="105"/>
    <x v="0"/>
    <x v="0"/>
    <x v="0"/>
    <x v="0"/>
    <x v="0"/>
    <x v="0"/>
  </r>
  <r>
    <n v="85993"/>
    <x v="11"/>
    <x v="4"/>
    <x v="94"/>
    <x v="6"/>
    <x v="106"/>
    <x v="4"/>
    <d v="2024-10-28T00:00:00"/>
    <d v="2024-11-13T00:00:00"/>
    <x v="2"/>
    <x v="106"/>
    <x v="1"/>
    <x v="14"/>
    <x v="1"/>
    <x v="1"/>
    <x v="1"/>
    <x v="1"/>
  </r>
  <r>
    <n v="49915"/>
    <x v="14"/>
    <x v="4"/>
    <x v="95"/>
    <x v="6"/>
    <x v="107"/>
    <x v="2"/>
    <d v="2024-06-19T00:00:00"/>
    <d v="2024-07-05T00:00:00"/>
    <x v="0"/>
    <x v="107"/>
    <x v="0"/>
    <x v="0"/>
    <x v="0"/>
    <x v="0"/>
    <x v="0"/>
    <x v="0"/>
  </r>
  <r>
    <n v="96066"/>
    <x v="7"/>
    <x v="3"/>
    <x v="96"/>
    <x v="3"/>
    <x v="108"/>
    <x v="4"/>
    <d v="2024-10-13T00:00:00"/>
    <d v="2024-10-26T00:00:00"/>
    <x v="2"/>
    <x v="108"/>
    <x v="0"/>
    <x v="0"/>
    <x v="0"/>
    <x v="0"/>
    <x v="0"/>
    <x v="0"/>
  </r>
  <r>
    <n v="11645"/>
    <x v="2"/>
    <x v="1"/>
    <x v="97"/>
    <x v="6"/>
    <x v="109"/>
    <x v="2"/>
    <d v="2024-04-10T00:00:00"/>
    <d v="2024-05-05T00:00:00"/>
    <x v="2"/>
    <x v="109"/>
    <x v="0"/>
    <x v="0"/>
    <x v="0"/>
    <x v="0"/>
    <x v="0"/>
    <x v="1"/>
  </r>
  <r>
    <n v="85060"/>
    <x v="8"/>
    <x v="1"/>
    <x v="98"/>
    <x v="5"/>
    <x v="110"/>
    <x v="3"/>
    <d v="2024-05-28T00:00:00"/>
    <d v="2024-06-10T00:00:00"/>
    <x v="2"/>
    <x v="110"/>
    <x v="0"/>
    <x v="0"/>
    <x v="0"/>
    <x v="0"/>
    <x v="0"/>
    <x v="0"/>
  </r>
  <r>
    <n v="83509"/>
    <x v="0"/>
    <x v="0"/>
    <x v="99"/>
    <x v="3"/>
    <x v="111"/>
    <x v="1"/>
    <d v="2024-03-03T00:00:00"/>
    <d v="2024-04-01T00:00:00"/>
    <x v="1"/>
    <x v="111"/>
    <x v="0"/>
    <x v="0"/>
    <x v="0"/>
    <x v="0"/>
    <x v="0"/>
    <x v="0"/>
  </r>
  <r>
    <n v="77526"/>
    <x v="15"/>
    <x v="4"/>
    <x v="100"/>
    <x v="0"/>
    <x v="112"/>
    <x v="2"/>
    <d v="2024-12-29T00:00:00"/>
    <d v="2025-01-26T00:00:00"/>
    <x v="2"/>
    <x v="112"/>
    <x v="0"/>
    <x v="0"/>
    <x v="0"/>
    <x v="0"/>
    <x v="0"/>
    <x v="0"/>
  </r>
  <r>
    <n v="20395"/>
    <x v="7"/>
    <x v="3"/>
    <x v="101"/>
    <x v="2"/>
    <x v="113"/>
    <x v="1"/>
    <d v="2024-05-29T00:00:00"/>
    <d v="2024-06-28T00:00:00"/>
    <x v="0"/>
    <x v="113"/>
    <x v="0"/>
    <x v="0"/>
    <x v="0"/>
    <x v="0"/>
    <x v="0"/>
    <x v="0"/>
  </r>
  <r>
    <n v="31566"/>
    <x v="9"/>
    <x v="1"/>
    <x v="102"/>
    <x v="4"/>
    <x v="114"/>
    <x v="4"/>
    <d v="2024-05-27T00:00:00"/>
    <d v="2024-06-22T00:00:00"/>
    <x v="0"/>
    <x v="114"/>
    <x v="0"/>
    <x v="0"/>
    <x v="0"/>
    <x v="0"/>
    <x v="0"/>
    <x v="0"/>
  </r>
  <r>
    <n v="12717"/>
    <x v="8"/>
    <x v="1"/>
    <x v="70"/>
    <x v="6"/>
    <x v="115"/>
    <x v="4"/>
    <d v="2024-07-29T00:00:00"/>
    <d v="2024-09-03T00:00:00"/>
    <x v="0"/>
    <x v="115"/>
    <x v="0"/>
    <x v="0"/>
    <x v="0"/>
    <x v="0"/>
    <x v="0"/>
    <x v="0"/>
  </r>
  <r>
    <n v="16645"/>
    <x v="16"/>
    <x v="3"/>
    <x v="103"/>
    <x v="0"/>
    <x v="116"/>
    <x v="2"/>
    <d v="2024-03-18T00:00:00"/>
    <d v="2024-03-24T00:00:00"/>
    <x v="0"/>
    <x v="116"/>
    <x v="0"/>
    <x v="0"/>
    <x v="0"/>
    <x v="0"/>
    <x v="0"/>
    <x v="0"/>
  </r>
  <r>
    <n v="22342"/>
    <x v="11"/>
    <x v="4"/>
    <x v="104"/>
    <x v="0"/>
    <x v="117"/>
    <x v="0"/>
    <d v="2024-09-20T00:00:00"/>
    <d v="2024-10-23T00:00:00"/>
    <x v="2"/>
    <x v="117"/>
    <x v="0"/>
    <x v="0"/>
    <x v="0"/>
    <x v="0"/>
    <x v="0"/>
    <x v="0"/>
  </r>
  <r>
    <n v="36399"/>
    <x v="15"/>
    <x v="4"/>
    <x v="105"/>
    <x v="3"/>
    <x v="118"/>
    <x v="1"/>
    <d v="2024-03-27T00:00:00"/>
    <d v="2024-04-28T00:00:00"/>
    <x v="1"/>
    <x v="118"/>
    <x v="0"/>
    <x v="0"/>
    <x v="0"/>
    <x v="0"/>
    <x v="0"/>
    <x v="0"/>
  </r>
  <r>
    <n v="66373"/>
    <x v="7"/>
    <x v="3"/>
    <x v="106"/>
    <x v="2"/>
    <x v="119"/>
    <x v="3"/>
    <d v="2024-09-11T00:00:00"/>
    <d v="2024-09-23T00:00:00"/>
    <x v="1"/>
    <x v="119"/>
    <x v="0"/>
    <x v="0"/>
    <x v="0"/>
    <x v="0"/>
    <x v="0"/>
    <x v="0"/>
  </r>
  <r>
    <n v="83506"/>
    <x v="6"/>
    <x v="3"/>
    <x v="107"/>
    <x v="2"/>
    <x v="120"/>
    <x v="0"/>
    <d v="2024-09-20T00:00:00"/>
    <d v="2024-10-28T00:00:00"/>
    <x v="0"/>
    <x v="120"/>
    <x v="0"/>
    <x v="0"/>
    <x v="0"/>
    <x v="0"/>
    <x v="0"/>
    <x v="1"/>
  </r>
  <r>
    <n v="26032"/>
    <x v="13"/>
    <x v="3"/>
    <x v="51"/>
    <x v="6"/>
    <x v="121"/>
    <x v="4"/>
    <d v="2024-01-07T00:00:00"/>
    <d v="2024-01-21T00:00:00"/>
    <x v="1"/>
    <x v="121"/>
    <x v="0"/>
    <x v="0"/>
    <x v="0"/>
    <x v="0"/>
    <x v="0"/>
    <x v="1"/>
  </r>
  <r>
    <n v="33236"/>
    <x v="6"/>
    <x v="3"/>
    <x v="108"/>
    <x v="1"/>
    <x v="122"/>
    <x v="2"/>
    <d v="2024-01-02T00:00:00"/>
    <d v="2024-01-07T00:00:00"/>
    <x v="1"/>
    <x v="122"/>
    <x v="1"/>
    <x v="15"/>
    <x v="1"/>
    <x v="1"/>
    <x v="1"/>
    <x v="1"/>
  </r>
  <r>
    <n v="43572"/>
    <x v="15"/>
    <x v="4"/>
    <x v="30"/>
    <x v="0"/>
    <x v="123"/>
    <x v="3"/>
    <d v="2024-01-20T00:00:00"/>
    <d v="2024-01-29T00:00:00"/>
    <x v="2"/>
    <x v="123"/>
    <x v="0"/>
    <x v="0"/>
    <x v="0"/>
    <x v="0"/>
    <x v="0"/>
    <x v="0"/>
  </r>
  <r>
    <n v="55648"/>
    <x v="7"/>
    <x v="3"/>
    <x v="109"/>
    <x v="4"/>
    <x v="124"/>
    <x v="1"/>
    <d v="2024-12-29T00:00:00"/>
    <d v="2025-01-26T00:00:00"/>
    <x v="2"/>
    <x v="124"/>
    <x v="0"/>
    <x v="0"/>
    <x v="0"/>
    <x v="0"/>
    <x v="0"/>
    <x v="0"/>
  </r>
  <r>
    <n v="88344"/>
    <x v="5"/>
    <x v="2"/>
    <x v="110"/>
    <x v="2"/>
    <x v="125"/>
    <x v="1"/>
    <d v="2024-07-27T00:00:00"/>
    <d v="2024-08-14T00:00:00"/>
    <x v="0"/>
    <x v="125"/>
    <x v="0"/>
    <x v="0"/>
    <x v="0"/>
    <x v="0"/>
    <x v="0"/>
    <x v="0"/>
  </r>
  <r>
    <n v="86908"/>
    <x v="9"/>
    <x v="1"/>
    <x v="111"/>
    <x v="5"/>
    <x v="126"/>
    <x v="1"/>
    <d v="2024-01-04T00:00:00"/>
    <d v="2024-02-03T00:00:00"/>
    <x v="1"/>
    <x v="126"/>
    <x v="0"/>
    <x v="0"/>
    <x v="0"/>
    <x v="0"/>
    <x v="0"/>
    <x v="1"/>
  </r>
  <r>
    <n v="49952"/>
    <x v="6"/>
    <x v="3"/>
    <x v="112"/>
    <x v="3"/>
    <x v="127"/>
    <x v="4"/>
    <d v="2024-02-11T00:00:00"/>
    <d v="2024-03-20T00:00:00"/>
    <x v="0"/>
    <x v="127"/>
    <x v="0"/>
    <x v="0"/>
    <x v="0"/>
    <x v="0"/>
    <x v="0"/>
    <x v="0"/>
  </r>
  <r>
    <n v="92565"/>
    <x v="15"/>
    <x v="4"/>
    <x v="99"/>
    <x v="3"/>
    <x v="128"/>
    <x v="0"/>
    <d v="2024-01-27T00:00:00"/>
    <d v="2024-03-02T00:00:00"/>
    <x v="2"/>
    <x v="128"/>
    <x v="0"/>
    <x v="0"/>
    <x v="0"/>
    <x v="0"/>
    <x v="0"/>
    <x v="0"/>
  </r>
  <r>
    <n v="48709"/>
    <x v="0"/>
    <x v="0"/>
    <x v="113"/>
    <x v="6"/>
    <x v="129"/>
    <x v="0"/>
    <d v="2024-07-08T00:00:00"/>
    <d v="2024-07-14T00:00:00"/>
    <x v="0"/>
    <x v="129"/>
    <x v="0"/>
    <x v="0"/>
    <x v="0"/>
    <x v="0"/>
    <x v="0"/>
    <x v="1"/>
  </r>
  <r>
    <n v="99599"/>
    <x v="10"/>
    <x v="2"/>
    <x v="114"/>
    <x v="0"/>
    <x v="130"/>
    <x v="2"/>
    <d v="2024-05-28T00:00:00"/>
    <d v="2024-06-12T00:00:00"/>
    <x v="0"/>
    <x v="130"/>
    <x v="0"/>
    <x v="0"/>
    <x v="0"/>
    <x v="0"/>
    <x v="0"/>
    <x v="0"/>
  </r>
  <r>
    <n v="14853"/>
    <x v="3"/>
    <x v="2"/>
    <x v="115"/>
    <x v="0"/>
    <x v="131"/>
    <x v="4"/>
    <d v="2024-02-24T00:00:00"/>
    <d v="2024-03-23T00:00:00"/>
    <x v="0"/>
    <x v="131"/>
    <x v="0"/>
    <x v="0"/>
    <x v="0"/>
    <x v="0"/>
    <x v="0"/>
    <x v="0"/>
  </r>
  <r>
    <n v="57304"/>
    <x v="15"/>
    <x v="4"/>
    <x v="116"/>
    <x v="0"/>
    <x v="132"/>
    <x v="1"/>
    <d v="2024-12-02T00:00:00"/>
    <d v="2025-01-09T00:00:00"/>
    <x v="2"/>
    <x v="132"/>
    <x v="0"/>
    <x v="0"/>
    <x v="0"/>
    <x v="0"/>
    <x v="0"/>
    <x v="0"/>
  </r>
  <r>
    <n v="23350"/>
    <x v="16"/>
    <x v="3"/>
    <x v="111"/>
    <x v="2"/>
    <x v="133"/>
    <x v="0"/>
    <d v="2024-03-01T00:00:00"/>
    <d v="2024-03-30T00:00:00"/>
    <x v="1"/>
    <x v="133"/>
    <x v="0"/>
    <x v="0"/>
    <x v="0"/>
    <x v="0"/>
    <x v="0"/>
    <x v="0"/>
  </r>
  <r>
    <n v="33051"/>
    <x v="14"/>
    <x v="4"/>
    <x v="117"/>
    <x v="4"/>
    <x v="134"/>
    <x v="0"/>
    <d v="2024-04-11T00:00:00"/>
    <d v="2024-05-19T00:00:00"/>
    <x v="0"/>
    <x v="134"/>
    <x v="0"/>
    <x v="0"/>
    <x v="0"/>
    <x v="0"/>
    <x v="0"/>
    <x v="1"/>
  </r>
  <r>
    <n v="11341"/>
    <x v="12"/>
    <x v="0"/>
    <x v="118"/>
    <x v="1"/>
    <x v="135"/>
    <x v="0"/>
    <d v="2024-02-26T00:00:00"/>
    <d v="2024-03-13T00:00:00"/>
    <x v="1"/>
    <x v="135"/>
    <x v="0"/>
    <x v="0"/>
    <x v="0"/>
    <x v="0"/>
    <x v="0"/>
    <x v="0"/>
  </r>
  <r>
    <n v="25896"/>
    <x v="16"/>
    <x v="3"/>
    <x v="110"/>
    <x v="1"/>
    <x v="136"/>
    <x v="1"/>
    <d v="2024-07-16T00:00:00"/>
    <d v="2024-07-28T00:00:00"/>
    <x v="0"/>
    <x v="136"/>
    <x v="0"/>
    <x v="0"/>
    <x v="0"/>
    <x v="0"/>
    <x v="0"/>
    <x v="1"/>
  </r>
  <r>
    <n v="47641"/>
    <x v="12"/>
    <x v="0"/>
    <x v="119"/>
    <x v="3"/>
    <x v="137"/>
    <x v="3"/>
    <d v="2024-01-26T00:00:00"/>
    <d v="2024-03-02T00:00:00"/>
    <x v="1"/>
    <x v="137"/>
    <x v="0"/>
    <x v="0"/>
    <x v="0"/>
    <x v="0"/>
    <x v="0"/>
    <x v="1"/>
  </r>
  <r>
    <n v="79768"/>
    <x v="14"/>
    <x v="4"/>
    <x v="120"/>
    <x v="3"/>
    <x v="138"/>
    <x v="0"/>
    <d v="2024-11-30T00:00:00"/>
    <d v="2024-12-11T00:00:00"/>
    <x v="2"/>
    <x v="138"/>
    <x v="0"/>
    <x v="0"/>
    <x v="0"/>
    <x v="0"/>
    <x v="0"/>
    <x v="1"/>
  </r>
  <r>
    <n v="99613"/>
    <x v="3"/>
    <x v="2"/>
    <x v="121"/>
    <x v="3"/>
    <x v="139"/>
    <x v="0"/>
    <d v="2024-04-12T00:00:00"/>
    <d v="2024-05-03T00:00:00"/>
    <x v="0"/>
    <x v="139"/>
    <x v="0"/>
    <x v="0"/>
    <x v="0"/>
    <x v="0"/>
    <x v="0"/>
    <x v="0"/>
  </r>
  <r>
    <n v="88187"/>
    <x v="15"/>
    <x v="4"/>
    <x v="122"/>
    <x v="0"/>
    <x v="140"/>
    <x v="3"/>
    <d v="2024-07-01T00:00:00"/>
    <d v="2024-07-28T00:00:00"/>
    <x v="0"/>
    <x v="140"/>
    <x v="0"/>
    <x v="0"/>
    <x v="0"/>
    <x v="0"/>
    <x v="0"/>
    <x v="0"/>
  </r>
  <r>
    <n v="84038"/>
    <x v="8"/>
    <x v="1"/>
    <x v="123"/>
    <x v="2"/>
    <x v="141"/>
    <x v="0"/>
    <d v="2024-04-17T00:00:00"/>
    <d v="2024-04-23T00:00:00"/>
    <x v="2"/>
    <x v="141"/>
    <x v="0"/>
    <x v="0"/>
    <x v="0"/>
    <x v="0"/>
    <x v="0"/>
    <x v="0"/>
  </r>
  <r>
    <n v="23919"/>
    <x v="11"/>
    <x v="4"/>
    <x v="124"/>
    <x v="6"/>
    <x v="142"/>
    <x v="0"/>
    <d v="2024-09-30T00:00:00"/>
    <d v="2024-11-05T00:00:00"/>
    <x v="1"/>
    <x v="142"/>
    <x v="0"/>
    <x v="0"/>
    <x v="0"/>
    <x v="0"/>
    <x v="0"/>
    <x v="1"/>
  </r>
  <r>
    <n v="95431"/>
    <x v="0"/>
    <x v="0"/>
    <x v="125"/>
    <x v="2"/>
    <x v="143"/>
    <x v="2"/>
    <d v="2024-09-01T00:00:00"/>
    <d v="2024-09-21T00:00:00"/>
    <x v="1"/>
    <x v="143"/>
    <x v="0"/>
    <x v="0"/>
    <x v="0"/>
    <x v="0"/>
    <x v="0"/>
    <x v="0"/>
  </r>
  <r>
    <n v="20816"/>
    <x v="2"/>
    <x v="1"/>
    <x v="126"/>
    <x v="2"/>
    <x v="144"/>
    <x v="3"/>
    <d v="2024-12-05T00:00:00"/>
    <d v="2024-12-14T00:00:00"/>
    <x v="1"/>
    <x v="144"/>
    <x v="0"/>
    <x v="0"/>
    <x v="0"/>
    <x v="0"/>
    <x v="0"/>
    <x v="0"/>
  </r>
  <r>
    <n v="67775"/>
    <x v="13"/>
    <x v="3"/>
    <x v="127"/>
    <x v="5"/>
    <x v="145"/>
    <x v="3"/>
    <d v="2024-05-25T00:00:00"/>
    <d v="2024-06-23T00:00:00"/>
    <x v="0"/>
    <x v="145"/>
    <x v="0"/>
    <x v="0"/>
    <x v="0"/>
    <x v="0"/>
    <x v="0"/>
    <x v="0"/>
  </r>
  <r>
    <n v="10806"/>
    <x v="9"/>
    <x v="1"/>
    <x v="118"/>
    <x v="2"/>
    <x v="146"/>
    <x v="0"/>
    <d v="2024-05-19T00:00:00"/>
    <d v="2024-05-29T00:00:00"/>
    <x v="2"/>
    <x v="146"/>
    <x v="0"/>
    <x v="0"/>
    <x v="0"/>
    <x v="0"/>
    <x v="0"/>
    <x v="0"/>
  </r>
  <r>
    <n v="66979"/>
    <x v="13"/>
    <x v="3"/>
    <x v="128"/>
    <x v="6"/>
    <x v="147"/>
    <x v="4"/>
    <d v="2024-02-28T00:00:00"/>
    <d v="2024-03-11T00:00:00"/>
    <x v="1"/>
    <x v="147"/>
    <x v="0"/>
    <x v="0"/>
    <x v="0"/>
    <x v="0"/>
    <x v="0"/>
    <x v="1"/>
  </r>
  <r>
    <n v="92856"/>
    <x v="6"/>
    <x v="3"/>
    <x v="129"/>
    <x v="5"/>
    <x v="148"/>
    <x v="3"/>
    <d v="2024-08-13T00:00:00"/>
    <d v="2024-09-12T00:00:00"/>
    <x v="2"/>
    <x v="148"/>
    <x v="0"/>
    <x v="0"/>
    <x v="0"/>
    <x v="0"/>
    <x v="0"/>
    <x v="0"/>
  </r>
  <r>
    <n v="86898"/>
    <x v="5"/>
    <x v="2"/>
    <x v="130"/>
    <x v="1"/>
    <x v="149"/>
    <x v="2"/>
    <d v="2024-08-02T00:00:00"/>
    <d v="2024-08-15T00:00:00"/>
    <x v="2"/>
    <x v="149"/>
    <x v="1"/>
    <x v="16"/>
    <x v="1"/>
    <x v="1"/>
    <x v="1"/>
    <x v="1"/>
  </r>
  <r>
    <n v="34578"/>
    <x v="8"/>
    <x v="1"/>
    <x v="131"/>
    <x v="3"/>
    <x v="150"/>
    <x v="0"/>
    <d v="2024-12-03T00:00:00"/>
    <d v="2024-12-24T00:00:00"/>
    <x v="2"/>
    <x v="150"/>
    <x v="0"/>
    <x v="0"/>
    <x v="0"/>
    <x v="0"/>
    <x v="0"/>
    <x v="0"/>
  </r>
  <r>
    <n v="93300"/>
    <x v="7"/>
    <x v="3"/>
    <x v="132"/>
    <x v="6"/>
    <x v="151"/>
    <x v="1"/>
    <d v="2024-03-08T00:00:00"/>
    <d v="2024-03-26T00:00:00"/>
    <x v="1"/>
    <x v="151"/>
    <x v="0"/>
    <x v="0"/>
    <x v="0"/>
    <x v="0"/>
    <x v="0"/>
    <x v="1"/>
  </r>
  <r>
    <n v="98801"/>
    <x v="9"/>
    <x v="1"/>
    <x v="133"/>
    <x v="4"/>
    <x v="152"/>
    <x v="2"/>
    <d v="2024-07-13T00:00:00"/>
    <d v="2024-08-11T00:00:00"/>
    <x v="2"/>
    <x v="152"/>
    <x v="0"/>
    <x v="0"/>
    <x v="0"/>
    <x v="0"/>
    <x v="0"/>
    <x v="1"/>
  </r>
  <r>
    <n v="43742"/>
    <x v="9"/>
    <x v="1"/>
    <x v="134"/>
    <x v="2"/>
    <x v="153"/>
    <x v="0"/>
    <d v="2024-08-13T00:00:00"/>
    <d v="2024-09-10T00:00:00"/>
    <x v="0"/>
    <x v="153"/>
    <x v="0"/>
    <x v="0"/>
    <x v="0"/>
    <x v="0"/>
    <x v="0"/>
    <x v="1"/>
  </r>
  <r>
    <n v="96988"/>
    <x v="11"/>
    <x v="4"/>
    <x v="135"/>
    <x v="1"/>
    <x v="154"/>
    <x v="3"/>
    <d v="2024-10-10T00:00:00"/>
    <d v="2024-10-19T00:00:00"/>
    <x v="2"/>
    <x v="154"/>
    <x v="0"/>
    <x v="0"/>
    <x v="0"/>
    <x v="0"/>
    <x v="0"/>
    <x v="0"/>
  </r>
  <r>
    <n v="81719"/>
    <x v="7"/>
    <x v="3"/>
    <x v="83"/>
    <x v="1"/>
    <x v="155"/>
    <x v="0"/>
    <d v="2024-11-18T00:00:00"/>
    <d v="2024-12-26T00:00:00"/>
    <x v="0"/>
    <x v="155"/>
    <x v="0"/>
    <x v="0"/>
    <x v="0"/>
    <x v="0"/>
    <x v="0"/>
    <x v="0"/>
  </r>
  <r>
    <n v="75082"/>
    <x v="16"/>
    <x v="3"/>
    <x v="136"/>
    <x v="0"/>
    <x v="156"/>
    <x v="3"/>
    <d v="2024-04-01T00:00:00"/>
    <d v="2024-05-08T00:00:00"/>
    <x v="0"/>
    <x v="156"/>
    <x v="0"/>
    <x v="0"/>
    <x v="0"/>
    <x v="0"/>
    <x v="0"/>
    <x v="0"/>
  </r>
  <r>
    <n v="12469"/>
    <x v="10"/>
    <x v="2"/>
    <x v="137"/>
    <x v="1"/>
    <x v="157"/>
    <x v="2"/>
    <d v="2024-07-09T00:00:00"/>
    <d v="2024-08-09T00:00:00"/>
    <x v="1"/>
    <x v="157"/>
    <x v="0"/>
    <x v="0"/>
    <x v="0"/>
    <x v="0"/>
    <x v="0"/>
    <x v="0"/>
  </r>
  <r>
    <n v="88249"/>
    <x v="6"/>
    <x v="3"/>
    <x v="138"/>
    <x v="3"/>
    <x v="158"/>
    <x v="1"/>
    <d v="2024-01-31T00:00:00"/>
    <d v="2024-02-27T00:00:00"/>
    <x v="1"/>
    <x v="158"/>
    <x v="0"/>
    <x v="0"/>
    <x v="0"/>
    <x v="0"/>
    <x v="0"/>
    <x v="1"/>
  </r>
  <r>
    <n v="67932"/>
    <x v="13"/>
    <x v="3"/>
    <x v="139"/>
    <x v="6"/>
    <x v="159"/>
    <x v="4"/>
    <d v="2024-09-14T00:00:00"/>
    <d v="2024-10-02T00:00:00"/>
    <x v="1"/>
    <x v="159"/>
    <x v="1"/>
    <x v="17"/>
    <x v="1"/>
    <x v="1"/>
    <x v="1"/>
    <x v="1"/>
  </r>
  <r>
    <n v="82545"/>
    <x v="14"/>
    <x v="4"/>
    <x v="140"/>
    <x v="0"/>
    <x v="160"/>
    <x v="2"/>
    <d v="2024-01-17T00:00:00"/>
    <d v="2024-02-21T00:00:00"/>
    <x v="0"/>
    <x v="160"/>
    <x v="0"/>
    <x v="0"/>
    <x v="0"/>
    <x v="0"/>
    <x v="0"/>
    <x v="1"/>
  </r>
  <r>
    <n v="23281"/>
    <x v="5"/>
    <x v="2"/>
    <x v="141"/>
    <x v="5"/>
    <x v="161"/>
    <x v="2"/>
    <d v="2024-08-20T00:00:00"/>
    <d v="2024-09-25T00:00:00"/>
    <x v="1"/>
    <x v="161"/>
    <x v="0"/>
    <x v="0"/>
    <x v="0"/>
    <x v="0"/>
    <x v="0"/>
    <x v="0"/>
  </r>
  <r>
    <n v="60192"/>
    <x v="16"/>
    <x v="3"/>
    <x v="142"/>
    <x v="4"/>
    <x v="162"/>
    <x v="2"/>
    <d v="2024-08-29T00:00:00"/>
    <d v="2024-09-06T00:00:00"/>
    <x v="2"/>
    <x v="162"/>
    <x v="0"/>
    <x v="0"/>
    <x v="0"/>
    <x v="0"/>
    <x v="0"/>
    <x v="0"/>
  </r>
  <r>
    <n v="77889"/>
    <x v="2"/>
    <x v="1"/>
    <x v="143"/>
    <x v="2"/>
    <x v="163"/>
    <x v="4"/>
    <d v="2024-04-29T00:00:00"/>
    <d v="2024-05-21T00:00:00"/>
    <x v="1"/>
    <x v="163"/>
    <x v="0"/>
    <x v="0"/>
    <x v="0"/>
    <x v="0"/>
    <x v="0"/>
    <x v="0"/>
  </r>
  <r>
    <n v="41598"/>
    <x v="10"/>
    <x v="2"/>
    <x v="144"/>
    <x v="6"/>
    <x v="164"/>
    <x v="0"/>
    <d v="2024-02-02T00:00:00"/>
    <d v="2024-02-12T00:00:00"/>
    <x v="1"/>
    <x v="164"/>
    <x v="0"/>
    <x v="0"/>
    <x v="0"/>
    <x v="0"/>
    <x v="0"/>
    <x v="0"/>
  </r>
  <r>
    <n v="24288"/>
    <x v="15"/>
    <x v="4"/>
    <x v="77"/>
    <x v="3"/>
    <x v="165"/>
    <x v="0"/>
    <d v="2024-10-11T00:00:00"/>
    <d v="2024-10-19T00:00:00"/>
    <x v="0"/>
    <x v="165"/>
    <x v="1"/>
    <x v="18"/>
    <x v="1"/>
    <x v="1"/>
    <x v="1"/>
    <x v="1"/>
  </r>
  <r>
    <n v="70545"/>
    <x v="9"/>
    <x v="1"/>
    <x v="0"/>
    <x v="6"/>
    <x v="166"/>
    <x v="2"/>
    <d v="2024-03-15T00:00:00"/>
    <d v="2024-04-20T00:00:00"/>
    <x v="2"/>
    <x v="166"/>
    <x v="0"/>
    <x v="0"/>
    <x v="0"/>
    <x v="0"/>
    <x v="0"/>
    <x v="1"/>
  </r>
  <r>
    <n v="63268"/>
    <x v="3"/>
    <x v="2"/>
    <x v="145"/>
    <x v="2"/>
    <x v="167"/>
    <x v="4"/>
    <d v="2024-04-01T00:00:00"/>
    <d v="2024-05-04T00:00:00"/>
    <x v="1"/>
    <x v="167"/>
    <x v="0"/>
    <x v="0"/>
    <x v="0"/>
    <x v="0"/>
    <x v="0"/>
    <x v="0"/>
  </r>
  <r>
    <n v="86961"/>
    <x v="4"/>
    <x v="0"/>
    <x v="146"/>
    <x v="2"/>
    <x v="168"/>
    <x v="4"/>
    <d v="2024-09-13T00:00:00"/>
    <d v="2024-10-02T00:00:00"/>
    <x v="1"/>
    <x v="168"/>
    <x v="0"/>
    <x v="0"/>
    <x v="0"/>
    <x v="0"/>
    <x v="0"/>
    <x v="0"/>
  </r>
  <r>
    <n v="31563"/>
    <x v="8"/>
    <x v="1"/>
    <x v="147"/>
    <x v="4"/>
    <x v="169"/>
    <x v="3"/>
    <d v="2024-07-26T00:00:00"/>
    <d v="2024-08-26T00:00:00"/>
    <x v="0"/>
    <x v="169"/>
    <x v="0"/>
    <x v="0"/>
    <x v="0"/>
    <x v="0"/>
    <x v="0"/>
    <x v="0"/>
  </r>
  <r>
    <n v="71788"/>
    <x v="16"/>
    <x v="3"/>
    <x v="148"/>
    <x v="6"/>
    <x v="170"/>
    <x v="2"/>
    <d v="2024-02-19T00:00:00"/>
    <d v="2024-03-01T00:00:00"/>
    <x v="0"/>
    <x v="170"/>
    <x v="1"/>
    <x v="19"/>
    <x v="1"/>
    <x v="1"/>
    <x v="1"/>
    <x v="1"/>
  </r>
  <r>
    <n v="21536"/>
    <x v="4"/>
    <x v="0"/>
    <x v="149"/>
    <x v="4"/>
    <x v="171"/>
    <x v="2"/>
    <d v="2024-06-01T00:00:00"/>
    <d v="2024-07-05T00:00:00"/>
    <x v="0"/>
    <x v="171"/>
    <x v="0"/>
    <x v="0"/>
    <x v="0"/>
    <x v="0"/>
    <x v="0"/>
    <x v="0"/>
  </r>
  <r>
    <n v="39759"/>
    <x v="9"/>
    <x v="1"/>
    <x v="150"/>
    <x v="5"/>
    <x v="172"/>
    <x v="4"/>
    <d v="2024-12-09T00:00:00"/>
    <d v="2024-12-21T00:00:00"/>
    <x v="0"/>
    <x v="172"/>
    <x v="0"/>
    <x v="0"/>
    <x v="0"/>
    <x v="0"/>
    <x v="0"/>
    <x v="1"/>
  </r>
  <r>
    <n v="16154"/>
    <x v="13"/>
    <x v="3"/>
    <x v="70"/>
    <x v="3"/>
    <x v="173"/>
    <x v="4"/>
    <d v="2024-04-04T00:00:00"/>
    <d v="2024-05-10T00:00:00"/>
    <x v="0"/>
    <x v="173"/>
    <x v="0"/>
    <x v="0"/>
    <x v="0"/>
    <x v="0"/>
    <x v="0"/>
    <x v="0"/>
  </r>
  <r>
    <n v="49499"/>
    <x v="2"/>
    <x v="1"/>
    <x v="151"/>
    <x v="0"/>
    <x v="174"/>
    <x v="3"/>
    <d v="2024-03-28T00:00:00"/>
    <d v="2024-04-18T00:00:00"/>
    <x v="2"/>
    <x v="174"/>
    <x v="0"/>
    <x v="0"/>
    <x v="0"/>
    <x v="0"/>
    <x v="0"/>
    <x v="0"/>
  </r>
  <r>
    <n v="59153"/>
    <x v="1"/>
    <x v="0"/>
    <x v="101"/>
    <x v="3"/>
    <x v="175"/>
    <x v="3"/>
    <d v="2024-08-29T00:00:00"/>
    <d v="2024-10-05T00:00:00"/>
    <x v="0"/>
    <x v="175"/>
    <x v="0"/>
    <x v="0"/>
    <x v="0"/>
    <x v="0"/>
    <x v="0"/>
    <x v="0"/>
  </r>
  <r>
    <n v="62326"/>
    <x v="8"/>
    <x v="1"/>
    <x v="126"/>
    <x v="2"/>
    <x v="176"/>
    <x v="1"/>
    <d v="2024-06-02T00:00:00"/>
    <d v="2024-06-28T00:00:00"/>
    <x v="2"/>
    <x v="176"/>
    <x v="0"/>
    <x v="0"/>
    <x v="0"/>
    <x v="0"/>
    <x v="0"/>
    <x v="0"/>
  </r>
  <r>
    <n v="67660"/>
    <x v="11"/>
    <x v="4"/>
    <x v="152"/>
    <x v="3"/>
    <x v="177"/>
    <x v="0"/>
    <d v="2024-04-15T00:00:00"/>
    <d v="2024-04-30T00:00:00"/>
    <x v="1"/>
    <x v="177"/>
    <x v="0"/>
    <x v="0"/>
    <x v="0"/>
    <x v="0"/>
    <x v="0"/>
    <x v="0"/>
  </r>
  <r>
    <n v="36289"/>
    <x v="2"/>
    <x v="1"/>
    <x v="153"/>
    <x v="6"/>
    <x v="178"/>
    <x v="2"/>
    <d v="2024-02-10T00:00:00"/>
    <d v="2024-02-26T00:00:00"/>
    <x v="2"/>
    <x v="178"/>
    <x v="1"/>
    <x v="20"/>
    <x v="1"/>
    <x v="1"/>
    <x v="1"/>
    <x v="1"/>
  </r>
  <r>
    <n v="76435"/>
    <x v="4"/>
    <x v="0"/>
    <x v="154"/>
    <x v="0"/>
    <x v="179"/>
    <x v="1"/>
    <d v="2024-03-24T00:00:00"/>
    <d v="2024-04-13T00:00:00"/>
    <x v="2"/>
    <x v="179"/>
    <x v="0"/>
    <x v="0"/>
    <x v="0"/>
    <x v="0"/>
    <x v="0"/>
    <x v="1"/>
  </r>
  <r>
    <n v="25313"/>
    <x v="15"/>
    <x v="4"/>
    <x v="155"/>
    <x v="6"/>
    <x v="180"/>
    <x v="2"/>
    <d v="2024-12-27T00:00:00"/>
    <d v="2025-01-14T00:00:00"/>
    <x v="1"/>
    <x v="180"/>
    <x v="1"/>
    <x v="21"/>
    <x v="1"/>
    <x v="1"/>
    <x v="1"/>
    <x v="1"/>
  </r>
  <r>
    <n v="38380"/>
    <x v="0"/>
    <x v="0"/>
    <x v="156"/>
    <x v="1"/>
    <x v="181"/>
    <x v="4"/>
    <d v="2024-05-26T00:00:00"/>
    <d v="2024-06-07T00:00:00"/>
    <x v="1"/>
    <x v="181"/>
    <x v="1"/>
    <x v="22"/>
    <x v="1"/>
    <x v="1"/>
    <x v="1"/>
    <x v="1"/>
  </r>
  <r>
    <n v="12920"/>
    <x v="5"/>
    <x v="2"/>
    <x v="135"/>
    <x v="3"/>
    <x v="182"/>
    <x v="0"/>
    <d v="2024-02-06T00:00:00"/>
    <d v="2024-03-13T00:00:00"/>
    <x v="1"/>
    <x v="182"/>
    <x v="0"/>
    <x v="0"/>
    <x v="0"/>
    <x v="0"/>
    <x v="0"/>
    <x v="0"/>
  </r>
  <r>
    <n v="40027"/>
    <x v="4"/>
    <x v="0"/>
    <x v="157"/>
    <x v="0"/>
    <x v="183"/>
    <x v="3"/>
    <d v="2024-07-25T00:00:00"/>
    <d v="2024-08-31T00:00:00"/>
    <x v="2"/>
    <x v="183"/>
    <x v="0"/>
    <x v="0"/>
    <x v="0"/>
    <x v="0"/>
    <x v="0"/>
    <x v="0"/>
  </r>
  <r>
    <n v="35963"/>
    <x v="6"/>
    <x v="3"/>
    <x v="158"/>
    <x v="1"/>
    <x v="184"/>
    <x v="2"/>
    <d v="2024-10-19T00:00:00"/>
    <d v="2024-10-27T00:00:00"/>
    <x v="2"/>
    <x v="184"/>
    <x v="0"/>
    <x v="0"/>
    <x v="0"/>
    <x v="0"/>
    <x v="0"/>
    <x v="0"/>
  </r>
  <r>
    <n v="32015"/>
    <x v="9"/>
    <x v="1"/>
    <x v="48"/>
    <x v="2"/>
    <x v="185"/>
    <x v="2"/>
    <d v="2024-04-26T00:00:00"/>
    <d v="2024-06-03T00:00:00"/>
    <x v="2"/>
    <x v="185"/>
    <x v="0"/>
    <x v="0"/>
    <x v="0"/>
    <x v="0"/>
    <x v="0"/>
    <x v="0"/>
  </r>
  <r>
    <n v="58364"/>
    <x v="11"/>
    <x v="4"/>
    <x v="159"/>
    <x v="3"/>
    <x v="186"/>
    <x v="1"/>
    <d v="2024-07-04T00:00:00"/>
    <d v="2024-07-20T00:00:00"/>
    <x v="0"/>
    <x v="186"/>
    <x v="0"/>
    <x v="0"/>
    <x v="0"/>
    <x v="0"/>
    <x v="0"/>
    <x v="0"/>
  </r>
  <r>
    <n v="98397"/>
    <x v="9"/>
    <x v="1"/>
    <x v="160"/>
    <x v="4"/>
    <x v="187"/>
    <x v="1"/>
    <d v="2024-03-27T00:00:00"/>
    <d v="2024-04-14T00:00:00"/>
    <x v="1"/>
    <x v="187"/>
    <x v="0"/>
    <x v="0"/>
    <x v="0"/>
    <x v="0"/>
    <x v="0"/>
    <x v="0"/>
  </r>
  <r>
    <n v="80135"/>
    <x v="16"/>
    <x v="3"/>
    <x v="161"/>
    <x v="1"/>
    <x v="188"/>
    <x v="3"/>
    <d v="2024-11-11T00:00:00"/>
    <d v="2024-11-29T00:00:00"/>
    <x v="2"/>
    <x v="188"/>
    <x v="0"/>
    <x v="0"/>
    <x v="0"/>
    <x v="0"/>
    <x v="0"/>
    <x v="0"/>
  </r>
  <r>
    <n v="23760"/>
    <x v="9"/>
    <x v="1"/>
    <x v="137"/>
    <x v="2"/>
    <x v="189"/>
    <x v="2"/>
    <d v="2024-06-11T00:00:00"/>
    <d v="2024-06-20T00:00:00"/>
    <x v="0"/>
    <x v="189"/>
    <x v="0"/>
    <x v="0"/>
    <x v="0"/>
    <x v="0"/>
    <x v="0"/>
    <x v="0"/>
  </r>
  <r>
    <n v="86619"/>
    <x v="5"/>
    <x v="2"/>
    <x v="145"/>
    <x v="5"/>
    <x v="190"/>
    <x v="3"/>
    <d v="2024-04-02T00:00:00"/>
    <d v="2024-04-16T00:00:00"/>
    <x v="0"/>
    <x v="190"/>
    <x v="0"/>
    <x v="0"/>
    <x v="0"/>
    <x v="0"/>
    <x v="0"/>
    <x v="1"/>
  </r>
  <r>
    <n v="95112"/>
    <x v="7"/>
    <x v="3"/>
    <x v="162"/>
    <x v="0"/>
    <x v="191"/>
    <x v="0"/>
    <d v="2024-11-08T00:00:00"/>
    <d v="2024-12-02T00:00:00"/>
    <x v="0"/>
    <x v="191"/>
    <x v="0"/>
    <x v="0"/>
    <x v="0"/>
    <x v="0"/>
    <x v="0"/>
    <x v="0"/>
  </r>
  <r>
    <n v="93310"/>
    <x v="7"/>
    <x v="3"/>
    <x v="55"/>
    <x v="2"/>
    <x v="192"/>
    <x v="2"/>
    <d v="2024-02-13T00:00:00"/>
    <d v="2024-03-16T00:00:00"/>
    <x v="1"/>
    <x v="192"/>
    <x v="0"/>
    <x v="0"/>
    <x v="0"/>
    <x v="0"/>
    <x v="0"/>
    <x v="0"/>
  </r>
  <r>
    <n v="10281"/>
    <x v="7"/>
    <x v="3"/>
    <x v="163"/>
    <x v="5"/>
    <x v="193"/>
    <x v="4"/>
    <d v="2024-10-19T00:00:00"/>
    <d v="2024-11-12T00:00:00"/>
    <x v="0"/>
    <x v="193"/>
    <x v="0"/>
    <x v="0"/>
    <x v="0"/>
    <x v="0"/>
    <x v="0"/>
    <x v="0"/>
  </r>
  <r>
    <n v="35611"/>
    <x v="5"/>
    <x v="2"/>
    <x v="164"/>
    <x v="1"/>
    <x v="194"/>
    <x v="1"/>
    <d v="2024-06-09T00:00:00"/>
    <d v="2024-06-27T00:00:00"/>
    <x v="0"/>
    <x v="194"/>
    <x v="0"/>
    <x v="0"/>
    <x v="0"/>
    <x v="0"/>
    <x v="0"/>
    <x v="0"/>
  </r>
  <r>
    <n v="25398"/>
    <x v="15"/>
    <x v="4"/>
    <x v="165"/>
    <x v="5"/>
    <x v="195"/>
    <x v="0"/>
    <d v="2024-11-01T00:00:00"/>
    <d v="2024-12-04T00:00:00"/>
    <x v="2"/>
    <x v="195"/>
    <x v="0"/>
    <x v="0"/>
    <x v="0"/>
    <x v="0"/>
    <x v="0"/>
    <x v="1"/>
  </r>
  <r>
    <n v="11969"/>
    <x v="4"/>
    <x v="0"/>
    <x v="166"/>
    <x v="6"/>
    <x v="196"/>
    <x v="1"/>
    <d v="2024-10-27T00:00:00"/>
    <d v="2024-11-16T00:00:00"/>
    <x v="1"/>
    <x v="196"/>
    <x v="0"/>
    <x v="0"/>
    <x v="0"/>
    <x v="0"/>
    <x v="0"/>
    <x v="1"/>
  </r>
  <r>
    <n v="58320"/>
    <x v="14"/>
    <x v="4"/>
    <x v="167"/>
    <x v="6"/>
    <x v="197"/>
    <x v="1"/>
    <d v="2024-12-17T00:00:00"/>
    <d v="2024-12-26T00:00:00"/>
    <x v="1"/>
    <x v="197"/>
    <x v="1"/>
    <x v="23"/>
    <x v="1"/>
    <x v="1"/>
    <x v="1"/>
    <x v="1"/>
  </r>
  <r>
    <n v="60138"/>
    <x v="11"/>
    <x v="4"/>
    <x v="168"/>
    <x v="3"/>
    <x v="198"/>
    <x v="3"/>
    <d v="2024-05-15T00:00:00"/>
    <d v="2024-05-31T00:00:00"/>
    <x v="2"/>
    <x v="198"/>
    <x v="0"/>
    <x v="0"/>
    <x v="0"/>
    <x v="0"/>
    <x v="0"/>
    <x v="0"/>
  </r>
  <r>
    <n v="36984"/>
    <x v="0"/>
    <x v="0"/>
    <x v="58"/>
    <x v="0"/>
    <x v="199"/>
    <x v="1"/>
    <d v="2024-05-21T00:00:00"/>
    <d v="2024-05-30T00:00:00"/>
    <x v="2"/>
    <x v="62"/>
    <x v="1"/>
    <x v="9"/>
    <x v="1"/>
    <x v="1"/>
    <x v="1"/>
    <x v="1"/>
  </r>
  <r>
    <n v="82460"/>
    <x v="4"/>
    <x v="0"/>
    <x v="169"/>
    <x v="5"/>
    <x v="200"/>
    <x v="3"/>
    <d v="2024-06-09T00:00:00"/>
    <d v="2024-07-08T00:00:00"/>
    <x v="0"/>
    <x v="199"/>
    <x v="0"/>
    <x v="0"/>
    <x v="0"/>
    <x v="0"/>
    <x v="0"/>
    <x v="0"/>
  </r>
  <r>
    <n v="14114"/>
    <x v="6"/>
    <x v="3"/>
    <x v="170"/>
    <x v="0"/>
    <x v="201"/>
    <x v="1"/>
    <d v="2024-04-11T00:00:00"/>
    <d v="2024-04-19T00:00:00"/>
    <x v="2"/>
    <x v="200"/>
    <x v="0"/>
    <x v="0"/>
    <x v="0"/>
    <x v="0"/>
    <x v="0"/>
    <x v="0"/>
  </r>
  <r>
    <n v="61924"/>
    <x v="16"/>
    <x v="3"/>
    <x v="171"/>
    <x v="0"/>
    <x v="202"/>
    <x v="3"/>
    <d v="2024-05-08T00:00:00"/>
    <d v="2024-06-05T00:00:00"/>
    <x v="2"/>
    <x v="201"/>
    <x v="0"/>
    <x v="0"/>
    <x v="0"/>
    <x v="0"/>
    <x v="0"/>
    <x v="0"/>
  </r>
  <r>
    <n v="32443"/>
    <x v="6"/>
    <x v="3"/>
    <x v="88"/>
    <x v="1"/>
    <x v="203"/>
    <x v="1"/>
    <d v="2024-10-31T00:00:00"/>
    <d v="2024-12-06T00:00:00"/>
    <x v="1"/>
    <x v="202"/>
    <x v="0"/>
    <x v="0"/>
    <x v="0"/>
    <x v="0"/>
    <x v="0"/>
    <x v="0"/>
  </r>
  <r>
    <n v="32612"/>
    <x v="5"/>
    <x v="2"/>
    <x v="172"/>
    <x v="3"/>
    <x v="204"/>
    <x v="1"/>
    <d v="2024-09-21T00:00:00"/>
    <d v="2024-09-28T00:00:00"/>
    <x v="2"/>
    <x v="203"/>
    <x v="0"/>
    <x v="0"/>
    <x v="0"/>
    <x v="0"/>
    <x v="0"/>
    <x v="0"/>
  </r>
  <r>
    <n v="63551"/>
    <x v="0"/>
    <x v="0"/>
    <x v="173"/>
    <x v="3"/>
    <x v="205"/>
    <x v="4"/>
    <d v="2024-05-12T00:00:00"/>
    <d v="2024-06-19T00:00:00"/>
    <x v="1"/>
    <x v="204"/>
    <x v="0"/>
    <x v="0"/>
    <x v="0"/>
    <x v="0"/>
    <x v="0"/>
    <x v="0"/>
  </r>
  <r>
    <n v="43174"/>
    <x v="1"/>
    <x v="0"/>
    <x v="0"/>
    <x v="0"/>
    <x v="206"/>
    <x v="0"/>
    <d v="2024-11-21T00:00:00"/>
    <d v="2024-12-16T00:00:00"/>
    <x v="1"/>
    <x v="205"/>
    <x v="0"/>
    <x v="0"/>
    <x v="0"/>
    <x v="0"/>
    <x v="0"/>
    <x v="0"/>
  </r>
  <r>
    <n v="55379"/>
    <x v="7"/>
    <x v="3"/>
    <x v="174"/>
    <x v="2"/>
    <x v="207"/>
    <x v="4"/>
    <d v="2024-02-20T00:00:00"/>
    <d v="2024-03-10T00:00:00"/>
    <x v="0"/>
    <x v="206"/>
    <x v="0"/>
    <x v="0"/>
    <x v="0"/>
    <x v="0"/>
    <x v="0"/>
    <x v="0"/>
  </r>
  <r>
    <n v="52652"/>
    <x v="5"/>
    <x v="2"/>
    <x v="175"/>
    <x v="1"/>
    <x v="208"/>
    <x v="2"/>
    <d v="2024-02-21T00:00:00"/>
    <d v="2024-03-23T00:00:00"/>
    <x v="1"/>
    <x v="207"/>
    <x v="0"/>
    <x v="0"/>
    <x v="0"/>
    <x v="0"/>
    <x v="0"/>
    <x v="0"/>
  </r>
  <r>
    <n v="96365"/>
    <x v="11"/>
    <x v="4"/>
    <x v="176"/>
    <x v="3"/>
    <x v="209"/>
    <x v="0"/>
    <d v="2024-05-11T00:00:00"/>
    <d v="2024-06-10T00:00:00"/>
    <x v="1"/>
    <x v="208"/>
    <x v="0"/>
    <x v="0"/>
    <x v="0"/>
    <x v="0"/>
    <x v="0"/>
    <x v="0"/>
  </r>
  <r>
    <n v="22149"/>
    <x v="4"/>
    <x v="0"/>
    <x v="139"/>
    <x v="1"/>
    <x v="210"/>
    <x v="3"/>
    <d v="2024-11-07T00:00:00"/>
    <d v="2024-12-01T00:00:00"/>
    <x v="0"/>
    <x v="209"/>
    <x v="1"/>
    <x v="24"/>
    <x v="1"/>
    <x v="1"/>
    <x v="1"/>
    <x v="1"/>
  </r>
  <r>
    <n v="98789"/>
    <x v="15"/>
    <x v="4"/>
    <x v="131"/>
    <x v="1"/>
    <x v="211"/>
    <x v="2"/>
    <d v="2024-04-27T00:00:00"/>
    <d v="2024-05-22T00:00:00"/>
    <x v="0"/>
    <x v="210"/>
    <x v="0"/>
    <x v="0"/>
    <x v="0"/>
    <x v="0"/>
    <x v="0"/>
    <x v="0"/>
  </r>
  <r>
    <n v="81831"/>
    <x v="14"/>
    <x v="4"/>
    <x v="0"/>
    <x v="3"/>
    <x v="212"/>
    <x v="3"/>
    <d v="2024-04-30T00:00:00"/>
    <d v="2024-05-12T00:00:00"/>
    <x v="2"/>
    <x v="211"/>
    <x v="0"/>
    <x v="0"/>
    <x v="0"/>
    <x v="0"/>
    <x v="0"/>
    <x v="0"/>
  </r>
  <r>
    <n v="98920"/>
    <x v="10"/>
    <x v="2"/>
    <x v="177"/>
    <x v="3"/>
    <x v="213"/>
    <x v="1"/>
    <d v="2024-04-09T00:00:00"/>
    <d v="2024-04-23T00:00:00"/>
    <x v="1"/>
    <x v="212"/>
    <x v="0"/>
    <x v="0"/>
    <x v="0"/>
    <x v="0"/>
    <x v="0"/>
    <x v="1"/>
  </r>
  <r>
    <n v="27633"/>
    <x v="4"/>
    <x v="0"/>
    <x v="95"/>
    <x v="6"/>
    <x v="214"/>
    <x v="3"/>
    <d v="2024-06-23T00:00:00"/>
    <d v="2024-08-01T00:00:00"/>
    <x v="1"/>
    <x v="213"/>
    <x v="0"/>
    <x v="0"/>
    <x v="0"/>
    <x v="0"/>
    <x v="0"/>
    <x v="0"/>
  </r>
  <r>
    <n v="67993"/>
    <x v="16"/>
    <x v="3"/>
    <x v="178"/>
    <x v="1"/>
    <x v="215"/>
    <x v="3"/>
    <d v="2024-06-08T00:00:00"/>
    <d v="2024-06-23T00:00:00"/>
    <x v="2"/>
    <x v="214"/>
    <x v="0"/>
    <x v="0"/>
    <x v="0"/>
    <x v="0"/>
    <x v="0"/>
    <x v="1"/>
  </r>
  <r>
    <n v="14358"/>
    <x v="16"/>
    <x v="3"/>
    <x v="61"/>
    <x v="5"/>
    <x v="216"/>
    <x v="4"/>
    <d v="2024-11-15T00:00:00"/>
    <d v="2024-12-24T00:00:00"/>
    <x v="2"/>
    <x v="215"/>
    <x v="0"/>
    <x v="0"/>
    <x v="0"/>
    <x v="0"/>
    <x v="0"/>
    <x v="0"/>
  </r>
  <r>
    <n v="72438"/>
    <x v="5"/>
    <x v="2"/>
    <x v="143"/>
    <x v="1"/>
    <x v="217"/>
    <x v="2"/>
    <d v="2024-08-28T00:00:00"/>
    <d v="2024-09-12T00:00:00"/>
    <x v="2"/>
    <x v="216"/>
    <x v="0"/>
    <x v="0"/>
    <x v="0"/>
    <x v="0"/>
    <x v="0"/>
    <x v="0"/>
  </r>
  <r>
    <n v="83379"/>
    <x v="5"/>
    <x v="2"/>
    <x v="179"/>
    <x v="3"/>
    <x v="218"/>
    <x v="0"/>
    <d v="2024-04-18T00:00:00"/>
    <d v="2024-05-25T00:00:00"/>
    <x v="0"/>
    <x v="217"/>
    <x v="0"/>
    <x v="0"/>
    <x v="0"/>
    <x v="0"/>
    <x v="0"/>
    <x v="0"/>
  </r>
  <r>
    <n v="80587"/>
    <x v="9"/>
    <x v="1"/>
    <x v="180"/>
    <x v="2"/>
    <x v="219"/>
    <x v="4"/>
    <d v="2024-09-25T00:00:00"/>
    <d v="2024-10-01T00:00:00"/>
    <x v="1"/>
    <x v="218"/>
    <x v="0"/>
    <x v="0"/>
    <x v="0"/>
    <x v="0"/>
    <x v="0"/>
    <x v="0"/>
  </r>
  <r>
    <n v="84069"/>
    <x v="7"/>
    <x v="3"/>
    <x v="181"/>
    <x v="3"/>
    <x v="157"/>
    <x v="1"/>
    <d v="2024-10-26T00:00:00"/>
    <d v="2024-11-02T00:00:00"/>
    <x v="1"/>
    <x v="219"/>
    <x v="0"/>
    <x v="0"/>
    <x v="0"/>
    <x v="0"/>
    <x v="0"/>
    <x v="0"/>
  </r>
  <r>
    <n v="10661"/>
    <x v="4"/>
    <x v="0"/>
    <x v="179"/>
    <x v="2"/>
    <x v="220"/>
    <x v="2"/>
    <d v="2024-10-12T00:00:00"/>
    <d v="2024-10-24T00:00:00"/>
    <x v="2"/>
    <x v="220"/>
    <x v="0"/>
    <x v="0"/>
    <x v="0"/>
    <x v="0"/>
    <x v="0"/>
    <x v="0"/>
  </r>
  <r>
    <n v="98733"/>
    <x v="0"/>
    <x v="0"/>
    <x v="182"/>
    <x v="1"/>
    <x v="221"/>
    <x v="3"/>
    <d v="2024-11-06T00:00:00"/>
    <d v="2024-11-26T00:00:00"/>
    <x v="1"/>
    <x v="221"/>
    <x v="0"/>
    <x v="0"/>
    <x v="0"/>
    <x v="0"/>
    <x v="0"/>
    <x v="0"/>
  </r>
  <r>
    <n v="91437"/>
    <x v="0"/>
    <x v="0"/>
    <x v="73"/>
    <x v="4"/>
    <x v="222"/>
    <x v="4"/>
    <d v="2024-01-03T00:00:00"/>
    <d v="2024-01-23T00:00:00"/>
    <x v="1"/>
    <x v="222"/>
    <x v="0"/>
    <x v="0"/>
    <x v="0"/>
    <x v="0"/>
    <x v="0"/>
    <x v="0"/>
  </r>
  <r>
    <n v="92205"/>
    <x v="12"/>
    <x v="0"/>
    <x v="24"/>
    <x v="5"/>
    <x v="223"/>
    <x v="4"/>
    <d v="2024-12-25T00:00:00"/>
    <d v="2024-12-30T00:00:00"/>
    <x v="2"/>
    <x v="223"/>
    <x v="0"/>
    <x v="0"/>
    <x v="0"/>
    <x v="0"/>
    <x v="0"/>
    <x v="1"/>
  </r>
  <r>
    <n v="26163"/>
    <x v="15"/>
    <x v="4"/>
    <x v="183"/>
    <x v="2"/>
    <x v="224"/>
    <x v="3"/>
    <d v="2024-02-07T00:00:00"/>
    <d v="2024-03-16T00:00:00"/>
    <x v="1"/>
    <x v="224"/>
    <x v="0"/>
    <x v="0"/>
    <x v="0"/>
    <x v="0"/>
    <x v="0"/>
    <x v="0"/>
  </r>
  <r>
    <n v="94416"/>
    <x v="14"/>
    <x v="4"/>
    <x v="184"/>
    <x v="2"/>
    <x v="225"/>
    <x v="0"/>
    <d v="2024-09-05T00:00:00"/>
    <d v="2024-09-18T00:00:00"/>
    <x v="1"/>
    <x v="225"/>
    <x v="0"/>
    <x v="0"/>
    <x v="0"/>
    <x v="0"/>
    <x v="0"/>
    <x v="0"/>
  </r>
  <r>
    <n v="93362"/>
    <x v="4"/>
    <x v="0"/>
    <x v="9"/>
    <x v="3"/>
    <x v="226"/>
    <x v="0"/>
    <d v="2024-11-06T00:00:00"/>
    <d v="2024-11-16T00:00:00"/>
    <x v="1"/>
    <x v="226"/>
    <x v="0"/>
    <x v="0"/>
    <x v="0"/>
    <x v="0"/>
    <x v="0"/>
    <x v="0"/>
  </r>
  <r>
    <n v="97468"/>
    <x v="0"/>
    <x v="0"/>
    <x v="3"/>
    <x v="3"/>
    <x v="227"/>
    <x v="0"/>
    <d v="2024-02-18T00:00:00"/>
    <d v="2024-03-11T00:00:00"/>
    <x v="2"/>
    <x v="227"/>
    <x v="0"/>
    <x v="0"/>
    <x v="0"/>
    <x v="0"/>
    <x v="0"/>
    <x v="0"/>
  </r>
  <r>
    <n v="83800"/>
    <x v="11"/>
    <x v="4"/>
    <x v="172"/>
    <x v="5"/>
    <x v="228"/>
    <x v="4"/>
    <d v="2024-01-07T00:00:00"/>
    <d v="2024-01-25T00:00:00"/>
    <x v="1"/>
    <x v="228"/>
    <x v="0"/>
    <x v="0"/>
    <x v="0"/>
    <x v="0"/>
    <x v="0"/>
    <x v="0"/>
  </r>
  <r>
    <n v="58895"/>
    <x v="15"/>
    <x v="4"/>
    <x v="185"/>
    <x v="0"/>
    <x v="229"/>
    <x v="1"/>
    <d v="2024-10-02T00:00:00"/>
    <d v="2024-10-24T00:00:00"/>
    <x v="0"/>
    <x v="229"/>
    <x v="0"/>
    <x v="0"/>
    <x v="0"/>
    <x v="0"/>
    <x v="0"/>
    <x v="0"/>
  </r>
  <r>
    <n v="41552"/>
    <x v="14"/>
    <x v="4"/>
    <x v="186"/>
    <x v="5"/>
    <x v="230"/>
    <x v="4"/>
    <d v="2024-04-04T00:00:00"/>
    <d v="2024-04-22T00:00:00"/>
    <x v="1"/>
    <x v="230"/>
    <x v="0"/>
    <x v="0"/>
    <x v="0"/>
    <x v="0"/>
    <x v="0"/>
    <x v="1"/>
  </r>
  <r>
    <n v="56659"/>
    <x v="10"/>
    <x v="2"/>
    <x v="187"/>
    <x v="2"/>
    <x v="231"/>
    <x v="4"/>
    <d v="2024-01-25T00:00:00"/>
    <d v="2024-02-13T00:00:00"/>
    <x v="0"/>
    <x v="231"/>
    <x v="0"/>
    <x v="0"/>
    <x v="0"/>
    <x v="0"/>
    <x v="0"/>
    <x v="0"/>
  </r>
  <r>
    <n v="87866"/>
    <x v="4"/>
    <x v="0"/>
    <x v="121"/>
    <x v="4"/>
    <x v="232"/>
    <x v="1"/>
    <d v="2024-06-08T00:00:00"/>
    <d v="2024-07-11T00:00:00"/>
    <x v="1"/>
    <x v="232"/>
    <x v="0"/>
    <x v="0"/>
    <x v="0"/>
    <x v="0"/>
    <x v="0"/>
    <x v="0"/>
  </r>
  <r>
    <n v="65677"/>
    <x v="3"/>
    <x v="2"/>
    <x v="188"/>
    <x v="1"/>
    <x v="233"/>
    <x v="0"/>
    <d v="2024-09-22T00:00:00"/>
    <d v="2024-10-21T00:00:00"/>
    <x v="2"/>
    <x v="233"/>
    <x v="0"/>
    <x v="0"/>
    <x v="0"/>
    <x v="0"/>
    <x v="0"/>
    <x v="0"/>
  </r>
  <r>
    <n v="39794"/>
    <x v="6"/>
    <x v="3"/>
    <x v="189"/>
    <x v="6"/>
    <x v="234"/>
    <x v="4"/>
    <d v="2024-03-23T00:00:00"/>
    <d v="2024-04-05T00:00:00"/>
    <x v="0"/>
    <x v="234"/>
    <x v="1"/>
    <x v="25"/>
    <x v="1"/>
    <x v="1"/>
    <x v="1"/>
    <x v="1"/>
  </r>
  <r>
    <n v="56851"/>
    <x v="4"/>
    <x v="0"/>
    <x v="190"/>
    <x v="0"/>
    <x v="235"/>
    <x v="3"/>
    <d v="2024-09-08T00:00:00"/>
    <d v="2024-10-15T00:00:00"/>
    <x v="0"/>
    <x v="235"/>
    <x v="0"/>
    <x v="0"/>
    <x v="0"/>
    <x v="0"/>
    <x v="0"/>
    <x v="0"/>
  </r>
  <r>
    <n v="36715"/>
    <x v="1"/>
    <x v="0"/>
    <x v="173"/>
    <x v="4"/>
    <x v="236"/>
    <x v="4"/>
    <d v="2024-08-18T00:00:00"/>
    <d v="2024-09-26T00:00:00"/>
    <x v="0"/>
    <x v="236"/>
    <x v="0"/>
    <x v="0"/>
    <x v="0"/>
    <x v="0"/>
    <x v="0"/>
    <x v="0"/>
  </r>
  <r>
    <n v="33177"/>
    <x v="13"/>
    <x v="3"/>
    <x v="191"/>
    <x v="3"/>
    <x v="237"/>
    <x v="1"/>
    <d v="2024-09-02T00:00:00"/>
    <d v="2024-09-21T00:00:00"/>
    <x v="1"/>
    <x v="237"/>
    <x v="0"/>
    <x v="0"/>
    <x v="0"/>
    <x v="0"/>
    <x v="0"/>
    <x v="0"/>
  </r>
  <r>
    <n v="57076"/>
    <x v="16"/>
    <x v="3"/>
    <x v="86"/>
    <x v="1"/>
    <x v="238"/>
    <x v="4"/>
    <d v="2024-07-31T00:00:00"/>
    <d v="2024-08-22T00:00:00"/>
    <x v="0"/>
    <x v="238"/>
    <x v="1"/>
    <x v="26"/>
    <x v="1"/>
    <x v="1"/>
    <x v="1"/>
    <x v="1"/>
  </r>
  <r>
    <n v="20749"/>
    <x v="10"/>
    <x v="2"/>
    <x v="192"/>
    <x v="0"/>
    <x v="239"/>
    <x v="2"/>
    <d v="2024-11-03T00:00:00"/>
    <d v="2024-12-03T00:00:00"/>
    <x v="2"/>
    <x v="239"/>
    <x v="0"/>
    <x v="0"/>
    <x v="0"/>
    <x v="0"/>
    <x v="0"/>
    <x v="0"/>
  </r>
  <r>
    <n v="36035"/>
    <x v="1"/>
    <x v="0"/>
    <x v="193"/>
    <x v="3"/>
    <x v="240"/>
    <x v="4"/>
    <d v="2024-08-20T00:00:00"/>
    <d v="2024-09-22T00:00:00"/>
    <x v="2"/>
    <x v="240"/>
    <x v="0"/>
    <x v="0"/>
    <x v="0"/>
    <x v="0"/>
    <x v="0"/>
    <x v="0"/>
  </r>
  <r>
    <n v="13191"/>
    <x v="14"/>
    <x v="4"/>
    <x v="194"/>
    <x v="1"/>
    <x v="241"/>
    <x v="3"/>
    <d v="2024-07-10T00:00:00"/>
    <d v="2024-07-31T00:00:00"/>
    <x v="0"/>
    <x v="241"/>
    <x v="1"/>
    <x v="27"/>
    <x v="1"/>
    <x v="1"/>
    <x v="1"/>
    <x v="1"/>
  </r>
  <r>
    <n v="38602"/>
    <x v="2"/>
    <x v="1"/>
    <x v="34"/>
    <x v="1"/>
    <x v="242"/>
    <x v="3"/>
    <d v="2024-08-29T00:00:00"/>
    <d v="2024-09-23T00:00:00"/>
    <x v="1"/>
    <x v="242"/>
    <x v="1"/>
    <x v="28"/>
    <x v="1"/>
    <x v="1"/>
    <x v="1"/>
    <x v="1"/>
  </r>
  <r>
    <n v="80476"/>
    <x v="9"/>
    <x v="1"/>
    <x v="195"/>
    <x v="1"/>
    <x v="243"/>
    <x v="3"/>
    <d v="2024-03-27T00:00:00"/>
    <d v="2024-04-08T00:00:00"/>
    <x v="1"/>
    <x v="243"/>
    <x v="0"/>
    <x v="0"/>
    <x v="0"/>
    <x v="0"/>
    <x v="0"/>
    <x v="0"/>
  </r>
  <r>
    <n v="93588"/>
    <x v="10"/>
    <x v="2"/>
    <x v="196"/>
    <x v="0"/>
    <x v="244"/>
    <x v="2"/>
    <d v="2024-05-31T00:00:00"/>
    <d v="2024-06-21T00:00:00"/>
    <x v="0"/>
    <x v="244"/>
    <x v="0"/>
    <x v="0"/>
    <x v="0"/>
    <x v="0"/>
    <x v="0"/>
    <x v="1"/>
  </r>
  <r>
    <n v="74027"/>
    <x v="15"/>
    <x v="4"/>
    <x v="105"/>
    <x v="4"/>
    <x v="245"/>
    <x v="0"/>
    <d v="2024-07-29T00:00:00"/>
    <d v="2024-08-09T00:00:00"/>
    <x v="1"/>
    <x v="245"/>
    <x v="0"/>
    <x v="0"/>
    <x v="0"/>
    <x v="0"/>
    <x v="0"/>
    <x v="0"/>
  </r>
  <r>
    <n v="52533"/>
    <x v="14"/>
    <x v="4"/>
    <x v="197"/>
    <x v="5"/>
    <x v="246"/>
    <x v="2"/>
    <d v="2024-01-08T00:00:00"/>
    <d v="2024-01-22T00:00:00"/>
    <x v="0"/>
    <x v="246"/>
    <x v="0"/>
    <x v="0"/>
    <x v="0"/>
    <x v="0"/>
    <x v="0"/>
    <x v="1"/>
  </r>
  <r>
    <n v="36189"/>
    <x v="8"/>
    <x v="1"/>
    <x v="198"/>
    <x v="6"/>
    <x v="247"/>
    <x v="3"/>
    <d v="2024-02-18T00:00:00"/>
    <d v="2024-02-26T00:00:00"/>
    <x v="0"/>
    <x v="247"/>
    <x v="0"/>
    <x v="0"/>
    <x v="0"/>
    <x v="0"/>
    <x v="0"/>
    <x v="1"/>
  </r>
  <r>
    <n v="95667"/>
    <x v="2"/>
    <x v="1"/>
    <x v="199"/>
    <x v="5"/>
    <x v="248"/>
    <x v="2"/>
    <d v="2024-09-22T00:00:00"/>
    <d v="2024-10-17T00:00:00"/>
    <x v="1"/>
    <x v="248"/>
    <x v="0"/>
    <x v="0"/>
    <x v="0"/>
    <x v="0"/>
    <x v="0"/>
    <x v="1"/>
  </r>
  <r>
    <n v="74379"/>
    <x v="11"/>
    <x v="4"/>
    <x v="200"/>
    <x v="1"/>
    <x v="249"/>
    <x v="1"/>
    <d v="2024-10-14T00:00:00"/>
    <d v="2024-11-19T00:00:00"/>
    <x v="1"/>
    <x v="249"/>
    <x v="0"/>
    <x v="0"/>
    <x v="0"/>
    <x v="0"/>
    <x v="0"/>
    <x v="0"/>
  </r>
  <r>
    <n v="65419"/>
    <x v="15"/>
    <x v="4"/>
    <x v="201"/>
    <x v="3"/>
    <x v="250"/>
    <x v="1"/>
    <d v="2024-06-01T00:00:00"/>
    <d v="2024-06-19T00:00:00"/>
    <x v="0"/>
    <x v="250"/>
    <x v="0"/>
    <x v="0"/>
    <x v="0"/>
    <x v="0"/>
    <x v="0"/>
    <x v="0"/>
  </r>
  <r>
    <n v="74946"/>
    <x v="11"/>
    <x v="4"/>
    <x v="90"/>
    <x v="5"/>
    <x v="251"/>
    <x v="3"/>
    <d v="2024-06-20T00:00:00"/>
    <d v="2024-07-26T00:00:00"/>
    <x v="0"/>
    <x v="251"/>
    <x v="0"/>
    <x v="0"/>
    <x v="0"/>
    <x v="0"/>
    <x v="0"/>
    <x v="0"/>
  </r>
  <r>
    <n v="38044"/>
    <x v="5"/>
    <x v="2"/>
    <x v="202"/>
    <x v="5"/>
    <x v="252"/>
    <x v="4"/>
    <d v="2024-09-24T00:00:00"/>
    <d v="2024-10-16T00:00:00"/>
    <x v="2"/>
    <x v="252"/>
    <x v="1"/>
    <x v="29"/>
    <x v="1"/>
    <x v="1"/>
    <x v="1"/>
    <x v="1"/>
  </r>
  <r>
    <n v="33387"/>
    <x v="1"/>
    <x v="0"/>
    <x v="203"/>
    <x v="5"/>
    <x v="253"/>
    <x v="4"/>
    <d v="2024-12-10T00:00:00"/>
    <d v="2025-01-05T00:00:00"/>
    <x v="0"/>
    <x v="253"/>
    <x v="0"/>
    <x v="0"/>
    <x v="0"/>
    <x v="0"/>
    <x v="0"/>
    <x v="1"/>
  </r>
  <r>
    <n v="56486"/>
    <x v="11"/>
    <x v="4"/>
    <x v="204"/>
    <x v="1"/>
    <x v="254"/>
    <x v="2"/>
    <d v="2024-10-09T00:00:00"/>
    <d v="2024-11-13T00:00:00"/>
    <x v="0"/>
    <x v="254"/>
    <x v="1"/>
    <x v="30"/>
    <x v="1"/>
    <x v="1"/>
    <x v="1"/>
    <x v="1"/>
  </r>
  <r>
    <n v="91942"/>
    <x v="10"/>
    <x v="2"/>
    <x v="205"/>
    <x v="2"/>
    <x v="255"/>
    <x v="4"/>
    <d v="2024-07-09T00:00:00"/>
    <d v="2024-08-01T00:00:00"/>
    <x v="2"/>
    <x v="255"/>
    <x v="0"/>
    <x v="0"/>
    <x v="0"/>
    <x v="0"/>
    <x v="0"/>
    <x v="0"/>
  </r>
  <r>
    <n v="75095"/>
    <x v="12"/>
    <x v="0"/>
    <x v="206"/>
    <x v="1"/>
    <x v="256"/>
    <x v="3"/>
    <d v="2024-12-27T00:00:00"/>
    <d v="2025-01-16T00:00:00"/>
    <x v="0"/>
    <x v="256"/>
    <x v="0"/>
    <x v="0"/>
    <x v="0"/>
    <x v="0"/>
    <x v="0"/>
    <x v="0"/>
  </r>
  <r>
    <n v="78056"/>
    <x v="10"/>
    <x v="2"/>
    <x v="207"/>
    <x v="0"/>
    <x v="257"/>
    <x v="1"/>
    <d v="2024-12-27T00:00:00"/>
    <d v="2025-02-03T00:00:00"/>
    <x v="0"/>
    <x v="257"/>
    <x v="0"/>
    <x v="0"/>
    <x v="0"/>
    <x v="0"/>
    <x v="0"/>
    <x v="0"/>
  </r>
  <r>
    <n v="20805"/>
    <x v="3"/>
    <x v="2"/>
    <x v="184"/>
    <x v="2"/>
    <x v="258"/>
    <x v="2"/>
    <d v="2024-03-26T00:00:00"/>
    <d v="2024-04-25T00:00:00"/>
    <x v="0"/>
    <x v="258"/>
    <x v="0"/>
    <x v="0"/>
    <x v="0"/>
    <x v="0"/>
    <x v="0"/>
    <x v="0"/>
  </r>
  <r>
    <n v="15110"/>
    <x v="2"/>
    <x v="1"/>
    <x v="208"/>
    <x v="2"/>
    <x v="259"/>
    <x v="0"/>
    <d v="2024-08-30T00:00:00"/>
    <d v="2024-10-04T00:00:00"/>
    <x v="0"/>
    <x v="259"/>
    <x v="0"/>
    <x v="0"/>
    <x v="0"/>
    <x v="0"/>
    <x v="0"/>
    <x v="0"/>
  </r>
  <r>
    <n v="33705"/>
    <x v="15"/>
    <x v="4"/>
    <x v="132"/>
    <x v="4"/>
    <x v="260"/>
    <x v="4"/>
    <d v="2024-01-24T00:00:00"/>
    <d v="2024-03-03T00:00:00"/>
    <x v="2"/>
    <x v="260"/>
    <x v="0"/>
    <x v="0"/>
    <x v="0"/>
    <x v="0"/>
    <x v="0"/>
    <x v="0"/>
  </r>
  <r>
    <n v="71627"/>
    <x v="13"/>
    <x v="3"/>
    <x v="209"/>
    <x v="6"/>
    <x v="261"/>
    <x v="3"/>
    <d v="2024-02-07T00:00:00"/>
    <d v="2024-02-15T00:00:00"/>
    <x v="0"/>
    <x v="261"/>
    <x v="0"/>
    <x v="0"/>
    <x v="0"/>
    <x v="0"/>
    <x v="0"/>
    <x v="0"/>
  </r>
  <r>
    <n v="26087"/>
    <x v="0"/>
    <x v="0"/>
    <x v="199"/>
    <x v="6"/>
    <x v="262"/>
    <x v="4"/>
    <d v="2024-01-14T00:00:00"/>
    <d v="2024-01-21T00:00:00"/>
    <x v="2"/>
    <x v="262"/>
    <x v="1"/>
    <x v="31"/>
    <x v="1"/>
    <x v="1"/>
    <x v="1"/>
    <x v="1"/>
  </r>
  <r>
    <n v="24226"/>
    <x v="1"/>
    <x v="0"/>
    <x v="127"/>
    <x v="5"/>
    <x v="263"/>
    <x v="2"/>
    <d v="2024-06-06T00:00:00"/>
    <d v="2024-06-28T00:00:00"/>
    <x v="1"/>
    <x v="263"/>
    <x v="0"/>
    <x v="0"/>
    <x v="0"/>
    <x v="0"/>
    <x v="0"/>
    <x v="0"/>
  </r>
  <r>
    <n v="76077"/>
    <x v="9"/>
    <x v="1"/>
    <x v="105"/>
    <x v="0"/>
    <x v="264"/>
    <x v="1"/>
    <d v="2024-04-18T00:00:00"/>
    <d v="2024-05-04T00:00:00"/>
    <x v="2"/>
    <x v="264"/>
    <x v="0"/>
    <x v="0"/>
    <x v="0"/>
    <x v="0"/>
    <x v="0"/>
    <x v="0"/>
  </r>
  <r>
    <n v="38854"/>
    <x v="6"/>
    <x v="3"/>
    <x v="85"/>
    <x v="0"/>
    <x v="265"/>
    <x v="3"/>
    <d v="2024-08-15T00:00:00"/>
    <d v="2024-09-18T00:00:00"/>
    <x v="1"/>
    <x v="265"/>
    <x v="0"/>
    <x v="0"/>
    <x v="0"/>
    <x v="0"/>
    <x v="0"/>
    <x v="0"/>
  </r>
  <r>
    <n v="26184"/>
    <x v="2"/>
    <x v="1"/>
    <x v="98"/>
    <x v="4"/>
    <x v="266"/>
    <x v="2"/>
    <d v="2024-09-07T00:00:00"/>
    <d v="2024-09-22T00:00:00"/>
    <x v="2"/>
    <x v="266"/>
    <x v="0"/>
    <x v="0"/>
    <x v="0"/>
    <x v="0"/>
    <x v="0"/>
    <x v="0"/>
  </r>
  <r>
    <n v="40254"/>
    <x v="16"/>
    <x v="3"/>
    <x v="19"/>
    <x v="5"/>
    <x v="267"/>
    <x v="2"/>
    <d v="2024-08-27T00:00:00"/>
    <d v="2024-09-27T00:00:00"/>
    <x v="1"/>
    <x v="267"/>
    <x v="0"/>
    <x v="0"/>
    <x v="0"/>
    <x v="0"/>
    <x v="0"/>
    <x v="0"/>
  </r>
  <r>
    <n v="44865"/>
    <x v="2"/>
    <x v="1"/>
    <x v="73"/>
    <x v="1"/>
    <x v="268"/>
    <x v="0"/>
    <d v="2024-03-01T00:00:00"/>
    <d v="2024-03-15T00:00:00"/>
    <x v="0"/>
    <x v="268"/>
    <x v="0"/>
    <x v="0"/>
    <x v="0"/>
    <x v="0"/>
    <x v="0"/>
    <x v="0"/>
  </r>
  <r>
    <n v="93820"/>
    <x v="10"/>
    <x v="2"/>
    <x v="210"/>
    <x v="5"/>
    <x v="269"/>
    <x v="0"/>
    <d v="2024-07-16T00:00:00"/>
    <d v="2024-08-06T00:00:00"/>
    <x v="0"/>
    <x v="269"/>
    <x v="0"/>
    <x v="0"/>
    <x v="0"/>
    <x v="0"/>
    <x v="0"/>
    <x v="0"/>
  </r>
  <r>
    <n v="17999"/>
    <x v="5"/>
    <x v="2"/>
    <x v="45"/>
    <x v="5"/>
    <x v="270"/>
    <x v="4"/>
    <d v="2024-03-09T00:00:00"/>
    <d v="2024-04-11T00:00:00"/>
    <x v="0"/>
    <x v="270"/>
    <x v="1"/>
    <x v="2"/>
    <x v="1"/>
    <x v="1"/>
    <x v="1"/>
    <x v="1"/>
  </r>
  <r>
    <n v="39309"/>
    <x v="13"/>
    <x v="3"/>
    <x v="211"/>
    <x v="1"/>
    <x v="271"/>
    <x v="1"/>
    <d v="2024-03-30T00:00:00"/>
    <d v="2024-04-07T00:00:00"/>
    <x v="1"/>
    <x v="271"/>
    <x v="0"/>
    <x v="0"/>
    <x v="0"/>
    <x v="0"/>
    <x v="0"/>
    <x v="1"/>
  </r>
  <r>
    <n v="77155"/>
    <x v="8"/>
    <x v="1"/>
    <x v="212"/>
    <x v="5"/>
    <x v="272"/>
    <x v="3"/>
    <d v="2024-06-22T00:00:00"/>
    <d v="2024-07-27T00:00:00"/>
    <x v="0"/>
    <x v="272"/>
    <x v="1"/>
    <x v="32"/>
    <x v="1"/>
    <x v="1"/>
    <x v="1"/>
    <x v="1"/>
  </r>
  <r>
    <n v="83997"/>
    <x v="4"/>
    <x v="0"/>
    <x v="126"/>
    <x v="5"/>
    <x v="273"/>
    <x v="1"/>
    <d v="2024-06-11T00:00:00"/>
    <d v="2024-07-13T00:00:00"/>
    <x v="2"/>
    <x v="273"/>
    <x v="0"/>
    <x v="0"/>
    <x v="0"/>
    <x v="0"/>
    <x v="0"/>
    <x v="0"/>
  </r>
  <r>
    <n v="50785"/>
    <x v="14"/>
    <x v="4"/>
    <x v="213"/>
    <x v="5"/>
    <x v="274"/>
    <x v="1"/>
    <d v="2024-10-27T00:00:00"/>
    <d v="2024-11-20T00:00:00"/>
    <x v="1"/>
    <x v="274"/>
    <x v="0"/>
    <x v="0"/>
    <x v="0"/>
    <x v="0"/>
    <x v="0"/>
    <x v="1"/>
  </r>
  <r>
    <n v="24289"/>
    <x v="8"/>
    <x v="1"/>
    <x v="91"/>
    <x v="3"/>
    <x v="275"/>
    <x v="0"/>
    <d v="2024-01-07T00:00:00"/>
    <d v="2024-01-17T00:00:00"/>
    <x v="1"/>
    <x v="275"/>
    <x v="0"/>
    <x v="0"/>
    <x v="0"/>
    <x v="0"/>
    <x v="0"/>
    <x v="0"/>
  </r>
  <r>
    <n v="38228"/>
    <x v="13"/>
    <x v="3"/>
    <x v="214"/>
    <x v="4"/>
    <x v="276"/>
    <x v="0"/>
    <d v="2024-05-21T00:00:00"/>
    <d v="2024-06-15T00:00:00"/>
    <x v="1"/>
    <x v="276"/>
    <x v="0"/>
    <x v="0"/>
    <x v="0"/>
    <x v="0"/>
    <x v="0"/>
    <x v="0"/>
  </r>
  <r>
    <n v="39055"/>
    <x v="14"/>
    <x v="4"/>
    <x v="215"/>
    <x v="2"/>
    <x v="277"/>
    <x v="2"/>
    <d v="2024-12-10T00:00:00"/>
    <d v="2025-01-04T00:00:00"/>
    <x v="0"/>
    <x v="277"/>
    <x v="0"/>
    <x v="0"/>
    <x v="0"/>
    <x v="0"/>
    <x v="0"/>
    <x v="0"/>
  </r>
  <r>
    <n v="29446"/>
    <x v="16"/>
    <x v="3"/>
    <x v="101"/>
    <x v="3"/>
    <x v="278"/>
    <x v="3"/>
    <d v="2024-11-22T00:00:00"/>
    <d v="2024-12-18T00:00:00"/>
    <x v="0"/>
    <x v="278"/>
    <x v="0"/>
    <x v="0"/>
    <x v="0"/>
    <x v="0"/>
    <x v="0"/>
    <x v="0"/>
  </r>
  <r>
    <n v="55232"/>
    <x v="16"/>
    <x v="3"/>
    <x v="216"/>
    <x v="4"/>
    <x v="279"/>
    <x v="3"/>
    <d v="2024-06-17T00:00:00"/>
    <d v="2024-07-13T00:00:00"/>
    <x v="2"/>
    <x v="279"/>
    <x v="0"/>
    <x v="0"/>
    <x v="0"/>
    <x v="0"/>
    <x v="0"/>
    <x v="0"/>
  </r>
  <r>
    <n v="75633"/>
    <x v="14"/>
    <x v="4"/>
    <x v="217"/>
    <x v="1"/>
    <x v="280"/>
    <x v="0"/>
    <d v="2024-01-22T00:00:00"/>
    <d v="2024-01-28T00:00:00"/>
    <x v="0"/>
    <x v="280"/>
    <x v="0"/>
    <x v="0"/>
    <x v="0"/>
    <x v="0"/>
    <x v="0"/>
    <x v="0"/>
  </r>
  <r>
    <n v="77263"/>
    <x v="1"/>
    <x v="0"/>
    <x v="218"/>
    <x v="5"/>
    <x v="281"/>
    <x v="0"/>
    <d v="2024-05-17T00:00:00"/>
    <d v="2024-06-25T00:00:00"/>
    <x v="1"/>
    <x v="281"/>
    <x v="0"/>
    <x v="0"/>
    <x v="0"/>
    <x v="0"/>
    <x v="0"/>
    <x v="0"/>
  </r>
  <r>
    <n v="15774"/>
    <x v="9"/>
    <x v="1"/>
    <x v="219"/>
    <x v="4"/>
    <x v="282"/>
    <x v="4"/>
    <d v="2024-03-08T00:00:00"/>
    <d v="2024-04-03T00:00:00"/>
    <x v="1"/>
    <x v="282"/>
    <x v="0"/>
    <x v="0"/>
    <x v="0"/>
    <x v="0"/>
    <x v="0"/>
    <x v="0"/>
  </r>
  <r>
    <n v="49961"/>
    <x v="1"/>
    <x v="0"/>
    <x v="220"/>
    <x v="0"/>
    <x v="283"/>
    <x v="3"/>
    <d v="2024-06-16T00:00:00"/>
    <d v="2024-07-18T00:00:00"/>
    <x v="1"/>
    <x v="283"/>
    <x v="0"/>
    <x v="0"/>
    <x v="0"/>
    <x v="0"/>
    <x v="0"/>
    <x v="0"/>
  </r>
  <r>
    <n v="60729"/>
    <x v="14"/>
    <x v="4"/>
    <x v="221"/>
    <x v="5"/>
    <x v="284"/>
    <x v="2"/>
    <d v="2024-02-13T00:00:00"/>
    <d v="2024-03-21T00:00:00"/>
    <x v="1"/>
    <x v="284"/>
    <x v="0"/>
    <x v="0"/>
    <x v="0"/>
    <x v="0"/>
    <x v="0"/>
    <x v="1"/>
  </r>
  <r>
    <n v="12551"/>
    <x v="12"/>
    <x v="0"/>
    <x v="222"/>
    <x v="0"/>
    <x v="285"/>
    <x v="2"/>
    <d v="2024-07-15T00:00:00"/>
    <d v="2024-07-30T00:00:00"/>
    <x v="2"/>
    <x v="285"/>
    <x v="0"/>
    <x v="0"/>
    <x v="0"/>
    <x v="0"/>
    <x v="0"/>
    <x v="1"/>
  </r>
  <r>
    <n v="31038"/>
    <x v="1"/>
    <x v="0"/>
    <x v="223"/>
    <x v="4"/>
    <x v="286"/>
    <x v="1"/>
    <d v="2024-03-12T00:00:00"/>
    <d v="2024-03-25T00:00:00"/>
    <x v="2"/>
    <x v="286"/>
    <x v="0"/>
    <x v="0"/>
    <x v="0"/>
    <x v="0"/>
    <x v="0"/>
    <x v="0"/>
  </r>
  <r>
    <n v="21116"/>
    <x v="1"/>
    <x v="0"/>
    <x v="135"/>
    <x v="4"/>
    <x v="287"/>
    <x v="0"/>
    <d v="2024-12-01T00:00:00"/>
    <d v="2024-12-08T00:00:00"/>
    <x v="1"/>
    <x v="287"/>
    <x v="0"/>
    <x v="0"/>
    <x v="0"/>
    <x v="0"/>
    <x v="0"/>
    <x v="0"/>
  </r>
  <r>
    <n v="43380"/>
    <x v="15"/>
    <x v="4"/>
    <x v="134"/>
    <x v="5"/>
    <x v="288"/>
    <x v="2"/>
    <d v="2024-05-08T00:00:00"/>
    <d v="2024-05-20T00:00:00"/>
    <x v="1"/>
    <x v="288"/>
    <x v="1"/>
    <x v="33"/>
    <x v="1"/>
    <x v="1"/>
    <x v="1"/>
    <x v="1"/>
  </r>
  <r>
    <n v="72987"/>
    <x v="7"/>
    <x v="3"/>
    <x v="70"/>
    <x v="5"/>
    <x v="289"/>
    <x v="0"/>
    <d v="2024-10-01T00:00:00"/>
    <d v="2024-11-06T00:00:00"/>
    <x v="2"/>
    <x v="289"/>
    <x v="0"/>
    <x v="0"/>
    <x v="0"/>
    <x v="0"/>
    <x v="0"/>
    <x v="0"/>
  </r>
  <r>
    <n v="66481"/>
    <x v="9"/>
    <x v="1"/>
    <x v="196"/>
    <x v="6"/>
    <x v="290"/>
    <x v="2"/>
    <d v="2024-06-06T00:00:00"/>
    <d v="2024-06-23T00:00:00"/>
    <x v="2"/>
    <x v="290"/>
    <x v="1"/>
    <x v="24"/>
    <x v="1"/>
    <x v="1"/>
    <x v="1"/>
    <x v="1"/>
  </r>
  <r>
    <n v="65426"/>
    <x v="15"/>
    <x v="4"/>
    <x v="119"/>
    <x v="6"/>
    <x v="291"/>
    <x v="3"/>
    <d v="2024-11-20T00:00:00"/>
    <d v="2024-12-19T00:00:00"/>
    <x v="0"/>
    <x v="291"/>
    <x v="1"/>
    <x v="34"/>
    <x v="1"/>
    <x v="1"/>
    <x v="1"/>
    <x v="1"/>
  </r>
  <r>
    <n v="59416"/>
    <x v="4"/>
    <x v="0"/>
    <x v="214"/>
    <x v="5"/>
    <x v="292"/>
    <x v="2"/>
    <d v="2024-08-14T00:00:00"/>
    <d v="2024-09-15T00:00:00"/>
    <x v="2"/>
    <x v="292"/>
    <x v="0"/>
    <x v="0"/>
    <x v="0"/>
    <x v="0"/>
    <x v="0"/>
    <x v="1"/>
  </r>
  <r>
    <n v="53732"/>
    <x v="11"/>
    <x v="4"/>
    <x v="224"/>
    <x v="4"/>
    <x v="293"/>
    <x v="1"/>
    <d v="2024-12-29T00:00:00"/>
    <d v="2025-01-11T00:00:00"/>
    <x v="2"/>
    <x v="293"/>
    <x v="0"/>
    <x v="0"/>
    <x v="0"/>
    <x v="0"/>
    <x v="0"/>
    <x v="0"/>
  </r>
  <r>
    <n v="35556"/>
    <x v="5"/>
    <x v="2"/>
    <x v="36"/>
    <x v="1"/>
    <x v="294"/>
    <x v="0"/>
    <d v="2024-08-05T00:00:00"/>
    <d v="2024-09-11T00:00:00"/>
    <x v="2"/>
    <x v="294"/>
    <x v="0"/>
    <x v="0"/>
    <x v="0"/>
    <x v="0"/>
    <x v="0"/>
    <x v="0"/>
  </r>
  <r>
    <n v="16416"/>
    <x v="9"/>
    <x v="1"/>
    <x v="10"/>
    <x v="3"/>
    <x v="295"/>
    <x v="4"/>
    <d v="2024-10-05T00:00:00"/>
    <d v="2024-10-31T00:00:00"/>
    <x v="1"/>
    <x v="295"/>
    <x v="0"/>
    <x v="0"/>
    <x v="0"/>
    <x v="0"/>
    <x v="0"/>
    <x v="0"/>
  </r>
  <r>
    <n v="84663"/>
    <x v="3"/>
    <x v="2"/>
    <x v="65"/>
    <x v="4"/>
    <x v="296"/>
    <x v="2"/>
    <d v="2024-03-06T00:00:00"/>
    <d v="2024-04-14T00:00:00"/>
    <x v="1"/>
    <x v="296"/>
    <x v="0"/>
    <x v="0"/>
    <x v="0"/>
    <x v="0"/>
    <x v="0"/>
    <x v="0"/>
  </r>
  <r>
    <n v="97960"/>
    <x v="8"/>
    <x v="1"/>
    <x v="225"/>
    <x v="6"/>
    <x v="297"/>
    <x v="4"/>
    <d v="2024-07-09T00:00:00"/>
    <d v="2024-07-16T00:00:00"/>
    <x v="1"/>
    <x v="297"/>
    <x v="0"/>
    <x v="0"/>
    <x v="0"/>
    <x v="0"/>
    <x v="0"/>
    <x v="0"/>
  </r>
  <r>
    <n v="60939"/>
    <x v="8"/>
    <x v="1"/>
    <x v="208"/>
    <x v="5"/>
    <x v="298"/>
    <x v="4"/>
    <d v="2024-02-08T00:00:00"/>
    <d v="2024-02-21T00:00:00"/>
    <x v="1"/>
    <x v="298"/>
    <x v="0"/>
    <x v="0"/>
    <x v="0"/>
    <x v="0"/>
    <x v="0"/>
    <x v="0"/>
  </r>
  <r>
    <n v="25223"/>
    <x v="15"/>
    <x v="4"/>
    <x v="226"/>
    <x v="5"/>
    <x v="299"/>
    <x v="2"/>
    <d v="2024-03-31T00:00:00"/>
    <d v="2024-05-08T00:00:00"/>
    <x v="0"/>
    <x v="299"/>
    <x v="0"/>
    <x v="0"/>
    <x v="0"/>
    <x v="0"/>
    <x v="0"/>
    <x v="1"/>
  </r>
  <r>
    <n v="33383"/>
    <x v="3"/>
    <x v="2"/>
    <x v="227"/>
    <x v="6"/>
    <x v="300"/>
    <x v="1"/>
    <d v="2024-03-24T00:00:00"/>
    <d v="2024-04-22T00:00:00"/>
    <x v="2"/>
    <x v="300"/>
    <x v="1"/>
    <x v="35"/>
    <x v="1"/>
    <x v="1"/>
    <x v="1"/>
    <x v="1"/>
  </r>
  <r>
    <n v="69675"/>
    <x v="9"/>
    <x v="1"/>
    <x v="228"/>
    <x v="0"/>
    <x v="301"/>
    <x v="2"/>
    <d v="2024-10-01T00:00:00"/>
    <d v="2024-10-14T00:00:00"/>
    <x v="0"/>
    <x v="301"/>
    <x v="0"/>
    <x v="0"/>
    <x v="0"/>
    <x v="0"/>
    <x v="0"/>
    <x v="1"/>
  </r>
  <r>
    <n v="60085"/>
    <x v="9"/>
    <x v="1"/>
    <x v="20"/>
    <x v="6"/>
    <x v="302"/>
    <x v="4"/>
    <d v="2024-10-01T00:00:00"/>
    <d v="2024-10-19T00:00:00"/>
    <x v="0"/>
    <x v="302"/>
    <x v="1"/>
    <x v="36"/>
    <x v="1"/>
    <x v="1"/>
    <x v="1"/>
    <x v="1"/>
  </r>
  <r>
    <n v="56733"/>
    <x v="1"/>
    <x v="0"/>
    <x v="229"/>
    <x v="5"/>
    <x v="303"/>
    <x v="0"/>
    <d v="2024-06-09T00:00:00"/>
    <d v="2024-07-08T00:00:00"/>
    <x v="0"/>
    <x v="303"/>
    <x v="0"/>
    <x v="0"/>
    <x v="0"/>
    <x v="0"/>
    <x v="0"/>
    <x v="0"/>
  </r>
  <r>
    <n v="60139"/>
    <x v="10"/>
    <x v="2"/>
    <x v="230"/>
    <x v="5"/>
    <x v="304"/>
    <x v="1"/>
    <d v="2024-07-14T00:00:00"/>
    <d v="2024-07-22T00:00:00"/>
    <x v="0"/>
    <x v="304"/>
    <x v="0"/>
    <x v="0"/>
    <x v="0"/>
    <x v="0"/>
    <x v="0"/>
    <x v="0"/>
  </r>
  <r>
    <n v="45292"/>
    <x v="13"/>
    <x v="3"/>
    <x v="120"/>
    <x v="2"/>
    <x v="305"/>
    <x v="3"/>
    <d v="2024-09-11T00:00:00"/>
    <d v="2024-10-01T00:00:00"/>
    <x v="2"/>
    <x v="305"/>
    <x v="0"/>
    <x v="0"/>
    <x v="0"/>
    <x v="0"/>
    <x v="0"/>
    <x v="0"/>
  </r>
  <r>
    <n v="60500"/>
    <x v="12"/>
    <x v="0"/>
    <x v="97"/>
    <x v="5"/>
    <x v="306"/>
    <x v="2"/>
    <d v="2024-09-11T00:00:00"/>
    <d v="2024-10-06T00:00:00"/>
    <x v="0"/>
    <x v="306"/>
    <x v="0"/>
    <x v="0"/>
    <x v="0"/>
    <x v="0"/>
    <x v="0"/>
    <x v="1"/>
  </r>
  <r>
    <n v="96497"/>
    <x v="10"/>
    <x v="2"/>
    <x v="111"/>
    <x v="1"/>
    <x v="307"/>
    <x v="3"/>
    <d v="2024-02-04T00:00:00"/>
    <d v="2024-02-25T00:00:00"/>
    <x v="0"/>
    <x v="307"/>
    <x v="0"/>
    <x v="0"/>
    <x v="0"/>
    <x v="0"/>
    <x v="0"/>
    <x v="1"/>
  </r>
  <r>
    <n v="36649"/>
    <x v="4"/>
    <x v="0"/>
    <x v="231"/>
    <x v="5"/>
    <x v="308"/>
    <x v="2"/>
    <d v="2024-12-26T00:00:00"/>
    <d v="2025-01-18T00:00:00"/>
    <x v="0"/>
    <x v="308"/>
    <x v="1"/>
    <x v="11"/>
    <x v="1"/>
    <x v="1"/>
    <x v="1"/>
    <x v="1"/>
  </r>
  <r>
    <n v="28230"/>
    <x v="6"/>
    <x v="3"/>
    <x v="232"/>
    <x v="4"/>
    <x v="309"/>
    <x v="2"/>
    <d v="2024-06-27T00:00:00"/>
    <d v="2024-07-05T00:00:00"/>
    <x v="2"/>
    <x v="309"/>
    <x v="1"/>
    <x v="37"/>
    <x v="1"/>
    <x v="1"/>
    <x v="1"/>
    <x v="1"/>
  </r>
  <r>
    <n v="21190"/>
    <x v="0"/>
    <x v="0"/>
    <x v="81"/>
    <x v="5"/>
    <x v="310"/>
    <x v="3"/>
    <d v="2024-06-10T00:00:00"/>
    <d v="2024-07-11T00:00:00"/>
    <x v="0"/>
    <x v="310"/>
    <x v="1"/>
    <x v="38"/>
    <x v="1"/>
    <x v="1"/>
    <x v="1"/>
    <x v="1"/>
  </r>
  <r>
    <n v="50583"/>
    <x v="2"/>
    <x v="1"/>
    <x v="19"/>
    <x v="1"/>
    <x v="311"/>
    <x v="0"/>
    <d v="2024-08-05T00:00:00"/>
    <d v="2024-09-05T00:00:00"/>
    <x v="2"/>
    <x v="311"/>
    <x v="0"/>
    <x v="0"/>
    <x v="0"/>
    <x v="0"/>
    <x v="0"/>
    <x v="0"/>
  </r>
  <r>
    <n v="93375"/>
    <x v="8"/>
    <x v="1"/>
    <x v="233"/>
    <x v="1"/>
    <x v="312"/>
    <x v="4"/>
    <d v="2024-05-21T00:00:00"/>
    <d v="2024-06-29T00:00:00"/>
    <x v="0"/>
    <x v="312"/>
    <x v="0"/>
    <x v="0"/>
    <x v="0"/>
    <x v="0"/>
    <x v="0"/>
    <x v="1"/>
  </r>
  <r>
    <n v="47418"/>
    <x v="16"/>
    <x v="3"/>
    <x v="234"/>
    <x v="2"/>
    <x v="313"/>
    <x v="2"/>
    <d v="2024-07-08T00:00:00"/>
    <d v="2024-07-20T00:00:00"/>
    <x v="0"/>
    <x v="313"/>
    <x v="0"/>
    <x v="0"/>
    <x v="0"/>
    <x v="0"/>
    <x v="0"/>
    <x v="0"/>
  </r>
  <r>
    <n v="15463"/>
    <x v="15"/>
    <x v="4"/>
    <x v="235"/>
    <x v="1"/>
    <x v="314"/>
    <x v="4"/>
    <d v="2024-11-13T00:00:00"/>
    <d v="2024-11-26T00:00:00"/>
    <x v="0"/>
    <x v="314"/>
    <x v="0"/>
    <x v="0"/>
    <x v="0"/>
    <x v="0"/>
    <x v="0"/>
    <x v="0"/>
  </r>
  <r>
    <n v="32207"/>
    <x v="8"/>
    <x v="1"/>
    <x v="195"/>
    <x v="1"/>
    <x v="315"/>
    <x v="0"/>
    <d v="2024-07-01T00:00:00"/>
    <d v="2024-07-18T00:00:00"/>
    <x v="2"/>
    <x v="315"/>
    <x v="0"/>
    <x v="0"/>
    <x v="0"/>
    <x v="0"/>
    <x v="0"/>
    <x v="0"/>
  </r>
  <r>
    <n v="54363"/>
    <x v="3"/>
    <x v="2"/>
    <x v="182"/>
    <x v="6"/>
    <x v="316"/>
    <x v="4"/>
    <d v="2024-01-01T00:00:00"/>
    <d v="2024-01-24T00:00:00"/>
    <x v="0"/>
    <x v="316"/>
    <x v="0"/>
    <x v="0"/>
    <x v="0"/>
    <x v="0"/>
    <x v="0"/>
    <x v="1"/>
  </r>
  <r>
    <n v="13321"/>
    <x v="7"/>
    <x v="3"/>
    <x v="236"/>
    <x v="2"/>
    <x v="317"/>
    <x v="4"/>
    <d v="2024-04-12T00:00:00"/>
    <d v="2024-05-14T00:00:00"/>
    <x v="0"/>
    <x v="317"/>
    <x v="0"/>
    <x v="0"/>
    <x v="0"/>
    <x v="0"/>
    <x v="0"/>
    <x v="0"/>
  </r>
  <r>
    <n v="33377"/>
    <x v="5"/>
    <x v="2"/>
    <x v="237"/>
    <x v="5"/>
    <x v="318"/>
    <x v="1"/>
    <d v="2024-08-02T00:00:00"/>
    <d v="2024-08-26T00:00:00"/>
    <x v="2"/>
    <x v="318"/>
    <x v="0"/>
    <x v="0"/>
    <x v="0"/>
    <x v="0"/>
    <x v="0"/>
    <x v="0"/>
  </r>
  <r>
    <n v="88931"/>
    <x v="4"/>
    <x v="0"/>
    <x v="101"/>
    <x v="6"/>
    <x v="319"/>
    <x v="3"/>
    <d v="2024-05-26T00:00:00"/>
    <d v="2024-06-27T00:00:00"/>
    <x v="0"/>
    <x v="319"/>
    <x v="0"/>
    <x v="0"/>
    <x v="0"/>
    <x v="0"/>
    <x v="0"/>
    <x v="1"/>
  </r>
  <r>
    <n v="96120"/>
    <x v="4"/>
    <x v="0"/>
    <x v="157"/>
    <x v="6"/>
    <x v="320"/>
    <x v="1"/>
    <d v="2024-09-14T00:00:00"/>
    <d v="2024-10-17T00:00:00"/>
    <x v="2"/>
    <x v="320"/>
    <x v="0"/>
    <x v="0"/>
    <x v="0"/>
    <x v="0"/>
    <x v="0"/>
    <x v="1"/>
  </r>
  <r>
    <n v="56619"/>
    <x v="3"/>
    <x v="2"/>
    <x v="238"/>
    <x v="3"/>
    <x v="321"/>
    <x v="0"/>
    <d v="2024-02-20T00:00:00"/>
    <d v="2024-03-04T00:00:00"/>
    <x v="2"/>
    <x v="321"/>
    <x v="0"/>
    <x v="0"/>
    <x v="0"/>
    <x v="0"/>
    <x v="0"/>
    <x v="0"/>
  </r>
  <r>
    <n v="88928"/>
    <x v="10"/>
    <x v="2"/>
    <x v="239"/>
    <x v="1"/>
    <x v="322"/>
    <x v="3"/>
    <d v="2024-12-15T00:00:00"/>
    <d v="2024-12-21T00:00:00"/>
    <x v="2"/>
    <x v="322"/>
    <x v="1"/>
    <x v="10"/>
    <x v="1"/>
    <x v="1"/>
    <x v="1"/>
    <x v="1"/>
  </r>
  <r>
    <n v="47437"/>
    <x v="12"/>
    <x v="0"/>
    <x v="240"/>
    <x v="2"/>
    <x v="323"/>
    <x v="3"/>
    <d v="2024-12-22T00:00:00"/>
    <d v="2025-01-16T00:00:00"/>
    <x v="1"/>
    <x v="323"/>
    <x v="0"/>
    <x v="0"/>
    <x v="0"/>
    <x v="0"/>
    <x v="0"/>
    <x v="0"/>
  </r>
  <r>
    <n v="46268"/>
    <x v="9"/>
    <x v="1"/>
    <x v="31"/>
    <x v="2"/>
    <x v="324"/>
    <x v="3"/>
    <d v="2024-10-03T00:00:00"/>
    <d v="2024-10-25T00:00:00"/>
    <x v="0"/>
    <x v="324"/>
    <x v="0"/>
    <x v="0"/>
    <x v="0"/>
    <x v="0"/>
    <x v="0"/>
    <x v="0"/>
  </r>
  <r>
    <n v="62395"/>
    <x v="11"/>
    <x v="4"/>
    <x v="192"/>
    <x v="4"/>
    <x v="325"/>
    <x v="3"/>
    <d v="2024-07-13T00:00:00"/>
    <d v="2024-08-14T00:00:00"/>
    <x v="1"/>
    <x v="325"/>
    <x v="0"/>
    <x v="0"/>
    <x v="0"/>
    <x v="0"/>
    <x v="0"/>
    <x v="0"/>
  </r>
  <r>
    <n v="98503"/>
    <x v="5"/>
    <x v="2"/>
    <x v="241"/>
    <x v="5"/>
    <x v="326"/>
    <x v="2"/>
    <d v="2024-06-15T00:00:00"/>
    <d v="2024-07-23T00:00:00"/>
    <x v="0"/>
    <x v="326"/>
    <x v="0"/>
    <x v="0"/>
    <x v="0"/>
    <x v="0"/>
    <x v="0"/>
    <x v="0"/>
  </r>
  <r>
    <n v="50379"/>
    <x v="0"/>
    <x v="0"/>
    <x v="189"/>
    <x v="2"/>
    <x v="327"/>
    <x v="1"/>
    <d v="2024-05-27T00:00:00"/>
    <d v="2024-06-19T00:00:00"/>
    <x v="1"/>
    <x v="327"/>
    <x v="0"/>
    <x v="0"/>
    <x v="0"/>
    <x v="0"/>
    <x v="0"/>
    <x v="1"/>
  </r>
  <r>
    <n v="89239"/>
    <x v="3"/>
    <x v="2"/>
    <x v="242"/>
    <x v="0"/>
    <x v="328"/>
    <x v="1"/>
    <d v="2024-10-31T00:00:00"/>
    <d v="2024-11-09T00:00:00"/>
    <x v="2"/>
    <x v="328"/>
    <x v="0"/>
    <x v="0"/>
    <x v="0"/>
    <x v="0"/>
    <x v="0"/>
    <x v="0"/>
  </r>
  <r>
    <n v="52359"/>
    <x v="9"/>
    <x v="1"/>
    <x v="207"/>
    <x v="2"/>
    <x v="329"/>
    <x v="0"/>
    <d v="2024-11-20T00:00:00"/>
    <d v="2024-12-24T00:00:00"/>
    <x v="1"/>
    <x v="329"/>
    <x v="0"/>
    <x v="0"/>
    <x v="0"/>
    <x v="0"/>
    <x v="0"/>
    <x v="0"/>
  </r>
  <r>
    <n v="87362"/>
    <x v="10"/>
    <x v="2"/>
    <x v="243"/>
    <x v="3"/>
    <x v="330"/>
    <x v="1"/>
    <d v="2024-12-28T00:00:00"/>
    <d v="2025-01-28T00:00:00"/>
    <x v="2"/>
    <x v="330"/>
    <x v="0"/>
    <x v="0"/>
    <x v="0"/>
    <x v="0"/>
    <x v="0"/>
    <x v="0"/>
  </r>
  <r>
    <n v="37734"/>
    <x v="10"/>
    <x v="2"/>
    <x v="174"/>
    <x v="1"/>
    <x v="331"/>
    <x v="2"/>
    <d v="2024-05-01T00:00:00"/>
    <d v="2024-06-09T00:00:00"/>
    <x v="2"/>
    <x v="331"/>
    <x v="0"/>
    <x v="0"/>
    <x v="0"/>
    <x v="0"/>
    <x v="0"/>
    <x v="0"/>
  </r>
  <r>
    <n v="69500"/>
    <x v="0"/>
    <x v="0"/>
    <x v="244"/>
    <x v="1"/>
    <x v="332"/>
    <x v="2"/>
    <d v="2024-05-05T00:00:00"/>
    <d v="2024-05-26T00:00:00"/>
    <x v="0"/>
    <x v="332"/>
    <x v="0"/>
    <x v="0"/>
    <x v="0"/>
    <x v="0"/>
    <x v="0"/>
    <x v="0"/>
  </r>
  <r>
    <n v="60098"/>
    <x v="16"/>
    <x v="3"/>
    <x v="118"/>
    <x v="1"/>
    <x v="333"/>
    <x v="0"/>
    <d v="2024-12-07T00:00:00"/>
    <d v="2025-01-03T00:00:00"/>
    <x v="2"/>
    <x v="333"/>
    <x v="0"/>
    <x v="0"/>
    <x v="0"/>
    <x v="0"/>
    <x v="0"/>
    <x v="0"/>
  </r>
  <r>
    <n v="10358"/>
    <x v="14"/>
    <x v="4"/>
    <x v="107"/>
    <x v="3"/>
    <x v="334"/>
    <x v="2"/>
    <d v="2024-01-21T00:00:00"/>
    <d v="2024-02-05T00:00:00"/>
    <x v="1"/>
    <x v="334"/>
    <x v="0"/>
    <x v="0"/>
    <x v="0"/>
    <x v="0"/>
    <x v="0"/>
    <x v="1"/>
  </r>
  <r>
    <n v="36762"/>
    <x v="9"/>
    <x v="1"/>
    <x v="147"/>
    <x v="1"/>
    <x v="335"/>
    <x v="2"/>
    <d v="2024-04-20T00:00:00"/>
    <d v="2024-05-28T00:00:00"/>
    <x v="1"/>
    <x v="335"/>
    <x v="0"/>
    <x v="0"/>
    <x v="0"/>
    <x v="0"/>
    <x v="0"/>
    <x v="0"/>
  </r>
  <r>
    <n v="94754"/>
    <x v="16"/>
    <x v="3"/>
    <x v="23"/>
    <x v="4"/>
    <x v="336"/>
    <x v="4"/>
    <d v="2024-08-01T00:00:00"/>
    <d v="2024-08-29T00:00:00"/>
    <x v="1"/>
    <x v="336"/>
    <x v="0"/>
    <x v="0"/>
    <x v="0"/>
    <x v="0"/>
    <x v="0"/>
    <x v="1"/>
  </r>
  <r>
    <n v="85774"/>
    <x v="7"/>
    <x v="3"/>
    <x v="245"/>
    <x v="1"/>
    <x v="337"/>
    <x v="0"/>
    <d v="2024-06-12T00:00:00"/>
    <d v="2024-07-05T00:00:00"/>
    <x v="0"/>
    <x v="337"/>
    <x v="0"/>
    <x v="0"/>
    <x v="0"/>
    <x v="0"/>
    <x v="0"/>
    <x v="0"/>
  </r>
  <r>
    <n v="54789"/>
    <x v="15"/>
    <x v="4"/>
    <x v="246"/>
    <x v="1"/>
    <x v="338"/>
    <x v="0"/>
    <d v="2024-09-02T00:00:00"/>
    <d v="2024-09-27T00:00:00"/>
    <x v="1"/>
    <x v="338"/>
    <x v="0"/>
    <x v="0"/>
    <x v="0"/>
    <x v="0"/>
    <x v="0"/>
    <x v="0"/>
  </r>
  <r>
    <n v="76418"/>
    <x v="0"/>
    <x v="0"/>
    <x v="229"/>
    <x v="4"/>
    <x v="339"/>
    <x v="0"/>
    <d v="2024-01-12T00:00:00"/>
    <d v="2024-01-22T00:00:00"/>
    <x v="2"/>
    <x v="339"/>
    <x v="0"/>
    <x v="0"/>
    <x v="0"/>
    <x v="0"/>
    <x v="0"/>
    <x v="0"/>
  </r>
  <r>
    <n v="38064"/>
    <x v="1"/>
    <x v="0"/>
    <x v="247"/>
    <x v="5"/>
    <x v="340"/>
    <x v="0"/>
    <d v="2024-09-06T00:00:00"/>
    <d v="2024-09-21T00:00:00"/>
    <x v="1"/>
    <x v="340"/>
    <x v="0"/>
    <x v="0"/>
    <x v="0"/>
    <x v="0"/>
    <x v="0"/>
    <x v="0"/>
  </r>
  <r>
    <n v="31083"/>
    <x v="9"/>
    <x v="1"/>
    <x v="4"/>
    <x v="2"/>
    <x v="341"/>
    <x v="0"/>
    <d v="2024-08-06T00:00:00"/>
    <d v="2024-08-28T00:00:00"/>
    <x v="1"/>
    <x v="341"/>
    <x v="0"/>
    <x v="0"/>
    <x v="0"/>
    <x v="0"/>
    <x v="0"/>
    <x v="0"/>
  </r>
  <r>
    <n v="92035"/>
    <x v="12"/>
    <x v="0"/>
    <x v="248"/>
    <x v="0"/>
    <x v="342"/>
    <x v="4"/>
    <d v="2024-11-24T00:00:00"/>
    <d v="2024-12-06T00:00:00"/>
    <x v="0"/>
    <x v="342"/>
    <x v="0"/>
    <x v="0"/>
    <x v="0"/>
    <x v="0"/>
    <x v="0"/>
    <x v="0"/>
  </r>
  <r>
    <n v="35518"/>
    <x v="8"/>
    <x v="1"/>
    <x v="226"/>
    <x v="0"/>
    <x v="343"/>
    <x v="4"/>
    <d v="2024-11-18T00:00:00"/>
    <d v="2024-11-27T00:00:00"/>
    <x v="1"/>
    <x v="343"/>
    <x v="0"/>
    <x v="0"/>
    <x v="0"/>
    <x v="0"/>
    <x v="0"/>
    <x v="0"/>
  </r>
  <r>
    <n v="32313"/>
    <x v="11"/>
    <x v="4"/>
    <x v="249"/>
    <x v="5"/>
    <x v="344"/>
    <x v="4"/>
    <d v="2024-02-23T00:00:00"/>
    <d v="2024-03-08T00:00:00"/>
    <x v="2"/>
    <x v="344"/>
    <x v="0"/>
    <x v="0"/>
    <x v="0"/>
    <x v="0"/>
    <x v="0"/>
    <x v="0"/>
  </r>
  <r>
    <n v="87842"/>
    <x v="9"/>
    <x v="1"/>
    <x v="250"/>
    <x v="5"/>
    <x v="345"/>
    <x v="1"/>
    <d v="2024-10-29T00:00:00"/>
    <d v="2024-12-07T00:00:00"/>
    <x v="2"/>
    <x v="345"/>
    <x v="0"/>
    <x v="0"/>
    <x v="0"/>
    <x v="0"/>
    <x v="0"/>
    <x v="1"/>
  </r>
  <r>
    <n v="19764"/>
    <x v="9"/>
    <x v="1"/>
    <x v="227"/>
    <x v="6"/>
    <x v="346"/>
    <x v="3"/>
    <d v="2024-10-18T00:00:00"/>
    <d v="2024-11-16T00:00:00"/>
    <x v="1"/>
    <x v="346"/>
    <x v="1"/>
    <x v="35"/>
    <x v="1"/>
    <x v="1"/>
    <x v="1"/>
    <x v="1"/>
  </r>
  <r>
    <n v="30131"/>
    <x v="16"/>
    <x v="3"/>
    <x v="115"/>
    <x v="1"/>
    <x v="347"/>
    <x v="0"/>
    <d v="2024-07-19T00:00:00"/>
    <d v="2024-07-24T00:00:00"/>
    <x v="2"/>
    <x v="347"/>
    <x v="0"/>
    <x v="0"/>
    <x v="0"/>
    <x v="0"/>
    <x v="0"/>
    <x v="1"/>
  </r>
  <r>
    <n v="29810"/>
    <x v="2"/>
    <x v="1"/>
    <x v="251"/>
    <x v="5"/>
    <x v="348"/>
    <x v="0"/>
    <d v="2024-12-23T00:00:00"/>
    <d v="2025-01-07T00:00:00"/>
    <x v="2"/>
    <x v="348"/>
    <x v="0"/>
    <x v="0"/>
    <x v="0"/>
    <x v="0"/>
    <x v="0"/>
    <x v="0"/>
  </r>
  <r>
    <n v="80721"/>
    <x v="0"/>
    <x v="0"/>
    <x v="93"/>
    <x v="3"/>
    <x v="349"/>
    <x v="3"/>
    <d v="2024-03-23T00:00:00"/>
    <d v="2024-04-12T00:00:00"/>
    <x v="1"/>
    <x v="349"/>
    <x v="0"/>
    <x v="0"/>
    <x v="0"/>
    <x v="0"/>
    <x v="0"/>
    <x v="0"/>
  </r>
  <r>
    <n v="78487"/>
    <x v="11"/>
    <x v="4"/>
    <x v="11"/>
    <x v="5"/>
    <x v="350"/>
    <x v="0"/>
    <d v="2024-01-13T00:00:00"/>
    <d v="2024-02-17T00:00:00"/>
    <x v="2"/>
    <x v="350"/>
    <x v="0"/>
    <x v="0"/>
    <x v="0"/>
    <x v="0"/>
    <x v="0"/>
    <x v="0"/>
  </r>
  <r>
    <n v="43204"/>
    <x v="6"/>
    <x v="3"/>
    <x v="52"/>
    <x v="6"/>
    <x v="351"/>
    <x v="4"/>
    <d v="2024-08-20T00:00:00"/>
    <d v="2024-09-23T00:00:00"/>
    <x v="0"/>
    <x v="351"/>
    <x v="1"/>
    <x v="7"/>
    <x v="1"/>
    <x v="1"/>
    <x v="1"/>
    <x v="1"/>
  </r>
  <r>
    <n v="26566"/>
    <x v="10"/>
    <x v="2"/>
    <x v="252"/>
    <x v="2"/>
    <x v="352"/>
    <x v="1"/>
    <d v="2024-01-31T00:00:00"/>
    <d v="2024-02-21T00:00:00"/>
    <x v="2"/>
    <x v="352"/>
    <x v="0"/>
    <x v="0"/>
    <x v="0"/>
    <x v="0"/>
    <x v="0"/>
    <x v="0"/>
  </r>
  <r>
    <n v="26237"/>
    <x v="1"/>
    <x v="0"/>
    <x v="253"/>
    <x v="4"/>
    <x v="353"/>
    <x v="2"/>
    <d v="2024-01-14T00:00:00"/>
    <d v="2024-02-15T00:00:00"/>
    <x v="0"/>
    <x v="353"/>
    <x v="0"/>
    <x v="0"/>
    <x v="0"/>
    <x v="0"/>
    <x v="0"/>
    <x v="1"/>
  </r>
  <r>
    <n v="22237"/>
    <x v="0"/>
    <x v="0"/>
    <x v="119"/>
    <x v="6"/>
    <x v="354"/>
    <x v="1"/>
    <d v="2024-01-12T00:00:00"/>
    <d v="2024-02-16T00:00:00"/>
    <x v="2"/>
    <x v="354"/>
    <x v="1"/>
    <x v="34"/>
    <x v="1"/>
    <x v="1"/>
    <x v="1"/>
    <x v="1"/>
  </r>
  <r>
    <n v="68608"/>
    <x v="15"/>
    <x v="4"/>
    <x v="254"/>
    <x v="2"/>
    <x v="355"/>
    <x v="1"/>
    <d v="2024-03-19T00:00:00"/>
    <d v="2024-04-23T00:00:00"/>
    <x v="0"/>
    <x v="355"/>
    <x v="0"/>
    <x v="0"/>
    <x v="0"/>
    <x v="0"/>
    <x v="0"/>
    <x v="0"/>
  </r>
  <r>
    <n v="68161"/>
    <x v="11"/>
    <x v="4"/>
    <x v="48"/>
    <x v="5"/>
    <x v="356"/>
    <x v="3"/>
    <d v="2024-12-08T00:00:00"/>
    <d v="2025-01-05T00:00:00"/>
    <x v="2"/>
    <x v="356"/>
    <x v="1"/>
    <x v="18"/>
    <x v="1"/>
    <x v="1"/>
    <x v="1"/>
    <x v="1"/>
  </r>
  <r>
    <n v="81274"/>
    <x v="7"/>
    <x v="3"/>
    <x v="255"/>
    <x v="1"/>
    <x v="357"/>
    <x v="0"/>
    <d v="2024-04-30T00:00:00"/>
    <d v="2024-05-05T00:00:00"/>
    <x v="0"/>
    <x v="357"/>
    <x v="0"/>
    <x v="0"/>
    <x v="0"/>
    <x v="0"/>
    <x v="0"/>
    <x v="0"/>
  </r>
  <r>
    <n v="12224"/>
    <x v="5"/>
    <x v="2"/>
    <x v="256"/>
    <x v="4"/>
    <x v="358"/>
    <x v="2"/>
    <d v="2024-11-02T00:00:00"/>
    <d v="2024-11-19T00:00:00"/>
    <x v="1"/>
    <x v="358"/>
    <x v="0"/>
    <x v="0"/>
    <x v="0"/>
    <x v="0"/>
    <x v="0"/>
    <x v="0"/>
  </r>
  <r>
    <n v="54760"/>
    <x v="16"/>
    <x v="3"/>
    <x v="257"/>
    <x v="6"/>
    <x v="359"/>
    <x v="1"/>
    <d v="2024-11-11T00:00:00"/>
    <d v="2024-12-12T00:00:00"/>
    <x v="1"/>
    <x v="359"/>
    <x v="0"/>
    <x v="0"/>
    <x v="0"/>
    <x v="0"/>
    <x v="0"/>
    <x v="1"/>
  </r>
  <r>
    <n v="64040"/>
    <x v="16"/>
    <x v="3"/>
    <x v="240"/>
    <x v="1"/>
    <x v="360"/>
    <x v="3"/>
    <d v="2024-01-24T00:00:00"/>
    <d v="2024-02-08T00:00:00"/>
    <x v="0"/>
    <x v="360"/>
    <x v="0"/>
    <x v="0"/>
    <x v="0"/>
    <x v="0"/>
    <x v="0"/>
    <x v="1"/>
  </r>
  <r>
    <n v="35599"/>
    <x v="12"/>
    <x v="0"/>
    <x v="224"/>
    <x v="4"/>
    <x v="361"/>
    <x v="3"/>
    <d v="2024-04-10T00:00:00"/>
    <d v="2024-05-12T00:00:00"/>
    <x v="1"/>
    <x v="361"/>
    <x v="0"/>
    <x v="0"/>
    <x v="0"/>
    <x v="0"/>
    <x v="0"/>
    <x v="0"/>
  </r>
  <r>
    <n v="37364"/>
    <x v="11"/>
    <x v="4"/>
    <x v="258"/>
    <x v="4"/>
    <x v="362"/>
    <x v="4"/>
    <d v="2024-01-13T00:00:00"/>
    <d v="2024-02-04T00:00:00"/>
    <x v="1"/>
    <x v="362"/>
    <x v="0"/>
    <x v="0"/>
    <x v="0"/>
    <x v="0"/>
    <x v="0"/>
    <x v="0"/>
  </r>
  <r>
    <n v="93692"/>
    <x v="14"/>
    <x v="4"/>
    <x v="259"/>
    <x v="5"/>
    <x v="363"/>
    <x v="1"/>
    <d v="2024-04-09T00:00:00"/>
    <d v="2024-05-06T00:00:00"/>
    <x v="0"/>
    <x v="363"/>
    <x v="0"/>
    <x v="0"/>
    <x v="0"/>
    <x v="0"/>
    <x v="0"/>
    <x v="0"/>
  </r>
  <r>
    <n v="57591"/>
    <x v="4"/>
    <x v="0"/>
    <x v="155"/>
    <x v="4"/>
    <x v="364"/>
    <x v="3"/>
    <d v="2024-05-28T00:00:00"/>
    <d v="2024-06-29T00:00:00"/>
    <x v="0"/>
    <x v="364"/>
    <x v="1"/>
    <x v="39"/>
    <x v="1"/>
    <x v="1"/>
    <x v="1"/>
    <x v="1"/>
  </r>
  <r>
    <n v="65860"/>
    <x v="12"/>
    <x v="0"/>
    <x v="258"/>
    <x v="1"/>
    <x v="365"/>
    <x v="2"/>
    <d v="2024-04-27T00:00:00"/>
    <d v="2024-05-11T00:00:00"/>
    <x v="1"/>
    <x v="365"/>
    <x v="0"/>
    <x v="0"/>
    <x v="0"/>
    <x v="0"/>
    <x v="0"/>
    <x v="1"/>
  </r>
  <r>
    <n v="52965"/>
    <x v="13"/>
    <x v="3"/>
    <x v="140"/>
    <x v="1"/>
    <x v="366"/>
    <x v="3"/>
    <d v="2024-10-06T00:00:00"/>
    <d v="2024-10-12T00:00:00"/>
    <x v="2"/>
    <x v="366"/>
    <x v="1"/>
    <x v="40"/>
    <x v="1"/>
    <x v="1"/>
    <x v="1"/>
    <x v="1"/>
  </r>
  <r>
    <n v="46021"/>
    <x v="15"/>
    <x v="4"/>
    <x v="260"/>
    <x v="0"/>
    <x v="367"/>
    <x v="2"/>
    <d v="2024-01-17T00:00:00"/>
    <d v="2024-02-02T00:00:00"/>
    <x v="0"/>
    <x v="367"/>
    <x v="0"/>
    <x v="0"/>
    <x v="0"/>
    <x v="0"/>
    <x v="0"/>
    <x v="0"/>
  </r>
  <r>
    <n v="30307"/>
    <x v="10"/>
    <x v="2"/>
    <x v="261"/>
    <x v="3"/>
    <x v="368"/>
    <x v="2"/>
    <d v="2024-08-17T00:00:00"/>
    <d v="2024-08-22T00:00:00"/>
    <x v="1"/>
    <x v="368"/>
    <x v="0"/>
    <x v="0"/>
    <x v="0"/>
    <x v="0"/>
    <x v="0"/>
    <x v="0"/>
  </r>
  <r>
    <n v="40116"/>
    <x v="2"/>
    <x v="1"/>
    <x v="144"/>
    <x v="0"/>
    <x v="369"/>
    <x v="4"/>
    <d v="2024-06-18T00:00:00"/>
    <d v="2024-07-22T00:00:00"/>
    <x v="0"/>
    <x v="369"/>
    <x v="0"/>
    <x v="0"/>
    <x v="0"/>
    <x v="0"/>
    <x v="0"/>
    <x v="0"/>
  </r>
  <r>
    <n v="56607"/>
    <x v="9"/>
    <x v="1"/>
    <x v="158"/>
    <x v="6"/>
    <x v="370"/>
    <x v="0"/>
    <d v="2024-05-05T00:00:00"/>
    <d v="2024-05-21T00:00:00"/>
    <x v="0"/>
    <x v="370"/>
    <x v="0"/>
    <x v="0"/>
    <x v="0"/>
    <x v="0"/>
    <x v="0"/>
    <x v="1"/>
  </r>
  <r>
    <n v="98839"/>
    <x v="0"/>
    <x v="0"/>
    <x v="262"/>
    <x v="4"/>
    <x v="371"/>
    <x v="3"/>
    <d v="2024-06-08T00:00:00"/>
    <d v="2024-06-23T00:00:00"/>
    <x v="1"/>
    <x v="371"/>
    <x v="0"/>
    <x v="0"/>
    <x v="0"/>
    <x v="0"/>
    <x v="0"/>
    <x v="1"/>
  </r>
  <r>
    <n v="12204"/>
    <x v="8"/>
    <x v="1"/>
    <x v="150"/>
    <x v="0"/>
    <x v="372"/>
    <x v="1"/>
    <d v="2024-07-13T00:00:00"/>
    <d v="2024-08-15T00:00:00"/>
    <x v="2"/>
    <x v="372"/>
    <x v="0"/>
    <x v="0"/>
    <x v="0"/>
    <x v="0"/>
    <x v="0"/>
    <x v="0"/>
  </r>
  <r>
    <n v="31607"/>
    <x v="0"/>
    <x v="0"/>
    <x v="263"/>
    <x v="4"/>
    <x v="373"/>
    <x v="3"/>
    <d v="2024-08-05T00:00:00"/>
    <d v="2024-08-13T00:00:00"/>
    <x v="1"/>
    <x v="373"/>
    <x v="0"/>
    <x v="0"/>
    <x v="0"/>
    <x v="0"/>
    <x v="0"/>
    <x v="1"/>
  </r>
  <r>
    <n v="65835"/>
    <x v="7"/>
    <x v="3"/>
    <x v="48"/>
    <x v="4"/>
    <x v="374"/>
    <x v="3"/>
    <d v="2024-05-22T00:00:00"/>
    <d v="2024-06-27T00:00:00"/>
    <x v="0"/>
    <x v="374"/>
    <x v="0"/>
    <x v="0"/>
    <x v="0"/>
    <x v="0"/>
    <x v="0"/>
    <x v="1"/>
  </r>
  <r>
    <n v="56473"/>
    <x v="5"/>
    <x v="2"/>
    <x v="264"/>
    <x v="6"/>
    <x v="375"/>
    <x v="0"/>
    <d v="2024-01-26T00:00:00"/>
    <d v="2024-02-24T00:00:00"/>
    <x v="0"/>
    <x v="375"/>
    <x v="0"/>
    <x v="0"/>
    <x v="0"/>
    <x v="0"/>
    <x v="0"/>
    <x v="0"/>
  </r>
  <r>
    <n v="84218"/>
    <x v="3"/>
    <x v="2"/>
    <x v="238"/>
    <x v="1"/>
    <x v="376"/>
    <x v="3"/>
    <d v="2024-03-08T00:00:00"/>
    <d v="2024-04-12T00:00:00"/>
    <x v="0"/>
    <x v="376"/>
    <x v="0"/>
    <x v="0"/>
    <x v="0"/>
    <x v="0"/>
    <x v="0"/>
    <x v="0"/>
  </r>
  <r>
    <n v="90360"/>
    <x v="4"/>
    <x v="0"/>
    <x v="92"/>
    <x v="5"/>
    <x v="377"/>
    <x v="1"/>
    <d v="2024-02-16T00:00:00"/>
    <d v="2024-03-22T00:00:00"/>
    <x v="2"/>
    <x v="377"/>
    <x v="0"/>
    <x v="0"/>
    <x v="0"/>
    <x v="0"/>
    <x v="0"/>
    <x v="1"/>
  </r>
  <r>
    <n v="86721"/>
    <x v="2"/>
    <x v="1"/>
    <x v="130"/>
    <x v="4"/>
    <x v="378"/>
    <x v="0"/>
    <d v="2024-09-04T00:00:00"/>
    <d v="2024-10-11T00:00:00"/>
    <x v="2"/>
    <x v="378"/>
    <x v="1"/>
    <x v="4"/>
    <x v="1"/>
    <x v="1"/>
    <x v="1"/>
    <x v="1"/>
  </r>
  <r>
    <n v="98509"/>
    <x v="13"/>
    <x v="3"/>
    <x v="219"/>
    <x v="5"/>
    <x v="379"/>
    <x v="1"/>
    <d v="2024-10-20T00:00:00"/>
    <d v="2024-11-15T00:00:00"/>
    <x v="2"/>
    <x v="379"/>
    <x v="0"/>
    <x v="0"/>
    <x v="0"/>
    <x v="0"/>
    <x v="0"/>
    <x v="1"/>
  </r>
  <r>
    <n v="53527"/>
    <x v="11"/>
    <x v="4"/>
    <x v="265"/>
    <x v="6"/>
    <x v="380"/>
    <x v="2"/>
    <d v="2024-01-06T00:00:00"/>
    <d v="2024-02-08T00:00:00"/>
    <x v="0"/>
    <x v="380"/>
    <x v="0"/>
    <x v="0"/>
    <x v="0"/>
    <x v="0"/>
    <x v="0"/>
    <x v="1"/>
  </r>
  <r>
    <n v="23979"/>
    <x v="10"/>
    <x v="2"/>
    <x v="266"/>
    <x v="0"/>
    <x v="381"/>
    <x v="2"/>
    <d v="2024-01-11T00:00:00"/>
    <d v="2024-02-15T00:00:00"/>
    <x v="2"/>
    <x v="381"/>
    <x v="0"/>
    <x v="0"/>
    <x v="0"/>
    <x v="0"/>
    <x v="0"/>
    <x v="0"/>
  </r>
  <r>
    <n v="51316"/>
    <x v="9"/>
    <x v="1"/>
    <x v="193"/>
    <x v="0"/>
    <x v="382"/>
    <x v="3"/>
    <d v="2024-11-27T00:00:00"/>
    <d v="2024-12-12T00:00:00"/>
    <x v="2"/>
    <x v="382"/>
    <x v="0"/>
    <x v="0"/>
    <x v="0"/>
    <x v="0"/>
    <x v="0"/>
    <x v="0"/>
  </r>
  <r>
    <n v="68627"/>
    <x v="3"/>
    <x v="2"/>
    <x v="267"/>
    <x v="5"/>
    <x v="383"/>
    <x v="2"/>
    <d v="2024-06-02T00:00:00"/>
    <d v="2024-06-12T00:00:00"/>
    <x v="1"/>
    <x v="383"/>
    <x v="0"/>
    <x v="0"/>
    <x v="0"/>
    <x v="0"/>
    <x v="0"/>
    <x v="0"/>
  </r>
  <r>
    <n v="65745"/>
    <x v="6"/>
    <x v="3"/>
    <x v="268"/>
    <x v="3"/>
    <x v="384"/>
    <x v="1"/>
    <d v="2024-10-25T00:00:00"/>
    <d v="2024-11-14T00:00:00"/>
    <x v="1"/>
    <x v="384"/>
    <x v="0"/>
    <x v="0"/>
    <x v="0"/>
    <x v="0"/>
    <x v="0"/>
    <x v="0"/>
  </r>
  <r>
    <n v="66746"/>
    <x v="13"/>
    <x v="3"/>
    <x v="148"/>
    <x v="5"/>
    <x v="385"/>
    <x v="3"/>
    <d v="2024-04-03T00:00:00"/>
    <d v="2024-04-08T00:00:00"/>
    <x v="1"/>
    <x v="385"/>
    <x v="1"/>
    <x v="41"/>
    <x v="1"/>
    <x v="1"/>
    <x v="1"/>
    <x v="1"/>
  </r>
  <r>
    <n v="94388"/>
    <x v="1"/>
    <x v="0"/>
    <x v="4"/>
    <x v="5"/>
    <x v="386"/>
    <x v="1"/>
    <d v="2024-02-13T00:00:00"/>
    <d v="2024-02-26T00:00:00"/>
    <x v="0"/>
    <x v="386"/>
    <x v="0"/>
    <x v="0"/>
    <x v="0"/>
    <x v="0"/>
    <x v="0"/>
    <x v="1"/>
  </r>
  <r>
    <n v="30022"/>
    <x v="1"/>
    <x v="0"/>
    <x v="269"/>
    <x v="3"/>
    <x v="387"/>
    <x v="0"/>
    <d v="2024-08-03T00:00:00"/>
    <d v="2024-08-09T00:00:00"/>
    <x v="2"/>
    <x v="387"/>
    <x v="0"/>
    <x v="0"/>
    <x v="0"/>
    <x v="0"/>
    <x v="0"/>
    <x v="0"/>
  </r>
  <r>
    <n v="78323"/>
    <x v="6"/>
    <x v="3"/>
    <x v="255"/>
    <x v="1"/>
    <x v="388"/>
    <x v="3"/>
    <d v="2024-05-20T00:00:00"/>
    <d v="2024-06-03T00:00:00"/>
    <x v="2"/>
    <x v="388"/>
    <x v="0"/>
    <x v="0"/>
    <x v="0"/>
    <x v="0"/>
    <x v="0"/>
    <x v="0"/>
  </r>
  <r>
    <n v="95744"/>
    <x v="5"/>
    <x v="2"/>
    <x v="188"/>
    <x v="2"/>
    <x v="389"/>
    <x v="0"/>
    <d v="2024-04-02T00:00:00"/>
    <d v="2024-04-13T00:00:00"/>
    <x v="0"/>
    <x v="389"/>
    <x v="0"/>
    <x v="0"/>
    <x v="0"/>
    <x v="0"/>
    <x v="0"/>
    <x v="0"/>
  </r>
  <r>
    <n v="63521"/>
    <x v="3"/>
    <x v="2"/>
    <x v="17"/>
    <x v="6"/>
    <x v="390"/>
    <x v="4"/>
    <d v="2024-07-24T00:00:00"/>
    <d v="2024-08-14T00:00:00"/>
    <x v="0"/>
    <x v="390"/>
    <x v="1"/>
    <x v="42"/>
    <x v="1"/>
    <x v="1"/>
    <x v="1"/>
    <x v="1"/>
  </r>
  <r>
    <n v="25417"/>
    <x v="0"/>
    <x v="0"/>
    <x v="270"/>
    <x v="3"/>
    <x v="391"/>
    <x v="1"/>
    <d v="2024-04-23T00:00:00"/>
    <d v="2024-04-28T00:00:00"/>
    <x v="0"/>
    <x v="391"/>
    <x v="0"/>
    <x v="0"/>
    <x v="0"/>
    <x v="0"/>
    <x v="0"/>
    <x v="1"/>
  </r>
  <r>
    <n v="44681"/>
    <x v="1"/>
    <x v="0"/>
    <x v="237"/>
    <x v="3"/>
    <x v="392"/>
    <x v="3"/>
    <d v="2024-02-10T00:00:00"/>
    <d v="2024-02-19T00:00:00"/>
    <x v="0"/>
    <x v="392"/>
    <x v="0"/>
    <x v="0"/>
    <x v="0"/>
    <x v="0"/>
    <x v="0"/>
    <x v="0"/>
  </r>
  <r>
    <n v="12871"/>
    <x v="14"/>
    <x v="4"/>
    <x v="151"/>
    <x v="1"/>
    <x v="393"/>
    <x v="0"/>
    <d v="2024-09-12T00:00:00"/>
    <d v="2024-09-27T00:00:00"/>
    <x v="0"/>
    <x v="393"/>
    <x v="0"/>
    <x v="0"/>
    <x v="0"/>
    <x v="0"/>
    <x v="0"/>
    <x v="0"/>
  </r>
  <r>
    <n v="55607"/>
    <x v="5"/>
    <x v="2"/>
    <x v="271"/>
    <x v="0"/>
    <x v="394"/>
    <x v="4"/>
    <d v="2024-07-17T00:00:00"/>
    <d v="2024-07-28T00:00:00"/>
    <x v="0"/>
    <x v="394"/>
    <x v="0"/>
    <x v="0"/>
    <x v="0"/>
    <x v="0"/>
    <x v="0"/>
    <x v="0"/>
  </r>
  <r>
    <n v="49464"/>
    <x v="12"/>
    <x v="0"/>
    <x v="272"/>
    <x v="4"/>
    <x v="395"/>
    <x v="0"/>
    <d v="2024-04-25T00:00:00"/>
    <d v="2024-05-28T00:00:00"/>
    <x v="1"/>
    <x v="395"/>
    <x v="0"/>
    <x v="0"/>
    <x v="0"/>
    <x v="0"/>
    <x v="0"/>
    <x v="0"/>
  </r>
  <r>
    <n v="55095"/>
    <x v="4"/>
    <x v="0"/>
    <x v="273"/>
    <x v="4"/>
    <x v="396"/>
    <x v="4"/>
    <d v="2024-07-13T00:00:00"/>
    <d v="2024-08-10T00:00:00"/>
    <x v="2"/>
    <x v="396"/>
    <x v="0"/>
    <x v="0"/>
    <x v="0"/>
    <x v="0"/>
    <x v="0"/>
    <x v="0"/>
  </r>
  <r>
    <n v="17415"/>
    <x v="7"/>
    <x v="3"/>
    <x v="274"/>
    <x v="3"/>
    <x v="397"/>
    <x v="2"/>
    <d v="2024-10-16T00:00:00"/>
    <d v="2024-11-12T00:00:00"/>
    <x v="1"/>
    <x v="397"/>
    <x v="1"/>
    <x v="43"/>
    <x v="1"/>
    <x v="1"/>
    <x v="1"/>
    <x v="1"/>
  </r>
  <r>
    <n v="44148"/>
    <x v="16"/>
    <x v="3"/>
    <x v="275"/>
    <x v="5"/>
    <x v="398"/>
    <x v="3"/>
    <d v="2024-06-17T00:00:00"/>
    <d v="2024-06-27T00:00:00"/>
    <x v="2"/>
    <x v="398"/>
    <x v="0"/>
    <x v="0"/>
    <x v="0"/>
    <x v="0"/>
    <x v="0"/>
    <x v="0"/>
  </r>
  <r>
    <n v="87787"/>
    <x v="16"/>
    <x v="3"/>
    <x v="84"/>
    <x v="0"/>
    <x v="399"/>
    <x v="2"/>
    <d v="2024-12-07T00:00:00"/>
    <d v="2024-12-15T00:00:00"/>
    <x v="2"/>
    <x v="399"/>
    <x v="0"/>
    <x v="0"/>
    <x v="0"/>
    <x v="0"/>
    <x v="0"/>
    <x v="0"/>
  </r>
  <r>
    <n v="45517"/>
    <x v="3"/>
    <x v="2"/>
    <x v="276"/>
    <x v="6"/>
    <x v="400"/>
    <x v="4"/>
    <d v="2024-12-08T00:00:00"/>
    <d v="2025-01-11T00:00:00"/>
    <x v="0"/>
    <x v="400"/>
    <x v="0"/>
    <x v="0"/>
    <x v="0"/>
    <x v="0"/>
    <x v="0"/>
    <x v="1"/>
  </r>
  <r>
    <n v="37127"/>
    <x v="3"/>
    <x v="2"/>
    <x v="277"/>
    <x v="2"/>
    <x v="401"/>
    <x v="4"/>
    <d v="2024-02-16T00:00:00"/>
    <d v="2024-03-07T00:00:00"/>
    <x v="2"/>
    <x v="401"/>
    <x v="0"/>
    <x v="0"/>
    <x v="0"/>
    <x v="0"/>
    <x v="0"/>
    <x v="0"/>
  </r>
  <r>
    <n v="40881"/>
    <x v="7"/>
    <x v="3"/>
    <x v="278"/>
    <x v="0"/>
    <x v="402"/>
    <x v="3"/>
    <d v="2024-07-20T00:00:00"/>
    <d v="2024-08-25T00:00:00"/>
    <x v="0"/>
    <x v="402"/>
    <x v="0"/>
    <x v="0"/>
    <x v="0"/>
    <x v="0"/>
    <x v="0"/>
    <x v="0"/>
  </r>
  <r>
    <n v="21156"/>
    <x v="5"/>
    <x v="2"/>
    <x v="150"/>
    <x v="2"/>
    <x v="403"/>
    <x v="4"/>
    <d v="2024-02-17T00:00:00"/>
    <d v="2024-03-17T00:00:00"/>
    <x v="2"/>
    <x v="403"/>
    <x v="0"/>
    <x v="0"/>
    <x v="0"/>
    <x v="0"/>
    <x v="0"/>
    <x v="0"/>
  </r>
  <r>
    <n v="30583"/>
    <x v="8"/>
    <x v="1"/>
    <x v="279"/>
    <x v="2"/>
    <x v="404"/>
    <x v="0"/>
    <d v="2024-03-21T00:00:00"/>
    <d v="2024-04-18T00:00:00"/>
    <x v="2"/>
    <x v="404"/>
    <x v="0"/>
    <x v="0"/>
    <x v="0"/>
    <x v="0"/>
    <x v="0"/>
    <x v="0"/>
  </r>
  <r>
    <n v="29873"/>
    <x v="9"/>
    <x v="1"/>
    <x v="9"/>
    <x v="3"/>
    <x v="405"/>
    <x v="0"/>
    <d v="2024-05-05T00:00:00"/>
    <d v="2024-05-26T00:00:00"/>
    <x v="0"/>
    <x v="405"/>
    <x v="0"/>
    <x v="0"/>
    <x v="0"/>
    <x v="0"/>
    <x v="0"/>
    <x v="0"/>
  </r>
  <r>
    <n v="46176"/>
    <x v="16"/>
    <x v="3"/>
    <x v="57"/>
    <x v="5"/>
    <x v="406"/>
    <x v="3"/>
    <d v="2024-11-03T00:00:00"/>
    <d v="2024-11-10T00:00:00"/>
    <x v="1"/>
    <x v="406"/>
    <x v="0"/>
    <x v="0"/>
    <x v="0"/>
    <x v="0"/>
    <x v="0"/>
    <x v="1"/>
  </r>
  <r>
    <n v="43919"/>
    <x v="6"/>
    <x v="3"/>
    <x v="211"/>
    <x v="2"/>
    <x v="407"/>
    <x v="2"/>
    <d v="2024-09-27T00:00:00"/>
    <d v="2024-11-02T00:00:00"/>
    <x v="2"/>
    <x v="407"/>
    <x v="0"/>
    <x v="0"/>
    <x v="0"/>
    <x v="0"/>
    <x v="0"/>
    <x v="0"/>
  </r>
  <r>
    <n v="60445"/>
    <x v="9"/>
    <x v="1"/>
    <x v="280"/>
    <x v="4"/>
    <x v="408"/>
    <x v="1"/>
    <d v="2024-03-18T00:00:00"/>
    <d v="2024-04-24T00:00:00"/>
    <x v="0"/>
    <x v="408"/>
    <x v="1"/>
    <x v="44"/>
    <x v="1"/>
    <x v="1"/>
    <x v="1"/>
    <x v="1"/>
  </r>
  <r>
    <n v="28624"/>
    <x v="1"/>
    <x v="0"/>
    <x v="66"/>
    <x v="1"/>
    <x v="409"/>
    <x v="4"/>
    <d v="2024-06-16T00:00:00"/>
    <d v="2024-07-09T00:00:00"/>
    <x v="1"/>
    <x v="409"/>
    <x v="0"/>
    <x v="0"/>
    <x v="0"/>
    <x v="0"/>
    <x v="0"/>
    <x v="0"/>
  </r>
  <r>
    <n v="14986"/>
    <x v="7"/>
    <x v="3"/>
    <x v="281"/>
    <x v="5"/>
    <x v="410"/>
    <x v="0"/>
    <d v="2024-07-22T00:00:00"/>
    <d v="2024-08-11T00:00:00"/>
    <x v="2"/>
    <x v="410"/>
    <x v="0"/>
    <x v="0"/>
    <x v="0"/>
    <x v="0"/>
    <x v="0"/>
    <x v="0"/>
  </r>
  <r>
    <n v="53526"/>
    <x v="9"/>
    <x v="1"/>
    <x v="282"/>
    <x v="4"/>
    <x v="411"/>
    <x v="0"/>
    <d v="2024-01-22T00:00:00"/>
    <d v="2024-02-03T00:00:00"/>
    <x v="2"/>
    <x v="411"/>
    <x v="0"/>
    <x v="0"/>
    <x v="0"/>
    <x v="0"/>
    <x v="0"/>
    <x v="0"/>
  </r>
  <r>
    <n v="10112"/>
    <x v="3"/>
    <x v="2"/>
    <x v="123"/>
    <x v="4"/>
    <x v="412"/>
    <x v="2"/>
    <d v="2024-05-03T00:00:00"/>
    <d v="2024-06-09T00:00:00"/>
    <x v="2"/>
    <x v="412"/>
    <x v="0"/>
    <x v="0"/>
    <x v="0"/>
    <x v="0"/>
    <x v="0"/>
    <x v="0"/>
  </r>
  <r>
    <n v="20808"/>
    <x v="6"/>
    <x v="3"/>
    <x v="283"/>
    <x v="0"/>
    <x v="413"/>
    <x v="2"/>
    <d v="2024-04-06T00:00:00"/>
    <d v="2024-04-15T00:00:00"/>
    <x v="2"/>
    <x v="413"/>
    <x v="0"/>
    <x v="0"/>
    <x v="0"/>
    <x v="0"/>
    <x v="0"/>
    <x v="0"/>
  </r>
  <r>
    <n v="96741"/>
    <x v="13"/>
    <x v="3"/>
    <x v="127"/>
    <x v="0"/>
    <x v="414"/>
    <x v="4"/>
    <d v="2024-02-19T00:00:00"/>
    <d v="2024-03-13T00:00:00"/>
    <x v="1"/>
    <x v="414"/>
    <x v="0"/>
    <x v="0"/>
    <x v="0"/>
    <x v="0"/>
    <x v="0"/>
    <x v="0"/>
  </r>
  <r>
    <n v="13765"/>
    <x v="11"/>
    <x v="4"/>
    <x v="284"/>
    <x v="6"/>
    <x v="415"/>
    <x v="0"/>
    <d v="2024-05-20T00:00:00"/>
    <d v="2024-06-13T00:00:00"/>
    <x v="2"/>
    <x v="415"/>
    <x v="1"/>
    <x v="45"/>
    <x v="1"/>
    <x v="1"/>
    <x v="1"/>
    <x v="1"/>
  </r>
  <r>
    <n v="35991"/>
    <x v="7"/>
    <x v="3"/>
    <x v="25"/>
    <x v="1"/>
    <x v="416"/>
    <x v="1"/>
    <d v="2024-11-14T00:00:00"/>
    <d v="2024-11-28T00:00:00"/>
    <x v="2"/>
    <x v="416"/>
    <x v="0"/>
    <x v="0"/>
    <x v="0"/>
    <x v="0"/>
    <x v="0"/>
    <x v="0"/>
  </r>
  <r>
    <n v="35917"/>
    <x v="13"/>
    <x v="3"/>
    <x v="285"/>
    <x v="3"/>
    <x v="417"/>
    <x v="3"/>
    <d v="2024-11-20T00:00:00"/>
    <d v="2024-12-22T00:00:00"/>
    <x v="0"/>
    <x v="417"/>
    <x v="1"/>
    <x v="46"/>
    <x v="1"/>
    <x v="1"/>
    <x v="1"/>
    <x v="1"/>
  </r>
  <r>
    <n v="38230"/>
    <x v="11"/>
    <x v="4"/>
    <x v="286"/>
    <x v="2"/>
    <x v="418"/>
    <x v="0"/>
    <d v="2024-06-25T00:00:00"/>
    <d v="2024-07-11T00:00:00"/>
    <x v="1"/>
    <x v="418"/>
    <x v="0"/>
    <x v="0"/>
    <x v="0"/>
    <x v="0"/>
    <x v="0"/>
    <x v="0"/>
  </r>
  <r>
    <n v="86361"/>
    <x v="11"/>
    <x v="4"/>
    <x v="137"/>
    <x v="0"/>
    <x v="419"/>
    <x v="1"/>
    <d v="2024-05-03T00:00:00"/>
    <d v="2024-05-31T00:00:00"/>
    <x v="1"/>
    <x v="419"/>
    <x v="0"/>
    <x v="0"/>
    <x v="0"/>
    <x v="0"/>
    <x v="0"/>
    <x v="0"/>
  </r>
  <r>
    <n v="74619"/>
    <x v="10"/>
    <x v="2"/>
    <x v="218"/>
    <x v="5"/>
    <x v="420"/>
    <x v="0"/>
    <d v="2024-02-10T00:00:00"/>
    <d v="2024-03-05T00:00:00"/>
    <x v="1"/>
    <x v="420"/>
    <x v="0"/>
    <x v="0"/>
    <x v="0"/>
    <x v="0"/>
    <x v="0"/>
    <x v="0"/>
  </r>
  <r>
    <n v="11306"/>
    <x v="11"/>
    <x v="4"/>
    <x v="113"/>
    <x v="3"/>
    <x v="421"/>
    <x v="1"/>
    <d v="2024-05-13T00:00:00"/>
    <d v="2024-06-01T00:00:00"/>
    <x v="0"/>
    <x v="421"/>
    <x v="0"/>
    <x v="0"/>
    <x v="0"/>
    <x v="0"/>
    <x v="0"/>
    <x v="0"/>
  </r>
  <r>
    <n v="50387"/>
    <x v="2"/>
    <x v="1"/>
    <x v="287"/>
    <x v="0"/>
    <x v="422"/>
    <x v="3"/>
    <d v="2024-09-14T00:00:00"/>
    <d v="2024-10-17T00:00:00"/>
    <x v="1"/>
    <x v="422"/>
    <x v="0"/>
    <x v="0"/>
    <x v="0"/>
    <x v="0"/>
    <x v="0"/>
    <x v="0"/>
  </r>
  <r>
    <n v="11813"/>
    <x v="14"/>
    <x v="4"/>
    <x v="288"/>
    <x v="1"/>
    <x v="423"/>
    <x v="2"/>
    <d v="2024-05-29T00:00:00"/>
    <d v="2024-06-23T00:00:00"/>
    <x v="2"/>
    <x v="423"/>
    <x v="0"/>
    <x v="0"/>
    <x v="0"/>
    <x v="0"/>
    <x v="0"/>
    <x v="0"/>
  </r>
  <r>
    <n v="92736"/>
    <x v="8"/>
    <x v="1"/>
    <x v="245"/>
    <x v="2"/>
    <x v="424"/>
    <x v="3"/>
    <d v="2024-03-08T00:00:00"/>
    <d v="2024-03-19T00:00:00"/>
    <x v="1"/>
    <x v="424"/>
    <x v="0"/>
    <x v="0"/>
    <x v="0"/>
    <x v="0"/>
    <x v="0"/>
    <x v="0"/>
  </r>
  <r>
    <n v="34351"/>
    <x v="2"/>
    <x v="1"/>
    <x v="276"/>
    <x v="2"/>
    <x v="425"/>
    <x v="3"/>
    <d v="2024-04-15T00:00:00"/>
    <d v="2024-05-21T00:00:00"/>
    <x v="2"/>
    <x v="425"/>
    <x v="0"/>
    <x v="0"/>
    <x v="0"/>
    <x v="0"/>
    <x v="0"/>
    <x v="0"/>
  </r>
  <r>
    <n v="70686"/>
    <x v="15"/>
    <x v="4"/>
    <x v="253"/>
    <x v="3"/>
    <x v="426"/>
    <x v="2"/>
    <d v="2024-12-06T00:00:00"/>
    <d v="2025-01-04T00:00:00"/>
    <x v="0"/>
    <x v="426"/>
    <x v="0"/>
    <x v="0"/>
    <x v="0"/>
    <x v="0"/>
    <x v="0"/>
    <x v="1"/>
  </r>
  <r>
    <n v="14138"/>
    <x v="10"/>
    <x v="2"/>
    <x v="76"/>
    <x v="3"/>
    <x v="427"/>
    <x v="3"/>
    <d v="2024-12-13T00:00:00"/>
    <d v="2025-01-03T00:00:00"/>
    <x v="0"/>
    <x v="427"/>
    <x v="0"/>
    <x v="0"/>
    <x v="0"/>
    <x v="0"/>
    <x v="0"/>
    <x v="0"/>
  </r>
  <r>
    <n v="11134"/>
    <x v="11"/>
    <x v="4"/>
    <x v="84"/>
    <x v="1"/>
    <x v="428"/>
    <x v="2"/>
    <d v="2024-09-01T00:00:00"/>
    <d v="2024-09-28T00:00:00"/>
    <x v="1"/>
    <x v="428"/>
    <x v="0"/>
    <x v="0"/>
    <x v="0"/>
    <x v="0"/>
    <x v="0"/>
    <x v="1"/>
  </r>
  <r>
    <n v="83788"/>
    <x v="8"/>
    <x v="1"/>
    <x v="105"/>
    <x v="1"/>
    <x v="429"/>
    <x v="1"/>
    <d v="2024-10-16T00:00:00"/>
    <d v="2024-10-31T00:00:00"/>
    <x v="1"/>
    <x v="429"/>
    <x v="0"/>
    <x v="0"/>
    <x v="0"/>
    <x v="0"/>
    <x v="0"/>
    <x v="0"/>
  </r>
  <r>
    <n v="36149"/>
    <x v="14"/>
    <x v="4"/>
    <x v="53"/>
    <x v="3"/>
    <x v="430"/>
    <x v="0"/>
    <d v="2024-05-17T00:00:00"/>
    <d v="2024-06-08T00:00:00"/>
    <x v="1"/>
    <x v="430"/>
    <x v="0"/>
    <x v="0"/>
    <x v="0"/>
    <x v="0"/>
    <x v="0"/>
    <x v="0"/>
  </r>
  <r>
    <n v="43458"/>
    <x v="7"/>
    <x v="3"/>
    <x v="289"/>
    <x v="0"/>
    <x v="431"/>
    <x v="1"/>
    <d v="2024-11-16T00:00:00"/>
    <d v="2024-12-17T00:00:00"/>
    <x v="0"/>
    <x v="431"/>
    <x v="0"/>
    <x v="0"/>
    <x v="0"/>
    <x v="0"/>
    <x v="0"/>
    <x v="0"/>
  </r>
  <r>
    <n v="96664"/>
    <x v="8"/>
    <x v="1"/>
    <x v="187"/>
    <x v="0"/>
    <x v="432"/>
    <x v="1"/>
    <d v="2024-10-10T00:00:00"/>
    <d v="2024-11-16T00:00:00"/>
    <x v="1"/>
    <x v="432"/>
    <x v="0"/>
    <x v="0"/>
    <x v="0"/>
    <x v="0"/>
    <x v="0"/>
    <x v="0"/>
  </r>
  <r>
    <n v="57195"/>
    <x v="13"/>
    <x v="3"/>
    <x v="236"/>
    <x v="3"/>
    <x v="433"/>
    <x v="1"/>
    <d v="2024-07-06T00:00:00"/>
    <d v="2024-07-25T00:00:00"/>
    <x v="2"/>
    <x v="433"/>
    <x v="0"/>
    <x v="0"/>
    <x v="0"/>
    <x v="0"/>
    <x v="0"/>
    <x v="0"/>
  </r>
  <r>
    <n v="64122"/>
    <x v="5"/>
    <x v="2"/>
    <x v="39"/>
    <x v="1"/>
    <x v="434"/>
    <x v="2"/>
    <d v="2024-09-12T00:00:00"/>
    <d v="2024-09-23T00:00:00"/>
    <x v="1"/>
    <x v="434"/>
    <x v="0"/>
    <x v="0"/>
    <x v="0"/>
    <x v="0"/>
    <x v="0"/>
    <x v="1"/>
  </r>
  <r>
    <n v="77173"/>
    <x v="9"/>
    <x v="1"/>
    <x v="155"/>
    <x v="5"/>
    <x v="435"/>
    <x v="4"/>
    <d v="2024-04-30T00:00:00"/>
    <d v="2024-05-05T00:00:00"/>
    <x v="0"/>
    <x v="435"/>
    <x v="1"/>
    <x v="7"/>
    <x v="1"/>
    <x v="1"/>
    <x v="1"/>
    <x v="1"/>
  </r>
  <r>
    <n v="25954"/>
    <x v="16"/>
    <x v="3"/>
    <x v="290"/>
    <x v="4"/>
    <x v="436"/>
    <x v="0"/>
    <d v="2024-04-18T00:00:00"/>
    <d v="2024-05-12T00:00:00"/>
    <x v="0"/>
    <x v="436"/>
    <x v="0"/>
    <x v="0"/>
    <x v="0"/>
    <x v="0"/>
    <x v="0"/>
    <x v="0"/>
  </r>
  <r>
    <n v="81832"/>
    <x v="9"/>
    <x v="1"/>
    <x v="291"/>
    <x v="3"/>
    <x v="437"/>
    <x v="4"/>
    <d v="2024-10-03T00:00:00"/>
    <d v="2024-10-31T00:00:00"/>
    <x v="1"/>
    <x v="437"/>
    <x v="0"/>
    <x v="0"/>
    <x v="0"/>
    <x v="0"/>
    <x v="0"/>
    <x v="0"/>
  </r>
  <r>
    <n v="40816"/>
    <x v="7"/>
    <x v="3"/>
    <x v="228"/>
    <x v="3"/>
    <x v="438"/>
    <x v="3"/>
    <d v="2024-11-09T00:00:00"/>
    <d v="2024-11-29T00:00:00"/>
    <x v="0"/>
    <x v="438"/>
    <x v="0"/>
    <x v="0"/>
    <x v="0"/>
    <x v="0"/>
    <x v="0"/>
    <x v="0"/>
  </r>
  <r>
    <n v="42854"/>
    <x v="16"/>
    <x v="3"/>
    <x v="292"/>
    <x v="0"/>
    <x v="439"/>
    <x v="3"/>
    <d v="2024-02-08T00:00:00"/>
    <d v="2024-03-05T00:00:00"/>
    <x v="1"/>
    <x v="439"/>
    <x v="1"/>
    <x v="40"/>
    <x v="1"/>
    <x v="1"/>
    <x v="1"/>
    <x v="1"/>
  </r>
  <r>
    <n v="33199"/>
    <x v="5"/>
    <x v="2"/>
    <x v="241"/>
    <x v="6"/>
    <x v="440"/>
    <x v="2"/>
    <d v="2024-10-11T00:00:00"/>
    <d v="2024-11-07T00:00:00"/>
    <x v="1"/>
    <x v="440"/>
    <x v="0"/>
    <x v="0"/>
    <x v="0"/>
    <x v="0"/>
    <x v="0"/>
    <x v="1"/>
  </r>
  <r>
    <n v="23917"/>
    <x v="16"/>
    <x v="3"/>
    <x v="293"/>
    <x v="1"/>
    <x v="441"/>
    <x v="3"/>
    <d v="2024-05-13T00:00:00"/>
    <d v="2024-06-04T00:00:00"/>
    <x v="2"/>
    <x v="441"/>
    <x v="0"/>
    <x v="0"/>
    <x v="0"/>
    <x v="0"/>
    <x v="0"/>
    <x v="0"/>
  </r>
  <r>
    <n v="53939"/>
    <x v="2"/>
    <x v="1"/>
    <x v="240"/>
    <x v="3"/>
    <x v="442"/>
    <x v="1"/>
    <d v="2024-05-01T00:00:00"/>
    <d v="2024-05-15T00:00:00"/>
    <x v="0"/>
    <x v="442"/>
    <x v="0"/>
    <x v="0"/>
    <x v="0"/>
    <x v="0"/>
    <x v="0"/>
    <x v="0"/>
  </r>
  <r>
    <n v="57221"/>
    <x v="15"/>
    <x v="4"/>
    <x v="277"/>
    <x v="6"/>
    <x v="443"/>
    <x v="2"/>
    <d v="2024-09-02T00:00:00"/>
    <d v="2024-09-25T00:00:00"/>
    <x v="1"/>
    <x v="443"/>
    <x v="0"/>
    <x v="0"/>
    <x v="0"/>
    <x v="0"/>
    <x v="0"/>
    <x v="1"/>
  </r>
  <r>
    <n v="90201"/>
    <x v="16"/>
    <x v="3"/>
    <x v="294"/>
    <x v="2"/>
    <x v="444"/>
    <x v="1"/>
    <d v="2024-01-19T00:00:00"/>
    <d v="2024-01-26T00:00:00"/>
    <x v="0"/>
    <x v="444"/>
    <x v="0"/>
    <x v="0"/>
    <x v="0"/>
    <x v="0"/>
    <x v="0"/>
    <x v="0"/>
  </r>
  <r>
    <n v="20799"/>
    <x v="13"/>
    <x v="3"/>
    <x v="216"/>
    <x v="0"/>
    <x v="445"/>
    <x v="3"/>
    <d v="2024-04-02T00:00:00"/>
    <d v="2024-04-19T00:00:00"/>
    <x v="0"/>
    <x v="445"/>
    <x v="0"/>
    <x v="0"/>
    <x v="0"/>
    <x v="0"/>
    <x v="0"/>
    <x v="0"/>
  </r>
  <r>
    <n v="71744"/>
    <x v="16"/>
    <x v="3"/>
    <x v="159"/>
    <x v="3"/>
    <x v="446"/>
    <x v="0"/>
    <d v="2024-09-25T00:00:00"/>
    <d v="2024-10-04T00:00:00"/>
    <x v="1"/>
    <x v="446"/>
    <x v="0"/>
    <x v="0"/>
    <x v="0"/>
    <x v="0"/>
    <x v="0"/>
    <x v="0"/>
  </r>
  <r>
    <n v="49082"/>
    <x v="14"/>
    <x v="4"/>
    <x v="295"/>
    <x v="1"/>
    <x v="447"/>
    <x v="3"/>
    <d v="2024-03-02T00:00:00"/>
    <d v="2024-03-23T00:00:00"/>
    <x v="1"/>
    <x v="447"/>
    <x v="0"/>
    <x v="0"/>
    <x v="0"/>
    <x v="0"/>
    <x v="0"/>
    <x v="1"/>
  </r>
  <r>
    <n v="52056"/>
    <x v="6"/>
    <x v="3"/>
    <x v="296"/>
    <x v="1"/>
    <x v="448"/>
    <x v="3"/>
    <d v="2024-10-08T00:00:00"/>
    <d v="2024-10-28T00:00:00"/>
    <x v="0"/>
    <x v="448"/>
    <x v="0"/>
    <x v="0"/>
    <x v="0"/>
    <x v="0"/>
    <x v="0"/>
    <x v="1"/>
  </r>
  <r>
    <n v="10717"/>
    <x v="2"/>
    <x v="1"/>
    <x v="297"/>
    <x v="2"/>
    <x v="449"/>
    <x v="4"/>
    <d v="2024-04-27T00:00:00"/>
    <d v="2024-05-08T00:00:00"/>
    <x v="1"/>
    <x v="449"/>
    <x v="0"/>
    <x v="0"/>
    <x v="0"/>
    <x v="0"/>
    <x v="0"/>
    <x v="0"/>
  </r>
  <r>
    <n v="44872"/>
    <x v="5"/>
    <x v="2"/>
    <x v="151"/>
    <x v="1"/>
    <x v="450"/>
    <x v="1"/>
    <d v="2024-05-18T00:00:00"/>
    <d v="2024-06-21T00:00:00"/>
    <x v="1"/>
    <x v="450"/>
    <x v="0"/>
    <x v="0"/>
    <x v="0"/>
    <x v="0"/>
    <x v="0"/>
    <x v="0"/>
  </r>
  <r>
    <n v="35307"/>
    <x v="11"/>
    <x v="4"/>
    <x v="292"/>
    <x v="4"/>
    <x v="451"/>
    <x v="2"/>
    <d v="2024-12-25T00:00:00"/>
    <d v="2025-01-13T00:00:00"/>
    <x v="0"/>
    <x v="451"/>
    <x v="1"/>
    <x v="15"/>
    <x v="1"/>
    <x v="1"/>
    <x v="1"/>
    <x v="1"/>
  </r>
  <r>
    <n v="97999"/>
    <x v="8"/>
    <x v="1"/>
    <x v="298"/>
    <x v="3"/>
    <x v="452"/>
    <x v="4"/>
    <d v="2024-11-30T00:00:00"/>
    <d v="2024-12-24T00:00:00"/>
    <x v="1"/>
    <x v="452"/>
    <x v="0"/>
    <x v="0"/>
    <x v="0"/>
    <x v="0"/>
    <x v="0"/>
    <x v="1"/>
  </r>
  <r>
    <n v="32010"/>
    <x v="14"/>
    <x v="4"/>
    <x v="44"/>
    <x v="0"/>
    <x v="453"/>
    <x v="2"/>
    <d v="2024-07-24T00:00:00"/>
    <d v="2024-08-01T00:00:00"/>
    <x v="1"/>
    <x v="453"/>
    <x v="0"/>
    <x v="0"/>
    <x v="0"/>
    <x v="0"/>
    <x v="0"/>
    <x v="0"/>
  </r>
  <r>
    <n v="24683"/>
    <x v="15"/>
    <x v="4"/>
    <x v="299"/>
    <x v="0"/>
    <x v="454"/>
    <x v="2"/>
    <d v="2024-03-02T00:00:00"/>
    <d v="2024-03-15T00:00:00"/>
    <x v="2"/>
    <x v="454"/>
    <x v="0"/>
    <x v="0"/>
    <x v="0"/>
    <x v="0"/>
    <x v="0"/>
    <x v="1"/>
  </r>
  <r>
    <n v="21577"/>
    <x v="7"/>
    <x v="3"/>
    <x v="296"/>
    <x v="2"/>
    <x v="455"/>
    <x v="2"/>
    <d v="2024-07-19T00:00:00"/>
    <d v="2024-08-24T00:00:00"/>
    <x v="0"/>
    <x v="455"/>
    <x v="0"/>
    <x v="0"/>
    <x v="0"/>
    <x v="0"/>
    <x v="0"/>
    <x v="0"/>
  </r>
  <r>
    <n v="45710"/>
    <x v="10"/>
    <x v="2"/>
    <x v="224"/>
    <x v="4"/>
    <x v="456"/>
    <x v="2"/>
    <d v="2024-03-11T00:00:00"/>
    <d v="2024-04-12T00:00:00"/>
    <x v="2"/>
    <x v="456"/>
    <x v="0"/>
    <x v="0"/>
    <x v="0"/>
    <x v="0"/>
    <x v="0"/>
    <x v="0"/>
  </r>
  <r>
    <n v="76025"/>
    <x v="13"/>
    <x v="3"/>
    <x v="19"/>
    <x v="6"/>
    <x v="457"/>
    <x v="4"/>
    <d v="2024-10-03T00:00:00"/>
    <d v="2024-11-02T00:00:00"/>
    <x v="0"/>
    <x v="457"/>
    <x v="0"/>
    <x v="0"/>
    <x v="0"/>
    <x v="0"/>
    <x v="0"/>
    <x v="1"/>
  </r>
  <r>
    <n v="26999"/>
    <x v="11"/>
    <x v="4"/>
    <x v="236"/>
    <x v="1"/>
    <x v="458"/>
    <x v="0"/>
    <d v="2024-01-16T00:00:00"/>
    <d v="2024-01-28T00:00:00"/>
    <x v="0"/>
    <x v="458"/>
    <x v="0"/>
    <x v="0"/>
    <x v="0"/>
    <x v="0"/>
    <x v="0"/>
    <x v="0"/>
  </r>
  <r>
    <n v="31839"/>
    <x v="6"/>
    <x v="3"/>
    <x v="30"/>
    <x v="5"/>
    <x v="459"/>
    <x v="3"/>
    <d v="2024-05-17T00:00:00"/>
    <d v="2024-06-01T00:00:00"/>
    <x v="2"/>
    <x v="459"/>
    <x v="0"/>
    <x v="0"/>
    <x v="0"/>
    <x v="0"/>
    <x v="0"/>
    <x v="0"/>
  </r>
  <r>
    <n v="26767"/>
    <x v="11"/>
    <x v="4"/>
    <x v="43"/>
    <x v="0"/>
    <x v="460"/>
    <x v="3"/>
    <d v="2024-05-25T00:00:00"/>
    <d v="2024-06-30T00:00:00"/>
    <x v="1"/>
    <x v="460"/>
    <x v="0"/>
    <x v="0"/>
    <x v="0"/>
    <x v="0"/>
    <x v="0"/>
    <x v="0"/>
  </r>
  <r>
    <n v="47019"/>
    <x v="5"/>
    <x v="2"/>
    <x v="300"/>
    <x v="5"/>
    <x v="461"/>
    <x v="4"/>
    <d v="2024-06-21T00:00:00"/>
    <d v="2024-07-27T00:00:00"/>
    <x v="2"/>
    <x v="461"/>
    <x v="0"/>
    <x v="0"/>
    <x v="0"/>
    <x v="0"/>
    <x v="0"/>
    <x v="0"/>
  </r>
  <r>
    <n v="34031"/>
    <x v="6"/>
    <x v="3"/>
    <x v="85"/>
    <x v="6"/>
    <x v="462"/>
    <x v="2"/>
    <d v="2024-07-25T00:00:00"/>
    <d v="2024-08-02T00:00:00"/>
    <x v="2"/>
    <x v="462"/>
    <x v="0"/>
    <x v="0"/>
    <x v="0"/>
    <x v="0"/>
    <x v="0"/>
    <x v="1"/>
  </r>
  <r>
    <n v="76629"/>
    <x v="7"/>
    <x v="3"/>
    <x v="301"/>
    <x v="2"/>
    <x v="463"/>
    <x v="4"/>
    <d v="2024-09-13T00:00:00"/>
    <d v="2024-10-09T00:00:00"/>
    <x v="0"/>
    <x v="463"/>
    <x v="0"/>
    <x v="0"/>
    <x v="0"/>
    <x v="0"/>
    <x v="0"/>
    <x v="0"/>
  </r>
  <r>
    <n v="12103"/>
    <x v="3"/>
    <x v="2"/>
    <x v="130"/>
    <x v="4"/>
    <x v="464"/>
    <x v="0"/>
    <d v="2024-06-26T00:00:00"/>
    <d v="2024-07-06T00:00:00"/>
    <x v="1"/>
    <x v="464"/>
    <x v="1"/>
    <x v="4"/>
    <x v="1"/>
    <x v="1"/>
    <x v="1"/>
    <x v="1"/>
  </r>
  <r>
    <n v="77914"/>
    <x v="6"/>
    <x v="3"/>
    <x v="24"/>
    <x v="1"/>
    <x v="465"/>
    <x v="3"/>
    <d v="2024-09-14T00:00:00"/>
    <d v="2024-09-26T00:00:00"/>
    <x v="2"/>
    <x v="465"/>
    <x v="0"/>
    <x v="0"/>
    <x v="0"/>
    <x v="0"/>
    <x v="0"/>
    <x v="1"/>
  </r>
  <r>
    <n v="84842"/>
    <x v="7"/>
    <x v="3"/>
    <x v="232"/>
    <x v="0"/>
    <x v="466"/>
    <x v="4"/>
    <d v="2024-10-25T00:00:00"/>
    <d v="2024-11-29T00:00:00"/>
    <x v="2"/>
    <x v="466"/>
    <x v="1"/>
    <x v="47"/>
    <x v="1"/>
    <x v="1"/>
    <x v="1"/>
    <x v="1"/>
  </r>
  <r>
    <n v="73344"/>
    <x v="10"/>
    <x v="2"/>
    <x v="302"/>
    <x v="0"/>
    <x v="467"/>
    <x v="0"/>
    <d v="2024-09-09T00:00:00"/>
    <d v="2024-09-26T00:00:00"/>
    <x v="1"/>
    <x v="467"/>
    <x v="0"/>
    <x v="0"/>
    <x v="0"/>
    <x v="0"/>
    <x v="0"/>
    <x v="0"/>
  </r>
  <r>
    <n v="42933"/>
    <x v="10"/>
    <x v="2"/>
    <x v="188"/>
    <x v="5"/>
    <x v="468"/>
    <x v="1"/>
    <d v="2024-10-30T00:00:00"/>
    <d v="2024-12-08T00:00:00"/>
    <x v="0"/>
    <x v="468"/>
    <x v="0"/>
    <x v="0"/>
    <x v="0"/>
    <x v="0"/>
    <x v="0"/>
    <x v="0"/>
  </r>
  <r>
    <n v="56287"/>
    <x v="1"/>
    <x v="0"/>
    <x v="191"/>
    <x v="6"/>
    <x v="469"/>
    <x v="4"/>
    <d v="2024-12-20T00:00:00"/>
    <d v="2024-12-27T00:00:00"/>
    <x v="0"/>
    <x v="469"/>
    <x v="0"/>
    <x v="0"/>
    <x v="0"/>
    <x v="0"/>
    <x v="0"/>
    <x v="1"/>
  </r>
  <r>
    <n v="20922"/>
    <x v="13"/>
    <x v="3"/>
    <x v="303"/>
    <x v="2"/>
    <x v="470"/>
    <x v="1"/>
    <d v="2024-01-29T00:00:00"/>
    <d v="2024-02-21T00:00:00"/>
    <x v="2"/>
    <x v="470"/>
    <x v="0"/>
    <x v="0"/>
    <x v="0"/>
    <x v="0"/>
    <x v="0"/>
    <x v="0"/>
  </r>
  <r>
    <n v="43418"/>
    <x v="6"/>
    <x v="3"/>
    <x v="128"/>
    <x v="4"/>
    <x v="471"/>
    <x v="1"/>
    <d v="2024-12-08T00:00:00"/>
    <d v="2025-01-05T00:00:00"/>
    <x v="1"/>
    <x v="471"/>
    <x v="0"/>
    <x v="0"/>
    <x v="0"/>
    <x v="0"/>
    <x v="0"/>
    <x v="0"/>
  </r>
  <r>
    <n v="40257"/>
    <x v="0"/>
    <x v="0"/>
    <x v="279"/>
    <x v="0"/>
    <x v="472"/>
    <x v="2"/>
    <d v="2024-05-28T00:00:00"/>
    <d v="2024-06-13T00:00:00"/>
    <x v="2"/>
    <x v="472"/>
    <x v="0"/>
    <x v="0"/>
    <x v="0"/>
    <x v="0"/>
    <x v="0"/>
    <x v="0"/>
  </r>
  <r>
    <n v="40908"/>
    <x v="2"/>
    <x v="1"/>
    <x v="286"/>
    <x v="5"/>
    <x v="473"/>
    <x v="1"/>
    <d v="2024-07-21T00:00:00"/>
    <d v="2024-08-26T00:00:00"/>
    <x v="1"/>
    <x v="473"/>
    <x v="0"/>
    <x v="0"/>
    <x v="0"/>
    <x v="0"/>
    <x v="0"/>
    <x v="0"/>
  </r>
  <r>
    <n v="88824"/>
    <x v="15"/>
    <x v="4"/>
    <x v="254"/>
    <x v="1"/>
    <x v="474"/>
    <x v="1"/>
    <d v="2024-12-08T00:00:00"/>
    <d v="2025-01-06T00:00:00"/>
    <x v="2"/>
    <x v="474"/>
    <x v="1"/>
    <x v="48"/>
    <x v="1"/>
    <x v="1"/>
    <x v="1"/>
    <x v="1"/>
  </r>
  <r>
    <n v="71845"/>
    <x v="10"/>
    <x v="2"/>
    <x v="304"/>
    <x v="6"/>
    <x v="475"/>
    <x v="1"/>
    <d v="2024-05-22T00:00:00"/>
    <d v="2024-06-07T00:00:00"/>
    <x v="1"/>
    <x v="475"/>
    <x v="1"/>
    <x v="49"/>
    <x v="1"/>
    <x v="1"/>
    <x v="1"/>
    <x v="1"/>
  </r>
  <r>
    <n v="84102"/>
    <x v="8"/>
    <x v="1"/>
    <x v="251"/>
    <x v="5"/>
    <x v="476"/>
    <x v="0"/>
    <d v="2024-04-21T00:00:00"/>
    <d v="2024-05-28T00:00:00"/>
    <x v="1"/>
    <x v="476"/>
    <x v="0"/>
    <x v="0"/>
    <x v="0"/>
    <x v="0"/>
    <x v="0"/>
    <x v="0"/>
  </r>
  <r>
    <n v="13255"/>
    <x v="1"/>
    <x v="0"/>
    <x v="305"/>
    <x v="4"/>
    <x v="477"/>
    <x v="1"/>
    <d v="2024-05-10T00:00:00"/>
    <d v="2024-06-11T00:00:00"/>
    <x v="2"/>
    <x v="477"/>
    <x v="0"/>
    <x v="0"/>
    <x v="0"/>
    <x v="0"/>
    <x v="0"/>
    <x v="1"/>
  </r>
  <r>
    <n v="34519"/>
    <x v="16"/>
    <x v="3"/>
    <x v="32"/>
    <x v="1"/>
    <x v="478"/>
    <x v="2"/>
    <d v="2024-11-17T00:00:00"/>
    <d v="2024-12-17T00:00:00"/>
    <x v="1"/>
    <x v="478"/>
    <x v="0"/>
    <x v="0"/>
    <x v="0"/>
    <x v="0"/>
    <x v="0"/>
    <x v="0"/>
  </r>
  <r>
    <n v="49350"/>
    <x v="1"/>
    <x v="0"/>
    <x v="204"/>
    <x v="3"/>
    <x v="479"/>
    <x v="0"/>
    <d v="2024-05-07T00:00:00"/>
    <d v="2024-05-31T00:00:00"/>
    <x v="1"/>
    <x v="479"/>
    <x v="1"/>
    <x v="6"/>
    <x v="1"/>
    <x v="1"/>
    <x v="1"/>
    <x v="1"/>
  </r>
  <r>
    <n v="74418"/>
    <x v="6"/>
    <x v="3"/>
    <x v="37"/>
    <x v="0"/>
    <x v="480"/>
    <x v="0"/>
    <d v="2024-03-28T00:00:00"/>
    <d v="2024-04-10T00:00:00"/>
    <x v="0"/>
    <x v="480"/>
    <x v="0"/>
    <x v="0"/>
    <x v="0"/>
    <x v="0"/>
    <x v="0"/>
    <x v="0"/>
  </r>
  <r>
    <n v="37230"/>
    <x v="14"/>
    <x v="4"/>
    <x v="37"/>
    <x v="6"/>
    <x v="481"/>
    <x v="4"/>
    <d v="2024-09-20T00:00:00"/>
    <d v="2024-10-09T00:00:00"/>
    <x v="2"/>
    <x v="481"/>
    <x v="0"/>
    <x v="0"/>
    <x v="0"/>
    <x v="0"/>
    <x v="0"/>
    <x v="1"/>
  </r>
  <r>
    <n v="97954"/>
    <x v="1"/>
    <x v="0"/>
    <x v="80"/>
    <x v="1"/>
    <x v="482"/>
    <x v="0"/>
    <d v="2024-09-29T00:00:00"/>
    <d v="2024-11-02T00:00:00"/>
    <x v="2"/>
    <x v="482"/>
    <x v="0"/>
    <x v="0"/>
    <x v="0"/>
    <x v="0"/>
    <x v="0"/>
    <x v="1"/>
  </r>
  <r>
    <n v="55619"/>
    <x v="15"/>
    <x v="4"/>
    <x v="306"/>
    <x v="3"/>
    <x v="483"/>
    <x v="4"/>
    <d v="2024-10-02T00:00:00"/>
    <d v="2024-10-30T00:00:00"/>
    <x v="1"/>
    <x v="483"/>
    <x v="0"/>
    <x v="0"/>
    <x v="0"/>
    <x v="0"/>
    <x v="0"/>
    <x v="0"/>
  </r>
  <r>
    <n v="35479"/>
    <x v="13"/>
    <x v="3"/>
    <x v="307"/>
    <x v="4"/>
    <x v="484"/>
    <x v="4"/>
    <d v="2024-12-25T00:00:00"/>
    <d v="2025-01-09T00:00:00"/>
    <x v="2"/>
    <x v="484"/>
    <x v="0"/>
    <x v="0"/>
    <x v="0"/>
    <x v="0"/>
    <x v="0"/>
    <x v="0"/>
  </r>
  <r>
    <n v="26351"/>
    <x v="4"/>
    <x v="0"/>
    <x v="139"/>
    <x v="4"/>
    <x v="485"/>
    <x v="2"/>
    <d v="2024-05-04T00:00:00"/>
    <d v="2024-05-21T00:00:00"/>
    <x v="0"/>
    <x v="485"/>
    <x v="1"/>
    <x v="50"/>
    <x v="1"/>
    <x v="1"/>
    <x v="1"/>
    <x v="1"/>
  </r>
  <r>
    <n v="87694"/>
    <x v="11"/>
    <x v="4"/>
    <x v="308"/>
    <x v="6"/>
    <x v="486"/>
    <x v="1"/>
    <d v="2024-06-14T00:00:00"/>
    <d v="2024-07-12T00:00:00"/>
    <x v="1"/>
    <x v="486"/>
    <x v="1"/>
    <x v="51"/>
    <x v="1"/>
    <x v="1"/>
    <x v="1"/>
    <x v="1"/>
  </r>
  <r>
    <n v="33906"/>
    <x v="5"/>
    <x v="2"/>
    <x v="48"/>
    <x v="5"/>
    <x v="487"/>
    <x v="2"/>
    <d v="2024-09-22T00:00:00"/>
    <d v="2024-10-20T00:00:00"/>
    <x v="2"/>
    <x v="487"/>
    <x v="1"/>
    <x v="18"/>
    <x v="1"/>
    <x v="1"/>
    <x v="1"/>
    <x v="1"/>
  </r>
  <r>
    <n v="80744"/>
    <x v="8"/>
    <x v="1"/>
    <x v="293"/>
    <x v="6"/>
    <x v="488"/>
    <x v="1"/>
    <d v="2024-11-08T00:00:00"/>
    <d v="2024-12-16T00:00:00"/>
    <x v="1"/>
    <x v="488"/>
    <x v="0"/>
    <x v="0"/>
    <x v="0"/>
    <x v="0"/>
    <x v="0"/>
    <x v="1"/>
  </r>
  <r>
    <n v="53856"/>
    <x v="1"/>
    <x v="0"/>
    <x v="19"/>
    <x v="6"/>
    <x v="489"/>
    <x v="3"/>
    <d v="2024-11-14T00:00:00"/>
    <d v="2024-12-01T00:00:00"/>
    <x v="2"/>
    <x v="489"/>
    <x v="0"/>
    <x v="0"/>
    <x v="0"/>
    <x v="0"/>
    <x v="0"/>
    <x v="1"/>
  </r>
  <r>
    <n v="16587"/>
    <x v="10"/>
    <x v="2"/>
    <x v="298"/>
    <x v="1"/>
    <x v="490"/>
    <x v="3"/>
    <d v="2024-11-27T00:00:00"/>
    <d v="2024-12-20T00:00:00"/>
    <x v="1"/>
    <x v="490"/>
    <x v="0"/>
    <x v="0"/>
    <x v="0"/>
    <x v="0"/>
    <x v="0"/>
    <x v="1"/>
  </r>
  <r>
    <n v="77568"/>
    <x v="15"/>
    <x v="4"/>
    <x v="159"/>
    <x v="4"/>
    <x v="491"/>
    <x v="4"/>
    <d v="2024-08-11T00:00:00"/>
    <d v="2024-08-28T00:00:00"/>
    <x v="2"/>
    <x v="491"/>
    <x v="0"/>
    <x v="0"/>
    <x v="0"/>
    <x v="0"/>
    <x v="0"/>
    <x v="0"/>
  </r>
  <r>
    <n v="98059"/>
    <x v="10"/>
    <x v="2"/>
    <x v="192"/>
    <x v="3"/>
    <x v="492"/>
    <x v="3"/>
    <d v="2024-11-05T00:00:00"/>
    <d v="2024-11-13T00:00:00"/>
    <x v="0"/>
    <x v="492"/>
    <x v="0"/>
    <x v="0"/>
    <x v="0"/>
    <x v="0"/>
    <x v="0"/>
    <x v="0"/>
  </r>
  <r>
    <n v="64722"/>
    <x v="5"/>
    <x v="2"/>
    <x v="279"/>
    <x v="5"/>
    <x v="493"/>
    <x v="2"/>
    <d v="2024-02-22T00:00:00"/>
    <d v="2024-03-27T00:00:00"/>
    <x v="1"/>
    <x v="493"/>
    <x v="0"/>
    <x v="0"/>
    <x v="0"/>
    <x v="0"/>
    <x v="0"/>
    <x v="1"/>
  </r>
  <r>
    <n v="73293"/>
    <x v="13"/>
    <x v="3"/>
    <x v="309"/>
    <x v="5"/>
    <x v="494"/>
    <x v="3"/>
    <d v="2024-07-18T00:00:00"/>
    <d v="2024-07-30T00:00:00"/>
    <x v="2"/>
    <x v="494"/>
    <x v="0"/>
    <x v="0"/>
    <x v="0"/>
    <x v="0"/>
    <x v="0"/>
    <x v="1"/>
  </r>
  <r>
    <n v="59500"/>
    <x v="5"/>
    <x v="2"/>
    <x v="149"/>
    <x v="0"/>
    <x v="495"/>
    <x v="4"/>
    <d v="2024-11-10T00:00:00"/>
    <d v="2024-12-15T00:00:00"/>
    <x v="2"/>
    <x v="495"/>
    <x v="0"/>
    <x v="0"/>
    <x v="0"/>
    <x v="0"/>
    <x v="0"/>
    <x v="0"/>
  </r>
  <r>
    <n v="29942"/>
    <x v="0"/>
    <x v="0"/>
    <x v="96"/>
    <x v="2"/>
    <x v="496"/>
    <x v="2"/>
    <d v="2024-07-31T00:00:00"/>
    <d v="2024-08-24T00:00:00"/>
    <x v="0"/>
    <x v="496"/>
    <x v="0"/>
    <x v="0"/>
    <x v="0"/>
    <x v="0"/>
    <x v="0"/>
    <x v="0"/>
  </r>
  <r>
    <n v="52933"/>
    <x v="6"/>
    <x v="3"/>
    <x v="310"/>
    <x v="3"/>
    <x v="497"/>
    <x v="2"/>
    <d v="2024-07-23T00:00:00"/>
    <d v="2024-08-13T00:00:00"/>
    <x v="0"/>
    <x v="497"/>
    <x v="0"/>
    <x v="0"/>
    <x v="0"/>
    <x v="0"/>
    <x v="0"/>
    <x v="0"/>
  </r>
  <r>
    <n v="96124"/>
    <x v="9"/>
    <x v="1"/>
    <x v="238"/>
    <x v="2"/>
    <x v="498"/>
    <x v="0"/>
    <d v="2024-11-23T00:00:00"/>
    <d v="2024-12-24T00:00:00"/>
    <x v="2"/>
    <x v="498"/>
    <x v="0"/>
    <x v="0"/>
    <x v="0"/>
    <x v="0"/>
    <x v="0"/>
    <x v="0"/>
  </r>
  <r>
    <n v="92806"/>
    <x v="10"/>
    <x v="2"/>
    <x v="311"/>
    <x v="1"/>
    <x v="499"/>
    <x v="1"/>
    <d v="2024-07-07T00:00:00"/>
    <d v="2024-07-27T00:00:00"/>
    <x v="2"/>
    <x v="499"/>
    <x v="0"/>
    <x v="0"/>
    <x v="0"/>
    <x v="0"/>
    <x v="0"/>
    <x v="0"/>
  </r>
  <r>
    <n v="43885"/>
    <x v="15"/>
    <x v="4"/>
    <x v="19"/>
    <x v="5"/>
    <x v="500"/>
    <x v="1"/>
    <d v="2024-04-05T00:00:00"/>
    <d v="2024-05-08T00:00:00"/>
    <x v="0"/>
    <x v="500"/>
    <x v="0"/>
    <x v="0"/>
    <x v="0"/>
    <x v="0"/>
    <x v="0"/>
    <x v="0"/>
  </r>
  <r>
    <n v="82307"/>
    <x v="10"/>
    <x v="2"/>
    <x v="312"/>
    <x v="1"/>
    <x v="501"/>
    <x v="3"/>
    <d v="2024-12-02T00:00:00"/>
    <d v="2024-12-25T00:00:00"/>
    <x v="2"/>
    <x v="501"/>
    <x v="0"/>
    <x v="0"/>
    <x v="0"/>
    <x v="0"/>
    <x v="0"/>
    <x v="1"/>
  </r>
  <r>
    <n v="44485"/>
    <x v="12"/>
    <x v="0"/>
    <x v="52"/>
    <x v="6"/>
    <x v="502"/>
    <x v="3"/>
    <d v="2024-11-08T00:00:00"/>
    <d v="2024-11-21T00:00:00"/>
    <x v="1"/>
    <x v="502"/>
    <x v="1"/>
    <x v="7"/>
    <x v="1"/>
    <x v="1"/>
    <x v="1"/>
    <x v="1"/>
  </r>
  <r>
    <n v="29692"/>
    <x v="5"/>
    <x v="2"/>
    <x v="313"/>
    <x v="2"/>
    <x v="503"/>
    <x v="3"/>
    <d v="2024-05-19T00:00:00"/>
    <d v="2024-06-25T00:00:00"/>
    <x v="0"/>
    <x v="503"/>
    <x v="0"/>
    <x v="0"/>
    <x v="0"/>
    <x v="0"/>
    <x v="0"/>
    <x v="0"/>
  </r>
  <r>
    <n v="70006"/>
    <x v="5"/>
    <x v="2"/>
    <x v="314"/>
    <x v="2"/>
    <x v="504"/>
    <x v="0"/>
    <d v="2024-02-11T00:00:00"/>
    <d v="2024-02-26T00:00:00"/>
    <x v="1"/>
    <x v="504"/>
    <x v="0"/>
    <x v="0"/>
    <x v="0"/>
    <x v="0"/>
    <x v="0"/>
    <x v="0"/>
  </r>
  <r>
    <n v="85319"/>
    <x v="8"/>
    <x v="1"/>
    <x v="315"/>
    <x v="3"/>
    <x v="505"/>
    <x v="1"/>
    <d v="2024-12-06T00:00:00"/>
    <d v="2025-01-02T00:00:00"/>
    <x v="2"/>
    <x v="505"/>
    <x v="0"/>
    <x v="0"/>
    <x v="0"/>
    <x v="0"/>
    <x v="0"/>
    <x v="0"/>
  </r>
  <r>
    <n v="23682"/>
    <x v="16"/>
    <x v="3"/>
    <x v="211"/>
    <x v="0"/>
    <x v="506"/>
    <x v="0"/>
    <d v="2024-08-20T00:00:00"/>
    <d v="2024-09-28T00:00:00"/>
    <x v="0"/>
    <x v="506"/>
    <x v="0"/>
    <x v="0"/>
    <x v="0"/>
    <x v="0"/>
    <x v="0"/>
    <x v="0"/>
  </r>
  <r>
    <n v="20234"/>
    <x v="6"/>
    <x v="3"/>
    <x v="198"/>
    <x v="6"/>
    <x v="507"/>
    <x v="3"/>
    <d v="2024-12-24T00:00:00"/>
    <d v="2025-01-25T00:00:00"/>
    <x v="2"/>
    <x v="507"/>
    <x v="0"/>
    <x v="0"/>
    <x v="0"/>
    <x v="0"/>
    <x v="0"/>
    <x v="1"/>
  </r>
  <r>
    <n v="54757"/>
    <x v="5"/>
    <x v="2"/>
    <x v="316"/>
    <x v="3"/>
    <x v="508"/>
    <x v="1"/>
    <d v="2024-10-19T00:00:00"/>
    <d v="2024-10-27T00:00:00"/>
    <x v="0"/>
    <x v="508"/>
    <x v="1"/>
    <x v="47"/>
    <x v="1"/>
    <x v="1"/>
    <x v="1"/>
    <x v="1"/>
  </r>
  <r>
    <n v="97225"/>
    <x v="5"/>
    <x v="2"/>
    <x v="200"/>
    <x v="4"/>
    <x v="509"/>
    <x v="2"/>
    <d v="2024-04-14T00:00:00"/>
    <d v="2024-05-07T00:00:00"/>
    <x v="1"/>
    <x v="509"/>
    <x v="0"/>
    <x v="0"/>
    <x v="0"/>
    <x v="0"/>
    <x v="0"/>
    <x v="0"/>
  </r>
  <r>
    <n v="23255"/>
    <x v="10"/>
    <x v="2"/>
    <x v="310"/>
    <x v="3"/>
    <x v="510"/>
    <x v="1"/>
    <d v="2024-04-06T00:00:00"/>
    <d v="2024-04-22T00:00:00"/>
    <x v="2"/>
    <x v="510"/>
    <x v="0"/>
    <x v="0"/>
    <x v="0"/>
    <x v="0"/>
    <x v="0"/>
    <x v="0"/>
  </r>
  <r>
    <n v="98535"/>
    <x v="12"/>
    <x v="0"/>
    <x v="317"/>
    <x v="6"/>
    <x v="511"/>
    <x v="4"/>
    <d v="2024-03-16T00:00:00"/>
    <d v="2024-04-20T00:00:00"/>
    <x v="0"/>
    <x v="511"/>
    <x v="1"/>
    <x v="46"/>
    <x v="1"/>
    <x v="1"/>
    <x v="1"/>
    <x v="1"/>
  </r>
  <r>
    <n v="54041"/>
    <x v="15"/>
    <x v="4"/>
    <x v="318"/>
    <x v="5"/>
    <x v="512"/>
    <x v="0"/>
    <d v="2024-03-13T00:00:00"/>
    <d v="2024-04-12T00:00:00"/>
    <x v="1"/>
    <x v="512"/>
    <x v="0"/>
    <x v="0"/>
    <x v="0"/>
    <x v="0"/>
    <x v="0"/>
    <x v="1"/>
  </r>
  <r>
    <n v="71899"/>
    <x v="6"/>
    <x v="3"/>
    <x v="158"/>
    <x v="0"/>
    <x v="513"/>
    <x v="3"/>
    <d v="2024-09-27T00:00:00"/>
    <d v="2024-11-05T00:00:00"/>
    <x v="0"/>
    <x v="513"/>
    <x v="0"/>
    <x v="0"/>
    <x v="0"/>
    <x v="0"/>
    <x v="0"/>
    <x v="0"/>
  </r>
  <r>
    <n v="30566"/>
    <x v="4"/>
    <x v="0"/>
    <x v="294"/>
    <x v="3"/>
    <x v="514"/>
    <x v="3"/>
    <d v="2024-12-05T00:00:00"/>
    <d v="2024-12-21T00:00:00"/>
    <x v="2"/>
    <x v="514"/>
    <x v="0"/>
    <x v="0"/>
    <x v="0"/>
    <x v="0"/>
    <x v="0"/>
    <x v="0"/>
  </r>
  <r>
    <n v="23780"/>
    <x v="2"/>
    <x v="1"/>
    <x v="319"/>
    <x v="0"/>
    <x v="515"/>
    <x v="4"/>
    <d v="2024-12-05T00:00:00"/>
    <d v="2024-12-31T00:00:00"/>
    <x v="0"/>
    <x v="515"/>
    <x v="0"/>
    <x v="0"/>
    <x v="0"/>
    <x v="0"/>
    <x v="0"/>
    <x v="0"/>
  </r>
  <r>
    <n v="41508"/>
    <x v="4"/>
    <x v="0"/>
    <x v="186"/>
    <x v="6"/>
    <x v="516"/>
    <x v="3"/>
    <d v="2024-10-28T00:00:00"/>
    <d v="2024-11-26T00:00:00"/>
    <x v="2"/>
    <x v="516"/>
    <x v="0"/>
    <x v="0"/>
    <x v="0"/>
    <x v="0"/>
    <x v="0"/>
    <x v="1"/>
  </r>
  <r>
    <n v="11987"/>
    <x v="13"/>
    <x v="3"/>
    <x v="17"/>
    <x v="0"/>
    <x v="517"/>
    <x v="0"/>
    <d v="2024-10-29T00:00:00"/>
    <d v="2024-11-25T00:00:00"/>
    <x v="2"/>
    <x v="517"/>
    <x v="0"/>
    <x v="0"/>
    <x v="0"/>
    <x v="0"/>
    <x v="0"/>
    <x v="1"/>
  </r>
  <r>
    <n v="66561"/>
    <x v="7"/>
    <x v="3"/>
    <x v="258"/>
    <x v="5"/>
    <x v="518"/>
    <x v="1"/>
    <d v="2024-07-10T00:00:00"/>
    <d v="2024-07-17T00:00:00"/>
    <x v="0"/>
    <x v="518"/>
    <x v="0"/>
    <x v="0"/>
    <x v="0"/>
    <x v="0"/>
    <x v="0"/>
    <x v="1"/>
  </r>
  <r>
    <n v="65161"/>
    <x v="0"/>
    <x v="0"/>
    <x v="320"/>
    <x v="6"/>
    <x v="519"/>
    <x v="4"/>
    <d v="2024-07-10T00:00:00"/>
    <d v="2024-07-19T00:00:00"/>
    <x v="0"/>
    <x v="519"/>
    <x v="0"/>
    <x v="0"/>
    <x v="0"/>
    <x v="0"/>
    <x v="0"/>
    <x v="1"/>
  </r>
  <r>
    <n v="40266"/>
    <x v="7"/>
    <x v="3"/>
    <x v="230"/>
    <x v="1"/>
    <x v="520"/>
    <x v="1"/>
    <d v="2024-07-15T00:00:00"/>
    <d v="2024-07-28T00:00:00"/>
    <x v="0"/>
    <x v="520"/>
    <x v="0"/>
    <x v="0"/>
    <x v="0"/>
    <x v="0"/>
    <x v="0"/>
    <x v="0"/>
  </r>
  <r>
    <n v="20956"/>
    <x v="12"/>
    <x v="0"/>
    <x v="227"/>
    <x v="0"/>
    <x v="521"/>
    <x v="0"/>
    <d v="2024-11-27T00:00:00"/>
    <d v="2024-12-27T00:00:00"/>
    <x v="1"/>
    <x v="521"/>
    <x v="1"/>
    <x v="52"/>
    <x v="1"/>
    <x v="1"/>
    <x v="1"/>
    <x v="1"/>
  </r>
  <r>
    <n v="41417"/>
    <x v="16"/>
    <x v="3"/>
    <x v="26"/>
    <x v="4"/>
    <x v="522"/>
    <x v="4"/>
    <d v="2024-04-12T00:00:00"/>
    <d v="2024-05-17T00:00:00"/>
    <x v="1"/>
    <x v="522"/>
    <x v="0"/>
    <x v="0"/>
    <x v="0"/>
    <x v="0"/>
    <x v="0"/>
    <x v="0"/>
  </r>
  <r>
    <n v="95824"/>
    <x v="15"/>
    <x v="4"/>
    <x v="321"/>
    <x v="4"/>
    <x v="523"/>
    <x v="3"/>
    <d v="2024-10-04T00:00:00"/>
    <d v="2024-10-09T00:00:00"/>
    <x v="1"/>
    <x v="523"/>
    <x v="1"/>
    <x v="53"/>
    <x v="1"/>
    <x v="1"/>
    <x v="1"/>
    <x v="1"/>
  </r>
  <r>
    <n v="93948"/>
    <x v="11"/>
    <x v="4"/>
    <x v="310"/>
    <x v="1"/>
    <x v="524"/>
    <x v="3"/>
    <d v="2024-01-22T00:00:00"/>
    <d v="2024-03-01T00:00:00"/>
    <x v="0"/>
    <x v="524"/>
    <x v="0"/>
    <x v="0"/>
    <x v="0"/>
    <x v="0"/>
    <x v="0"/>
    <x v="0"/>
  </r>
  <r>
    <n v="71602"/>
    <x v="14"/>
    <x v="4"/>
    <x v="322"/>
    <x v="5"/>
    <x v="525"/>
    <x v="4"/>
    <d v="2024-03-18T00:00:00"/>
    <d v="2024-03-28T00:00:00"/>
    <x v="1"/>
    <x v="525"/>
    <x v="0"/>
    <x v="0"/>
    <x v="0"/>
    <x v="0"/>
    <x v="0"/>
    <x v="1"/>
  </r>
  <r>
    <n v="23269"/>
    <x v="6"/>
    <x v="3"/>
    <x v="200"/>
    <x v="2"/>
    <x v="526"/>
    <x v="1"/>
    <d v="2024-06-11T00:00:00"/>
    <d v="2024-06-21T00:00:00"/>
    <x v="0"/>
    <x v="526"/>
    <x v="0"/>
    <x v="0"/>
    <x v="0"/>
    <x v="0"/>
    <x v="0"/>
    <x v="0"/>
  </r>
  <r>
    <n v="78154"/>
    <x v="2"/>
    <x v="1"/>
    <x v="77"/>
    <x v="6"/>
    <x v="527"/>
    <x v="1"/>
    <d v="2024-01-20T00:00:00"/>
    <d v="2024-01-30T00:00:00"/>
    <x v="2"/>
    <x v="527"/>
    <x v="1"/>
    <x v="54"/>
    <x v="1"/>
    <x v="1"/>
    <x v="1"/>
    <x v="1"/>
  </r>
  <r>
    <n v="22306"/>
    <x v="0"/>
    <x v="0"/>
    <x v="47"/>
    <x v="5"/>
    <x v="528"/>
    <x v="0"/>
    <d v="2024-02-13T00:00:00"/>
    <d v="2024-03-03T00:00:00"/>
    <x v="1"/>
    <x v="528"/>
    <x v="0"/>
    <x v="0"/>
    <x v="0"/>
    <x v="0"/>
    <x v="0"/>
    <x v="1"/>
  </r>
  <r>
    <n v="50863"/>
    <x v="12"/>
    <x v="0"/>
    <x v="102"/>
    <x v="0"/>
    <x v="529"/>
    <x v="1"/>
    <d v="2024-04-09T00:00:00"/>
    <d v="2024-05-18T00:00:00"/>
    <x v="0"/>
    <x v="529"/>
    <x v="0"/>
    <x v="0"/>
    <x v="0"/>
    <x v="0"/>
    <x v="0"/>
    <x v="0"/>
  </r>
  <r>
    <n v="71381"/>
    <x v="16"/>
    <x v="3"/>
    <x v="323"/>
    <x v="0"/>
    <x v="530"/>
    <x v="1"/>
    <d v="2024-12-20T00:00:00"/>
    <d v="2025-01-25T00:00:00"/>
    <x v="2"/>
    <x v="530"/>
    <x v="0"/>
    <x v="0"/>
    <x v="0"/>
    <x v="0"/>
    <x v="0"/>
    <x v="0"/>
  </r>
  <r>
    <n v="14827"/>
    <x v="7"/>
    <x v="3"/>
    <x v="324"/>
    <x v="6"/>
    <x v="531"/>
    <x v="2"/>
    <d v="2024-10-22T00:00:00"/>
    <d v="2024-11-11T00:00:00"/>
    <x v="0"/>
    <x v="531"/>
    <x v="0"/>
    <x v="0"/>
    <x v="0"/>
    <x v="0"/>
    <x v="0"/>
    <x v="0"/>
  </r>
  <r>
    <n v="79390"/>
    <x v="14"/>
    <x v="4"/>
    <x v="325"/>
    <x v="6"/>
    <x v="532"/>
    <x v="0"/>
    <d v="2024-05-15T00:00:00"/>
    <d v="2024-06-12T00:00:00"/>
    <x v="1"/>
    <x v="532"/>
    <x v="0"/>
    <x v="0"/>
    <x v="0"/>
    <x v="0"/>
    <x v="0"/>
    <x v="1"/>
  </r>
  <r>
    <n v="63218"/>
    <x v="9"/>
    <x v="1"/>
    <x v="138"/>
    <x v="3"/>
    <x v="533"/>
    <x v="1"/>
    <d v="2024-12-29T00:00:00"/>
    <d v="2025-01-18T00:00:00"/>
    <x v="2"/>
    <x v="533"/>
    <x v="0"/>
    <x v="0"/>
    <x v="0"/>
    <x v="0"/>
    <x v="0"/>
    <x v="1"/>
  </r>
  <r>
    <n v="47034"/>
    <x v="11"/>
    <x v="4"/>
    <x v="67"/>
    <x v="1"/>
    <x v="534"/>
    <x v="4"/>
    <d v="2024-02-29T00:00:00"/>
    <d v="2024-04-07T00:00:00"/>
    <x v="1"/>
    <x v="534"/>
    <x v="0"/>
    <x v="0"/>
    <x v="0"/>
    <x v="0"/>
    <x v="0"/>
    <x v="1"/>
  </r>
  <r>
    <n v="13164"/>
    <x v="13"/>
    <x v="3"/>
    <x v="187"/>
    <x v="3"/>
    <x v="535"/>
    <x v="1"/>
    <d v="2024-04-17T00:00:00"/>
    <d v="2024-04-25T00:00:00"/>
    <x v="2"/>
    <x v="535"/>
    <x v="0"/>
    <x v="0"/>
    <x v="0"/>
    <x v="0"/>
    <x v="0"/>
    <x v="0"/>
  </r>
  <r>
    <n v="13722"/>
    <x v="14"/>
    <x v="4"/>
    <x v="326"/>
    <x v="3"/>
    <x v="536"/>
    <x v="0"/>
    <d v="2024-04-21T00:00:00"/>
    <d v="2024-04-28T00:00:00"/>
    <x v="0"/>
    <x v="536"/>
    <x v="0"/>
    <x v="0"/>
    <x v="0"/>
    <x v="0"/>
    <x v="0"/>
    <x v="0"/>
  </r>
  <r>
    <n v="50469"/>
    <x v="12"/>
    <x v="0"/>
    <x v="282"/>
    <x v="2"/>
    <x v="537"/>
    <x v="3"/>
    <d v="2024-08-01T00:00:00"/>
    <d v="2024-08-11T00:00:00"/>
    <x v="2"/>
    <x v="537"/>
    <x v="0"/>
    <x v="0"/>
    <x v="0"/>
    <x v="0"/>
    <x v="0"/>
    <x v="0"/>
  </r>
  <r>
    <n v="72993"/>
    <x v="10"/>
    <x v="2"/>
    <x v="124"/>
    <x v="3"/>
    <x v="538"/>
    <x v="3"/>
    <d v="2024-11-11T00:00:00"/>
    <d v="2024-11-27T00:00:00"/>
    <x v="1"/>
    <x v="538"/>
    <x v="0"/>
    <x v="0"/>
    <x v="0"/>
    <x v="0"/>
    <x v="0"/>
    <x v="0"/>
  </r>
  <r>
    <n v="45699"/>
    <x v="8"/>
    <x v="1"/>
    <x v="171"/>
    <x v="3"/>
    <x v="539"/>
    <x v="3"/>
    <d v="2024-06-23T00:00:00"/>
    <d v="2024-07-02T00:00:00"/>
    <x v="2"/>
    <x v="539"/>
    <x v="0"/>
    <x v="0"/>
    <x v="0"/>
    <x v="0"/>
    <x v="0"/>
    <x v="0"/>
  </r>
  <r>
    <n v="16782"/>
    <x v="7"/>
    <x v="3"/>
    <x v="327"/>
    <x v="6"/>
    <x v="540"/>
    <x v="3"/>
    <d v="2024-07-24T00:00:00"/>
    <d v="2024-08-27T00:00:00"/>
    <x v="0"/>
    <x v="540"/>
    <x v="0"/>
    <x v="0"/>
    <x v="0"/>
    <x v="0"/>
    <x v="0"/>
    <x v="1"/>
  </r>
  <r>
    <n v="50149"/>
    <x v="5"/>
    <x v="2"/>
    <x v="288"/>
    <x v="0"/>
    <x v="541"/>
    <x v="4"/>
    <d v="2024-03-25T00:00:00"/>
    <d v="2024-04-19T00:00:00"/>
    <x v="1"/>
    <x v="541"/>
    <x v="0"/>
    <x v="0"/>
    <x v="0"/>
    <x v="0"/>
    <x v="0"/>
    <x v="0"/>
  </r>
  <r>
    <n v="70410"/>
    <x v="2"/>
    <x v="1"/>
    <x v="304"/>
    <x v="3"/>
    <x v="542"/>
    <x v="0"/>
    <d v="2024-10-24T00:00:00"/>
    <d v="2024-11-15T00:00:00"/>
    <x v="0"/>
    <x v="542"/>
    <x v="0"/>
    <x v="0"/>
    <x v="0"/>
    <x v="0"/>
    <x v="0"/>
    <x v="1"/>
  </r>
  <r>
    <n v="89211"/>
    <x v="5"/>
    <x v="2"/>
    <x v="328"/>
    <x v="1"/>
    <x v="543"/>
    <x v="0"/>
    <d v="2024-05-23T00:00:00"/>
    <d v="2024-06-02T00:00:00"/>
    <x v="1"/>
    <x v="543"/>
    <x v="0"/>
    <x v="0"/>
    <x v="0"/>
    <x v="0"/>
    <x v="0"/>
    <x v="0"/>
  </r>
  <r>
    <n v="14686"/>
    <x v="14"/>
    <x v="4"/>
    <x v="207"/>
    <x v="6"/>
    <x v="544"/>
    <x v="2"/>
    <d v="2024-11-10T00:00:00"/>
    <d v="2024-12-11T00:00:00"/>
    <x v="0"/>
    <x v="544"/>
    <x v="0"/>
    <x v="0"/>
    <x v="0"/>
    <x v="0"/>
    <x v="0"/>
    <x v="1"/>
  </r>
  <r>
    <n v="35095"/>
    <x v="10"/>
    <x v="2"/>
    <x v="89"/>
    <x v="1"/>
    <x v="545"/>
    <x v="4"/>
    <d v="2024-10-18T00:00:00"/>
    <d v="2024-11-12T00:00:00"/>
    <x v="2"/>
    <x v="545"/>
    <x v="1"/>
    <x v="12"/>
    <x v="1"/>
    <x v="1"/>
    <x v="1"/>
    <x v="1"/>
  </r>
  <r>
    <n v="32927"/>
    <x v="1"/>
    <x v="0"/>
    <x v="305"/>
    <x v="1"/>
    <x v="546"/>
    <x v="1"/>
    <d v="2024-04-10T00:00:00"/>
    <d v="2024-05-14T00:00:00"/>
    <x v="1"/>
    <x v="546"/>
    <x v="0"/>
    <x v="0"/>
    <x v="0"/>
    <x v="0"/>
    <x v="0"/>
    <x v="1"/>
  </r>
  <r>
    <n v="55283"/>
    <x v="7"/>
    <x v="3"/>
    <x v="20"/>
    <x v="1"/>
    <x v="547"/>
    <x v="2"/>
    <d v="2024-07-13T00:00:00"/>
    <d v="2024-08-01T00:00:00"/>
    <x v="1"/>
    <x v="547"/>
    <x v="0"/>
    <x v="0"/>
    <x v="0"/>
    <x v="0"/>
    <x v="0"/>
    <x v="1"/>
  </r>
  <r>
    <n v="90152"/>
    <x v="13"/>
    <x v="3"/>
    <x v="329"/>
    <x v="1"/>
    <x v="548"/>
    <x v="2"/>
    <d v="2024-10-11T00:00:00"/>
    <d v="2024-11-04T00:00:00"/>
    <x v="2"/>
    <x v="548"/>
    <x v="1"/>
    <x v="55"/>
    <x v="1"/>
    <x v="1"/>
    <x v="1"/>
    <x v="1"/>
  </r>
  <r>
    <n v="74140"/>
    <x v="14"/>
    <x v="4"/>
    <x v="26"/>
    <x v="4"/>
    <x v="549"/>
    <x v="0"/>
    <d v="2024-10-01T00:00:00"/>
    <d v="2024-10-28T00:00:00"/>
    <x v="2"/>
    <x v="549"/>
    <x v="0"/>
    <x v="0"/>
    <x v="0"/>
    <x v="0"/>
    <x v="0"/>
    <x v="0"/>
  </r>
  <r>
    <n v="23861"/>
    <x v="7"/>
    <x v="3"/>
    <x v="2"/>
    <x v="4"/>
    <x v="550"/>
    <x v="2"/>
    <d v="2024-11-24T00:00:00"/>
    <d v="2024-12-17T00:00:00"/>
    <x v="1"/>
    <x v="550"/>
    <x v="1"/>
    <x v="56"/>
    <x v="1"/>
    <x v="1"/>
    <x v="1"/>
    <x v="1"/>
  </r>
  <r>
    <n v="69222"/>
    <x v="8"/>
    <x v="1"/>
    <x v="183"/>
    <x v="4"/>
    <x v="551"/>
    <x v="0"/>
    <d v="2024-01-05T00:00:00"/>
    <d v="2024-01-29T00:00:00"/>
    <x v="0"/>
    <x v="551"/>
    <x v="0"/>
    <x v="0"/>
    <x v="0"/>
    <x v="0"/>
    <x v="0"/>
    <x v="0"/>
  </r>
  <r>
    <n v="85910"/>
    <x v="14"/>
    <x v="4"/>
    <x v="330"/>
    <x v="3"/>
    <x v="552"/>
    <x v="2"/>
    <d v="2024-05-16T00:00:00"/>
    <d v="2024-06-20T00:00:00"/>
    <x v="1"/>
    <x v="552"/>
    <x v="0"/>
    <x v="0"/>
    <x v="0"/>
    <x v="0"/>
    <x v="0"/>
    <x v="0"/>
  </r>
  <r>
    <n v="56418"/>
    <x v="11"/>
    <x v="4"/>
    <x v="331"/>
    <x v="0"/>
    <x v="553"/>
    <x v="4"/>
    <d v="2024-07-07T00:00:00"/>
    <d v="2024-08-11T00:00:00"/>
    <x v="2"/>
    <x v="553"/>
    <x v="0"/>
    <x v="0"/>
    <x v="0"/>
    <x v="0"/>
    <x v="0"/>
    <x v="0"/>
  </r>
  <r>
    <n v="92063"/>
    <x v="5"/>
    <x v="2"/>
    <x v="185"/>
    <x v="3"/>
    <x v="554"/>
    <x v="4"/>
    <d v="2024-09-29T00:00:00"/>
    <d v="2024-11-04T00:00:00"/>
    <x v="1"/>
    <x v="554"/>
    <x v="0"/>
    <x v="0"/>
    <x v="0"/>
    <x v="0"/>
    <x v="0"/>
    <x v="0"/>
  </r>
  <r>
    <n v="54910"/>
    <x v="10"/>
    <x v="2"/>
    <x v="332"/>
    <x v="6"/>
    <x v="555"/>
    <x v="1"/>
    <d v="2024-11-22T00:00:00"/>
    <d v="2024-12-22T00:00:00"/>
    <x v="1"/>
    <x v="555"/>
    <x v="0"/>
    <x v="0"/>
    <x v="0"/>
    <x v="0"/>
    <x v="0"/>
    <x v="1"/>
  </r>
  <r>
    <n v="31684"/>
    <x v="8"/>
    <x v="1"/>
    <x v="333"/>
    <x v="4"/>
    <x v="556"/>
    <x v="1"/>
    <d v="2024-02-16T00:00:00"/>
    <d v="2024-03-19T00:00:00"/>
    <x v="1"/>
    <x v="556"/>
    <x v="0"/>
    <x v="0"/>
    <x v="0"/>
    <x v="0"/>
    <x v="0"/>
    <x v="0"/>
  </r>
  <r>
    <n v="50130"/>
    <x v="11"/>
    <x v="4"/>
    <x v="147"/>
    <x v="4"/>
    <x v="557"/>
    <x v="2"/>
    <d v="2024-10-22T00:00:00"/>
    <d v="2024-11-06T00:00:00"/>
    <x v="1"/>
    <x v="557"/>
    <x v="0"/>
    <x v="0"/>
    <x v="0"/>
    <x v="0"/>
    <x v="0"/>
    <x v="0"/>
  </r>
  <r>
    <n v="58443"/>
    <x v="15"/>
    <x v="4"/>
    <x v="244"/>
    <x v="5"/>
    <x v="558"/>
    <x v="2"/>
    <d v="2024-05-23T00:00:00"/>
    <d v="2024-05-29T00:00:00"/>
    <x v="2"/>
    <x v="558"/>
    <x v="0"/>
    <x v="0"/>
    <x v="0"/>
    <x v="0"/>
    <x v="0"/>
    <x v="0"/>
  </r>
  <r>
    <n v="43783"/>
    <x v="0"/>
    <x v="0"/>
    <x v="48"/>
    <x v="1"/>
    <x v="559"/>
    <x v="3"/>
    <d v="2024-10-24T00:00:00"/>
    <d v="2024-11-30T00:00:00"/>
    <x v="2"/>
    <x v="559"/>
    <x v="0"/>
    <x v="0"/>
    <x v="0"/>
    <x v="0"/>
    <x v="0"/>
    <x v="1"/>
  </r>
  <r>
    <n v="69754"/>
    <x v="15"/>
    <x v="4"/>
    <x v="334"/>
    <x v="5"/>
    <x v="560"/>
    <x v="0"/>
    <d v="2024-01-22T00:00:00"/>
    <d v="2024-02-15T00:00:00"/>
    <x v="0"/>
    <x v="560"/>
    <x v="0"/>
    <x v="0"/>
    <x v="0"/>
    <x v="0"/>
    <x v="0"/>
    <x v="0"/>
  </r>
  <r>
    <n v="61033"/>
    <x v="11"/>
    <x v="4"/>
    <x v="222"/>
    <x v="3"/>
    <x v="561"/>
    <x v="3"/>
    <d v="2024-03-13T00:00:00"/>
    <d v="2024-03-29T00:00:00"/>
    <x v="2"/>
    <x v="561"/>
    <x v="0"/>
    <x v="0"/>
    <x v="0"/>
    <x v="0"/>
    <x v="0"/>
    <x v="1"/>
  </r>
  <r>
    <n v="91531"/>
    <x v="2"/>
    <x v="1"/>
    <x v="335"/>
    <x v="4"/>
    <x v="562"/>
    <x v="2"/>
    <d v="2024-03-06T00:00:00"/>
    <d v="2024-03-11T00:00:00"/>
    <x v="2"/>
    <x v="562"/>
    <x v="0"/>
    <x v="0"/>
    <x v="0"/>
    <x v="0"/>
    <x v="0"/>
    <x v="0"/>
  </r>
  <r>
    <n v="24859"/>
    <x v="5"/>
    <x v="2"/>
    <x v="331"/>
    <x v="2"/>
    <x v="563"/>
    <x v="4"/>
    <d v="2024-10-11T00:00:00"/>
    <d v="2024-10-30T00:00:00"/>
    <x v="0"/>
    <x v="563"/>
    <x v="0"/>
    <x v="0"/>
    <x v="0"/>
    <x v="0"/>
    <x v="0"/>
    <x v="0"/>
  </r>
  <r>
    <n v="31153"/>
    <x v="13"/>
    <x v="3"/>
    <x v="228"/>
    <x v="5"/>
    <x v="392"/>
    <x v="1"/>
    <d v="2024-08-03T00:00:00"/>
    <d v="2024-08-21T00:00:00"/>
    <x v="2"/>
    <x v="564"/>
    <x v="0"/>
    <x v="0"/>
    <x v="0"/>
    <x v="0"/>
    <x v="0"/>
    <x v="1"/>
  </r>
  <r>
    <n v="37564"/>
    <x v="0"/>
    <x v="0"/>
    <x v="276"/>
    <x v="5"/>
    <x v="564"/>
    <x v="2"/>
    <d v="2024-12-01T00:00:00"/>
    <d v="2024-12-30T00:00:00"/>
    <x v="2"/>
    <x v="565"/>
    <x v="0"/>
    <x v="0"/>
    <x v="0"/>
    <x v="0"/>
    <x v="0"/>
    <x v="0"/>
  </r>
  <r>
    <n v="86436"/>
    <x v="3"/>
    <x v="2"/>
    <x v="336"/>
    <x v="1"/>
    <x v="565"/>
    <x v="0"/>
    <d v="2024-07-05T00:00:00"/>
    <d v="2024-07-14T00:00:00"/>
    <x v="2"/>
    <x v="566"/>
    <x v="0"/>
    <x v="0"/>
    <x v="0"/>
    <x v="0"/>
    <x v="0"/>
    <x v="0"/>
  </r>
  <r>
    <n v="95549"/>
    <x v="1"/>
    <x v="0"/>
    <x v="102"/>
    <x v="1"/>
    <x v="566"/>
    <x v="2"/>
    <d v="2024-11-12T00:00:00"/>
    <d v="2024-11-23T00:00:00"/>
    <x v="0"/>
    <x v="567"/>
    <x v="0"/>
    <x v="0"/>
    <x v="0"/>
    <x v="0"/>
    <x v="0"/>
    <x v="0"/>
  </r>
  <r>
    <n v="92291"/>
    <x v="2"/>
    <x v="1"/>
    <x v="218"/>
    <x v="4"/>
    <x v="567"/>
    <x v="0"/>
    <d v="2024-04-18T00:00:00"/>
    <d v="2024-05-19T00:00:00"/>
    <x v="2"/>
    <x v="568"/>
    <x v="0"/>
    <x v="0"/>
    <x v="0"/>
    <x v="0"/>
    <x v="0"/>
    <x v="0"/>
  </r>
  <r>
    <n v="76471"/>
    <x v="10"/>
    <x v="2"/>
    <x v="337"/>
    <x v="6"/>
    <x v="568"/>
    <x v="4"/>
    <d v="2024-03-23T00:00:00"/>
    <d v="2024-04-19T00:00:00"/>
    <x v="1"/>
    <x v="569"/>
    <x v="0"/>
    <x v="0"/>
    <x v="0"/>
    <x v="0"/>
    <x v="0"/>
    <x v="1"/>
  </r>
  <r>
    <n v="44753"/>
    <x v="12"/>
    <x v="0"/>
    <x v="338"/>
    <x v="2"/>
    <x v="569"/>
    <x v="4"/>
    <d v="2024-04-04T00:00:00"/>
    <d v="2024-04-30T00:00:00"/>
    <x v="0"/>
    <x v="570"/>
    <x v="0"/>
    <x v="0"/>
    <x v="0"/>
    <x v="0"/>
    <x v="0"/>
    <x v="0"/>
  </r>
  <r>
    <n v="83290"/>
    <x v="12"/>
    <x v="0"/>
    <x v="222"/>
    <x v="6"/>
    <x v="570"/>
    <x v="0"/>
    <d v="2024-12-08T00:00:00"/>
    <d v="2025-01-13T00:00:00"/>
    <x v="0"/>
    <x v="571"/>
    <x v="1"/>
    <x v="57"/>
    <x v="1"/>
    <x v="1"/>
    <x v="1"/>
    <x v="1"/>
  </r>
  <r>
    <n v="17493"/>
    <x v="15"/>
    <x v="4"/>
    <x v="339"/>
    <x v="5"/>
    <x v="571"/>
    <x v="4"/>
    <d v="2024-02-27T00:00:00"/>
    <d v="2024-03-03T00:00:00"/>
    <x v="1"/>
    <x v="572"/>
    <x v="1"/>
    <x v="58"/>
    <x v="1"/>
    <x v="1"/>
    <x v="1"/>
    <x v="1"/>
  </r>
  <r>
    <n v="57315"/>
    <x v="9"/>
    <x v="1"/>
    <x v="192"/>
    <x v="0"/>
    <x v="572"/>
    <x v="4"/>
    <d v="2024-12-29T00:00:00"/>
    <d v="2025-01-14T00:00:00"/>
    <x v="0"/>
    <x v="573"/>
    <x v="0"/>
    <x v="0"/>
    <x v="0"/>
    <x v="0"/>
    <x v="0"/>
    <x v="0"/>
  </r>
  <r>
    <n v="62664"/>
    <x v="12"/>
    <x v="0"/>
    <x v="252"/>
    <x v="5"/>
    <x v="573"/>
    <x v="2"/>
    <d v="2024-06-19T00:00:00"/>
    <d v="2024-07-06T00:00:00"/>
    <x v="1"/>
    <x v="574"/>
    <x v="0"/>
    <x v="0"/>
    <x v="0"/>
    <x v="0"/>
    <x v="0"/>
    <x v="1"/>
  </r>
  <r>
    <n v="62975"/>
    <x v="16"/>
    <x v="3"/>
    <x v="33"/>
    <x v="0"/>
    <x v="574"/>
    <x v="0"/>
    <d v="2024-07-18T00:00:00"/>
    <d v="2024-08-17T00:00:00"/>
    <x v="2"/>
    <x v="575"/>
    <x v="0"/>
    <x v="0"/>
    <x v="0"/>
    <x v="0"/>
    <x v="0"/>
    <x v="0"/>
  </r>
  <r>
    <n v="64478"/>
    <x v="10"/>
    <x v="2"/>
    <x v="340"/>
    <x v="2"/>
    <x v="575"/>
    <x v="0"/>
    <d v="2024-07-29T00:00:00"/>
    <d v="2024-08-14T00:00:00"/>
    <x v="2"/>
    <x v="576"/>
    <x v="0"/>
    <x v="0"/>
    <x v="0"/>
    <x v="0"/>
    <x v="0"/>
    <x v="0"/>
  </r>
  <r>
    <n v="14837"/>
    <x v="15"/>
    <x v="4"/>
    <x v="341"/>
    <x v="5"/>
    <x v="576"/>
    <x v="3"/>
    <d v="2024-10-01T00:00:00"/>
    <d v="2024-10-11T00:00:00"/>
    <x v="2"/>
    <x v="577"/>
    <x v="1"/>
    <x v="59"/>
    <x v="1"/>
    <x v="1"/>
    <x v="1"/>
    <x v="1"/>
  </r>
  <r>
    <n v="98422"/>
    <x v="0"/>
    <x v="0"/>
    <x v="109"/>
    <x v="0"/>
    <x v="577"/>
    <x v="4"/>
    <d v="2024-09-19T00:00:00"/>
    <d v="2024-10-04T00:00:00"/>
    <x v="0"/>
    <x v="578"/>
    <x v="0"/>
    <x v="0"/>
    <x v="0"/>
    <x v="0"/>
    <x v="0"/>
    <x v="0"/>
  </r>
  <r>
    <n v="31199"/>
    <x v="4"/>
    <x v="0"/>
    <x v="342"/>
    <x v="5"/>
    <x v="578"/>
    <x v="3"/>
    <d v="2024-02-20T00:00:00"/>
    <d v="2024-03-19T00:00:00"/>
    <x v="0"/>
    <x v="579"/>
    <x v="0"/>
    <x v="0"/>
    <x v="0"/>
    <x v="0"/>
    <x v="0"/>
    <x v="0"/>
  </r>
  <r>
    <n v="19290"/>
    <x v="8"/>
    <x v="1"/>
    <x v="305"/>
    <x v="5"/>
    <x v="579"/>
    <x v="3"/>
    <d v="2024-04-27T00:00:00"/>
    <d v="2024-05-05T00:00:00"/>
    <x v="1"/>
    <x v="580"/>
    <x v="0"/>
    <x v="0"/>
    <x v="0"/>
    <x v="0"/>
    <x v="0"/>
    <x v="1"/>
  </r>
  <r>
    <n v="92666"/>
    <x v="15"/>
    <x v="4"/>
    <x v="14"/>
    <x v="5"/>
    <x v="580"/>
    <x v="3"/>
    <d v="2024-10-05T00:00:00"/>
    <d v="2024-11-06T00:00:00"/>
    <x v="2"/>
    <x v="581"/>
    <x v="0"/>
    <x v="0"/>
    <x v="0"/>
    <x v="0"/>
    <x v="0"/>
    <x v="0"/>
  </r>
  <r>
    <n v="46386"/>
    <x v="2"/>
    <x v="1"/>
    <x v="204"/>
    <x v="0"/>
    <x v="581"/>
    <x v="2"/>
    <d v="2024-09-26T00:00:00"/>
    <d v="2024-10-14T00:00:00"/>
    <x v="0"/>
    <x v="582"/>
    <x v="1"/>
    <x v="50"/>
    <x v="1"/>
    <x v="1"/>
    <x v="1"/>
    <x v="1"/>
  </r>
  <r>
    <n v="10946"/>
    <x v="5"/>
    <x v="2"/>
    <x v="126"/>
    <x v="4"/>
    <x v="582"/>
    <x v="1"/>
    <d v="2024-03-19T00:00:00"/>
    <d v="2024-04-17T00:00:00"/>
    <x v="1"/>
    <x v="583"/>
    <x v="0"/>
    <x v="0"/>
    <x v="0"/>
    <x v="0"/>
    <x v="0"/>
    <x v="0"/>
  </r>
  <r>
    <n v="65512"/>
    <x v="7"/>
    <x v="3"/>
    <x v="41"/>
    <x v="4"/>
    <x v="583"/>
    <x v="1"/>
    <d v="2024-11-15T00:00:00"/>
    <d v="2024-12-12T00:00:00"/>
    <x v="1"/>
    <x v="584"/>
    <x v="0"/>
    <x v="0"/>
    <x v="0"/>
    <x v="0"/>
    <x v="0"/>
    <x v="0"/>
  </r>
  <r>
    <n v="55875"/>
    <x v="2"/>
    <x v="1"/>
    <x v="343"/>
    <x v="2"/>
    <x v="584"/>
    <x v="3"/>
    <d v="2024-11-01T00:00:00"/>
    <d v="2024-12-02T00:00:00"/>
    <x v="0"/>
    <x v="585"/>
    <x v="0"/>
    <x v="0"/>
    <x v="0"/>
    <x v="0"/>
    <x v="0"/>
    <x v="0"/>
  </r>
  <r>
    <n v="60435"/>
    <x v="0"/>
    <x v="0"/>
    <x v="192"/>
    <x v="3"/>
    <x v="585"/>
    <x v="3"/>
    <d v="2024-05-11T00:00:00"/>
    <d v="2024-06-10T00:00:00"/>
    <x v="1"/>
    <x v="586"/>
    <x v="0"/>
    <x v="0"/>
    <x v="0"/>
    <x v="0"/>
    <x v="0"/>
    <x v="0"/>
  </r>
  <r>
    <n v="71816"/>
    <x v="14"/>
    <x v="4"/>
    <x v="205"/>
    <x v="0"/>
    <x v="586"/>
    <x v="1"/>
    <d v="2024-10-18T00:00:00"/>
    <d v="2024-11-18T00:00:00"/>
    <x v="0"/>
    <x v="587"/>
    <x v="0"/>
    <x v="0"/>
    <x v="0"/>
    <x v="0"/>
    <x v="0"/>
    <x v="0"/>
  </r>
  <r>
    <n v="34495"/>
    <x v="3"/>
    <x v="2"/>
    <x v="124"/>
    <x v="0"/>
    <x v="587"/>
    <x v="3"/>
    <d v="2024-01-17T00:00:00"/>
    <d v="2024-02-16T00:00:00"/>
    <x v="2"/>
    <x v="588"/>
    <x v="0"/>
    <x v="0"/>
    <x v="0"/>
    <x v="0"/>
    <x v="0"/>
    <x v="0"/>
  </r>
  <r>
    <n v="10692"/>
    <x v="5"/>
    <x v="2"/>
    <x v="117"/>
    <x v="4"/>
    <x v="588"/>
    <x v="4"/>
    <d v="2024-01-18T00:00:00"/>
    <d v="2024-02-17T00:00:00"/>
    <x v="0"/>
    <x v="589"/>
    <x v="0"/>
    <x v="0"/>
    <x v="0"/>
    <x v="0"/>
    <x v="0"/>
    <x v="1"/>
  </r>
  <r>
    <n v="87463"/>
    <x v="11"/>
    <x v="4"/>
    <x v="344"/>
    <x v="3"/>
    <x v="589"/>
    <x v="0"/>
    <d v="2024-03-10T00:00:00"/>
    <d v="2024-03-22T00:00:00"/>
    <x v="0"/>
    <x v="590"/>
    <x v="0"/>
    <x v="0"/>
    <x v="0"/>
    <x v="0"/>
    <x v="0"/>
    <x v="1"/>
  </r>
  <r>
    <n v="66548"/>
    <x v="15"/>
    <x v="4"/>
    <x v="345"/>
    <x v="1"/>
    <x v="590"/>
    <x v="2"/>
    <d v="2024-02-02T00:00:00"/>
    <d v="2024-02-16T00:00:00"/>
    <x v="2"/>
    <x v="591"/>
    <x v="0"/>
    <x v="0"/>
    <x v="0"/>
    <x v="0"/>
    <x v="0"/>
    <x v="0"/>
  </r>
  <r>
    <n v="11184"/>
    <x v="3"/>
    <x v="2"/>
    <x v="346"/>
    <x v="5"/>
    <x v="591"/>
    <x v="0"/>
    <d v="2024-09-03T00:00:00"/>
    <d v="2024-10-06T00:00:00"/>
    <x v="2"/>
    <x v="592"/>
    <x v="0"/>
    <x v="0"/>
    <x v="0"/>
    <x v="0"/>
    <x v="0"/>
    <x v="0"/>
  </r>
  <r>
    <n v="28690"/>
    <x v="6"/>
    <x v="3"/>
    <x v="347"/>
    <x v="4"/>
    <x v="592"/>
    <x v="0"/>
    <d v="2024-06-20T00:00:00"/>
    <d v="2024-07-12T00:00:00"/>
    <x v="2"/>
    <x v="593"/>
    <x v="0"/>
    <x v="0"/>
    <x v="0"/>
    <x v="0"/>
    <x v="0"/>
    <x v="0"/>
  </r>
  <r>
    <n v="80211"/>
    <x v="4"/>
    <x v="0"/>
    <x v="334"/>
    <x v="3"/>
    <x v="593"/>
    <x v="0"/>
    <d v="2024-04-04T00:00:00"/>
    <d v="2024-04-19T00:00:00"/>
    <x v="2"/>
    <x v="594"/>
    <x v="0"/>
    <x v="0"/>
    <x v="0"/>
    <x v="0"/>
    <x v="0"/>
    <x v="0"/>
  </r>
  <r>
    <n v="62248"/>
    <x v="0"/>
    <x v="0"/>
    <x v="348"/>
    <x v="1"/>
    <x v="594"/>
    <x v="3"/>
    <d v="2024-06-20T00:00:00"/>
    <d v="2024-06-30T00:00:00"/>
    <x v="0"/>
    <x v="595"/>
    <x v="0"/>
    <x v="0"/>
    <x v="0"/>
    <x v="0"/>
    <x v="0"/>
    <x v="1"/>
  </r>
  <r>
    <n v="82095"/>
    <x v="3"/>
    <x v="2"/>
    <x v="349"/>
    <x v="6"/>
    <x v="595"/>
    <x v="4"/>
    <d v="2024-08-07T00:00:00"/>
    <d v="2024-08-20T00:00:00"/>
    <x v="1"/>
    <x v="596"/>
    <x v="0"/>
    <x v="0"/>
    <x v="0"/>
    <x v="0"/>
    <x v="0"/>
    <x v="1"/>
  </r>
  <r>
    <n v="10924"/>
    <x v="13"/>
    <x v="3"/>
    <x v="52"/>
    <x v="0"/>
    <x v="596"/>
    <x v="0"/>
    <d v="2024-10-21T00:00:00"/>
    <d v="2024-11-09T00:00:00"/>
    <x v="1"/>
    <x v="597"/>
    <x v="0"/>
    <x v="0"/>
    <x v="0"/>
    <x v="0"/>
    <x v="0"/>
    <x v="1"/>
  </r>
  <r>
    <n v="15515"/>
    <x v="3"/>
    <x v="2"/>
    <x v="288"/>
    <x v="4"/>
    <x v="597"/>
    <x v="4"/>
    <d v="2024-02-04T00:00:00"/>
    <d v="2024-02-14T00:00:00"/>
    <x v="0"/>
    <x v="598"/>
    <x v="0"/>
    <x v="0"/>
    <x v="0"/>
    <x v="0"/>
    <x v="0"/>
    <x v="0"/>
  </r>
  <r>
    <n v="52674"/>
    <x v="3"/>
    <x v="2"/>
    <x v="350"/>
    <x v="6"/>
    <x v="598"/>
    <x v="4"/>
    <d v="2024-06-23T00:00:00"/>
    <d v="2024-07-01T00:00:00"/>
    <x v="1"/>
    <x v="599"/>
    <x v="0"/>
    <x v="0"/>
    <x v="0"/>
    <x v="0"/>
    <x v="0"/>
    <x v="1"/>
  </r>
  <r>
    <n v="66652"/>
    <x v="7"/>
    <x v="3"/>
    <x v="237"/>
    <x v="1"/>
    <x v="599"/>
    <x v="4"/>
    <d v="2024-01-09T00:00:00"/>
    <d v="2024-01-27T00:00:00"/>
    <x v="0"/>
    <x v="600"/>
    <x v="0"/>
    <x v="0"/>
    <x v="0"/>
    <x v="0"/>
    <x v="0"/>
    <x v="0"/>
  </r>
  <r>
    <n v="85242"/>
    <x v="14"/>
    <x v="4"/>
    <x v="142"/>
    <x v="2"/>
    <x v="600"/>
    <x v="3"/>
    <d v="2024-01-01T00:00:00"/>
    <d v="2024-01-15T00:00:00"/>
    <x v="0"/>
    <x v="601"/>
    <x v="0"/>
    <x v="0"/>
    <x v="0"/>
    <x v="0"/>
    <x v="0"/>
    <x v="0"/>
  </r>
  <r>
    <n v="24506"/>
    <x v="14"/>
    <x v="4"/>
    <x v="229"/>
    <x v="4"/>
    <x v="601"/>
    <x v="4"/>
    <d v="2024-11-29T00:00:00"/>
    <d v="2024-12-26T00:00:00"/>
    <x v="1"/>
    <x v="602"/>
    <x v="0"/>
    <x v="0"/>
    <x v="0"/>
    <x v="0"/>
    <x v="0"/>
    <x v="0"/>
  </r>
  <r>
    <n v="38091"/>
    <x v="2"/>
    <x v="1"/>
    <x v="351"/>
    <x v="1"/>
    <x v="602"/>
    <x v="3"/>
    <d v="2024-10-10T00:00:00"/>
    <d v="2024-11-01T00:00:00"/>
    <x v="1"/>
    <x v="603"/>
    <x v="0"/>
    <x v="0"/>
    <x v="0"/>
    <x v="0"/>
    <x v="0"/>
    <x v="1"/>
  </r>
  <r>
    <n v="77567"/>
    <x v="3"/>
    <x v="2"/>
    <x v="317"/>
    <x v="4"/>
    <x v="603"/>
    <x v="0"/>
    <d v="2024-03-08T00:00:00"/>
    <d v="2024-04-15T00:00:00"/>
    <x v="2"/>
    <x v="604"/>
    <x v="0"/>
    <x v="0"/>
    <x v="0"/>
    <x v="0"/>
    <x v="0"/>
    <x v="1"/>
  </r>
  <r>
    <n v="95961"/>
    <x v="16"/>
    <x v="3"/>
    <x v="67"/>
    <x v="2"/>
    <x v="604"/>
    <x v="4"/>
    <d v="2024-12-03T00:00:00"/>
    <d v="2024-12-25T00:00:00"/>
    <x v="2"/>
    <x v="605"/>
    <x v="0"/>
    <x v="0"/>
    <x v="0"/>
    <x v="0"/>
    <x v="0"/>
    <x v="0"/>
  </r>
  <r>
    <n v="19190"/>
    <x v="12"/>
    <x v="0"/>
    <x v="238"/>
    <x v="3"/>
    <x v="605"/>
    <x v="4"/>
    <d v="2024-07-21T00:00:00"/>
    <d v="2024-08-13T00:00:00"/>
    <x v="2"/>
    <x v="606"/>
    <x v="0"/>
    <x v="0"/>
    <x v="0"/>
    <x v="0"/>
    <x v="0"/>
    <x v="0"/>
  </r>
  <r>
    <n v="66759"/>
    <x v="7"/>
    <x v="3"/>
    <x v="92"/>
    <x v="2"/>
    <x v="606"/>
    <x v="0"/>
    <d v="2024-08-01T00:00:00"/>
    <d v="2024-08-28T00:00:00"/>
    <x v="2"/>
    <x v="607"/>
    <x v="0"/>
    <x v="0"/>
    <x v="0"/>
    <x v="0"/>
    <x v="0"/>
    <x v="0"/>
  </r>
  <r>
    <n v="23851"/>
    <x v="12"/>
    <x v="0"/>
    <x v="352"/>
    <x v="4"/>
    <x v="607"/>
    <x v="0"/>
    <d v="2024-10-15T00:00:00"/>
    <d v="2024-11-07T00:00:00"/>
    <x v="0"/>
    <x v="608"/>
    <x v="0"/>
    <x v="0"/>
    <x v="0"/>
    <x v="0"/>
    <x v="0"/>
    <x v="0"/>
  </r>
  <r>
    <n v="55349"/>
    <x v="8"/>
    <x v="1"/>
    <x v="353"/>
    <x v="0"/>
    <x v="608"/>
    <x v="4"/>
    <d v="2024-06-16T00:00:00"/>
    <d v="2024-07-06T00:00:00"/>
    <x v="2"/>
    <x v="609"/>
    <x v="0"/>
    <x v="0"/>
    <x v="0"/>
    <x v="0"/>
    <x v="0"/>
    <x v="0"/>
  </r>
  <r>
    <n v="73723"/>
    <x v="4"/>
    <x v="0"/>
    <x v="178"/>
    <x v="4"/>
    <x v="609"/>
    <x v="4"/>
    <d v="2024-06-21T00:00:00"/>
    <d v="2024-07-03T00:00:00"/>
    <x v="2"/>
    <x v="610"/>
    <x v="0"/>
    <x v="0"/>
    <x v="0"/>
    <x v="0"/>
    <x v="0"/>
    <x v="1"/>
  </r>
  <r>
    <n v="41658"/>
    <x v="16"/>
    <x v="3"/>
    <x v="170"/>
    <x v="2"/>
    <x v="610"/>
    <x v="0"/>
    <d v="2024-04-24T00:00:00"/>
    <d v="2024-05-21T00:00:00"/>
    <x v="1"/>
    <x v="611"/>
    <x v="0"/>
    <x v="0"/>
    <x v="0"/>
    <x v="0"/>
    <x v="0"/>
    <x v="0"/>
  </r>
  <r>
    <n v="44650"/>
    <x v="6"/>
    <x v="3"/>
    <x v="176"/>
    <x v="6"/>
    <x v="611"/>
    <x v="4"/>
    <d v="2024-11-08T00:00:00"/>
    <d v="2024-12-05T00:00:00"/>
    <x v="2"/>
    <x v="612"/>
    <x v="1"/>
    <x v="18"/>
    <x v="1"/>
    <x v="1"/>
    <x v="1"/>
    <x v="1"/>
  </r>
  <r>
    <n v="39320"/>
    <x v="3"/>
    <x v="2"/>
    <x v="354"/>
    <x v="0"/>
    <x v="612"/>
    <x v="4"/>
    <d v="2024-02-19T00:00:00"/>
    <d v="2024-03-14T00:00:00"/>
    <x v="0"/>
    <x v="613"/>
    <x v="0"/>
    <x v="0"/>
    <x v="0"/>
    <x v="0"/>
    <x v="0"/>
    <x v="0"/>
  </r>
  <r>
    <n v="86976"/>
    <x v="9"/>
    <x v="1"/>
    <x v="329"/>
    <x v="3"/>
    <x v="613"/>
    <x v="2"/>
    <d v="2024-10-27T00:00:00"/>
    <d v="2024-11-13T00:00:00"/>
    <x v="0"/>
    <x v="614"/>
    <x v="1"/>
    <x v="60"/>
    <x v="1"/>
    <x v="1"/>
    <x v="1"/>
    <x v="1"/>
  </r>
  <r>
    <n v="61448"/>
    <x v="7"/>
    <x v="3"/>
    <x v="19"/>
    <x v="4"/>
    <x v="614"/>
    <x v="4"/>
    <d v="2024-01-25T00:00:00"/>
    <d v="2024-02-04T00:00:00"/>
    <x v="2"/>
    <x v="615"/>
    <x v="0"/>
    <x v="0"/>
    <x v="0"/>
    <x v="0"/>
    <x v="0"/>
    <x v="0"/>
  </r>
  <r>
    <n v="81186"/>
    <x v="6"/>
    <x v="3"/>
    <x v="355"/>
    <x v="3"/>
    <x v="615"/>
    <x v="1"/>
    <d v="2024-12-20T00:00:00"/>
    <d v="2025-01-26T00:00:00"/>
    <x v="0"/>
    <x v="616"/>
    <x v="0"/>
    <x v="0"/>
    <x v="0"/>
    <x v="0"/>
    <x v="0"/>
    <x v="0"/>
  </r>
  <r>
    <n v="61628"/>
    <x v="0"/>
    <x v="0"/>
    <x v="195"/>
    <x v="1"/>
    <x v="616"/>
    <x v="3"/>
    <d v="2024-01-01T00:00:00"/>
    <d v="2024-01-30T00:00:00"/>
    <x v="2"/>
    <x v="617"/>
    <x v="0"/>
    <x v="0"/>
    <x v="0"/>
    <x v="0"/>
    <x v="0"/>
    <x v="0"/>
  </r>
  <r>
    <n v="63775"/>
    <x v="5"/>
    <x v="2"/>
    <x v="137"/>
    <x v="3"/>
    <x v="617"/>
    <x v="0"/>
    <d v="2024-07-29T00:00:00"/>
    <d v="2024-08-27T00:00:00"/>
    <x v="0"/>
    <x v="618"/>
    <x v="0"/>
    <x v="0"/>
    <x v="0"/>
    <x v="0"/>
    <x v="0"/>
    <x v="0"/>
  </r>
  <r>
    <n v="91441"/>
    <x v="2"/>
    <x v="1"/>
    <x v="356"/>
    <x v="2"/>
    <x v="618"/>
    <x v="3"/>
    <d v="2024-08-23T00:00:00"/>
    <d v="2024-09-14T00:00:00"/>
    <x v="0"/>
    <x v="619"/>
    <x v="0"/>
    <x v="0"/>
    <x v="0"/>
    <x v="0"/>
    <x v="0"/>
    <x v="0"/>
  </r>
  <r>
    <n v="76537"/>
    <x v="13"/>
    <x v="3"/>
    <x v="329"/>
    <x v="3"/>
    <x v="619"/>
    <x v="1"/>
    <d v="2024-12-26T00:00:00"/>
    <d v="2025-01-30T00:00:00"/>
    <x v="2"/>
    <x v="620"/>
    <x v="1"/>
    <x v="60"/>
    <x v="1"/>
    <x v="1"/>
    <x v="1"/>
    <x v="1"/>
  </r>
  <r>
    <n v="76727"/>
    <x v="2"/>
    <x v="1"/>
    <x v="357"/>
    <x v="4"/>
    <x v="620"/>
    <x v="3"/>
    <d v="2024-01-15T00:00:00"/>
    <d v="2024-01-23T00:00:00"/>
    <x v="0"/>
    <x v="621"/>
    <x v="0"/>
    <x v="0"/>
    <x v="0"/>
    <x v="0"/>
    <x v="0"/>
    <x v="0"/>
  </r>
  <r>
    <n v="13332"/>
    <x v="2"/>
    <x v="1"/>
    <x v="207"/>
    <x v="2"/>
    <x v="621"/>
    <x v="2"/>
    <d v="2024-04-08T00:00:00"/>
    <d v="2024-04-17T00:00:00"/>
    <x v="1"/>
    <x v="622"/>
    <x v="0"/>
    <x v="0"/>
    <x v="0"/>
    <x v="0"/>
    <x v="0"/>
    <x v="0"/>
  </r>
  <r>
    <n v="97134"/>
    <x v="15"/>
    <x v="4"/>
    <x v="347"/>
    <x v="1"/>
    <x v="622"/>
    <x v="3"/>
    <d v="2024-04-18T00:00:00"/>
    <d v="2024-05-02T00:00:00"/>
    <x v="1"/>
    <x v="623"/>
    <x v="0"/>
    <x v="0"/>
    <x v="0"/>
    <x v="0"/>
    <x v="0"/>
    <x v="0"/>
  </r>
  <r>
    <n v="68531"/>
    <x v="2"/>
    <x v="1"/>
    <x v="99"/>
    <x v="0"/>
    <x v="623"/>
    <x v="4"/>
    <d v="2024-10-24T00:00:00"/>
    <d v="2024-11-10T00:00:00"/>
    <x v="0"/>
    <x v="624"/>
    <x v="0"/>
    <x v="0"/>
    <x v="0"/>
    <x v="0"/>
    <x v="0"/>
    <x v="1"/>
  </r>
  <r>
    <n v="52598"/>
    <x v="14"/>
    <x v="4"/>
    <x v="247"/>
    <x v="6"/>
    <x v="624"/>
    <x v="4"/>
    <d v="2024-11-07T00:00:00"/>
    <d v="2024-12-04T00:00:00"/>
    <x v="1"/>
    <x v="625"/>
    <x v="0"/>
    <x v="0"/>
    <x v="0"/>
    <x v="0"/>
    <x v="0"/>
    <x v="1"/>
  </r>
  <r>
    <n v="10798"/>
    <x v="13"/>
    <x v="3"/>
    <x v="36"/>
    <x v="0"/>
    <x v="625"/>
    <x v="1"/>
    <d v="2024-08-10T00:00:00"/>
    <d v="2024-09-08T00:00:00"/>
    <x v="1"/>
    <x v="626"/>
    <x v="0"/>
    <x v="0"/>
    <x v="0"/>
    <x v="0"/>
    <x v="0"/>
    <x v="0"/>
  </r>
  <r>
    <n v="11129"/>
    <x v="8"/>
    <x v="1"/>
    <x v="185"/>
    <x v="2"/>
    <x v="626"/>
    <x v="0"/>
    <d v="2024-12-24T00:00:00"/>
    <d v="2025-01-25T00:00:00"/>
    <x v="2"/>
    <x v="627"/>
    <x v="0"/>
    <x v="0"/>
    <x v="0"/>
    <x v="0"/>
    <x v="0"/>
    <x v="0"/>
  </r>
  <r>
    <n v="49867"/>
    <x v="5"/>
    <x v="2"/>
    <x v="254"/>
    <x v="5"/>
    <x v="627"/>
    <x v="0"/>
    <d v="2024-11-20T00:00:00"/>
    <d v="2024-12-13T00:00:00"/>
    <x v="2"/>
    <x v="628"/>
    <x v="1"/>
    <x v="61"/>
    <x v="1"/>
    <x v="1"/>
    <x v="1"/>
    <x v="1"/>
  </r>
  <r>
    <n v="66240"/>
    <x v="9"/>
    <x v="1"/>
    <x v="358"/>
    <x v="4"/>
    <x v="628"/>
    <x v="0"/>
    <d v="2024-07-01T00:00:00"/>
    <d v="2024-07-19T00:00:00"/>
    <x v="2"/>
    <x v="629"/>
    <x v="0"/>
    <x v="0"/>
    <x v="0"/>
    <x v="0"/>
    <x v="0"/>
    <x v="0"/>
  </r>
  <r>
    <n v="46561"/>
    <x v="12"/>
    <x v="0"/>
    <x v="227"/>
    <x v="0"/>
    <x v="629"/>
    <x v="2"/>
    <d v="2024-05-23T00:00:00"/>
    <d v="2024-06-04T00:00:00"/>
    <x v="1"/>
    <x v="630"/>
    <x v="1"/>
    <x v="52"/>
    <x v="1"/>
    <x v="1"/>
    <x v="1"/>
    <x v="1"/>
  </r>
  <r>
    <n v="20785"/>
    <x v="14"/>
    <x v="4"/>
    <x v="279"/>
    <x v="1"/>
    <x v="630"/>
    <x v="2"/>
    <d v="2024-06-03T00:00:00"/>
    <d v="2024-06-17T00:00:00"/>
    <x v="0"/>
    <x v="631"/>
    <x v="0"/>
    <x v="0"/>
    <x v="0"/>
    <x v="0"/>
    <x v="0"/>
    <x v="1"/>
  </r>
  <r>
    <n v="86106"/>
    <x v="15"/>
    <x v="4"/>
    <x v="94"/>
    <x v="1"/>
    <x v="631"/>
    <x v="1"/>
    <d v="2024-12-02T00:00:00"/>
    <d v="2024-12-30T00:00:00"/>
    <x v="1"/>
    <x v="632"/>
    <x v="0"/>
    <x v="0"/>
    <x v="0"/>
    <x v="0"/>
    <x v="0"/>
    <x v="1"/>
  </r>
  <r>
    <n v="33474"/>
    <x v="5"/>
    <x v="2"/>
    <x v="359"/>
    <x v="4"/>
    <x v="632"/>
    <x v="1"/>
    <d v="2024-06-14T00:00:00"/>
    <d v="2024-07-02T00:00:00"/>
    <x v="0"/>
    <x v="633"/>
    <x v="0"/>
    <x v="0"/>
    <x v="0"/>
    <x v="0"/>
    <x v="0"/>
    <x v="0"/>
  </r>
  <r>
    <n v="12716"/>
    <x v="3"/>
    <x v="2"/>
    <x v="360"/>
    <x v="5"/>
    <x v="633"/>
    <x v="2"/>
    <d v="2024-04-18T00:00:00"/>
    <d v="2024-04-23T00:00:00"/>
    <x v="1"/>
    <x v="634"/>
    <x v="0"/>
    <x v="0"/>
    <x v="0"/>
    <x v="0"/>
    <x v="0"/>
    <x v="1"/>
  </r>
  <r>
    <n v="60906"/>
    <x v="3"/>
    <x v="2"/>
    <x v="41"/>
    <x v="1"/>
    <x v="634"/>
    <x v="2"/>
    <d v="2024-10-09T00:00:00"/>
    <d v="2024-10-14T00:00:00"/>
    <x v="1"/>
    <x v="635"/>
    <x v="0"/>
    <x v="0"/>
    <x v="0"/>
    <x v="0"/>
    <x v="0"/>
    <x v="0"/>
  </r>
  <r>
    <n v="21695"/>
    <x v="9"/>
    <x v="1"/>
    <x v="53"/>
    <x v="3"/>
    <x v="635"/>
    <x v="4"/>
    <d v="2024-06-26T00:00:00"/>
    <d v="2024-07-17T00:00:00"/>
    <x v="1"/>
    <x v="636"/>
    <x v="0"/>
    <x v="0"/>
    <x v="0"/>
    <x v="0"/>
    <x v="0"/>
    <x v="0"/>
  </r>
  <r>
    <n v="40480"/>
    <x v="12"/>
    <x v="0"/>
    <x v="125"/>
    <x v="0"/>
    <x v="636"/>
    <x v="2"/>
    <d v="2024-09-09T00:00:00"/>
    <d v="2024-10-14T00:00:00"/>
    <x v="1"/>
    <x v="637"/>
    <x v="0"/>
    <x v="0"/>
    <x v="0"/>
    <x v="0"/>
    <x v="0"/>
    <x v="0"/>
  </r>
  <r>
    <n v="47425"/>
    <x v="11"/>
    <x v="4"/>
    <x v="277"/>
    <x v="3"/>
    <x v="637"/>
    <x v="2"/>
    <d v="2024-03-10T00:00:00"/>
    <d v="2024-04-10T00:00:00"/>
    <x v="1"/>
    <x v="638"/>
    <x v="0"/>
    <x v="0"/>
    <x v="0"/>
    <x v="0"/>
    <x v="0"/>
    <x v="0"/>
  </r>
  <r>
    <n v="25581"/>
    <x v="5"/>
    <x v="2"/>
    <x v="284"/>
    <x v="1"/>
    <x v="638"/>
    <x v="2"/>
    <d v="2024-12-17T00:00:00"/>
    <d v="2025-01-22T00:00:00"/>
    <x v="0"/>
    <x v="639"/>
    <x v="1"/>
    <x v="38"/>
    <x v="1"/>
    <x v="1"/>
    <x v="1"/>
    <x v="1"/>
  </r>
  <r>
    <n v="33649"/>
    <x v="16"/>
    <x v="3"/>
    <x v="361"/>
    <x v="5"/>
    <x v="639"/>
    <x v="1"/>
    <d v="2024-11-29T00:00:00"/>
    <d v="2025-01-01T00:00:00"/>
    <x v="2"/>
    <x v="640"/>
    <x v="1"/>
    <x v="62"/>
    <x v="1"/>
    <x v="1"/>
    <x v="1"/>
    <x v="1"/>
  </r>
  <r>
    <n v="24645"/>
    <x v="6"/>
    <x v="3"/>
    <x v="362"/>
    <x v="1"/>
    <x v="640"/>
    <x v="1"/>
    <d v="2024-01-14T00:00:00"/>
    <d v="2024-01-26T00:00:00"/>
    <x v="0"/>
    <x v="641"/>
    <x v="0"/>
    <x v="0"/>
    <x v="0"/>
    <x v="0"/>
    <x v="0"/>
    <x v="0"/>
  </r>
  <r>
    <n v="24626"/>
    <x v="13"/>
    <x v="3"/>
    <x v="222"/>
    <x v="5"/>
    <x v="641"/>
    <x v="4"/>
    <d v="2024-03-25T00:00:00"/>
    <d v="2024-04-20T00:00:00"/>
    <x v="2"/>
    <x v="642"/>
    <x v="1"/>
    <x v="50"/>
    <x v="1"/>
    <x v="1"/>
    <x v="1"/>
    <x v="1"/>
  </r>
  <r>
    <n v="16054"/>
    <x v="14"/>
    <x v="4"/>
    <x v="363"/>
    <x v="2"/>
    <x v="642"/>
    <x v="1"/>
    <d v="2024-05-09T00:00:00"/>
    <d v="2024-05-17T00:00:00"/>
    <x v="2"/>
    <x v="643"/>
    <x v="0"/>
    <x v="0"/>
    <x v="0"/>
    <x v="0"/>
    <x v="0"/>
    <x v="0"/>
  </r>
  <r>
    <n v="76985"/>
    <x v="9"/>
    <x v="1"/>
    <x v="364"/>
    <x v="1"/>
    <x v="643"/>
    <x v="3"/>
    <d v="2024-01-16T00:00:00"/>
    <d v="2024-01-29T00:00:00"/>
    <x v="2"/>
    <x v="644"/>
    <x v="0"/>
    <x v="0"/>
    <x v="0"/>
    <x v="0"/>
    <x v="0"/>
    <x v="0"/>
  </r>
  <r>
    <n v="55212"/>
    <x v="9"/>
    <x v="1"/>
    <x v="212"/>
    <x v="5"/>
    <x v="644"/>
    <x v="0"/>
    <d v="2024-10-04T00:00:00"/>
    <d v="2024-11-11T00:00:00"/>
    <x v="2"/>
    <x v="645"/>
    <x v="1"/>
    <x v="32"/>
    <x v="1"/>
    <x v="1"/>
    <x v="1"/>
    <x v="1"/>
  </r>
  <r>
    <n v="21523"/>
    <x v="2"/>
    <x v="1"/>
    <x v="323"/>
    <x v="2"/>
    <x v="645"/>
    <x v="4"/>
    <d v="2024-01-01T00:00:00"/>
    <d v="2024-01-29T00:00:00"/>
    <x v="2"/>
    <x v="646"/>
    <x v="0"/>
    <x v="0"/>
    <x v="0"/>
    <x v="0"/>
    <x v="0"/>
    <x v="0"/>
  </r>
  <r>
    <n v="15583"/>
    <x v="3"/>
    <x v="2"/>
    <x v="119"/>
    <x v="2"/>
    <x v="646"/>
    <x v="1"/>
    <d v="2024-04-14T00:00:00"/>
    <d v="2024-04-24T00:00:00"/>
    <x v="1"/>
    <x v="647"/>
    <x v="0"/>
    <x v="0"/>
    <x v="0"/>
    <x v="0"/>
    <x v="0"/>
    <x v="1"/>
  </r>
  <r>
    <n v="81792"/>
    <x v="11"/>
    <x v="4"/>
    <x v="215"/>
    <x v="2"/>
    <x v="647"/>
    <x v="4"/>
    <d v="2024-01-18T00:00:00"/>
    <d v="2024-02-04T00:00:00"/>
    <x v="1"/>
    <x v="648"/>
    <x v="0"/>
    <x v="0"/>
    <x v="0"/>
    <x v="0"/>
    <x v="0"/>
    <x v="0"/>
  </r>
  <r>
    <n v="12809"/>
    <x v="13"/>
    <x v="3"/>
    <x v="229"/>
    <x v="6"/>
    <x v="648"/>
    <x v="1"/>
    <d v="2024-06-30T00:00:00"/>
    <d v="2024-08-03T00:00:00"/>
    <x v="2"/>
    <x v="649"/>
    <x v="0"/>
    <x v="0"/>
    <x v="0"/>
    <x v="0"/>
    <x v="0"/>
    <x v="0"/>
  </r>
  <r>
    <n v="47333"/>
    <x v="12"/>
    <x v="0"/>
    <x v="365"/>
    <x v="3"/>
    <x v="649"/>
    <x v="1"/>
    <d v="2024-10-22T00:00:00"/>
    <d v="2024-11-01T00:00:00"/>
    <x v="0"/>
    <x v="650"/>
    <x v="0"/>
    <x v="0"/>
    <x v="0"/>
    <x v="0"/>
    <x v="0"/>
    <x v="1"/>
  </r>
  <r>
    <n v="72894"/>
    <x v="4"/>
    <x v="0"/>
    <x v="118"/>
    <x v="4"/>
    <x v="650"/>
    <x v="2"/>
    <d v="2024-10-11T00:00:00"/>
    <d v="2024-11-05T00:00:00"/>
    <x v="2"/>
    <x v="651"/>
    <x v="0"/>
    <x v="0"/>
    <x v="0"/>
    <x v="0"/>
    <x v="0"/>
    <x v="0"/>
  </r>
  <r>
    <n v="58821"/>
    <x v="3"/>
    <x v="2"/>
    <x v="366"/>
    <x v="4"/>
    <x v="651"/>
    <x v="3"/>
    <d v="2024-11-23T00:00:00"/>
    <d v="2024-11-28T00:00:00"/>
    <x v="0"/>
    <x v="652"/>
    <x v="0"/>
    <x v="0"/>
    <x v="0"/>
    <x v="0"/>
    <x v="0"/>
    <x v="0"/>
  </r>
  <r>
    <n v="88812"/>
    <x v="5"/>
    <x v="2"/>
    <x v="98"/>
    <x v="2"/>
    <x v="652"/>
    <x v="0"/>
    <d v="2024-04-08T00:00:00"/>
    <d v="2024-05-12T00:00:00"/>
    <x v="2"/>
    <x v="653"/>
    <x v="0"/>
    <x v="0"/>
    <x v="0"/>
    <x v="0"/>
    <x v="0"/>
    <x v="0"/>
  </r>
  <r>
    <n v="77695"/>
    <x v="6"/>
    <x v="3"/>
    <x v="151"/>
    <x v="3"/>
    <x v="653"/>
    <x v="1"/>
    <d v="2024-01-31T00:00:00"/>
    <d v="2024-03-05T00:00:00"/>
    <x v="1"/>
    <x v="654"/>
    <x v="0"/>
    <x v="0"/>
    <x v="0"/>
    <x v="0"/>
    <x v="0"/>
    <x v="0"/>
  </r>
  <r>
    <n v="38610"/>
    <x v="14"/>
    <x v="4"/>
    <x v="367"/>
    <x v="5"/>
    <x v="412"/>
    <x v="0"/>
    <d v="2024-07-25T00:00:00"/>
    <d v="2024-08-20T00:00:00"/>
    <x v="0"/>
    <x v="655"/>
    <x v="0"/>
    <x v="0"/>
    <x v="0"/>
    <x v="0"/>
    <x v="0"/>
    <x v="1"/>
  </r>
  <r>
    <n v="70892"/>
    <x v="4"/>
    <x v="0"/>
    <x v="368"/>
    <x v="3"/>
    <x v="654"/>
    <x v="4"/>
    <d v="2024-11-03T00:00:00"/>
    <d v="2024-11-28T00:00:00"/>
    <x v="0"/>
    <x v="656"/>
    <x v="0"/>
    <x v="0"/>
    <x v="0"/>
    <x v="0"/>
    <x v="0"/>
    <x v="0"/>
  </r>
  <r>
    <n v="12895"/>
    <x v="10"/>
    <x v="2"/>
    <x v="369"/>
    <x v="1"/>
    <x v="655"/>
    <x v="2"/>
    <d v="2024-03-01T00:00:00"/>
    <d v="2024-03-31T00:00:00"/>
    <x v="0"/>
    <x v="657"/>
    <x v="0"/>
    <x v="0"/>
    <x v="0"/>
    <x v="0"/>
    <x v="0"/>
    <x v="1"/>
  </r>
  <r>
    <n v="95382"/>
    <x v="4"/>
    <x v="0"/>
    <x v="211"/>
    <x v="0"/>
    <x v="656"/>
    <x v="2"/>
    <d v="2024-07-05T00:00:00"/>
    <d v="2024-08-01T00:00:00"/>
    <x v="0"/>
    <x v="658"/>
    <x v="0"/>
    <x v="0"/>
    <x v="0"/>
    <x v="0"/>
    <x v="0"/>
    <x v="0"/>
  </r>
  <r>
    <n v="88863"/>
    <x v="12"/>
    <x v="0"/>
    <x v="370"/>
    <x v="5"/>
    <x v="657"/>
    <x v="0"/>
    <d v="2024-07-24T00:00:00"/>
    <d v="2024-08-11T00:00:00"/>
    <x v="2"/>
    <x v="659"/>
    <x v="0"/>
    <x v="0"/>
    <x v="0"/>
    <x v="0"/>
    <x v="0"/>
    <x v="1"/>
  </r>
  <r>
    <n v="53880"/>
    <x v="11"/>
    <x v="4"/>
    <x v="268"/>
    <x v="2"/>
    <x v="658"/>
    <x v="2"/>
    <d v="2024-11-21T00:00:00"/>
    <d v="2024-12-17T00:00:00"/>
    <x v="0"/>
    <x v="660"/>
    <x v="0"/>
    <x v="0"/>
    <x v="0"/>
    <x v="0"/>
    <x v="0"/>
    <x v="0"/>
  </r>
  <r>
    <n v="80934"/>
    <x v="13"/>
    <x v="3"/>
    <x v="366"/>
    <x v="0"/>
    <x v="659"/>
    <x v="1"/>
    <d v="2024-02-14T00:00:00"/>
    <d v="2024-03-22T00:00:00"/>
    <x v="0"/>
    <x v="661"/>
    <x v="0"/>
    <x v="0"/>
    <x v="0"/>
    <x v="0"/>
    <x v="0"/>
    <x v="0"/>
  </r>
  <r>
    <n v="89737"/>
    <x v="12"/>
    <x v="0"/>
    <x v="160"/>
    <x v="2"/>
    <x v="660"/>
    <x v="3"/>
    <d v="2024-04-18T00:00:00"/>
    <d v="2024-05-19T00:00:00"/>
    <x v="1"/>
    <x v="662"/>
    <x v="0"/>
    <x v="0"/>
    <x v="0"/>
    <x v="0"/>
    <x v="0"/>
    <x v="0"/>
  </r>
  <r>
    <n v="73656"/>
    <x v="13"/>
    <x v="3"/>
    <x v="45"/>
    <x v="6"/>
    <x v="661"/>
    <x v="3"/>
    <d v="2024-02-03T00:00:00"/>
    <d v="2024-03-11T00:00:00"/>
    <x v="1"/>
    <x v="663"/>
    <x v="1"/>
    <x v="3"/>
    <x v="1"/>
    <x v="1"/>
    <x v="1"/>
    <x v="1"/>
  </r>
  <r>
    <n v="30028"/>
    <x v="5"/>
    <x v="2"/>
    <x v="202"/>
    <x v="6"/>
    <x v="662"/>
    <x v="2"/>
    <d v="2024-04-14T00:00:00"/>
    <d v="2024-04-19T00:00:00"/>
    <x v="2"/>
    <x v="664"/>
    <x v="1"/>
    <x v="63"/>
    <x v="1"/>
    <x v="1"/>
    <x v="1"/>
    <x v="1"/>
  </r>
  <r>
    <n v="21360"/>
    <x v="15"/>
    <x v="4"/>
    <x v="371"/>
    <x v="3"/>
    <x v="663"/>
    <x v="1"/>
    <d v="2024-05-05T00:00:00"/>
    <d v="2024-05-26T00:00:00"/>
    <x v="1"/>
    <x v="665"/>
    <x v="0"/>
    <x v="0"/>
    <x v="0"/>
    <x v="0"/>
    <x v="0"/>
    <x v="1"/>
  </r>
  <r>
    <n v="70942"/>
    <x v="15"/>
    <x v="4"/>
    <x v="372"/>
    <x v="4"/>
    <x v="664"/>
    <x v="0"/>
    <d v="2024-02-10T00:00:00"/>
    <d v="2024-03-17T00:00:00"/>
    <x v="0"/>
    <x v="666"/>
    <x v="0"/>
    <x v="0"/>
    <x v="0"/>
    <x v="0"/>
    <x v="0"/>
    <x v="0"/>
  </r>
  <r>
    <n v="25630"/>
    <x v="5"/>
    <x v="2"/>
    <x v="158"/>
    <x v="3"/>
    <x v="665"/>
    <x v="3"/>
    <d v="2024-04-23T00:00:00"/>
    <d v="2024-05-04T00:00:00"/>
    <x v="1"/>
    <x v="667"/>
    <x v="0"/>
    <x v="0"/>
    <x v="0"/>
    <x v="0"/>
    <x v="0"/>
    <x v="0"/>
  </r>
  <r>
    <n v="55156"/>
    <x v="4"/>
    <x v="0"/>
    <x v="373"/>
    <x v="3"/>
    <x v="666"/>
    <x v="0"/>
    <d v="2024-03-14T00:00:00"/>
    <d v="2024-04-12T00:00:00"/>
    <x v="0"/>
    <x v="668"/>
    <x v="0"/>
    <x v="0"/>
    <x v="0"/>
    <x v="0"/>
    <x v="0"/>
    <x v="0"/>
  </r>
  <r>
    <n v="80456"/>
    <x v="8"/>
    <x v="1"/>
    <x v="195"/>
    <x v="5"/>
    <x v="667"/>
    <x v="1"/>
    <d v="2024-05-24T00:00:00"/>
    <d v="2024-06-21T00:00:00"/>
    <x v="0"/>
    <x v="669"/>
    <x v="0"/>
    <x v="0"/>
    <x v="0"/>
    <x v="0"/>
    <x v="0"/>
    <x v="0"/>
  </r>
  <r>
    <n v="71607"/>
    <x v="4"/>
    <x v="0"/>
    <x v="215"/>
    <x v="2"/>
    <x v="668"/>
    <x v="1"/>
    <d v="2024-09-29T00:00:00"/>
    <d v="2024-11-02T00:00:00"/>
    <x v="1"/>
    <x v="670"/>
    <x v="0"/>
    <x v="0"/>
    <x v="0"/>
    <x v="0"/>
    <x v="0"/>
    <x v="0"/>
  </r>
  <r>
    <n v="89401"/>
    <x v="16"/>
    <x v="3"/>
    <x v="6"/>
    <x v="6"/>
    <x v="669"/>
    <x v="2"/>
    <d v="2024-03-14T00:00:00"/>
    <d v="2024-04-04T00:00:00"/>
    <x v="0"/>
    <x v="671"/>
    <x v="0"/>
    <x v="0"/>
    <x v="0"/>
    <x v="0"/>
    <x v="0"/>
    <x v="1"/>
  </r>
  <r>
    <n v="33889"/>
    <x v="13"/>
    <x v="3"/>
    <x v="285"/>
    <x v="2"/>
    <x v="670"/>
    <x v="0"/>
    <d v="2024-06-05T00:00:00"/>
    <d v="2024-07-10T00:00:00"/>
    <x v="1"/>
    <x v="672"/>
    <x v="1"/>
    <x v="64"/>
    <x v="1"/>
    <x v="1"/>
    <x v="1"/>
    <x v="1"/>
  </r>
  <r>
    <n v="62057"/>
    <x v="10"/>
    <x v="2"/>
    <x v="213"/>
    <x v="6"/>
    <x v="671"/>
    <x v="2"/>
    <d v="2024-09-03T00:00:00"/>
    <d v="2024-09-26T00:00:00"/>
    <x v="2"/>
    <x v="673"/>
    <x v="0"/>
    <x v="0"/>
    <x v="0"/>
    <x v="0"/>
    <x v="0"/>
    <x v="1"/>
  </r>
  <r>
    <n v="28100"/>
    <x v="2"/>
    <x v="1"/>
    <x v="214"/>
    <x v="5"/>
    <x v="672"/>
    <x v="0"/>
    <d v="2024-12-03T00:00:00"/>
    <d v="2025-01-08T00:00:00"/>
    <x v="2"/>
    <x v="674"/>
    <x v="0"/>
    <x v="0"/>
    <x v="0"/>
    <x v="0"/>
    <x v="0"/>
    <x v="1"/>
  </r>
  <r>
    <n v="48762"/>
    <x v="2"/>
    <x v="1"/>
    <x v="252"/>
    <x v="2"/>
    <x v="673"/>
    <x v="3"/>
    <d v="2024-03-16T00:00:00"/>
    <d v="2024-03-23T00:00:00"/>
    <x v="1"/>
    <x v="675"/>
    <x v="0"/>
    <x v="0"/>
    <x v="0"/>
    <x v="0"/>
    <x v="0"/>
    <x v="0"/>
  </r>
  <r>
    <n v="84797"/>
    <x v="15"/>
    <x v="4"/>
    <x v="320"/>
    <x v="4"/>
    <x v="674"/>
    <x v="2"/>
    <d v="2024-04-27T00:00:00"/>
    <d v="2024-05-08T00:00:00"/>
    <x v="0"/>
    <x v="676"/>
    <x v="0"/>
    <x v="0"/>
    <x v="0"/>
    <x v="0"/>
    <x v="0"/>
    <x v="0"/>
  </r>
  <r>
    <n v="13228"/>
    <x v="8"/>
    <x v="1"/>
    <x v="156"/>
    <x v="3"/>
    <x v="675"/>
    <x v="2"/>
    <d v="2024-05-23T00:00:00"/>
    <d v="2024-06-04T00:00:00"/>
    <x v="2"/>
    <x v="677"/>
    <x v="1"/>
    <x v="48"/>
    <x v="1"/>
    <x v="1"/>
    <x v="1"/>
    <x v="1"/>
  </r>
  <r>
    <n v="55254"/>
    <x v="1"/>
    <x v="0"/>
    <x v="365"/>
    <x v="2"/>
    <x v="676"/>
    <x v="3"/>
    <d v="2024-06-02T00:00:00"/>
    <d v="2024-07-02T00:00:00"/>
    <x v="2"/>
    <x v="678"/>
    <x v="0"/>
    <x v="0"/>
    <x v="0"/>
    <x v="0"/>
    <x v="0"/>
    <x v="0"/>
  </r>
  <r>
    <n v="61658"/>
    <x v="8"/>
    <x v="1"/>
    <x v="84"/>
    <x v="6"/>
    <x v="677"/>
    <x v="1"/>
    <d v="2024-03-08T00:00:00"/>
    <d v="2024-04-07T00:00:00"/>
    <x v="2"/>
    <x v="679"/>
    <x v="0"/>
    <x v="0"/>
    <x v="0"/>
    <x v="0"/>
    <x v="0"/>
    <x v="1"/>
  </r>
  <r>
    <n v="36327"/>
    <x v="4"/>
    <x v="0"/>
    <x v="374"/>
    <x v="4"/>
    <x v="678"/>
    <x v="1"/>
    <d v="2024-09-25T00:00:00"/>
    <d v="2024-10-13T00:00:00"/>
    <x v="2"/>
    <x v="680"/>
    <x v="1"/>
    <x v="6"/>
    <x v="1"/>
    <x v="1"/>
    <x v="1"/>
    <x v="1"/>
  </r>
  <r>
    <n v="98150"/>
    <x v="7"/>
    <x v="3"/>
    <x v="27"/>
    <x v="4"/>
    <x v="679"/>
    <x v="4"/>
    <d v="2024-08-21T00:00:00"/>
    <d v="2024-09-03T00:00:00"/>
    <x v="1"/>
    <x v="681"/>
    <x v="0"/>
    <x v="0"/>
    <x v="0"/>
    <x v="0"/>
    <x v="0"/>
    <x v="0"/>
  </r>
  <r>
    <n v="91163"/>
    <x v="2"/>
    <x v="1"/>
    <x v="27"/>
    <x v="4"/>
    <x v="680"/>
    <x v="1"/>
    <d v="2024-10-02T00:00:00"/>
    <d v="2024-10-09T00:00:00"/>
    <x v="2"/>
    <x v="682"/>
    <x v="0"/>
    <x v="0"/>
    <x v="0"/>
    <x v="0"/>
    <x v="0"/>
    <x v="0"/>
  </r>
  <r>
    <n v="13089"/>
    <x v="5"/>
    <x v="2"/>
    <x v="375"/>
    <x v="1"/>
    <x v="681"/>
    <x v="2"/>
    <d v="2024-07-10T00:00:00"/>
    <d v="2024-08-05T00:00:00"/>
    <x v="1"/>
    <x v="683"/>
    <x v="1"/>
    <x v="65"/>
    <x v="1"/>
    <x v="1"/>
    <x v="1"/>
    <x v="1"/>
  </r>
  <r>
    <n v="99242"/>
    <x v="6"/>
    <x v="3"/>
    <x v="209"/>
    <x v="6"/>
    <x v="682"/>
    <x v="4"/>
    <d v="2024-01-19T00:00:00"/>
    <d v="2024-01-29T00:00:00"/>
    <x v="1"/>
    <x v="684"/>
    <x v="0"/>
    <x v="0"/>
    <x v="0"/>
    <x v="0"/>
    <x v="0"/>
    <x v="0"/>
  </r>
  <r>
    <n v="22665"/>
    <x v="7"/>
    <x v="3"/>
    <x v="262"/>
    <x v="0"/>
    <x v="683"/>
    <x v="4"/>
    <d v="2024-05-22T00:00:00"/>
    <d v="2024-05-29T00:00:00"/>
    <x v="1"/>
    <x v="685"/>
    <x v="0"/>
    <x v="0"/>
    <x v="0"/>
    <x v="0"/>
    <x v="0"/>
    <x v="0"/>
  </r>
  <r>
    <n v="76708"/>
    <x v="16"/>
    <x v="3"/>
    <x v="376"/>
    <x v="6"/>
    <x v="329"/>
    <x v="3"/>
    <d v="2024-01-17T00:00:00"/>
    <d v="2024-02-16T00:00:00"/>
    <x v="1"/>
    <x v="686"/>
    <x v="1"/>
    <x v="66"/>
    <x v="1"/>
    <x v="1"/>
    <x v="1"/>
    <x v="1"/>
  </r>
  <r>
    <n v="95643"/>
    <x v="14"/>
    <x v="4"/>
    <x v="45"/>
    <x v="6"/>
    <x v="684"/>
    <x v="2"/>
    <d v="2024-01-14T00:00:00"/>
    <d v="2024-01-28T00:00:00"/>
    <x v="1"/>
    <x v="687"/>
    <x v="1"/>
    <x v="3"/>
    <x v="1"/>
    <x v="1"/>
    <x v="1"/>
    <x v="1"/>
  </r>
  <r>
    <n v="40825"/>
    <x v="14"/>
    <x v="4"/>
    <x v="377"/>
    <x v="3"/>
    <x v="685"/>
    <x v="4"/>
    <d v="2024-08-10T00:00:00"/>
    <d v="2024-08-15T00:00:00"/>
    <x v="2"/>
    <x v="688"/>
    <x v="1"/>
    <x v="28"/>
    <x v="1"/>
    <x v="1"/>
    <x v="1"/>
    <x v="1"/>
  </r>
  <r>
    <n v="60017"/>
    <x v="2"/>
    <x v="1"/>
    <x v="67"/>
    <x v="0"/>
    <x v="686"/>
    <x v="4"/>
    <d v="2024-03-21T00:00:00"/>
    <d v="2024-04-04T00:00:00"/>
    <x v="1"/>
    <x v="689"/>
    <x v="0"/>
    <x v="0"/>
    <x v="0"/>
    <x v="0"/>
    <x v="0"/>
    <x v="0"/>
  </r>
  <r>
    <n v="26121"/>
    <x v="3"/>
    <x v="2"/>
    <x v="61"/>
    <x v="6"/>
    <x v="687"/>
    <x v="0"/>
    <d v="2024-01-02T00:00:00"/>
    <d v="2024-01-14T00:00:00"/>
    <x v="0"/>
    <x v="690"/>
    <x v="0"/>
    <x v="0"/>
    <x v="0"/>
    <x v="0"/>
    <x v="0"/>
    <x v="1"/>
  </r>
  <r>
    <n v="20492"/>
    <x v="4"/>
    <x v="0"/>
    <x v="378"/>
    <x v="4"/>
    <x v="688"/>
    <x v="1"/>
    <d v="2024-10-18T00:00:00"/>
    <d v="2024-11-20T00:00:00"/>
    <x v="0"/>
    <x v="691"/>
    <x v="0"/>
    <x v="0"/>
    <x v="0"/>
    <x v="0"/>
    <x v="0"/>
    <x v="0"/>
  </r>
  <r>
    <n v="41624"/>
    <x v="7"/>
    <x v="3"/>
    <x v="379"/>
    <x v="5"/>
    <x v="689"/>
    <x v="3"/>
    <d v="2024-08-03T00:00:00"/>
    <d v="2024-08-30T00:00:00"/>
    <x v="2"/>
    <x v="692"/>
    <x v="0"/>
    <x v="0"/>
    <x v="0"/>
    <x v="0"/>
    <x v="0"/>
    <x v="0"/>
  </r>
  <r>
    <n v="73753"/>
    <x v="7"/>
    <x v="3"/>
    <x v="120"/>
    <x v="4"/>
    <x v="690"/>
    <x v="4"/>
    <d v="2024-05-24T00:00:00"/>
    <d v="2024-06-21T00:00:00"/>
    <x v="2"/>
    <x v="693"/>
    <x v="0"/>
    <x v="0"/>
    <x v="0"/>
    <x v="0"/>
    <x v="0"/>
    <x v="1"/>
  </r>
  <r>
    <n v="96840"/>
    <x v="16"/>
    <x v="3"/>
    <x v="380"/>
    <x v="6"/>
    <x v="691"/>
    <x v="2"/>
    <d v="2024-01-18T00:00:00"/>
    <d v="2024-02-19T00:00:00"/>
    <x v="2"/>
    <x v="694"/>
    <x v="0"/>
    <x v="0"/>
    <x v="0"/>
    <x v="0"/>
    <x v="0"/>
    <x v="1"/>
  </r>
  <r>
    <n v="34600"/>
    <x v="5"/>
    <x v="2"/>
    <x v="228"/>
    <x v="2"/>
    <x v="692"/>
    <x v="0"/>
    <d v="2024-02-01T00:00:00"/>
    <d v="2024-03-02T00:00:00"/>
    <x v="1"/>
    <x v="695"/>
    <x v="0"/>
    <x v="0"/>
    <x v="0"/>
    <x v="0"/>
    <x v="0"/>
    <x v="0"/>
  </r>
  <r>
    <n v="23543"/>
    <x v="14"/>
    <x v="4"/>
    <x v="381"/>
    <x v="5"/>
    <x v="693"/>
    <x v="3"/>
    <d v="2024-10-13T00:00:00"/>
    <d v="2024-10-24T00:00:00"/>
    <x v="0"/>
    <x v="696"/>
    <x v="0"/>
    <x v="0"/>
    <x v="0"/>
    <x v="0"/>
    <x v="0"/>
    <x v="1"/>
  </r>
  <r>
    <n v="96450"/>
    <x v="11"/>
    <x v="4"/>
    <x v="294"/>
    <x v="2"/>
    <x v="694"/>
    <x v="1"/>
    <d v="2024-03-24T00:00:00"/>
    <d v="2024-05-02T00:00:00"/>
    <x v="0"/>
    <x v="697"/>
    <x v="0"/>
    <x v="0"/>
    <x v="0"/>
    <x v="0"/>
    <x v="0"/>
    <x v="0"/>
  </r>
  <r>
    <n v="34918"/>
    <x v="11"/>
    <x v="4"/>
    <x v="345"/>
    <x v="1"/>
    <x v="695"/>
    <x v="2"/>
    <d v="2024-11-04T00:00:00"/>
    <d v="2024-11-18T00:00:00"/>
    <x v="0"/>
    <x v="698"/>
    <x v="0"/>
    <x v="0"/>
    <x v="0"/>
    <x v="0"/>
    <x v="0"/>
    <x v="0"/>
  </r>
  <r>
    <n v="91731"/>
    <x v="5"/>
    <x v="2"/>
    <x v="257"/>
    <x v="3"/>
    <x v="696"/>
    <x v="1"/>
    <d v="2024-01-13T00:00:00"/>
    <d v="2024-02-11T00:00:00"/>
    <x v="1"/>
    <x v="699"/>
    <x v="0"/>
    <x v="0"/>
    <x v="0"/>
    <x v="0"/>
    <x v="0"/>
    <x v="0"/>
  </r>
  <r>
    <n v="78416"/>
    <x v="14"/>
    <x v="4"/>
    <x v="210"/>
    <x v="0"/>
    <x v="697"/>
    <x v="2"/>
    <d v="2024-09-07T00:00:00"/>
    <d v="2024-09-27T00:00:00"/>
    <x v="2"/>
    <x v="700"/>
    <x v="0"/>
    <x v="0"/>
    <x v="0"/>
    <x v="0"/>
    <x v="0"/>
    <x v="0"/>
  </r>
  <r>
    <n v="97453"/>
    <x v="16"/>
    <x v="3"/>
    <x v="350"/>
    <x v="3"/>
    <x v="698"/>
    <x v="4"/>
    <d v="2024-01-05T00:00:00"/>
    <d v="2024-02-04T00:00:00"/>
    <x v="1"/>
    <x v="701"/>
    <x v="0"/>
    <x v="0"/>
    <x v="0"/>
    <x v="0"/>
    <x v="0"/>
    <x v="0"/>
  </r>
  <r>
    <n v="70289"/>
    <x v="6"/>
    <x v="3"/>
    <x v="371"/>
    <x v="0"/>
    <x v="699"/>
    <x v="0"/>
    <d v="2024-09-11T00:00:00"/>
    <d v="2024-09-27T00:00:00"/>
    <x v="2"/>
    <x v="702"/>
    <x v="0"/>
    <x v="0"/>
    <x v="0"/>
    <x v="0"/>
    <x v="0"/>
    <x v="1"/>
  </r>
  <r>
    <n v="62311"/>
    <x v="16"/>
    <x v="3"/>
    <x v="382"/>
    <x v="4"/>
    <x v="700"/>
    <x v="2"/>
    <d v="2024-10-08T00:00:00"/>
    <d v="2024-11-07T00:00:00"/>
    <x v="1"/>
    <x v="703"/>
    <x v="0"/>
    <x v="0"/>
    <x v="0"/>
    <x v="0"/>
    <x v="0"/>
    <x v="0"/>
  </r>
  <r>
    <n v="87129"/>
    <x v="0"/>
    <x v="0"/>
    <x v="202"/>
    <x v="6"/>
    <x v="701"/>
    <x v="2"/>
    <d v="2024-01-05T00:00:00"/>
    <d v="2024-01-20T00:00:00"/>
    <x v="0"/>
    <x v="704"/>
    <x v="1"/>
    <x v="63"/>
    <x v="1"/>
    <x v="1"/>
    <x v="1"/>
    <x v="1"/>
  </r>
  <r>
    <n v="39087"/>
    <x v="8"/>
    <x v="1"/>
    <x v="105"/>
    <x v="3"/>
    <x v="702"/>
    <x v="0"/>
    <d v="2024-09-04T00:00:00"/>
    <d v="2024-09-15T00:00:00"/>
    <x v="1"/>
    <x v="705"/>
    <x v="0"/>
    <x v="0"/>
    <x v="0"/>
    <x v="0"/>
    <x v="0"/>
    <x v="0"/>
  </r>
  <r>
    <n v="96436"/>
    <x v="0"/>
    <x v="0"/>
    <x v="366"/>
    <x v="2"/>
    <x v="703"/>
    <x v="4"/>
    <d v="2024-04-17T00:00:00"/>
    <d v="2024-05-17T00:00:00"/>
    <x v="0"/>
    <x v="706"/>
    <x v="0"/>
    <x v="0"/>
    <x v="0"/>
    <x v="0"/>
    <x v="0"/>
    <x v="0"/>
  </r>
  <r>
    <n v="43757"/>
    <x v="16"/>
    <x v="3"/>
    <x v="343"/>
    <x v="0"/>
    <x v="704"/>
    <x v="4"/>
    <d v="2024-05-30T00:00:00"/>
    <d v="2024-06-19T00:00:00"/>
    <x v="1"/>
    <x v="707"/>
    <x v="0"/>
    <x v="0"/>
    <x v="0"/>
    <x v="0"/>
    <x v="0"/>
    <x v="0"/>
  </r>
  <r>
    <n v="30836"/>
    <x v="1"/>
    <x v="0"/>
    <x v="297"/>
    <x v="6"/>
    <x v="705"/>
    <x v="3"/>
    <d v="2024-10-26T00:00:00"/>
    <d v="2024-11-11T00:00:00"/>
    <x v="0"/>
    <x v="708"/>
    <x v="0"/>
    <x v="0"/>
    <x v="0"/>
    <x v="0"/>
    <x v="0"/>
    <x v="1"/>
  </r>
  <r>
    <n v="37105"/>
    <x v="0"/>
    <x v="0"/>
    <x v="26"/>
    <x v="4"/>
    <x v="706"/>
    <x v="1"/>
    <d v="2024-11-07T00:00:00"/>
    <d v="2024-12-16T00:00:00"/>
    <x v="0"/>
    <x v="709"/>
    <x v="0"/>
    <x v="0"/>
    <x v="0"/>
    <x v="0"/>
    <x v="0"/>
    <x v="0"/>
  </r>
  <r>
    <n v="92464"/>
    <x v="14"/>
    <x v="4"/>
    <x v="327"/>
    <x v="3"/>
    <x v="707"/>
    <x v="3"/>
    <d v="2024-02-11T00:00:00"/>
    <d v="2024-02-19T00:00:00"/>
    <x v="0"/>
    <x v="710"/>
    <x v="0"/>
    <x v="0"/>
    <x v="0"/>
    <x v="0"/>
    <x v="0"/>
    <x v="0"/>
  </r>
  <r>
    <n v="79202"/>
    <x v="5"/>
    <x v="2"/>
    <x v="12"/>
    <x v="2"/>
    <x v="708"/>
    <x v="0"/>
    <d v="2024-09-17T00:00:00"/>
    <d v="2024-10-20T00:00:00"/>
    <x v="2"/>
    <x v="711"/>
    <x v="0"/>
    <x v="0"/>
    <x v="0"/>
    <x v="0"/>
    <x v="0"/>
    <x v="0"/>
  </r>
  <r>
    <n v="29403"/>
    <x v="4"/>
    <x v="0"/>
    <x v="308"/>
    <x v="6"/>
    <x v="709"/>
    <x v="1"/>
    <d v="2024-10-18T00:00:00"/>
    <d v="2024-11-16T00:00:00"/>
    <x v="0"/>
    <x v="712"/>
    <x v="1"/>
    <x v="51"/>
    <x v="1"/>
    <x v="1"/>
    <x v="1"/>
    <x v="1"/>
  </r>
  <r>
    <n v="44765"/>
    <x v="10"/>
    <x v="2"/>
    <x v="383"/>
    <x v="1"/>
    <x v="710"/>
    <x v="2"/>
    <d v="2024-03-03T00:00:00"/>
    <d v="2024-04-10T00:00:00"/>
    <x v="0"/>
    <x v="713"/>
    <x v="1"/>
    <x v="53"/>
    <x v="1"/>
    <x v="1"/>
    <x v="1"/>
    <x v="1"/>
  </r>
  <r>
    <n v="82267"/>
    <x v="9"/>
    <x v="1"/>
    <x v="384"/>
    <x v="3"/>
    <x v="711"/>
    <x v="2"/>
    <d v="2024-06-18T00:00:00"/>
    <d v="2024-07-08T00:00:00"/>
    <x v="0"/>
    <x v="714"/>
    <x v="0"/>
    <x v="0"/>
    <x v="0"/>
    <x v="0"/>
    <x v="0"/>
    <x v="0"/>
  </r>
  <r>
    <n v="14951"/>
    <x v="11"/>
    <x v="4"/>
    <x v="58"/>
    <x v="6"/>
    <x v="712"/>
    <x v="0"/>
    <d v="2024-09-29T00:00:00"/>
    <d v="2024-10-30T00:00:00"/>
    <x v="2"/>
    <x v="62"/>
    <x v="1"/>
    <x v="67"/>
    <x v="1"/>
    <x v="1"/>
    <x v="1"/>
    <x v="1"/>
  </r>
  <r>
    <n v="84160"/>
    <x v="11"/>
    <x v="4"/>
    <x v="311"/>
    <x v="3"/>
    <x v="713"/>
    <x v="0"/>
    <d v="2024-10-20T00:00:00"/>
    <d v="2024-11-16T00:00:00"/>
    <x v="0"/>
    <x v="715"/>
    <x v="0"/>
    <x v="0"/>
    <x v="0"/>
    <x v="0"/>
    <x v="0"/>
    <x v="0"/>
  </r>
  <r>
    <n v="70654"/>
    <x v="12"/>
    <x v="0"/>
    <x v="110"/>
    <x v="3"/>
    <x v="714"/>
    <x v="0"/>
    <d v="2024-08-19T00:00:00"/>
    <d v="2024-09-23T00:00:00"/>
    <x v="1"/>
    <x v="716"/>
    <x v="0"/>
    <x v="0"/>
    <x v="0"/>
    <x v="0"/>
    <x v="0"/>
    <x v="0"/>
  </r>
  <r>
    <n v="82590"/>
    <x v="15"/>
    <x v="4"/>
    <x v="92"/>
    <x v="2"/>
    <x v="715"/>
    <x v="0"/>
    <d v="2024-03-20T00:00:00"/>
    <d v="2024-04-06T00:00:00"/>
    <x v="2"/>
    <x v="717"/>
    <x v="0"/>
    <x v="0"/>
    <x v="0"/>
    <x v="0"/>
    <x v="0"/>
    <x v="0"/>
  </r>
  <r>
    <n v="27718"/>
    <x v="4"/>
    <x v="0"/>
    <x v="276"/>
    <x v="0"/>
    <x v="716"/>
    <x v="4"/>
    <d v="2024-12-07T00:00:00"/>
    <d v="2024-12-23T00:00:00"/>
    <x v="1"/>
    <x v="718"/>
    <x v="0"/>
    <x v="0"/>
    <x v="0"/>
    <x v="0"/>
    <x v="0"/>
    <x v="0"/>
  </r>
  <r>
    <n v="53158"/>
    <x v="12"/>
    <x v="0"/>
    <x v="257"/>
    <x v="6"/>
    <x v="717"/>
    <x v="2"/>
    <d v="2024-03-24T00:00:00"/>
    <d v="2024-04-12T00:00:00"/>
    <x v="0"/>
    <x v="719"/>
    <x v="0"/>
    <x v="0"/>
    <x v="0"/>
    <x v="0"/>
    <x v="0"/>
    <x v="1"/>
  </r>
  <r>
    <n v="65501"/>
    <x v="6"/>
    <x v="3"/>
    <x v="322"/>
    <x v="3"/>
    <x v="718"/>
    <x v="2"/>
    <d v="2024-02-14T00:00:00"/>
    <d v="2024-03-07T00:00:00"/>
    <x v="1"/>
    <x v="720"/>
    <x v="0"/>
    <x v="0"/>
    <x v="0"/>
    <x v="0"/>
    <x v="0"/>
    <x v="0"/>
  </r>
  <r>
    <n v="89553"/>
    <x v="7"/>
    <x v="3"/>
    <x v="54"/>
    <x v="2"/>
    <x v="719"/>
    <x v="4"/>
    <d v="2024-03-08T00:00:00"/>
    <d v="2024-04-15T00:00:00"/>
    <x v="1"/>
    <x v="721"/>
    <x v="1"/>
    <x v="46"/>
    <x v="1"/>
    <x v="1"/>
    <x v="1"/>
    <x v="1"/>
  </r>
  <r>
    <n v="44235"/>
    <x v="11"/>
    <x v="4"/>
    <x v="223"/>
    <x v="1"/>
    <x v="720"/>
    <x v="0"/>
    <d v="2024-01-10T00:00:00"/>
    <d v="2024-02-10T00:00:00"/>
    <x v="0"/>
    <x v="722"/>
    <x v="0"/>
    <x v="0"/>
    <x v="0"/>
    <x v="0"/>
    <x v="0"/>
    <x v="0"/>
  </r>
  <r>
    <n v="11168"/>
    <x v="8"/>
    <x v="1"/>
    <x v="80"/>
    <x v="5"/>
    <x v="721"/>
    <x v="4"/>
    <d v="2024-07-31T00:00:00"/>
    <d v="2024-08-13T00:00:00"/>
    <x v="2"/>
    <x v="723"/>
    <x v="0"/>
    <x v="0"/>
    <x v="0"/>
    <x v="0"/>
    <x v="0"/>
    <x v="1"/>
  </r>
  <r>
    <n v="74817"/>
    <x v="2"/>
    <x v="1"/>
    <x v="242"/>
    <x v="4"/>
    <x v="722"/>
    <x v="3"/>
    <d v="2024-06-14T00:00:00"/>
    <d v="2024-07-07T00:00:00"/>
    <x v="0"/>
    <x v="724"/>
    <x v="0"/>
    <x v="0"/>
    <x v="0"/>
    <x v="0"/>
    <x v="0"/>
    <x v="0"/>
  </r>
  <r>
    <n v="65390"/>
    <x v="2"/>
    <x v="1"/>
    <x v="173"/>
    <x v="0"/>
    <x v="723"/>
    <x v="3"/>
    <d v="2024-04-17T00:00:00"/>
    <d v="2024-05-01T00:00:00"/>
    <x v="0"/>
    <x v="725"/>
    <x v="0"/>
    <x v="0"/>
    <x v="0"/>
    <x v="0"/>
    <x v="0"/>
    <x v="0"/>
  </r>
  <r>
    <n v="13443"/>
    <x v="15"/>
    <x v="4"/>
    <x v="329"/>
    <x v="4"/>
    <x v="724"/>
    <x v="2"/>
    <d v="2024-11-07T00:00:00"/>
    <d v="2024-12-04T00:00:00"/>
    <x v="2"/>
    <x v="726"/>
    <x v="1"/>
    <x v="68"/>
    <x v="1"/>
    <x v="1"/>
    <x v="1"/>
    <x v="1"/>
  </r>
  <r>
    <n v="38690"/>
    <x v="8"/>
    <x v="1"/>
    <x v="385"/>
    <x v="1"/>
    <x v="725"/>
    <x v="3"/>
    <d v="2024-07-16T00:00:00"/>
    <d v="2024-08-18T00:00:00"/>
    <x v="0"/>
    <x v="727"/>
    <x v="0"/>
    <x v="0"/>
    <x v="0"/>
    <x v="0"/>
    <x v="0"/>
    <x v="1"/>
  </r>
  <r>
    <n v="88462"/>
    <x v="6"/>
    <x v="3"/>
    <x v="310"/>
    <x v="1"/>
    <x v="726"/>
    <x v="4"/>
    <d v="2024-02-09T00:00:00"/>
    <d v="2024-02-16T00:00:00"/>
    <x v="2"/>
    <x v="728"/>
    <x v="0"/>
    <x v="0"/>
    <x v="0"/>
    <x v="0"/>
    <x v="0"/>
    <x v="0"/>
  </r>
  <r>
    <n v="34502"/>
    <x v="6"/>
    <x v="3"/>
    <x v="286"/>
    <x v="4"/>
    <x v="727"/>
    <x v="0"/>
    <d v="2024-12-19T00:00:00"/>
    <d v="2025-01-13T00:00:00"/>
    <x v="0"/>
    <x v="729"/>
    <x v="0"/>
    <x v="0"/>
    <x v="0"/>
    <x v="0"/>
    <x v="0"/>
    <x v="0"/>
  </r>
  <r>
    <n v="32738"/>
    <x v="16"/>
    <x v="3"/>
    <x v="344"/>
    <x v="2"/>
    <x v="728"/>
    <x v="1"/>
    <d v="2024-11-17T00:00:00"/>
    <d v="2024-12-10T00:00:00"/>
    <x v="2"/>
    <x v="730"/>
    <x v="0"/>
    <x v="0"/>
    <x v="0"/>
    <x v="0"/>
    <x v="0"/>
    <x v="0"/>
  </r>
  <r>
    <n v="36128"/>
    <x v="10"/>
    <x v="2"/>
    <x v="285"/>
    <x v="0"/>
    <x v="729"/>
    <x v="4"/>
    <d v="2024-03-03T00:00:00"/>
    <d v="2024-03-26T00:00:00"/>
    <x v="1"/>
    <x v="731"/>
    <x v="1"/>
    <x v="69"/>
    <x v="1"/>
    <x v="1"/>
    <x v="1"/>
    <x v="1"/>
  </r>
  <r>
    <n v="48885"/>
    <x v="14"/>
    <x v="4"/>
    <x v="41"/>
    <x v="0"/>
    <x v="730"/>
    <x v="3"/>
    <d v="2024-02-08T00:00:00"/>
    <d v="2024-02-16T00:00:00"/>
    <x v="0"/>
    <x v="732"/>
    <x v="0"/>
    <x v="0"/>
    <x v="0"/>
    <x v="0"/>
    <x v="0"/>
    <x v="0"/>
  </r>
  <r>
    <n v="61012"/>
    <x v="1"/>
    <x v="0"/>
    <x v="92"/>
    <x v="1"/>
    <x v="731"/>
    <x v="1"/>
    <d v="2024-11-02T00:00:00"/>
    <d v="2024-11-30T00:00:00"/>
    <x v="2"/>
    <x v="733"/>
    <x v="0"/>
    <x v="0"/>
    <x v="0"/>
    <x v="0"/>
    <x v="0"/>
    <x v="1"/>
  </r>
  <r>
    <n v="97318"/>
    <x v="9"/>
    <x v="1"/>
    <x v="314"/>
    <x v="3"/>
    <x v="732"/>
    <x v="3"/>
    <d v="2024-12-09T00:00:00"/>
    <d v="2024-12-24T00:00:00"/>
    <x v="0"/>
    <x v="734"/>
    <x v="0"/>
    <x v="0"/>
    <x v="0"/>
    <x v="0"/>
    <x v="0"/>
    <x v="0"/>
  </r>
  <r>
    <n v="60251"/>
    <x v="0"/>
    <x v="0"/>
    <x v="0"/>
    <x v="4"/>
    <x v="733"/>
    <x v="2"/>
    <d v="2024-08-01T00:00:00"/>
    <d v="2024-09-01T00:00:00"/>
    <x v="0"/>
    <x v="735"/>
    <x v="0"/>
    <x v="0"/>
    <x v="0"/>
    <x v="0"/>
    <x v="0"/>
    <x v="0"/>
  </r>
  <r>
    <n v="64205"/>
    <x v="16"/>
    <x v="3"/>
    <x v="196"/>
    <x v="2"/>
    <x v="734"/>
    <x v="2"/>
    <d v="2024-11-10T00:00:00"/>
    <d v="2024-12-16T00:00:00"/>
    <x v="2"/>
    <x v="736"/>
    <x v="0"/>
    <x v="0"/>
    <x v="0"/>
    <x v="0"/>
    <x v="0"/>
    <x v="0"/>
  </r>
  <r>
    <n v="39777"/>
    <x v="11"/>
    <x v="4"/>
    <x v="315"/>
    <x v="0"/>
    <x v="735"/>
    <x v="2"/>
    <d v="2024-06-15T00:00:00"/>
    <d v="2024-07-18T00:00:00"/>
    <x v="2"/>
    <x v="737"/>
    <x v="0"/>
    <x v="0"/>
    <x v="0"/>
    <x v="0"/>
    <x v="0"/>
    <x v="0"/>
  </r>
  <r>
    <n v="89026"/>
    <x v="15"/>
    <x v="4"/>
    <x v="276"/>
    <x v="3"/>
    <x v="736"/>
    <x v="0"/>
    <d v="2024-07-19T00:00:00"/>
    <d v="2024-07-31T00:00:00"/>
    <x v="2"/>
    <x v="738"/>
    <x v="0"/>
    <x v="0"/>
    <x v="0"/>
    <x v="0"/>
    <x v="0"/>
    <x v="0"/>
  </r>
  <r>
    <n v="16378"/>
    <x v="13"/>
    <x v="3"/>
    <x v="352"/>
    <x v="5"/>
    <x v="737"/>
    <x v="2"/>
    <d v="2024-07-22T00:00:00"/>
    <d v="2024-07-28T00:00:00"/>
    <x v="0"/>
    <x v="739"/>
    <x v="0"/>
    <x v="0"/>
    <x v="0"/>
    <x v="0"/>
    <x v="0"/>
    <x v="1"/>
  </r>
  <r>
    <n v="24953"/>
    <x v="12"/>
    <x v="0"/>
    <x v="386"/>
    <x v="2"/>
    <x v="738"/>
    <x v="4"/>
    <d v="2024-07-03T00:00:00"/>
    <d v="2024-08-07T00:00:00"/>
    <x v="2"/>
    <x v="740"/>
    <x v="0"/>
    <x v="0"/>
    <x v="0"/>
    <x v="0"/>
    <x v="0"/>
    <x v="0"/>
  </r>
  <r>
    <n v="39661"/>
    <x v="11"/>
    <x v="4"/>
    <x v="11"/>
    <x v="4"/>
    <x v="739"/>
    <x v="2"/>
    <d v="2024-03-14T00:00:00"/>
    <d v="2024-04-02T00:00:00"/>
    <x v="2"/>
    <x v="741"/>
    <x v="0"/>
    <x v="0"/>
    <x v="0"/>
    <x v="0"/>
    <x v="0"/>
    <x v="0"/>
  </r>
  <r>
    <n v="43477"/>
    <x v="9"/>
    <x v="1"/>
    <x v="83"/>
    <x v="2"/>
    <x v="740"/>
    <x v="1"/>
    <d v="2024-09-08T00:00:00"/>
    <d v="2024-10-16T00:00:00"/>
    <x v="2"/>
    <x v="742"/>
    <x v="0"/>
    <x v="0"/>
    <x v="0"/>
    <x v="0"/>
    <x v="0"/>
    <x v="0"/>
  </r>
  <r>
    <n v="30805"/>
    <x v="13"/>
    <x v="3"/>
    <x v="387"/>
    <x v="5"/>
    <x v="741"/>
    <x v="1"/>
    <d v="2024-09-27T00:00:00"/>
    <d v="2024-10-15T00:00:00"/>
    <x v="0"/>
    <x v="743"/>
    <x v="0"/>
    <x v="0"/>
    <x v="0"/>
    <x v="0"/>
    <x v="0"/>
    <x v="1"/>
  </r>
  <r>
    <n v="92428"/>
    <x v="15"/>
    <x v="4"/>
    <x v="155"/>
    <x v="5"/>
    <x v="742"/>
    <x v="2"/>
    <d v="2024-02-20T00:00:00"/>
    <d v="2024-02-27T00:00:00"/>
    <x v="0"/>
    <x v="744"/>
    <x v="1"/>
    <x v="7"/>
    <x v="1"/>
    <x v="1"/>
    <x v="1"/>
    <x v="1"/>
  </r>
  <r>
    <n v="64800"/>
    <x v="9"/>
    <x v="1"/>
    <x v="200"/>
    <x v="3"/>
    <x v="743"/>
    <x v="2"/>
    <d v="2024-08-18T00:00:00"/>
    <d v="2024-09-15T00:00:00"/>
    <x v="2"/>
    <x v="745"/>
    <x v="0"/>
    <x v="0"/>
    <x v="0"/>
    <x v="0"/>
    <x v="0"/>
    <x v="0"/>
  </r>
  <r>
    <n v="38948"/>
    <x v="10"/>
    <x v="2"/>
    <x v="336"/>
    <x v="3"/>
    <x v="744"/>
    <x v="2"/>
    <d v="2024-07-23T00:00:00"/>
    <d v="2024-08-15T00:00:00"/>
    <x v="1"/>
    <x v="746"/>
    <x v="0"/>
    <x v="0"/>
    <x v="0"/>
    <x v="0"/>
    <x v="0"/>
    <x v="0"/>
  </r>
  <r>
    <n v="52462"/>
    <x v="3"/>
    <x v="2"/>
    <x v="388"/>
    <x v="2"/>
    <x v="745"/>
    <x v="2"/>
    <d v="2024-06-24T00:00:00"/>
    <d v="2024-08-02T00:00:00"/>
    <x v="0"/>
    <x v="747"/>
    <x v="0"/>
    <x v="0"/>
    <x v="0"/>
    <x v="0"/>
    <x v="0"/>
    <x v="0"/>
  </r>
  <r>
    <n v="23731"/>
    <x v="7"/>
    <x v="3"/>
    <x v="389"/>
    <x v="5"/>
    <x v="746"/>
    <x v="3"/>
    <d v="2024-09-18T00:00:00"/>
    <d v="2024-10-09T00:00:00"/>
    <x v="1"/>
    <x v="748"/>
    <x v="0"/>
    <x v="0"/>
    <x v="0"/>
    <x v="0"/>
    <x v="0"/>
    <x v="0"/>
  </r>
  <r>
    <n v="87994"/>
    <x v="8"/>
    <x v="1"/>
    <x v="347"/>
    <x v="2"/>
    <x v="747"/>
    <x v="0"/>
    <d v="2024-03-06T00:00:00"/>
    <d v="2024-04-07T00:00:00"/>
    <x v="2"/>
    <x v="749"/>
    <x v="0"/>
    <x v="0"/>
    <x v="0"/>
    <x v="0"/>
    <x v="0"/>
    <x v="0"/>
  </r>
  <r>
    <n v="89955"/>
    <x v="3"/>
    <x v="2"/>
    <x v="44"/>
    <x v="0"/>
    <x v="748"/>
    <x v="4"/>
    <d v="2024-08-03T00:00:00"/>
    <d v="2024-08-12T00:00:00"/>
    <x v="0"/>
    <x v="750"/>
    <x v="0"/>
    <x v="0"/>
    <x v="0"/>
    <x v="0"/>
    <x v="0"/>
    <x v="0"/>
  </r>
  <r>
    <n v="42940"/>
    <x v="8"/>
    <x v="1"/>
    <x v="129"/>
    <x v="4"/>
    <x v="749"/>
    <x v="0"/>
    <d v="2024-12-18T00:00:00"/>
    <d v="2025-01-07T00:00:00"/>
    <x v="1"/>
    <x v="751"/>
    <x v="0"/>
    <x v="0"/>
    <x v="0"/>
    <x v="0"/>
    <x v="0"/>
    <x v="0"/>
  </r>
  <r>
    <n v="46713"/>
    <x v="13"/>
    <x v="3"/>
    <x v="341"/>
    <x v="5"/>
    <x v="750"/>
    <x v="2"/>
    <d v="2024-07-02T00:00:00"/>
    <d v="2024-07-16T00:00:00"/>
    <x v="2"/>
    <x v="752"/>
    <x v="1"/>
    <x v="59"/>
    <x v="1"/>
    <x v="1"/>
    <x v="1"/>
    <x v="1"/>
  </r>
  <r>
    <n v="13880"/>
    <x v="3"/>
    <x v="2"/>
    <x v="254"/>
    <x v="1"/>
    <x v="751"/>
    <x v="2"/>
    <d v="2024-03-06T00:00:00"/>
    <d v="2024-03-16T00:00:00"/>
    <x v="0"/>
    <x v="753"/>
    <x v="1"/>
    <x v="48"/>
    <x v="1"/>
    <x v="1"/>
    <x v="1"/>
    <x v="1"/>
  </r>
  <r>
    <n v="53333"/>
    <x v="11"/>
    <x v="4"/>
    <x v="390"/>
    <x v="2"/>
    <x v="752"/>
    <x v="4"/>
    <d v="2024-02-08T00:00:00"/>
    <d v="2024-02-29T00:00:00"/>
    <x v="1"/>
    <x v="754"/>
    <x v="0"/>
    <x v="0"/>
    <x v="0"/>
    <x v="0"/>
    <x v="0"/>
    <x v="0"/>
  </r>
  <r>
    <n v="66920"/>
    <x v="5"/>
    <x v="2"/>
    <x v="180"/>
    <x v="5"/>
    <x v="753"/>
    <x v="2"/>
    <d v="2024-08-01T00:00:00"/>
    <d v="2024-08-25T00:00:00"/>
    <x v="0"/>
    <x v="755"/>
    <x v="1"/>
    <x v="70"/>
    <x v="1"/>
    <x v="1"/>
    <x v="1"/>
    <x v="1"/>
  </r>
  <r>
    <n v="70390"/>
    <x v="7"/>
    <x v="3"/>
    <x v="55"/>
    <x v="2"/>
    <x v="754"/>
    <x v="1"/>
    <d v="2024-10-04T00:00:00"/>
    <d v="2024-10-13T00:00:00"/>
    <x v="2"/>
    <x v="756"/>
    <x v="0"/>
    <x v="0"/>
    <x v="0"/>
    <x v="0"/>
    <x v="0"/>
    <x v="0"/>
  </r>
  <r>
    <n v="25994"/>
    <x v="16"/>
    <x v="3"/>
    <x v="70"/>
    <x v="0"/>
    <x v="755"/>
    <x v="2"/>
    <d v="2024-05-17T00:00:00"/>
    <d v="2024-06-05T00:00:00"/>
    <x v="2"/>
    <x v="757"/>
    <x v="0"/>
    <x v="0"/>
    <x v="0"/>
    <x v="0"/>
    <x v="0"/>
    <x v="0"/>
  </r>
  <r>
    <n v="28316"/>
    <x v="2"/>
    <x v="1"/>
    <x v="342"/>
    <x v="0"/>
    <x v="756"/>
    <x v="3"/>
    <d v="2024-01-02T00:00:00"/>
    <d v="2024-02-05T00:00:00"/>
    <x v="1"/>
    <x v="758"/>
    <x v="0"/>
    <x v="0"/>
    <x v="0"/>
    <x v="0"/>
    <x v="0"/>
    <x v="0"/>
  </r>
  <r>
    <n v="41932"/>
    <x v="6"/>
    <x v="3"/>
    <x v="391"/>
    <x v="1"/>
    <x v="757"/>
    <x v="0"/>
    <d v="2024-05-27T00:00:00"/>
    <d v="2024-06-24T00:00:00"/>
    <x v="2"/>
    <x v="759"/>
    <x v="0"/>
    <x v="0"/>
    <x v="0"/>
    <x v="0"/>
    <x v="0"/>
    <x v="1"/>
  </r>
  <r>
    <n v="96486"/>
    <x v="14"/>
    <x v="4"/>
    <x v="76"/>
    <x v="3"/>
    <x v="688"/>
    <x v="2"/>
    <d v="2024-02-16T00:00:00"/>
    <d v="2024-02-25T00:00:00"/>
    <x v="2"/>
    <x v="760"/>
    <x v="0"/>
    <x v="0"/>
    <x v="0"/>
    <x v="0"/>
    <x v="0"/>
    <x v="0"/>
  </r>
  <r>
    <n v="34127"/>
    <x v="6"/>
    <x v="3"/>
    <x v="392"/>
    <x v="3"/>
    <x v="758"/>
    <x v="4"/>
    <d v="2024-05-26T00:00:00"/>
    <d v="2024-06-08T00:00:00"/>
    <x v="2"/>
    <x v="761"/>
    <x v="0"/>
    <x v="0"/>
    <x v="0"/>
    <x v="0"/>
    <x v="0"/>
    <x v="0"/>
  </r>
  <r>
    <n v="45187"/>
    <x v="13"/>
    <x v="3"/>
    <x v="387"/>
    <x v="6"/>
    <x v="759"/>
    <x v="0"/>
    <d v="2024-01-03T00:00:00"/>
    <d v="2024-02-05T00:00:00"/>
    <x v="0"/>
    <x v="762"/>
    <x v="0"/>
    <x v="0"/>
    <x v="0"/>
    <x v="0"/>
    <x v="0"/>
    <x v="1"/>
  </r>
  <r>
    <n v="58291"/>
    <x v="15"/>
    <x v="4"/>
    <x v="76"/>
    <x v="2"/>
    <x v="760"/>
    <x v="0"/>
    <d v="2024-08-10T00:00:00"/>
    <d v="2024-08-16T00:00:00"/>
    <x v="1"/>
    <x v="763"/>
    <x v="0"/>
    <x v="0"/>
    <x v="0"/>
    <x v="0"/>
    <x v="0"/>
    <x v="0"/>
  </r>
  <r>
    <n v="71720"/>
    <x v="15"/>
    <x v="4"/>
    <x v="393"/>
    <x v="6"/>
    <x v="761"/>
    <x v="0"/>
    <d v="2024-06-07T00:00:00"/>
    <d v="2024-07-09T00:00:00"/>
    <x v="2"/>
    <x v="764"/>
    <x v="0"/>
    <x v="0"/>
    <x v="0"/>
    <x v="0"/>
    <x v="0"/>
    <x v="1"/>
  </r>
  <r>
    <n v="84308"/>
    <x v="12"/>
    <x v="0"/>
    <x v="279"/>
    <x v="0"/>
    <x v="762"/>
    <x v="3"/>
    <d v="2024-05-05T00:00:00"/>
    <d v="2024-05-19T00:00:00"/>
    <x v="2"/>
    <x v="765"/>
    <x v="0"/>
    <x v="0"/>
    <x v="0"/>
    <x v="0"/>
    <x v="0"/>
    <x v="0"/>
  </r>
  <r>
    <n v="75584"/>
    <x v="11"/>
    <x v="4"/>
    <x v="205"/>
    <x v="6"/>
    <x v="763"/>
    <x v="3"/>
    <d v="2024-03-16T00:00:00"/>
    <d v="2024-04-10T00:00:00"/>
    <x v="1"/>
    <x v="766"/>
    <x v="0"/>
    <x v="0"/>
    <x v="0"/>
    <x v="0"/>
    <x v="0"/>
    <x v="1"/>
  </r>
  <r>
    <n v="25620"/>
    <x v="14"/>
    <x v="4"/>
    <x v="190"/>
    <x v="3"/>
    <x v="764"/>
    <x v="0"/>
    <d v="2024-12-11T00:00:00"/>
    <d v="2025-01-10T00:00:00"/>
    <x v="0"/>
    <x v="767"/>
    <x v="0"/>
    <x v="0"/>
    <x v="0"/>
    <x v="0"/>
    <x v="0"/>
    <x v="0"/>
  </r>
  <r>
    <n v="92357"/>
    <x v="6"/>
    <x v="3"/>
    <x v="394"/>
    <x v="6"/>
    <x v="765"/>
    <x v="0"/>
    <d v="2024-07-26T00:00:00"/>
    <d v="2024-08-20T00:00:00"/>
    <x v="2"/>
    <x v="768"/>
    <x v="0"/>
    <x v="0"/>
    <x v="0"/>
    <x v="0"/>
    <x v="0"/>
    <x v="1"/>
  </r>
  <r>
    <n v="14551"/>
    <x v="11"/>
    <x v="4"/>
    <x v="83"/>
    <x v="0"/>
    <x v="766"/>
    <x v="3"/>
    <d v="2024-08-04T00:00:00"/>
    <d v="2024-08-19T00:00:00"/>
    <x v="0"/>
    <x v="769"/>
    <x v="0"/>
    <x v="0"/>
    <x v="0"/>
    <x v="0"/>
    <x v="0"/>
    <x v="0"/>
  </r>
  <r>
    <n v="77847"/>
    <x v="7"/>
    <x v="3"/>
    <x v="271"/>
    <x v="5"/>
    <x v="767"/>
    <x v="1"/>
    <d v="2024-09-04T00:00:00"/>
    <d v="2024-09-28T00:00:00"/>
    <x v="2"/>
    <x v="770"/>
    <x v="0"/>
    <x v="0"/>
    <x v="0"/>
    <x v="0"/>
    <x v="0"/>
    <x v="0"/>
  </r>
  <r>
    <n v="40492"/>
    <x v="14"/>
    <x v="4"/>
    <x v="233"/>
    <x v="2"/>
    <x v="768"/>
    <x v="2"/>
    <d v="2024-06-02T00:00:00"/>
    <d v="2024-06-16T00:00:00"/>
    <x v="0"/>
    <x v="771"/>
    <x v="0"/>
    <x v="0"/>
    <x v="0"/>
    <x v="0"/>
    <x v="0"/>
    <x v="0"/>
  </r>
  <r>
    <n v="80309"/>
    <x v="13"/>
    <x v="3"/>
    <x v="323"/>
    <x v="6"/>
    <x v="769"/>
    <x v="4"/>
    <d v="2024-04-02T00:00:00"/>
    <d v="2024-04-22T00:00:00"/>
    <x v="0"/>
    <x v="772"/>
    <x v="0"/>
    <x v="0"/>
    <x v="0"/>
    <x v="0"/>
    <x v="0"/>
    <x v="1"/>
  </r>
  <r>
    <n v="48826"/>
    <x v="8"/>
    <x v="1"/>
    <x v="47"/>
    <x v="6"/>
    <x v="770"/>
    <x v="2"/>
    <d v="2024-03-30T00:00:00"/>
    <d v="2024-05-02T00:00:00"/>
    <x v="1"/>
    <x v="773"/>
    <x v="0"/>
    <x v="0"/>
    <x v="0"/>
    <x v="0"/>
    <x v="0"/>
    <x v="1"/>
  </r>
  <r>
    <n v="76617"/>
    <x v="16"/>
    <x v="3"/>
    <x v="194"/>
    <x v="6"/>
    <x v="771"/>
    <x v="1"/>
    <d v="2024-12-26T00:00:00"/>
    <d v="2025-01-26T00:00:00"/>
    <x v="0"/>
    <x v="774"/>
    <x v="1"/>
    <x v="71"/>
    <x v="1"/>
    <x v="1"/>
    <x v="1"/>
    <x v="1"/>
  </r>
  <r>
    <n v="43332"/>
    <x v="8"/>
    <x v="1"/>
    <x v="76"/>
    <x v="2"/>
    <x v="772"/>
    <x v="1"/>
    <d v="2024-06-01T00:00:00"/>
    <d v="2024-06-08T00:00:00"/>
    <x v="2"/>
    <x v="775"/>
    <x v="0"/>
    <x v="0"/>
    <x v="0"/>
    <x v="0"/>
    <x v="0"/>
    <x v="0"/>
  </r>
  <r>
    <n v="96551"/>
    <x v="11"/>
    <x v="4"/>
    <x v="344"/>
    <x v="3"/>
    <x v="773"/>
    <x v="2"/>
    <d v="2024-10-19T00:00:00"/>
    <d v="2024-11-12T00:00:00"/>
    <x v="0"/>
    <x v="776"/>
    <x v="0"/>
    <x v="0"/>
    <x v="0"/>
    <x v="0"/>
    <x v="0"/>
    <x v="1"/>
  </r>
  <r>
    <n v="87928"/>
    <x v="8"/>
    <x v="1"/>
    <x v="124"/>
    <x v="2"/>
    <x v="774"/>
    <x v="0"/>
    <d v="2024-08-24T00:00:00"/>
    <d v="2024-09-27T00:00:00"/>
    <x v="2"/>
    <x v="777"/>
    <x v="0"/>
    <x v="0"/>
    <x v="0"/>
    <x v="0"/>
    <x v="0"/>
    <x v="0"/>
  </r>
  <r>
    <n v="69902"/>
    <x v="5"/>
    <x v="2"/>
    <x v="372"/>
    <x v="4"/>
    <x v="775"/>
    <x v="1"/>
    <d v="2024-11-28T00:00:00"/>
    <d v="2024-12-03T00:00:00"/>
    <x v="1"/>
    <x v="778"/>
    <x v="0"/>
    <x v="0"/>
    <x v="0"/>
    <x v="0"/>
    <x v="0"/>
    <x v="0"/>
  </r>
  <r>
    <n v="76830"/>
    <x v="1"/>
    <x v="0"/>
    <x v="390"/>
    <x v="0"/>
    <x v="776"/>
    <x v="3"/>
    <d v="2024-07-25T00:00:00"/>
    <d v="2024-08-14T00:00:00"/>
    <x v="2"/>
    <x v="779"/>
    <x v="0"/>
    <x v="0"/>
    <x v="0"/>
    <x v="0"/>
    <x v="0"/>
    <x v="0"/>
  </r>
  <r>
    <n v="74994"/>
    <x v="10"/>
    <x v="2"/>
    <x v="72"/>
    <x v="3"/>
    <x v="777"/>
    <x v="4"/>
    <d v="2024-10-25T00:00:00"/>
    <d v="2024-11-03T00:00:00"/>
    <x v="2"/>
    <x v="780"/>
    <x v="0"/>
    <x v="0"/>
    <x v="0"/>
    <x v="0"/>
    <x v="0"/>
    <x v="0"/>
  </r>
  <r>
    <n v="24650"/>
    <x v="5"/>
    <x v="2"/>
    <x v="359"/>
    <x v="6"/>
    <x v="778"/>
    <x v="0"/>
    <d v="2024-06-26T00:00:00"/>
    <d v="2024-07-23T00:00:00"/>
    <x v="1"/>
    <x v="781"/>
    <x v="0"/>
    <x v="0"/>
    <x v="0"/>
    <x v="0"/>
    <x v="0"/>
    <x v="0"/>
  </r>
  <r>
    <n v="22191"/>
    <x v="2"/>
    <x v="1"/>
    <x v="101"/>
    <x v="1"/>
    <x v="779"/>
    <x v="2"/>
    <d v="2024-01-02T00:00:00"/>
    <d v="2024-01-13T00:00:00"/>
    <x v="2"/>
    <x v="782"/>
    <x v="0"/>
    <x v="0"/>
    <x v="0"/>
    <x v="0"/>
    <x v="0"/>
    <x v="1"/>
  </r>
  <r>
    <n v="50733"/>
    <x v="7"/>
    <x v="3"/>
    <x v="183"/>
    <x v="4"/>
    <x v="780"/>
    <x v="2"/>
    <d v="2024-07-06T00:00:00"/>
    <d v="2024-08-14T00:00:00"/>
    <x v="0"/>
    <x v="783"/>
    <x v="0"/>
    <x v="0"/>
    <x v="0"/>
    <x v="0"/>
    <x v="0"/>
    <x v="0"/>
  </r>
  <r>
    <n v="30183"/>
    <x v="2"/>
    <x v="1"/>
    <x v="68"/>
    <x v="2"/>
    <x v="781"/>
    <x v="0"/>
    <d v="2024-11-02T00:00:00"/>
    <d v="2024-11-28T00:00:00"/>
    <x v="0"/>
    <x v="784"/>
    <x v="0"/>
    <x v="0"/>
    <x v="0"/>
    <x v="0"/>
    <x v="0"/>
    <x v="0"/>
  </r>
  <r>
    <n v="60639"/>
    <x v="0"/>
    <x v="0"/>
    <x v="395"/>
    <x v="4"/>
    <x v="782"/>
    <x v="3"/>
    <d v="2024-10-18T00:00:00"/>
    <d v="2024-11-09T00:00:00"/>
    <x v="2"/>
    <x v="785"/>
    <x v="0"/>
    <x v="0"/>
    <x v="0"/>
    <x v="0"/>
    <x v="0"/>
    <x v="0"/>
  </r>
  <r>
    <n v="31301"/>
    <x v="14"/>
    <x v="4"/>
    <x v="212"/>
    <x v="4"/>
    <x v="783"/>
    <x v="1"/>
    <d v="2024-02-08T00:00:00"/>
    <d v="2024-03-12T00:00:00"/>
    <x v="0"/>
    <x v="786"/>
    <x v="0"/>
    <x v="0"/>
    <x v="0"/>
    <x v="0"/>
    <x v="0"/>
    <x v="1"/>
  </r>
  <r>
    <n v="32259"/>
    <x v="9"/>
    <x v="1"/>
    <x v="157"/>
    <x v="2"/>
    <x v="784"/>
    <x v="0"/>
    <d v="2024-02-18T00:00:00"/>
    <d v="2024-02-24T00:00:00"/>
    <x v="0"/>
    <x v="787"/>
    <x v="0"/>
    <x v="0"/>
    <x v="0"/>
    <x v="0"/>
    <x v="0"/>
    <x v="0"/>
  </r>
  <r>
    <n v="56202"/>
    <x v="5"/>
    <x v="2"/>
    <x v="15"/>
    <x v="3"/>
    <x v="785"/>
    <x v="4"/>
    <d v="2024-01-02T00:00:00"/>
    <d v="2024-01-25T00:00:00"/>
    <x v="2"/>
    <x v="788"/>
    <x v="0"/>
    <x v="0"/>
    <x v="0"/>
    <x v="0"/>
    <x v="0"/>
    <x v="0"/>
  </r>
  <r>
    <n v="38036"/>
    <x v="1"/>
    <x v="0"/>
    <x v="204"/>
    <x v="6"/>
    <x v="786"/>
    <x v="3"/>
    <d v="2024-01-12T00:00:00"/>
    <d v="2024-02-20T00:00:00"/>
    <x v="2"/>
    <x v="789"/>
    <x v="1"/>
    <x v="72"/>
    <x v="1"/>
    <x v="1"/>
    <x v="1"/>
    <x v="1"/>
  </r>
  <r>
    <n v="79603"/>
    <x v="11"/>
    <x v="4"/>
    <x v="12"/>
    <x v="2"/>
    <x v="787"/>
    <x v="2"/>
    <d v="2024-12-27T00:00:00"/>
    <d v="2025-01-09T00:00:00"/>
    <x v="2"/>
    <x v="790"/>
    <x v="0"/>
    <x v="0"/>
    <x v="0"/>
    <x v="0"/>
    <x v="0"/>
    <x v="0"/>
  </r>
  <r>
    <n v="59833"/>
    <x v="2"/>
    <x v="1"/>
    <x v="39"/>
    <x v="1"/>
    <x v="788"/>
    <x v="4"/>
    <d v="2024-05-22T00:00:00"/>
    <d v="2024-06-01T00:00:00"/>
    <x v="1"/>
    <x v="791"/>
    <x v="0"/>
    <x v="0"/>
    <x v="0"/>
    <x v="0"/>
    <x v="0"/>
    <x v="1"/>
  </r>
  <r>
    <n v="10074"/>
    <x v="7"/>
    <x v="3"/>
    <x v="298"/>
    <x v="3"/>
    <x v="789"/>
    <x v="0"/>
    <d v="2024-06-20T00:00:00"/>
    <d v="2024-07-10T00:00:00"/>
    <x v="1"/>
    <x v="792"/>
    <x v="0"/>
    <x v="0"/>
    <x v="0"/>
    <x v="0"/>
    <x v="0"/>
    <x v="1"/>
  </r>
  <r>
    <n v="33097"/>
    <x v="11"/>
    <x v="4"/>
    <x v="272"/>
    <x v="5"/>
    <x v="790"/>
    <x v="3"/>
    <d v="2024-07-28T00:00:00"/>
    <d v="2024-08-21T00:00:00"/>
    <x v="0"/>
    <x v="793"/>
    <x v="0"/>
    <x v="0"/>
    <x v="0"/>
    <x v="0"/>
    <x v="0"/>
    <x v="0"/>
  </r>
  <r>
    <n v="39483"/>
    <x v="7"/>
    <x v="3"/>
    <x v="396"/>
    <x v="5"/>
    <x v="791"/>
    <x v="1"/>
    <d v="2024-02-21T00:00:00"/>
    <d v="2024-03-04T00:00:00"/>
    <x v="0"/>
    <x v="794"/>
    <x v="0"/>
    <x v="0"/>
    <x v="0"/>
    <x v="0"/>
    <x v="0"/>
    <x v="0"/>
  </r>
  <r>
    <n v="44929"/>
    <x v="6"/>
    <x v="3"/>
    <x v="138"/>
    <x v="2"/>
    <x v="792"/>
    <x v="2"/>
    <d v="2024-10-15T00:00:00"/>
    <d v="2024-10-22T00:00:00"/>
    <x v="0"/>
    <x v="795"/>
    <x v="0"/>
    <x v="0"/>
    <x v="0"/>
    <x v="0"/>
    <x v="0"/>
    <x v="1"/>
  </r>
  <r>
    <n v="71869"/>
    <x v="5"/>
    <x v="2"/>
    <x v="39"/>
    <x v="1"/>
    <x v="793"/>
    <x v="2"/>
    <d v="2024-03-02T00:00:00"/>
    <d v="2024-03-09T00:00:00"/>
    <x v="0"/>
    <x v="796"/>
    <x v="0"/>
    <x v="0"/>
    <x v="0"/>
    <x v="0"/>
    <x v="0"/>
    <x v="1"/>
  </r>
  <r>
    <n v="91899"/>
    <x v="10"/>
    <x v="2"/>
    <x v="80"/>
    <x v="4"/>
    <x v="794"/>
    <x v="1"/>
    <d v="2024-05-09T00:00:00"/>
    <d v="2024-06-13T00:00:00"/>
    <x v="2"/>
    <x v="797"/>
    <x v="0"/>
    <x v="0"/>
    <x v="0"/>
    <x v="0"/>
    <x v="0"/>
    <x v="0"/>
  </r>
  <r>
    <n v="50097"/>
    <x v="13"/>
    <x v="3"/>
    <x v="397"/>
    <x v="3"/>
    <x v="795"/>
    <x v="4"/>
    <d v="2024-11-25T00:00:00"/>
    <d v="2024-12-24T00:00:00"/>
    <x v="2"/>
    <x v="798"/>
    <x v="0"/>
    <x v="0"/>
    <x v="0"/>
    <x v="0"/>
    <x v="0"/>
    <x v="1"/>
  </r>
  <r>
    <n v="27194"/>
    <x v="10"/>
    <x v="2"/>
    <x v="155"/>
    <x v="3"/>
    <x v="796"/>
    <x v="2"/>
    <d v="2024-02-22T00:00:00"/>
    <d v="2024-03-03T00:00:00"/>
    <x v="2"/>
    <x v="799"/>
    <x v="1"/>
    <x v="73"/>
    <x v="1"/>
    <x v="1"/>
    <x v="1"/>
    <x v="1"/>
  </r>
  <r>
    <n v="12147"/>
    <x v="2"/>
    <x v="1"/>
    <x v="301"/>
    <x v="2"/>
    <x v="797"/>
    <x v="2"/>
    <d v="2024-01-11T00:00:00"/>
    <d v="2024-02-18T00:00:00"/>
    <x v="2"/>
    <x v="800"/>
    <x v="0"/>
    <x v="0"/>
    <x v="0"/>
    <x v="0"/>
    <x v="0"/>
    <x v="0"/>
  </r>
  <r>
    <n v="19479"/>
    <x v="4"/>
    <x v="0"/>
    <x v="395"/>
    <x v="0"/>
    <x v="798"/>
    <x v="1"/>
    <d v="2024-09-11T00:00:00"/>
    <d v="2024-10-15T00:00:00"/>
    <x v="0"/>
    <x v="801"/>
    <x v="0"/>
    <x v="0"/>
    <x v="0"/>
    <x v="0"/>
    <x v="0"/>
    <x v="0"/>
  </r>
  <r>
    <n v="79959"/>
    <x v="9"/>
    <x v="1"/>
    <x v="360"/>
    <x v="2"/>
    <x v="799"/>
    <x v="0"/>
    <d v="2024-11-26T00:00:00"/>
    <d v="2024-12-15T00:00:00"/>
    <x v="1"/>
    <x v="802"/>
    <x v="0"/>
    <x v="0"/>
    <x v="0"/>
    <x v="0"/>
    <x v="0"/>
    <x v="0"/>
  </r>
  <r>
    <n v="87990"/>
    <x v="5"/>
    <x v="2"/>
    <x v="398"/>
    <x v="5"/>
    <x v="800"/>
    <x v="2"/>
    <d v="2024-06-18T00:00:00"/>
    <d v="2024-07-21T00:00:00"/>
    <x v="0"/>
    <x v="803"/>
    <x v="1"/>
    <x v="74"/>
    <x v="1"/>
    <x v="1"/>
    <x v="1"/>
    <x v="1"/>
  </r>
  <r>
    <n v="47387"/>
    <x v="9"/>
    <x v="1"/>
    <x v="326"/>
    <x v="0"/>
    <x v="801"/>
    <x v="4"/>
    <d v="2024-01-16T00:00:00"/>
    <d v="2024-02-12T00:00:00"/>
    <x v="2"/>
    <x v="804"/>
    <x v="0"/>
    <x v="0"/>
    <x v="0"/>
    <x v="0"/>
    <x v="0"/>
    <x v="0"/>
  </r>
  <r>
    <n v="40988"/>
    <x v="0"/>
    <x v="0"/>
    <x v="399"/>
    <x v="2"/>
    <x v="802"/>
    <x v="2"/>
    <d v="2024-01-22T00:00:00"/>
    <d v="2024-02-10T00:00:00"/>
    <x v="0"/>
    <x v="805"/>
    <x v="0"/>
    <x v="0"/>
    <x v="0"/>
    <x v="0"/>
    <x v="0"/>
    <x v="0"/>
  </r>
  <r>
    <n v="75305"/>
    <x v="3"/>
    <x v="2"/>
    <x v="400"/>
    <x v="0"/>
    <x v="803"/>
    <x v="4"/>
    <d v="2024-04-26T00:00:00"/>
    <d v="2024-05-30T00:00:00"/>
    <x v="1"/>
    <x v="806"/>
    <x v="0"/>
    <x v="0"/>
    <x v="0"/>
    <x v="0"/>
    <x v="0"/>
    <x v="0"/>
  </r>
  <r>
    <n v="96673"/>
    <x v="2"/>
    <x v="1"/>
    <x v="335"/>
    <x v="2"/>
    <x v="804"/>
    <x v="0"/>
    <d v="2024-05-13T00:00:00"/>
    <d v="2024-06-10T00:00:00"/>
    <x v="0"/>
    <x v="807"/>
    <x v="0"/>
    <x v="0"/>
    <x v="0"/>
    <x v="0"/>
    <x v="0"/>
    <x v="0"/>
  </r>
  <r>
    <n v="90021"/>
    <x v="4"/>
    <x v="0"/>
    <x v="201"/>
    <x v="6"/>
    <x v="805"/>
    <x v="1"/>
    <d v="2024-07-04T00:00:00"/>
    <d v="2024-07-14T00:00:00"/>
    <x v="1"/>
    <x v="808"/>
    <x v="0"/>
    <x v="0"/>
    <x v="0"/>
    <x v="0"/>
    <x v="0"/>
    <x v="1"/>
  </r>
  <r>
    <n v="32760"/>
    <x v="12"/>
    <x v="0"/>
    <x v="349"/>
    <x v="5"/>
    <x v="806"/>
    <x v="1"/>
    <d v="2024-04-13T00:00:00"/>
    <d v="2024-05-12T00:00:00"/>
    <x v="0"/>
    <x v="809"/>
    <x v="0"/>
    <x v="0"/>
    <x v="0"/>
    <x v="0"/>
    <x v="0"/>
    <x v="0"/>
  </r>
  <r>
    <n v="23362"/>
    <x v="10"/>
    <x v="2"/>
    <x v="263"/>
    <x v="4"/>
    <x v="807"/>
    <x v="1"/>
    <d v="2024-09-25T00:00:00"/>
    <d v="2024-11-02T00:00:00"/>
    <x v="2"/>
    <x v="810"/>
    <x v="0"/>
    <x v="0"/>
    <x v="0"/>
    <x v="0"/>
    <x v="0"/>
    <x v="1"/>
  </r>
  <r>
    <n v="77906"/>
    <x v="5"/>
    <x v="2"/>
    <x v="401"/>
    <x v="6"/>
    <x v="808"/>
    <x v="1"/>
    <d v="2024-11-21T00:00:00"/>
    <d v="2024-12-14T00:00:00"/>
    <x v="1"/>
    <x v="811"/>
    <x v="1"/>
    <x v="53"/>
    <x v="1"/>
    <x v="1"/>
    <x v="1"/>
    <x v="1"/>
  </r>
  <r>
    <n v="79211"/>
    <x v="8"/>
    <x v="1"/>
    <x v="44"/>
    <x v="0"/>
    <x v="809"/>
    <x v="4"/>
    <d v="2024-05-08T00:00:00"/>
    <d v="2024-06-08T00:00:00"/>
    <x v="2"/>
    <x v="812"/>
    <x v="0"/>
    <x v="0"/>
    <x v="0"/>
    <x v="0"/>
    <x v="0"/>
    <x v="0"/>
  </r>
  <r>
    <n v="78706"/>
    <x v="0"/>
    <x v="0"/>
    <x v="223"/>
    <x v="3"/>
    <x v="810"/>
    <x v="2"/>
    <d v="2024-07-26T00:00:00"/>
    <d v="2024-08-23T00:00:00"/>
    <x v="1"/>
    <x v="813"/>
    <x v="0"/>
    <x v="0"/>
    <x v="0"/>
    <x v="0"/>
    <x v="0"/>
    <x v="0"/>
  </r>
  <r>
    <n v="57657"/>
    <x v="11"/>
    <x v="4"/>
    <x v="204"/>
    <x v="0"/>
    <x v="811"/>
    <x v="3"/>
    <d v="2024-05-22T00:00:00"/>
    <d v="2024-06-26T00:00:00"/>
    <x v="1"/>
    <x v="814"/>
    <x v="1"/>
    <x v="50"/>
    <x v="1"/>
    <x v="1"/>
    <x v="1"/>
    <x v="1"/>
  </r>
  <r>
    <n v="69557"/>
    <x v="14"/>
    <x v="4"/>
    <x v="211"/>
    <x v="0"/>
    <x v="812"/>
    <x v="0"/>
    <d v="2024-08-02T00:00:00"/>
    <d v="2024-08-08T00:00:00"/>
    <x v="2"/>
    <x v="815"/>
    <x v="0"/>
    <x v="0"/>
    <x v="0"/>
    <x v="0"/>
    <x v="0"/>
    <x v="0"/>
  </r>
  <r>
    <n v="38561"/>
    <x v="6"/>
    <x v="3"/>
    <x v="175"/>
    <x v="2"/>
    <x v="813"/>
    <x v="3"/>
    <d v="2024-11-18T00:00:00"/>
    <d v="2024-12-18T00:00:00"/>
    <x v="2"/>
    <x v="816"/>
    <x v="0"/>
    <x v="0"/>
    <x v="0"/>
    <x v="0"/>
    <x v="0"/>
    <x v="0"/>
  </r>
  <r>
    <n v="54460"/>
    <x v="16"/>
    <x v="3"/>
    <x v="106"/>
    <x v="1"/>
    <x v="814"/>
    <x v="3"/>
    <d v="2024-07-16T00:00:00"/>
    <d v="2024-08-17T00:00:00"/>
    <x v="1"/>
    <x v="817"/>
    <x v="0"/>
    <x v="0"/>
    <x v="0"/>
    <x v="0"/>
    <x v="0"/>
    <x v="0"/>
  </r>
  <r>
    <n v="70663"/>
    <x v="5"/>
    <x v="2"/>
    <x v="3"/>
    <x v="0"/>
    <x v="815"/>
    <x v="4"/>
    <d v="2024-07-22T00:00:00"/>
    <d v="2024-07-28T00:00:00"/>
    <x v="0"/>
    <x v="818"/>
    <x v="0"/>
    <x v="0"/>
    <x v="0"/>
    <x v="0"/>
    <x v="0"/>
    <x v="0"/>
  </r>
  <r>
    <n v="84400"/>
    <x v="6"/>
    <x v="3"/>
    <x v="397"/>
    <x v="0"/>
    <x v="816"/>
    <x v="4"/>
    <d v="2024-08-03T00:00:00"/>
    <d v="2024-09-07T00:00:00"/>
    <x v="1"/>
    <x v="819"/>
    <x v="0"/>
    <x v="0"/>
    <x v="0"/>
    <x v="0"/>
    <x v="0"/>
    <x v="1"/>
  </r>
  <r>
    <n v="78322"/>
    <x v="1"/>
    <x v="0"/>
    <x v="321"/>
    <x v="0"/>
    <x v="817"/>
    <x v="1"/>
    <d v="2024-05-09T00:00:00"/>
    <d v="2024-06-09T00:00:00"/>
    <x v="1"/>
    <x v="820"/>
    <x v="1"/>
    <x v="60"/>
    <x v="1"/>
    <x v="1"/>
    <x v="1"/>
    <x v="1"/>
  </r>
  <r>
    <n v="33806"/>
    <x v="16"/>
    <x v="3"/>
    <x v="59"/>
    <x v="1"/>
    <x v="818"/>
    <x v="4"/>
    <d v="2024-12-06T00:00:00"/>
    <d v="2025-01-08T00:00:00"/>
    <x v="2"/>
    <x v="821"/>
    <x v="1"/>
    <x v="75"/>
    <x v="1"/>
    <x v="1"/>
    <x v="1"/>
    <x v="1"/>
  </r>
  <r>
    <n v="85432"/>
    <x v="4"/>
    <x v="0"/>
    <x v="156"/>
    <x v="3"/>
    <x v="819"/>
    <x v="3"/>
    <d v="2024-01-26T00:00:00"/>
    <d v="2024-02-05T00:00:00"/>
    <x v="1"/>
    <x v="822"/>
    <x v="1"/>
    <x v="48"/>
    <x v="1"/>
    <x v="1"/>
    <x v="1"/>
    <x v="1"/>
  </r>
  <r>
    <n v="96840"/>
    <x v="8"/>
    <x v="1"/>
    <x v="402"/>
    <x v="1"/>
    <x v="820"/>
    <x v="0"/>
    <d v="2024-02-17T00:00:00"/>
    <d v="2024-03-17T00:00:00"/>
    <x v="1"/>
    <x v="823"/>
    <x v="0"/>
    <x v="0"/>
    <x v="0"/>
    <x v="0"/>
    <x v="0"/>
    <x v="0"/>
  </r>
  <r>
    <n v="91787"/>
    <x v="4"/>
    <x v="0"/>
    <x v="197"/>
    <x v="3"/>
    <x v="821"/>
    <x v="4"/>
    <d v="2024-07-23T00:00:00"/>
    <d v="2024-07-30T00:00:00"/>
    <x v="1"/>
    <x v="824"/>
    <x v="0"/>
    <x v="0"/>
    <x v="0"/>
    <x v="0"/>
    <x v="0"/>
    <x v="0"/>
  </r>
  <r>
    <n v="67851"/>
    <x v="7"/>
    <x v="3"/>
    <x v="24"/>
    <x v="5"/>
    <x v="822"/>
    <x v="1"/>
    <d v="2024-08-03T00:00:00"/>
    <d v="2024-08-27T00:00:00"/>
    <x v="0"/>
    <x v="825"/>
    <x v="0"/>
    <x v="0"/>
    <x v="0"/>
    <x v="0"/>
    <x v="0"/>
    <x v="1"/>
  </r>
  <r>
    <n v="31359"/>
    <x v="13"/>
    <x v="3"/>
    <x v="139"/>
    <x v="2"/>
    <x v="823"/>
    <x v="2"/>
    <d v="2024-09-10T00:00:00"/>
    <d v="2024-10-08T00:00:00"/>
    <x v="0"/>
    <x v="826"/>
    <x v="0"/>
    <x v="0"/>
    <x v="0"/>
    <x v="0"/>
    <x v="0"/>
    <x v="1"/>
  </r>
  <r>
    <n v="91103"/>
    <x v="15"/>
    <x v="4"/>
    <x v="403"/>
    <x v="3"/>
    <x v="824"/>
    <x v="3"/>
    <d v="2024-01-15T00:00:00"/>
    <d v="2024-01-24T00:00:00"/>
    <x v="2"/>
    <x v="827"/>
    <x v="0"/>
    <x v="0"/>
    <x v="0"/>
    <x v="0"/>
    <x v="0"/>
    <x v="0"/>
  </r>
  <r>
    <n v="19215"/>
    <x v="14"/>
    <x v="4"/>
    <x v="176"/>
    <x v="6"/>
    <x v="825"/>
    <x v="1"/>
    <d v="2024-02-29T00:00:00"/>
    <d v="2024-03-20T00:00:00"/>
    <x v="2"/>
    <x v="828"/>
    <x v="1"/>
    <x v="18"/>
    <x v="1"/>
    <x v="1"/>
    <x v="1"/>
    <x v="1"/>
  </r>
  <r>
    <n v="99876"/>
    <x v="6"/>
    <x v="3"/>
    <x v="337"/>
    <x v="5"/>
    <x v="826"/>
    <x v="3"/>
    <d v="2024-10-15T00:00:00"/>
    <d v="2024-11-13T00:00:00"/>
    <x v="1"/>
    <x v="829"/>
    <x v="0"/>
    <x v="0"/>
    <x v="0"/>
    <x v="0"/>
    <x v="0"/>
    <x v="1"/>
  </r>
  <r>
    <n v="83396"/>
    <x v="9"/>
    <x v="1"/>
    <x v="229"/>
    <x v="3"/>
    <x v="827"/>
    <x v="4"/>
    <d v="2024-10-02T00:00:00"/>
    <d v="2024-11-05T00:00:00"/>
    <x v="2"/>
    <x v="830"/>
    <x v="0"/>
    <x v="0"/>
    <x v="0"/>
    <x v="0"/>
    <x v="0"/>
    <x v="0"/>
  </r>
  <r>
    <n v="85282"/>
    <x v="9"/>
    <x v="1"/>
    <x v="209"/>
    <x v="3"/>
    <x v="828"/>
    <x v="0"/>
    <d v="2024-07-07T00:00:00"/>
    <d v="2024-07-28T00:00:00"/>
    <x v="2"/>
    <x v="831"/>
    <x v="0"/>
    <x v="0"/>
    <x v="0"/>
    <x v="0"/>
    <x v="0"/>
    <x v="0"/>
  </r>
  <r>
    <n v="30823"/>
    <x v="10"/>
    <x v="2"/>
    <x v="361"/>
    <x v="4"/>
    <x v="829"/>
    <x v="4"/>
    <d v="2024-11-25T00:00:00"/>
    <d v="2024-12-09T00:00:00"/>
    <x v="1"/>
    <x v="832"/>
    <x v="1"/>
    <x v="14"/>
    <x v="1"/>
    <x v="1"/>
    <x v="1"/>
    <x v="1"/>
  </r>
  <r>
    <n v="99826"/>
    <x v="5"/>
    <x v="2"/>
    <x v="236"/>
    <x v="1"/>
    <x v="830"/>
    <x v="1"/>
    <d v="2024-03-20T00:00:00"/>
    <d v="2024-03-31T00:00:00"/>
    <x v="2"/>
    <x v="833"/>
    <x v="0"/>
    <x v="0"/>
    <x v="0"/>
    <x v="0"/>
    <x v="0"/>
    <x v="0"/>
  </r>
  <r>
    <n v="85039"/>
    <x v="12"/>
    <x v="0"/>
    <x v="278"/>
    <x v="1"/>
    <x v="831"/>
    <x v="3"/>
    <d v="2024-08-15T00:00:00"/>
    <d v="2024-09-05T00:00:00"/>
    <x v="2"/>
    <x v="834"/>
    <x v="0"/>
    <x v="0"/>
    <x v="0"/>
    <x v="0"/>
    <x v="0"/>
    <x v="1"/>
  </r>
  <r>
    <n v="81621"/>
    <x v="10"/>
    <x v="2"/>
    <x v="184"/>
    <x v="2"/>
    <x v="832"/>
    <x v="3"/>
    <d v="2024-11-12T00:00:00"/>
    <d v="2024-11-19T00:00:00"/>
    <x v="1"/>
    <x v="835"/>
    <x v="0"/>
    <x v="0"/>
    <x v="0"/>
    <x v="0"/>
    <x v="0"/>
    <x v="0"/>
  </r>
  <r>
    <n v="19336"/>
    <x v="8"/>
    <x v="1"/>
    <x v="366"/>
    <x v="1"/>
    <x v="833"/>
    <x v="1"/>
    <d v="2024-08-24T00:00:00"/>
    <d v="2024-09-23T00:00:00"/>
    <x v="2"/>
    <x v="836"/>
    <x v="0"/>
    <x v="0"/>
    <x v="0"/>
    <x v="0"/>
    <x v="0"/>
    <x v="1"/>
  </r>
  <r>
    <n v="59037"/>
    <x v="15"/>
    <x v="4"/>
    <x v="215"/>
    <x v="0"/>
    <x v="834"/>
    <x v="2"/>
    <d v="2024-04-15T00:00:00"/>
    <d v="2024-05-21T00:00:00"/>
    <x v="2"/>
    <x v="837"/>
    <x v="0"/>
    <x v="0"/>
    <x v="0"/>
    <x v="0"/>
    <x v="0"/>
    <x v="0"/>
  </r>
  <r>
    <n v="36393"/>
    <x v="6"/>
    <x v="3"/>
    <x v="302"/>
    <x v="2"/>
    <x v="835"/>
    <x v="3"/>
    <d v="2024-04-25T00:00:00"/>
    <d v="2024-05-17T00:00:00"/>
    <x v="1"/>
    <x v="838"/>
    <x v="0"/>
    <x v="0"/>
    <x v="0"/>
    <x v="0"/>
    <x v="0"/>
    <x v="0"/>
  </r>
  <r>
    <n v="62066"/>
    <x v="4"/>
    <x v="0"/>
    <x v="272"/>
    <x v="5"/>
    <x v="836"/>
    <x v="0"/>
    <d v="2024-02-22T00:00:00"/>
    <d v="2024-03-25T00:00:00"/>
    <x v="1"/>
    <x v="839"/>
    <x v="0"/>
    <x v="0"/>
    <x v="0"/>
    <x v="0"/>
    <x v="0"/>
    <x v="0"/>
  </r>
  <r>
    <n v="92315"/>
    <x v="3"/>
    <x v="2"/>
    <x v="404"/>
    <x v="6"/>
    <x v="837"/>
    <x v="0"/>
    <d v="2024-03-27T00:00:00"/>
    <d v="2024-04-19T00:00:00"/>
    <x v="0"/>
    <x v="840"/>
    <x v="0"/>
    <x v="0"/>
    <x v="0"/>
    <x v="0"/>
    <x v="0"/>
    <x v="1"/>
  </r>
  <r>
    <n v="63331"/>
    <x v="6"/>
    <x v="3"/>
    <x v="204"/>
    <x v="3"/>
    <x v="838"/>
    <x v="2"/>
    <d v="2024-12-29T00:00:00"/>
    <d v="2025-01-04T00:00:00"/>
    <x v="2"/>
    <x v="841"/>
    <x v="1"/>
    <x v="6"/>
    <x v="1"/>
    <x v="1"/>
    <x v="1"/>
    <x v="1"/>
  </r>
  <r>
    <n v="19719"/>
    <x v="11"/>
    <x v="4"/>
    <x v="171"/>
    <x v="0"/>
    <x v="839"/>
    <x v="1"/>
    <d v="2024-11-26T00:00:00"/>
    <d v="2024-12-28T00:00:00"/>
    <x v="1"/>
    <x v="842"/>
    <x v="0"/>
    <x v="0"/>
    <x v="0"/>
    <x v="0"/>
    <x v="0"/>
    <x v="0"/>
  </r>
  <r>
    <n v="49029"/>
    <x v="6"/>
    <x v="3"/>
    <x v="326"/>
    <x v="3"/>
    <x v="840"/>
    <x v="1"/>
    <d v="2024-02-19T00:00:00"/>
    <d v="2024-03-08T00:00:00"/>
    <x v="1"/>
    <x v="843"/>
    <x v="0"/>
    <x v="0"/>
    <x v="0"/>
    <x v="0"/>
    <x v="0"/>
    <x v="0"/>
  </r>
  <r>
    <n v="66247"/>
    <x v="9"/>
    <x v="1"/>
    <x v="332"/>
    <x v="6"/>
    <x v="841"/>
    <x v="2"/>
    <d v="2024-11-18T00:00:00"/>
    <d v="2024-12-06T00:00:00"/>
    <x v="1"/>
    <x v="844"/>
    <x v="0"/>
    <x v="0"/>
    <x v="0"/>
    <x v="0"/>
    <x v="0"/>
    <x v="1"/>
  </r>
  <r>
    <n v="56228"/>
    <x v="8"/>
    <x v="1"/>
    <x v="405"/>
    <x v="0"/>
    <x v="842"/>
    <x v="2"/>
    <d v="2024-02-17T00:00:00"/>
    <d v="2024-03-14T00:00:00"/>
    <x v="2"/>
    <x v="845"/>
    <x v="0"/>
    <x v="0"/>
    <x v="0"/>
    <x v="0"/>
    <x v="0"/>
    <x v="0"/>
  </r>
  <r>
    <n v="87924"/>
    <x v="16"/>
    <x v="3"/>
    <x v="243"/>
    <x v="4"/>
    <x v="843"/>
    <x v="4"/>
    <d v="2024-01-09T00:00:00"/>
    <d v="2024-02-17T00:00:00"/>
    <x v="2"/>
    <x v="846"/>
    <x v="0"/>
    <x v="0"/>
    <x v="0"/>
    <x v="0"/>
    <x v="0"/>
    <x v="0"/>
  </r>
  <r>
    <n v="36849"/>
    <x v="14"/>
    <x v="4"/>
    <x v="225"/>
    <x v="0"/>
    <x v="844"/>
    <x v="0"/>
    <d v="2024-12-02T00:00:00"/>
    <d v="2025-01-06T00:00:00"/>
    <x v="0"/>
    <x v="847"/>
    <x v="0"/>
    <x v="0"/>
    <x v="0"/>
    <x v="0"/>
    <x v="0"/>
    <x v="0"/>
  </r>
  <r>
    <n v="96669"/>
    <x v="11"/>
    <x v="4"/>
    <x v="174"/>
    <x v="6"/>
    <x v="845"/>
    <x v="2"/>
    <d v="2024-05-14T00:00:00"/>
    <d v="2024-06-17T00:00:00"/>
    <x v="2"/>
    <x v="848"/>
    <x v="0"/>
    <x v="0"/>
    <x v="0"/>
    <x v="0"/>
    <x v="0"/>
    <x v="1"/>
  </r>
  <r>
    <n v="86631"/>
    <x v="2"/>
    <x v="1"/>
    <x v="112"/>
    <x v="0"/>
    <x v="846"/>
    <x v="4"/>
    <d v="2024-10-09T00:00:00"/>
    <d v="2024-10-31T00:00:00"/>
    <x v="2"/>
    <x v="849"/>
    <x v="0"/>
    <x v="0"/>
    <x v="0"/>
    <x v="0"/>
    <x v="0"/>
    <x v="0"/>
  </r>
  <r>
    <n v="28705"/>
    <x v="15"/>
    <x v="4"/>
    <x v="324"/>
    <x v="0"/>
    <x v="847"/>
    <x v="2"/>
    <d v="2024-01-24T00:00:00"/>
    <d v="2024-01-29T00:00:00"/>
    <x v="0"/>
    <x v="850"/>
    <x v="0"/>
    <x v="0"/>
    <x v="0"/>
    <x v="0"/>
    <x v="0"/>
    <x v="0"/>
  </r>
  <r>
    <n v="36739"/>
    <x v="3"/>
    <x v="2"/>
    <x v="9"/>
    <x v="1"/>
    <x v="848"/>
    <x v="4"/>
    <d v="2024-08-21T00:00:00"/>
    <d v="2024-09-29T00:00:00"/>
    <x v="2"/>
    <x v="851"/>
    <x v="0"/>
    <x v="0"/>
    <x v="0"/>
    <x v="0"/>
    <x v="0"/>
    <x v="0"/>
  </r>
  <r>
    <n v="94085"/>
    <x v="12"/>
    <x v="0"/>
    <x v="123"/>
    <x v="5"/>
    <x v="849"/>
    <x v="4"/>
    <d v="2024-10-06T00:00:00"/>
    <d v="2024-10-18T00:00:00"/>
    <x v="0"/>
    <x v="852"/>
    <x v="0"/>
    <x v="0"/>
    <x v="0"/>
    <x v="0"/>
    <x v="0"/>
    <x v="1"/>
  </r>
  <r>
    <n v="29558"/>
    <x v="12"/>
    <x v="0"/>
    <x v="212"/>
    <x v="1"/>
    <x v="850"/>
    <x v="1"/>
    <d v="2024-12-19T00:00:00"/>
    <d v="2025-01-22T00:00:00"/>
    <x v="0"/>
    <x v="853"/>
    <x v="0"/>
    <x v="0"/>
    <x v="0"/>
    <x v="0"/>
    <x v="0"/>
    <x v="1"/>
  </r>
  <r>
    <n v="70926"/>
    <x v="13"/>
    <x v="3"/>
    <x v="54"/>
    <x v="6"/>
    <x v="851"/>
    <x v="4"/>
    <d v="2024-07-08T00:00:00"/>
    <d v="2024-08-09T00:00:00"/>
    <x v="2"/>
    <x v="854"/>
    <x v="1"/>
    <x v="76"/>
    <x v="1"/>
    <x v="1"/>
    <x v="1"/>
    <x v="1"/>
  </r>
  <r>
    <n v="23163"/>
    <x v="4"/>
    <x v="0"/>
    <x v="406"/>
    <x v="4"/>
    <x v="852"/>
    <x v="1"/>
    <d v="2024-01-07T00:00:00"/>
    <d v="2024-02-08T00:00:00"/>
    <x v="2"/>
    <x v="855"/>
    <x v="0"/>
    <x v="0"/>
    <x v="0"/>
    <x v="0"/>
    <x v="0"/>
    <x v="0"/>
  </r>
  <r>
    <n v="12413"/>
    <x v="12"/>
    <x v="0"/>
    <x v="407"/>
    <x v="4"/>
    <x v="853"/>
    <x v="1"/>
    <d v="2024-11-18T00:00:00"/>
    <d v="2024-12-15T00:00:00"/>
    <x v="2"/>
    <x v="856"/>
    <x v="0"/>
    <x v="0"/>
    <x v="0"/>
    <x v="0"/>
    <x v="0"/>
    <x v="0"/>
  </r>
  <r>
    <n v="89731"/>
    <x v="5"/>
    <x v="2"/>
    <x v="376"/>
    <x v="0"/>
    <x v="854"/>
    <x v="2"/>
    <d v="2024-10-30T00:00:00"/>
    <d v="2024-11-28T00:00:00"/>
    <x v="0"/>
    <x v="857"/>
    <x v="1"/>
    <x v="31"/>
    <x v="1"/>
    <x v="1"/>
    <x v="1"/>
    <x v="1"/>
  </r>
  <r>
    <n v="11214"/>
    <x v="3"/>
    <x v="2"/>
    <x v="199"/>
    <x v="6"/>
    <x v="495"/>
    <x v="2"/>
    <d v="2024-04-13T00:00:00"/>
    <d v="2024-04-27T00:00:00"/>
    <x v="1"/>
    <x v="858"/>
    <x v="1"/>
    <x v="31"/>
    <x v="1"/>
    <x v="1"/>
    <x v="1"/>
    <x v="1"/>
  </r>
  <r>
    <n v="55807"/>
    <x v="3"/>
    <x v="2"/>
    <x v="245"/>
    <x v="1"/>
    <x v="855"/>
    <x v="1"/>
    <d v="2024-07-24T00:00:00"/>
    <d v="2024-08-30T00:00:00"/>
    <x v="1"/>
    <x v="859"/>
    <x v="0"/>
    <x v="0"/>
    <x v="0"/>
    <x v="0"/>
    <x v="0"/>
    <x v="0"/>
  </r>
  <r>
    <n v="38469"/>
    <x v="10"/>
    <x v="2"/>
    <x v="46"/>
    <x v="3"/>
    <x v="856"/>
    <x v="0"/>
    <d v="2024-09-14T00:00:00"/>
    <d v="2024-09-30T00:00:00"/>
    <x v="1"/>
    <x v="860"/>
    <x v="0"/>
    <x v="0"/>
    <x v="0"/>
    <x v="0"/>
    <x v="0"/>
    <x v="0"/>
  </r>
  <r>
    <n v="26608"/>
    <x v="0"/>
    <x v="0"/>
    <x v="131"/>
    <x v="5"/>
    <x v="857"/>
    <x v="1"/>
    <d v="2024-09-14T00:00:00"/>
    <d v="2024-10-17T00:00:00"/>
    <x v="2"/>
    <x v="861"/>
    <x v="0"/>
    <x v="0"/>
    <x v="0"/>
    <x v="0"/>
    <x v="0"/>
    <x v="0"/>
  </r>
  <r>
    <n v="31630"/>
    <x v="12"/>
    <x v="0"/>
    <x v="320"/>
    <x v="1"/>
    <x v="858"/>
    <x v="4"/>
    <d v="2024-12-18T00:00:00"/>
    <d v="2024-12-28T00:00:00"/>
    <x v="1"/>
    <x v="862"/>
    <x v="0"/>
    <x v="0"/>
    <x v="0"/>
    <x v="0"/>
    <x v="0"/>
    <x v="1"/>
  </r>
  <r>
    <n v="82388"/>
    <x v="10"/>
    <x v="2"/>
    <x v="240"/>
    <x v="4"/>
    <x v="859"/>
    <x v="3"/>
    <d v="2024-02-09T00:00:00"/>
    <d v="2024-03-16T00:00:00"/>
    <x v="2"/>
    <x v="863"/>
    <x v="0"/>
    <x v="0"/>
    <x v="0"/>
    <x v="0"/>
    <x v="0"/>
    <x v="0"/>
  </r>
  <r>
    <n v="34014"/>
    <x v="2"/>
    <x v="1"/>
    <x v="348"/>
    <x v="2"/>
    <x v="860"/>
    <x v="4"/>
    <d v="2024-08-29T00:00:00"/>
    <d v="2024-09-09T00:00:00"/>
    <x v="2"/>
    <x v="864"/>
    <x v="0"/>
    <x v="0"/>
    <x v="0"/>
    <x v="0"/>
    <x v="0"/>
    <x v="0"/>
  </r>
  <r>
    <n v="93245"/>
    <x v="4"/>
    <x v="0"/>
    <x v="206"/>
    <x v="0"/>
    <x v="861"/>
    <x v="0"/>
    <d v="2024-05-31T00:00:00"/>
    <d v="2024-07-08T00:00:00"/>
    <x v="1"/>
    <x v="865"/>
    <x v="0"/>
    <x v="0"/>
    <x v="0"/>
    <x v="0"/>
    <x v="0"/>
    <x v="0"/>
  </r>
  <r>
    <n v="11831"/>
    <x v="3"/>
    <x v="2"/>
    <x v="374"/>
    <x v="5"/>
    <x v="862"/>
    <x v="1"/>
    <d v="2024-11-05T00:00:00"/>
    <d v="2024-12-06T00:00:00"/>
    <x v="1"/>
    <x v="866"/>
    <x v="1"/>
    <x v="30"/>
    <x v="1"/>
    <x v="1"/>
    <x v="1"/>
    <x v="1"/>
  </r>
  <r>
    <n v="86508"/>
    <x v="12"/>
    <x v="0"/>
    <x v="201"/>
    <x v="2"/>
    <x v="863"/>
    <x v="3"/>
    <d v="2024-11-03T00:00:00"/>
    <d v="2024-11-23T00:00:00"/>
    <x v="0"/>
    <x v="867"/>
    <x v="0"/>
    <x v="0"/>
    <x v="0"/>
    <x v="0"/>
    <x v="0"/>
    <x v="0"/>
  </r>
  <r>
    <n v="21017"/>
    <x v="0"/>
    <x v="0"/>
    <x v="121"/>
    <x v="1"/>
    <x v="864"/>
    <x v="0"/>
    <d v="2024-12-06T00:00:00"/>
    <d v="2024-12-15T00:00:00"/>
    <x v="0"/>
    <x v="868"/>
    <x v="0"/>
    <x v="0"/>
    <x v="0"/>
    <x v="0"/>
    <x v="0"/>
    <x v="0"/>
  </r>
  <r>
    <n v="10368"/>
    <x v="16"/>
    <x v="3"/>
    <x v="360"/>
    <x v="2"/>
    <x v="865"/>
    <x v="3"/>
    <d v="2024-01-10T00:00:00"/>
    <d v="2024-01-23T00:00:00"/>
    <x v="1"/>
    <x v="869"/>
    <x v="0"/>
    <x v="0"/>
    <x v="0"/>
    <x v="0"/>
    <x v="0"/>
    <x v="0"/>
  </r>
  <r>
    <n v="38365"/>
    <x v="5"/>
    <x v="2"/>
    <x v="260"/>
    <x v="2"/>
    <x v="866"/>
    <x v="3"/>
    <d v="2024-01-11T00:00:00"/>
    <d v="2024-02-10T00:00:00"/>
    <x v="2"/>
    <x v="870"/>
    <x v="0"/>
    <x v="0"/>
    <x v="0"/>
    <x v="0"/>
    <x v="0"/>
    <x v="0"/>
  </r>
  <r>
    <n v="45670"/>
    <x v="0"/>
    <x v="0"/>
    <x v="103"/>
    <x v="4"/>
    <x v="867"/>
    <x v="2"/>
    <d v="2024-11-28T00:00:00"/>
    <d v="2025-01-02T00:00:00"/>
    <x v="1"/>
    <x v="871"/>
    <x v="0"/>
    <x v="0"/>
    <x v="0"/>
    <x v="0"/>
    <x v="0"/>
    <x v="0"/>
  </r>
  <r>
    <n v="66326"/>
    <x v="6"/>
    <x v="3"/>
    <x v="408"/>
    <x v="2"/>
    <x v="868"/>
    <x v="0"/>
    <d v="2024-07-10T00:00:00"/>
    <d v="2024-07-26T00:00:00"/>
    <x v="1"/>
    <x v="872"/>
    <x v="0"/>
    <x v="0"/>
    <x v="0"/>
    <x v="0"/>
    <x v="0"/>
    <x v="0"/>
  </r>
  <r>
    <n v="51964"/>
    <x v="11"/>
    <x v="4"/>
    <x v="407"/>
    <x v="3"/>
    <x v="869"/>
    <x v="4"/>
    <d v="2024-08-20T00:00:00"/>
    <d v="2024-09-27T00:00:00"/>
    <x v="1"/>
    <x v="873"/>
    <x v="0"/>
    <x v="0"/>
    <x v="0"/>
    <x v="0"/>
    <x v="0"/>
    <x v="0"/>
  </r>
  <r>
    <n v="84353"/>
    <x v="0"/>
    <x v="0"/>
    <x v="1"/>
    <x v="4"/>
    <x v="870"/>
    <x v="2"/>
    <d v="2024-05-20T00:00:00"/>
    <d v="2024-06-24T00:00:00"/>
    <x v="1"/>
    <x v="874"/>
    <x v="0"/>
    <x v="0"/>
    <x v="0"/>
    <x v="0"/>
    <x v="0"/>
    <x v="0"/>
  </r>
  <r>
    <n v="68008"/>
    <x v="2"/>
    <x v="1"/>
    <x v="409"/>
    <x v="1"/>
    <x v="871"/>
    <x v="4"/>
    <d v="2024-08-11T00:00:00"/>
    <d v="2024-08-29T00:00:00"/>
    <x v="1"/>
    <x v="875"/>
    <x v="0"/>
    <x v="0"/>
    <x v="0"/>
    <x v="0"/>
    <x v="0"/>
    <x v="1"/>
  </r>
  <r>
    <n v="78906"/>
    <x v="16"/>
    <x v="3"/>
    <x v="321"/>
    <x v="1"/>
    <x v="872"/>
    <x v="3"/>
    <d v="2024-12-28T00:00:00"/>
    <d v="2025-01-06T00:00:00"/>
    <x v="1"/>
    <x v="876"/>
    <x v="1"/>
    <x v="77"/>
    <x v="1"/>
    <x v="1"/>
    <x v="1"/>
    <x v="1"/>
  </r>
  <r>
    <n v="42125"/>
    <x v="3"/>
    <x v="2"/>
    <x v="38"/>
    <x v="6"/>
    <x v="873"/>
    <x v="3"/>
    <d v="2024-03-07T00:00:00"/>
    <d v="2024-04-02T00:00:00"/>
    <x v="1"/>
    <x v="877"/>
    <x v="0"/>
    <x v="0"/>
    <x v="0"/>
    <x v="0"/>
    <x v="0"/>
    <x v="0"/>
  </r>
  <r>
    <n v="16895"/>
    <x v="2"/>
    <x v="1"/>
    <x v="102"/>
    <x v="3"/>
    <x v="874"/>
    <x v="2"/>
    <d v="2024-08-25T00:00:00"/>
    <d v="2024-09-25T00:00:00"/>
    <x v="2"/>
    <x v="878"/>
    <x v="0"/>
    <x v="0"/>
    <x v="0"/>
    <x v="0"/>
    <x v="0"/>
    <x v="0"/>
  </r>
  <r>
    <n v="65823"/>
    <x v="16"/>
    <x v="3"/>
    <x v="304"/>
    <x v="0"/>
    <x v="875"/>
    <x v="3"/>
    <d v="2024-04-23T00:00:00"/>
    <d v="2024-05-17T00:00:00"/>
    <x v="1"/>
    <x v="879"/>
    <x v="0"/>
    <x v="0"/>
    <x v="0"/>
    <x v="0"/>
    <x v="0"/>
    <x v="1"/>
  </r>
  <r>
    <n v="30982"/>
    <x v="16"/>
    <x v="3"/>
    <x v="46"/>
    <x v="4"/>
    <x v="876"/>
    <x v="3"/>
    <d v="2024-10-26T00:00:00"/>
    <d v="2024-11-11T00:00:00"/>
    <x v="1"/>
    <x v="880"/>
    <x v="0"/>
    <x v="0"/>
    <x v="0"/>
    <x v="0"/>
    <x v="0"/>
    <x v="1"/>
  </r>
  <r>
    <n v="27358"/>
    <x v="9"/>
    <x v="1"/>
    <x v="310"/>
    <x v="4"/>
    <x v="877"/>
    <x v="1"/>
    <d v="2024-04-12T00:00:00"/>
    <d v="2024-05-04T00:00:00"/>
    <x v="1"/>
    <x v="881"/>
    <x v="0"/>
    <x v="0"/>
    <x v="0"/>
    <x v="0"/>
    <x v="0"/>
    <x v="0"/>
  </r>
  <r>
    <n v="46495"/>
    <x v="12"/>
    <x v="0"/>
    <x v="309"/>
    <x v="5"/>
    <x v="878"/>
    <x v="3"/>
    <d v="2024-09-05T00:00:00"/>
    <d v="2024-09-14T00:00:00"/>
    <x v="2"/>
    <x v="882"/>
    <x v="0"/>
    <x v="0"/>
    <x v="0"/>
    <x v="0"/>
    <x v="0"/>
    <x v="1"/>
  </r>
  <r>
    <n v="19716"/>
    <x v="11"/>
    <x v="4"/>
    <x v="362"/>
    <x v="0"/>
    <x v="879"/>
    <x v="2"/>
    <d v="2024-04-30T00:00:00"/>
    <d v="2024-05-16T00:00:00"/>
    <x v="2"/>
    <x v="883"/>
    <x v="0"/>
    <x v="0"/>
    <x v="0"/>
    <x v="0"/>
    <x v="0"/>
    <x v="0"/>
  </r>
  <r>
    <n v="17213"/>
    <x v="10"/>
    <x v="2"/>
    <x v="171"/>
    <x v="2"/>
    <x v="880"/>
    <x v="0"/>
    <d v="2024-08-08T00:00:00"/>
    <d v="2024-08-28T00:00:00"/>
    <x v="1"/>
    <x v="884"/>
    <x v="0"/>
    <x v="0"/>
    <x v="0"/>
    <x v="0"/>
    <x v="0"/>
    <x v="0"/>
  </r>
  <r>
    <n v="85386"/>
    <x v="13"/>
    <x v="3"/>
    <x v="370"/>
    <x v="0"/>
    <x v="881"/>
    <x v="2"/>
    <d v="2024-06-09T00:00:00"/>
    <d v="2024-07-14T00:00:00"/>
    <x v="2"/>
    <x v="885"/>
    <x v="0"/>
    <x v="0"/>
    <x v="0"/>
    <x v="0"/>
    <x v="0"/>
    <x v="0"/>
  </r>
  <r>
    <n v="54149"/>
    <x v="15"/>
    <x v="4"/>
    <x v="410"/>
    <x v="2"/>
    <x v="882"/>
    <x v="3"/>
    <d v="2024-01-23T00:00:00"/>
    <d v="2024-02-03T00:00:00"/>
    <x v="0"/>
    <x v="886"/>
    <x v="0"/>
    <x v="0"/>
    <x v="0"/>
    <x v="0"/>
    <x v="0"/>
    <x v="0"/>
  </r>
  <r>
    <n v="84554"/>
    <x v="3"/>
    <x v="2"/>
    <x v="161"/>
    <x v="4"/>
    <x v="883"/>
    <x v="1"/>
    <d v="2024-02-13T00:00:00"/>
    <d v="2024-03-18T00:00:00"/>
    <x v="1"/>
    <x v="887"/>
    <x v="0"/>
    <x v="0"/>
    <x v="0"/>
    <x v="0"/>
    <x v="0"/>
    <x v="0"/>
  </r>
  <r>
    <n v="81327"/>
    <x v="1"/>
    <x v="0"/>
    <x v="6"/>
    <x v="1"/>
    <x v="884"/>
    <x v="1"/>
    <d v="2024-11-13T00:00:00"/>
    <d v="2024-12-10T00:00:00"/>
    <x v="1"/>
    <x v="888"/>
    <x v="0"/>
    <x v="0"/>
    <x v="0"/>
    <x v="0"/>
    <x v="0"/>
    <x v="0"/>
  </r>
  <r>
    <n v="51831"/>
    <x v="10"/>
    <x v="2"/>
    <x v="351"/>
    <x v="6"/>
    <x v="885"/>
    <x v="2"/>
    <d v="2024-12-22T00:00:00"/>
    <d v="2025-01-12T00:00:00"/>
    <x v="0"/>
    <x v="889"/>
    <x v="0"/>
    <x v="0"/>
    <x v="0"/>
    <x v="0"/>
    <x v="0"/>
    <x v="1"/>
  </r>
  <r>
    <n v="96799"/>
    <x v="3"/>
    <x v="2"/>
    <x v="298"/>
    <x v="1"/>
    <x v="886"/>
    <x v="1"/>
    <d v="2024-03-23T00:00:00"/>
    <d v="2024-04-02T00:00:00"/>
    <x v="1"/>
    <x v="890"/>
    <x v="0"/>
    <x v="0"/>
    <x v="0"/>
    <x v="0"/>
    <x v="0"/>
    <x v="1"/>
  </r>
  <r>
    <n v="22336"/>
    <x v="8"/>
    <x v="1"/>
    <x v="43"/>
    <x v="1"/>
    <x v="887"/>
    <x v="2"/>
    <d v="2024-11-06T00:00:00"/>
    <d v="2024-11-11T00:00:00"/>
    <x v="0"/>
    <x v="891"/>
    <x v="0"/>
    <x v="0"/>
    <x v="0"/>
    <x v="0"/>
    <x v="0"/>
    <x v="0"/>
  </r>
  <r>
    <n v="37228"/>
    <x v="7"/>
    <x v="3"/>
    <x v="274"/>
    <x v="6"/>
    <x v="888"/>
    <x v="3"/>
    <d v="2024-05-06T00:00:00"/>
    <d v="2024-05-27T00:00:00"/>
    <x v="1"/>
    <x v="892"/>
    <x v="1"/>
    <x v="78"/>
    <x v="1"/>
    <x v="1"/>
    <x v="1"/>
    <x v="1"/>
  </r>
  <r>
    <n v="45256"/>
    <x v="15"/>
    <x v="4"/>
    <x v="259"/>
    <x v="4"/>
    <x v="889"/>
    <x v="4"/>
    <d v="2024-08-15T00:00:00"/>
    <d v="2024-09-16T00:00:00"/>
    <x v="1"/>
    <x v="893"/>
    <x v="0"/>
    <x v="0"/>
    <x v="0"/>
    <x v="0"/>
    <x v="0"/>
    <x v="0"/>
  </r>
  <r>
    <n v="15409"/>
    <x v="5"/>
    <x v="2"/>
    <x v="326"/>
    <x v="6"/>
    <x v="890"/>
    <x v="0"/>
    <d v="2024-12-18T00:00:00"/>
    <d v="2025-01-03T00:00:00"/>
    <x v="1"/>
    <x v="894"/>
    <x v="0"/>
    <x v="0"/>
    <x v="0"/>
    <x v="0"/>
    <x v="0"/>
    <x v="1"/>
  </r>
  <r>
    <n v="29768"/>
    <x v="7"/>
    <x v="3"/>
    <x v="351"/>
    <x v="1"/>
    <x v="891"/>
    <x v="0"/>
    <d v="2024-12-24T00:00:00"/>
    <d v="2025-01-12T00:00:00"/>
    <x v="2"/>
    <x v="895"/>
    <x v="0"/>
    <x v="0"/>
    <x v="0"/>
    <x v="0"/>
    <x v="0"/>
    <x v="1"/>
  </r>
  <r>
    <n v="25764"/>
    <x v="12"/>
    <x v="0"/>
    <x v="204"/>
    <x v="3"/>
    <x v="892"/>
    <x v="2"/>
    <d v="2024-03-17T00:00:00"/>
    <d v="2024-04-07T00:00:00"/>
    <x v="1"/>
    <x v="896"/>
    <x v="1"/>
    <x v="6"/>
    <x v="1"/>
    <x v="1"/>
    <x v="1"/>
    <x v="1"/>
  </r>
  <r>
    <n v="23894"/>
    <x v="16"/>
    <x v="3"/>
    <x v="198"/>
    <x v="2"/>
    <x v="893"/>
    <x v="3"/>
    <d v="2024-03-01T00:00:00"/>
    <d v="2024-03-31T00:00:00"/>
    <x v="1"/>
    <x v="897"/>
    <x v="0"/>
    <x v="0"/>
    <x v="0"/>
    <x v="0"/>
    <x v="0"/>
    <x v="0"/>
  </r>
  <r>
    <n v="27733"/>
    <x v="5"/>
    <x v="2"/>
    <x v="411"/>
    <x v="1"/>
    <x v="894"/>
    <x v="3"/>
    <d v="2024-07-12T00:00:00"/>
    <d v="2024-08-04T00:00:00"/>
    <x v="0"/>
    <x v="898"/>
    <x v="0"/>
    <x v="0"/>
    <x v="0"/>
    <x v="0"/>
    <x v="0"/>
    <x v="0"/>
  </r>
  <r>
    <n v="51152"/>
    <x v="16"/>
    <x v="3"/>
    <x v="391"/>
    <x v="5"/>
    <x v="895"/>
    <x v="0"/>
    <d v="2024-06-01T00:00:00"/>
    <d v="2024-07-08T00:00:00"/>
    <x v="2"/>
    <x v="899"/>
    <x v="1"/>
    <x v="79"/>
    <x v="1"/>
    <x v="1"/>
    <x v="1"/>
    <x v="1"/>
  </r>
  <r>
    <n v="83664"/>
    <x v="11"/>
    <x v="4"/>
    <x v="391"/>
    <x v="0"/>
    <x v="896"/>
    <x v="2"/>
    <d v="2024-11-28T00:00:00"/>
    <d v="2024-12-22T00:00:00"/>
    <x v="1"/>
    <x v="900"/>
    <x v="0"/>
    <x v="0"/>
    <x v="0"/>
    <x v="0"/>
    <x v="0"/>
    <x v="1"/>
  </r>
  <r>
    <n v="47684"/>
    <x v="14"/>
    <x v="4"/>
    <x v="277"/>
    <x v="6"/>
    <x v="897"/>
    <x v="3"/>
    <d v="2024-04-02T00:00:00"/>
    <d v="2024-05-02T00:00:00"/>
    <x v="2"/>
    <x v="901"/>
    <x v="0"/>
    <x v="0"/>
    <x v="0"/>
    <x v="0"/>
    <x v="0"/>
    <x v="1"/>
  </r>
  <r>
    <n v="97700"/>
    <x v="16"/>
    <x v="3"/>
    <x v="239"/>
    <x v="6"/>
    <x v="898"/>
    <x v="4"/>
    <d v="2024-09-16T00:00:00"/>
    <d v="2024-09-26T00:00:00"/>
    <x v="2"/>
    <x v="902"/>
    <x v="1"/>
    <x v="80"/>
    <x v="1"/>
    <x v="1"/>
    <x v="1"/>
    <x v="1"/>
  </r>
  <r>
    <n v="92999"/>
    <x v="6"/>
    <x v="3"/>
    <x v="222"/>
    <x v="3"/>
    <x v="899"/>
    <x v="2"/>
    <d v="2024-06-09T00:00:00"/>
    <d v="2024-06-27T00:00:00"/>
    <x v="0"/>
    <x v="903"/>
    <x v="0"/>
    <x v="0"/>
    <x v="0"/>
    <x v="0"/>
    <x v="0"/>
    <x v="1"/>
  </r>
  <r>
    <n v="44523"/>
    <x v="13"/>
    <x v="3"/>
    <x v="412"/>
    <x v="5"/>
    <x v="848"/>
    <x v="0"/>
    <d v="2024-12-05T00:00:00"/>
    <d v="2025-01-07T00:00:00"/>
    <x v="0"/>
    <x v="904"/>
    <x v="0"/>
    <x v="0"/>
    <x v="0"/>
    <x v="0"/>
    <x v="0"/>
    <x v="1"/>
  </r>
  <r>
    <n v="16256"/>
    <x v="10"/>
    <x v="2"/>
    <x v="184"/>
    <x v="6"/>
    <x v="900"/>
    <x v="0"/>
    <d v="2024-07-20T00:00:00"/>
    <d v="2024-08-11T00:00:00"/>
    <x v="0"/>
    <x v="905"/>
    <x v="1"/>
    <x v="81"/>
    <x v="1"/>
    <x v="1"/>
    <x v="1"/>
    <x v="1"/>
  </r>
  <r>
    <n v="99922"/>
    <x v="8"/>
    <x v="1"/>
    <x v="40"/>
    <x v="1"/>
    <x v="901"/>
    <x v="0"/>
    <d v="2024-11-29T00:00:00"/>
    <d v="2024-12-27T00:00:00"/>
    <x v="1"/>
    <x v="906"/>
    <x v="0"/>
    <x v="0"/>
    <x v="0"/>
    <x v="0"/>
    <x v="0"/>
    <x v="1"/>
  </r>
  <r>
    <n v="75936"/>
    <x v="2"/>
    <x v="1"/>
    <x v="328"/>
    <x v="6"/>
    <x v="902"/>
    <x v="3"/>
    <d v="2024-06-04T00:00:00"/>
    <d v="2024-07-07T00:00:00"/>
    <x v="0"/>
    <x v="907"/>
    <x v="0"/>
    <x v="0"/>
    <x v="0"/>
    <x v="0"/>
    <x v="0"/>
    <x v="0"/>
  </r>
  <r>
    <n v="11353"/>
    <x v="9"/>
    <x v="1"/>
    <x v="166"/>
    <x v="0"/>
    <x v="903"/>
    <x v="0"/>
    <d v="2024-08-13T00:00:00"/>
    <d v="2024-08-27T00:00:00"/>
    <x v="2"/>
    <x v="908"/>
    <x v="0"/>
    <x v="0"/>
    <x v="0"/>
    <x v="0"/>
    <x v="0"/>
    <x v="0"/>
  </r>
  <r>
    <n v="30800"/>
    <x v="1"/>
    <x v="0"/>
    <x v="144"/>
    <x v="0"/>
    <x v="904"/>
    <x v="1"/>
    <d v="2024-06-03T00:00:00"/>
    <d v="2024-06-13T00:00:00"/>
    <x v="2"/>
    <x v="909"/>
    <x v="0"/>
    <x v="0"/>
    <x v="0"/>
    <x v="0"/>
    <x v="0"/>
    <x v="0"/>
  </r>
  <r>
    <n v="57279"/>
    <x v="8"/>
    <x v="1"/>
    <x v="268"/>
    <x v="6"/>
    <x v="905"/>
    <x v="4"/>
    <d v="2024-02-20T00:00:00"/>
    <d v="2024-03-19T00:00:00"/>
    <x v="2"/>
    <x v="910"/>
    <x v="1"/>
    <x v="61"/>
    <x v="1"/>
    <x v="1"/>
    <x v="1"/>
    <x v="1"/>
  </r>
  <r>
    <n v="73755"/>
    <x v="5"/>
    <x v="2"/>
    <x v="393"/>
    <x v="4"/>
    <x v="906"/>
    <x v="1"/>
    <d v="2024-07-22T00:00:00"/>
    <d v="2024-08-06T00:00:00"/>
    <x v="2"/>
    <x v="911"/>
    <x v="0"/>
    <x v="0"/>
    <x v="0"/>
    <x v="0"/>
    <x v="0"/>
    <x v="0"/>
  </r>
  <r>
    <n v="36751"/>
    <x v="3"/>
    <x v="2"/>
    <x v="65"/>
    <x v="1"/>
    <x v="907"/>
    <x v="4"/>
    <d v="2024-11-09T00:00:00"/>
    <d v="2024-12-07T00:00:00"/>
    <x v="0"/>
    <x v="912"/>
    <x v="0"/>
    <x v="0"/>
    <x v="0"/>
    <x v="0"/>
    <x v="0"/>
    <x v="0"/>
  </r>
  <r>
    <n v="60231"/>
    <x v="11"/>
    <x v="4"/>
    <x v="181"/>
    <x v="6"/>
    <x v="908"/>
    <x v="0"/>
    <d v="2024-07-16T00:00:00"/>
    <d v="2024-07-23T00:00:00"/>
    <x v="1"/>
    <x v="913"/>
    <x v="0"/>
    <x v="0"/>
    <x v="0"/>
    <x v="0"/>
    <x v="0"/>
    <x v="1"/>
  </r>
  <r>
    <n v="31390"/>
    <x v="7"/>
    <x v="3"/>
    <x v="391"/>
    <x v="3"/>
    <x v="909"/>
    <x v="1"/>
    <d v="2024-02-26T00:00:00"/>
    <d v="2024-03-08T00:00:00"/>
    <x v="2"/>
    <x v="914"/>
    <x v="0"/>
    <x v="0"/>
    <x v="0"/>
    <x v="0"/>
    <x v="0"/>
    <x v="0"/>
  </r>
  <r>
    <n v="57013"/>
    <x v="0"/>
    <x v="0"/>
    <x v="386"/>
    <x v="3"/>
    <x v="910"/>
    <x v="1"/>
    <d v="2024-02-12T00:00:00"/>
    <d v="2024-03-13T00:00:00"/>
    <x v="0"/>
    <x v="915"/>
    <x v="0"/>
    <x v="0"/>
    <x v="0"/>
    <x v="0"/>
    <x v="0"/>
    <x v="1"/>
  </r>
  <r>
    <n v="34124"/>
    <x v="10"/>
    <x v="2"/>
    <x v="413"/>
    <x v="2"/>
    <x v="911"/>
    <x v="4"/>
    <d v="2024-07-31T00:00:00"/>
    <d v="2024-08-24T00:00:00"/>
    <x v="1"/>
    <x v="916"/>
    <x v="0"/>
    <x v="0"/>
    <x v="0"/>
    <x v="0"/>
    <x v="0"/>
    <x v="0"/>
  </r>
  <r>
    <n v="95283"/>
    <x v="4"/>
    <x v="0"/>
    <x v="25"/>
    <x v="3"/>
    <x v="912"/>
    <x v="4"/>
    <d v="2024-12-18T00:00:00"/>
    <d v="2025-01-15T00:00:00"/>
    <x v="1"/>
    <x v="917"/>
    <x v="0"/>
    <x v="0"/>
    <x v="0"/>
    <x v="0"/>
    <x v="0"/>
    <x v="0"/>
  </r>
  <r>
    <n v="39377"/>
    <x v="12"/>
    <x v="0"/>
    <x v="267"/>
    <x v="1"/>
    <x v="913"/>
    <x v="3"/>
    <d v="2024-07-23T00:00:00"/>
    <d v="2024-08-20T00:00:00"/>
    <x v="0"/>
    <x v="918"/>
    <x v="0"/>
    <x v="0"/>
    <x v="0"/>
    <x v="0"/>
    <x v="0"/>
    <x v="0"/>
  </r>
  <r>
    <n v="65283"/>
    <x v="3"/>
    <x v="2"/>
    <x v="414"/>
    <x v="0"/>
    <x v="914"/>
    <x v="1"/>
    <d v="2024-12-02T00:00:00"/>
    <d v="2025-01-03T00:00:00"/>
    <x v="1"/>
    <x v="919"/>
    <x v="0"/>
    <x v="0"/>
    <x v="0"/>
    <x v="0"/>
    <x v="0"/>
    <x v="0"/>
  </r>
  <r>
    <n v="32553"/>
    <x v="11"/>
    <x v="4"/>
    <x v="301"/>
    <x v="6"/>
    <x v="915"/>
    <x v="0"/>
    <d v="2024-10-14T00:00:00"/>
    <d v="2024-11-19T00:00:00"/>
    <x v="0"/>
    <x v="920"/>
    <x v="0"/>
    <x v="0"/>
    <x v="0"/>
    <x v="0"/>
    <x v="0"/>
    <x v="1"/>
  </r>
  <r>
    <n v="92227"/>
    <x v="13"/>
    <x v="3"/>
    <x v="415"/>
    <x v="3"/>
    <x v="916"/>
    <x v="0"/>
    <d v="2024-08-18T00:00:00"/>
    <d v="2024-08-29T00:00:00"/>
    <x v="0"/>
    <x v="921"/>
    <x v="0"/>
    <x v="0"/>
    <x v="0"/>
    <x v="0"/>
    <x v="0"/>
    <x v="0"/>
  </r>
  <r>
    <n v="71607"/>
    <x v="11"/>
    <x v="4"/>
    <x v="374"/>
    <x v="2"/>
    <x v="917"/>
    <x v="4"/>
    <d v="2024-02-22T00:00:00"/>
    <d v="2024-03-16T00:00:00"/>
    <x v="0"/>
    <x v="922"/>
    <x v="0"/>
    <x v="0"/>
    <x v="0"/>
    <x v="0"/>
    <x v="0"/>
    <x v="1"/>
  </r>
  <r>
    <n v="18837"/>
    <x v="2"/>
    <x v="1"/>
    <x v="176"/>
    <x v="4"/>
    <x v="918"/>
    <x v="0"/>
    <d v="2024-06-15T00:00:00"/>
    <d v="2024-06-28T00:00:00"/>
    <x v="2"/>
    <x v="923"/>
    <x v="0"/>
    <x v="0"/>
    <x v="0"/>
    <x v="0"/>
    <x v="0"/>
    <x v="1"/>
  </r>
  <r>
    <n v="86349"/>
    <x v="7"/>
    <x v="3"/>
    <x v="416"/>
    <x v="0"/>
    <x v="919"/>
    <x v="4"/>
    <d v="2024-07-29T00:00:00"/>
    <d v="2024-08-19T00:00:00"/>
    <x v="0"/>
    <x v="924"/>
    <x v="0"/>
    <x v="0"/>
    <x v="0"/>
    <x v="0"/>
    <x v="0"/>
    <x v="0"/>
  </r>
  <r>
    <n v="52487"/>
    <x v="2"/>
    <x v="1"/>
    <x v="103"/>
    <x v="6"/>
    <x v="920"/>
    <x v="2"/>
    <d v="2024-03-22T00:00:00"/>
    <d v="2024-04-05T00:00:00"/>
    <x v="0"/>
    <x v="925"/>
    <x v="0"/>
    <x v="0"/>
    <x v="0"/>
    <x v="0"/>
    <x v="0"/>
    <x v="1"/>
  </r>
  <r>
    <n v="28976"/>
    <x v="0"/>
    <x v="0"/>
    <x v="222"/>
    <x v="1"/>
    <x v="921"/>
    <x v="1"/>
    <d v="2024-12-09T00:00:00"/>
    <d v="2024-12-15T00:00:00"/>
    <x v="1"/>
    <x v="926"/>
    <x v="0"/>
    <x v="0"/>
    <x v="0"/>
    <x v="0"/>
    <x v="0"/>
    <x v="1"/>
  </r>
  <r>
    <n v="94360"/>
    <x v="9"/>
    <x v="1"/>
    <x v="38"/>
    <x v="1"/>
    <x v="922"/>
    <x v="2"/>
    <d v="2024-02-11T00:00:00"/>
    <d v="2024-03-07T00:00:00"/>
    <x v="1"/>
    <x v="927"/>
    <x v="0"/>
    <x v="0"/>
    <x v="0"/>
    <x v="0"/>
    <x v="0"/>
    <x v="0"/>
  </r>
  <r>
    <n v="15190"/>
    <x v="10"/>
    <x v="2"/>
    <x v="42"/>
    <x v="2"/>
    <x v="923"/>
    <x v="2"/>
    <d v="2024-11-15T00:00:00"/>
    <d v="2024-12-12T00:00:00"/>
    <x v="0"/>
    <x v="928"/>
    <x v="0"/>
    <x v="0"/>
    <x v="0"/>
    <x v="0"/>
    <x v="0"/>
    <x v="0"/>
  </r>
  <r>
    <n v="97858"/>
    <x v="10"/>
    <x v="2"/>
    <x v="187"/>
    <x v="6"/>
    <x v="924"/>
    <x v="2"/>
    <d v="2024-01-09T00:00:00"/>
    <d v="2024-02-15T00:00:00"/>
    <x v="2"/>
    <x v="929"/>
    <x v="0"/>
    <x v="0"/>
    <x v="0"/>
    <x v="0"/>
    <x v="0"/>
    <x v="1"/>
  </r>
  <r>
    <n v="85271"/>
    <x v="6"/>
    <x v="3"/>
    <x v="359"/>
    <x v="2"/>
    <x v="925"/>
    <x v="1"/>
    <d v="2024-01-14T00:00:00"/>
    <d v="2024-02-02T00:00:00"/>
    <x v="0"/>
    <x v="930"/>
    <x v="0"/>
    <x v="0"/>
    <x v="0"/>
    <x v="0"/>
    <x v="0"/>
    <x v="0"/>
  </r>
  <r>
    <n v="48409"/>
    <x v="1"/>
    <x v="0"/>
    <x v="125"/>
    <x v="5"/>
    <x v="926"/>
    <x v="1"/>
    <d v="2024-11-02T00:00:00"/>
    <d v="2024-12-05T00:00:00"/>
    <x v="1"/>
    <x v="931"/>
    <x v="0"/>
    <x v="0"/>
    <x v="0"/>
    <x v="0"/>
    <x v="0"/>
    <x v="0"/>
  </r>
  <r>
    <n v="91238"/>
    <x v="14"/>
    <x v="4"/>
    <x v="159"/>
    <x v="1"/>
    <x v="927"/>
    <x v="3"/>
    <d v="2024-07-06T00:00:00"/>
    <d v="2024-07-30T00:00:00"/>
    <x v="2"/>
    <x v="932"/>
    <x v="0"/>
    <x v="0"/>
    <x v="0"/>
    <x v="0"/>
    <x v="0"/>
    <x v="0"/>
  </r>
  <r>
    <n v="38341"/>
    <x v="4"/>
    <x v="0"/>
    <x v="417"/>
    <x v="2"/>
    <x v="928"/>
    <x v="2"/>
    <d v="2024-11-12T00:00:00"/>
    <d v="2024-11-26T00:00:00"/>
    <x v="0"/>
    <x v="933"/>
    <x v="0"/>
    <x v="0"/>
    <x v="0"/>
    <x v="0"/>
    <x v="0"/>
    <x v="0"/>
  </r>
  <r>
    <n v="48383"/>
    <x v="16"/>
    <x v="3"/>
    <x v="338"/>
    <x v="6"/>
    <x v="929"/>
    <x v="4"/>
    <d v="2024-08-10T00:00:00"/>
    <d v="2024-09-06T00:00:00"/>
    <x v="1"/>
    <x v="934"/>
    <x v="1"/>
    <x v="12"/>
    <x v="1"/>
    <x v="1"/>
    <x v="1"/>
    <x v="1"/>
  </r>
  <r>
    <n v="65612"/>
    <x v="8"/>
    <x v="1"/>
    <x v="216"/>
    <x v="1"/>
    <x v="930"/>
    <x v="0"/>
    <d v="2024-10-10T00:00:00"/>
    <d v="2024-11-15T00:00:00"/>
    <x v="1"/>
    <x v="935"/>
    <x v="0"/>
    <x v="0"/>
    <x v="0"/>
    <x v="0"/>
    <x v="0"/>
    <x v="0"/>
  </r>
  <r>
    <n v="16853"/>
    <x v="9"/>
    <x v="1"/>
    <x v="418"/>
    <x v="3"/>
    <x v="931"/>
    <x v="3"/>
    <d v="2024-07-23T00:00:00"/>
    <d v="2024-08-01T00:00:00"/>
    <x v="1"/>
    <x v="936"/>
    <x v="0"/>
    <x v="0"/>
    <x v="0"/>
    <x v="0"/>
    <x v="0"/>
    <x v="0"/>
  </r>
  <r>
    <n v="87186"/>
    <x v="1"/>
    <x v="0"/>
    <x v="418"/>
    <x v="3"/>
    <x v="932"/>
    <x v="3"/>
    <d v="2024-05-11T00:00:00"/>
    <d v="2024-06-09T00:00:00"/>
    <x v="2"/>
    <x v="937"/>
    <x v="0"/>
    <x v="0"/>
    <x v="0"/>
    <x v="0"/>
    <x v="0"/>
    <x v="0"/>
  </r>
  <r>
    <n v="19969"/>
    <x v="4"/>
    <x v="0"/>
    <x v="413"/>
    <x v="0"/>
    <x v="933"/>
    <x v="1"/>
    <d v="2024-10-04T00:00:00"/>
    <d v="2024-10-14T00:00:00"/>
    <x v="2"/>
    <x v="938"/>
    <x v="0"/>
    <x v="0"/>
    <x v="0"/>
    <x v="0"/>
    <x v="0"/>
    <x v="0"/>
  </r>
  <r>
    <n v="99614"/>
    <x v="11"/>
    <x v="4"/>
    <x v="73"/>
    <x v="4"/>
    <x v="934"/>
    <x v="4"/>
    <d v="2024-03-12T00:00:00"/>
    <d v="2024-03-29T00:00:00"/>
    <x v="2"/>
    <x v="939"/>
    <x v="0"/>
    <x v="0"/>
    <x v="0"/>
    <x v="0"/>
    <x v="0"/>
    <x v="0"/>
  </r>
  <r>
    <n v="20131"/>
    <x v="13"/>
    <x v="3"/>
    <x v="146"/>
    <x v="6"/>
    <x v="935"/>
    <x v="4"/>
    <d v="2024-05-18T00:00:00"/>
    <d v="2024-06-11T00:00:00"/>
    <x v="2"/>
    <x v="940"/>
    <x v="1"/>
    <x v="64"/>
    <x v="1"/>
    <x v="1"/>
    <x v="1"/>
    <x v="1"/>
  </r>
  <r>
    <n v="98822"/>
    <x v="2"/>
    <x v="1"/>
    <x v="217"/>
    <x v="3"/>
    <x v="936"/>
    <x v="2"/>
    <d v="2024-07-19T00:00:00"/>
    <d v="2024-08-23T00:00:00"/>
    <x v="0"/>
    <x v="941"/>
    <x v="0"/>
    <x v="0"/>
    <x v="0"/>
    <x v="0"/>
    <x v="0"/>
    <x v="0"/>
  </r>
  <r>
    <n v="28706"/>
    <x v="13"/>
    <x v="3"/>
    <x v="175"/>
    <x v="4"/>
    <x v="596"/>
    <x v="4"/>
    <d v="2024-12-24T00:00:00"/>
    <d v="2025-01-14T00:00:00"/>
    <x v="1"/>
    <x v="942"/>
    <x v="0"/>
    <x v="0"/>
    <x v="0"/>
    <x v="0"/>
    <x v="0"/>
    <x v="0"/>
  </r>
  <r>
    <n v="48015"/>
    <x v="2"/>
    <x v="1"/>
    <x v="98"/>
    <x v="1"/>
    <x v="937"/>
    <x v="1"/>
    <d v="2024-06-01T00:00:00"/>
    <d v="2024-06-16T00:00:00"/>
    <x v="2"/>
    <x v="943"/>
    <x v="0"/>
    <x v="0"/>
    <x v="0"/>
    <x v="0"/>
    <x v="0"/>
    <x v="0"/>
  </r>
  <r>
    <n v="55784"/>
    <x v="9"/>
    <x v="1"/>
    <x v="331"/>
    <x v="3"/>
    <x v="938"/>
    <x v="1"/>
    <d v="2024-01-23T00:00:00"/>
    <d v="2024-02-09T00:00:00"/>
    <x v="2"/>
    <x v="944"/>
    <x v="0"/>
    <x v="0"/>
    <x v="0"/>
    <x v="0"/>
    <x v="0"/>
    <x v="0"/>
  </r>
  <r>
    <n v="65989"/>
    <x v="8"/>
    <x v="1"/>
    <x v="419"/>
    <x v="2"/>
    <x v="939"/>
    <x v="1"/>
    <d v="2024-03-25T00:00:00"/>
    <d v="2024-04-30T00:00:00"/>
    <x v="1"/>
    <x v="945"/>
    <x v="0"/>
    <x v="0"/>
    <x v="0"/>
    <x v="0"/>
    <x v="0"/>
    <x v="0"/>
  </r>
  <r>
    <n v="77560"/>
    <x v="2"/>
    <x v="1"/>
    <x v="181"/>
    <x v="5"/>
    <x v="940"/>
    <x v="1"/>
    <d v="2024-06-04T00:00:00"/>
    <d v="2024-06-09T00:00:00"/>
    <x v="1"/>
    <x v="946"/>
    <x v="0"/>
    <x v="0"/>
    <x v="0"/>
    <x v="0"/>
    <x v="0"/>
    <x v="1"/>
  </r>
  <r>
    <n v="25916"/>
    <x v="12"/>
    <x v="0"/>
    <x v="380"/>
    <x v="3"/>
    <x v="941"/>
    <x v="3"/>
    <d v="2024-09-26T00:00:00"/>
    <d v="2024-10-12T00:00:00"/>
    <x v="1"/>
    <x v="947"/>
    <x v="0"/>
    <x v="0"/>
    <x v="0"/>
    <x v="0"/>
    <x v="0"/>
    <x v="0"/>
  </r>
  <r>
    <n v="45233"/>
    <x v="15"/>
    <x v="4"/>
    <x v="186"/>
    <x v="2"/>
    <x v="942"/>
    <x v="3"/>
    <d v="2024-09-30T00:00:00"/>
    <d v="2024-10-24T00:00:00"/>
    <x v="2"/>
    <x v="948"/>
    <x v="0"/>
    <x v="0"/>
    <x v="0"/>
    <x v="0"/>
    <x v="0"/>
    <x v="0"/>
  </r>
  <r>
    <n v="78295"/>
    <x v="11"/>
    <x v="4"/>
    <x v="257"/>
    <x v="3"/>
    <x v="943"/>
    <x v="2"/>
    <d v="2024-09-09T00:00:00"/>
    <d v="2024-10-02T00:00:00"/>
    <x v="1"/>
    <x v="949"/>
    <x v="0"/>
    <x v="0"/>
    <x v="0"/>
    <x v="0"/>
    <x v="0"/>
    <x v="0"/>
  </r>
  <r>
    <n v="81309"/>
    <x v="3"/>
    <x v="2"/>
    <x v="420"/>
    <x v="6"/>
    <x v="944"/>
    <x v="0"/>
    <d v="2024-08-15T00:00:00"/>
    <d v="2024-09-05T00:00:00"/>
    <x v="0"/>
    <x v="950"/>
    <x v="0"/>
    <x v="0"/>
    <x v="0"/>
    <x v="0"/>
    <x v="0"/>
    <x v="1"/>
  </r>
  <r>
    <n v="16791"/>
    <x v="7"/>
    <x v="3"/>
    <x v="55"/>
    <x v="0"/>
    <x v="945"/>
    <x v="2"/>
    <d v="2024-02-22T00:00:00"/>
    <d v="2024-03-08T00:00:00"/>
    <x v="1"/>
    <x v="951"/>
    <x v="0"/>
    <x v="0"/>
    <x v="0"/>
    <x v="0"/>
    <x v="0"/>
    <x v="0"/>
  </r>
  <r>
    <n v="53220"/>
    <x v="1"/>
    <x v="0"/>
    <x v="342"/>
    <x v="6"/>
    <x v="946"/>
    <x v="2"/>
    <d v="2024-02-17T00:00:00"/>
    <d v="2024-03-19T00:00:00"/>
    <x v="1"/>
    <x v="952"/>
    <x v="0"/>
    <x v="0"/>
    <x v="0"/>
    <x v="0"/>
    <x v="0"/>
    <x v="1"/>
  </r>
  <r>
    <n v="38261"/>
    <x v="16"/>
    <x v="3"/>
    <x v="153"/>
    <x v="4"/>
    <x v="947"/>
    <x v="1"/>
    <d v="2024-03-17T00:00:00"/>
    <d v="2024-04-16T00:00:00"/>
    <x v="0"/>
    <x v="953"/>
    <x v="0"/>
    <x v="0"/>
    <x v="0"/>
    <x v="0"/>
    <x v="0"/>
    <x v="1"/>
  </r>
  <r>
    <n v="43012"/>
    <x v="4"/>
    <x v="0"/>
    <x v="252"/>
    <x v="0"/>
    <x v="948"/>
    <x v="1"/>
    <d v="2024-03-17T00:00:00"/>
    <d v="2024-04-18T00:00:00"/>
    <x v="2"/>
    <x v="954"/>
    <x v="0"/>
    <x v="0"/>
    <x v="0"/>
    <x v="0"/>
    <x v="0"/>
    <x v="0"/>
  </r>
  <r>
    <n v="45167"/>
    <x v="13"/>
    <x v="3"/>
    <x v="111"/>
    <x v="2"/>
    <x v="949"/>
    <x v="3"/>
    <d v="2024-03-24T00:00:00"/>
    <d v="2024-04-12T00:00:00"/>
    <x v="0"/>
    <x v="955"/>
    <x v="0"/>
    <x v="0"/>
    <x v="0"/>
    <x v="0"/>
    <x v="0"/>
    <x v="0"/>
  </r>
  <r>
    <n v="51002"/>
    <x v="13"/>
    <x v="3"/>
    <x v="124"/>
    <x v="6"/>
    <x v="950"/>
    <x v="2"/>
    <d v="2024-07-27T00:00:00"/>
    <d v="2024-09-01T00:00:00"/>
    <x v="1"/>
    <x v="956"/>
    <x v="0"/>
    <x v="0"/>
    <x v="0"/>
    <x v="0"/>
    <x v="0"/>
    <x v="1"/>
  </r>
  <r>
    <n v="28205"/>
    <x v="7"/>
    <x v="3"/>
    <x v="421"/>
    <x v="5"/>
    <x v="951"/>
    <x v="0"/>
    <d v="2024-06-25T00:00:00"/>
    <d v="2024-08-01T00:00:00"/>
    <x v="1"/>
    <x v="957"/>
    <x v="1"/>
    <x v="14"/>
    <x v="1"/>
    <x v="1"/>
    <x v="1"/>
    <x v="1"/>
  </r>
  <r>
    <n v="45645"/>
    <x v="15"/>
    <x v="4"/>
    <x v="391"/>
    <x v="5"/>
    <x v="952"/>
    <x v="2"/>
    <d v="2024-04-03T00:00:00"/>
    <d v="2024-05-10T00:00:00"/>
    <x v="2"/>
    <x v="958"/>
    <x v="1"/>
    <x v="79"/>
    <x v="1"/>
    <x v="1"/>
    <x v="1"/>
    <x v="1"/>
  </r>
  <r>
    <n v="22213"/>
    <x v="2"/>
    <x v="1"/>
    <x v="256"/>
    <x v="0"/>
    <x v="953"/>
    <x v="3"/>
    <d v="2024-07-08T00:00:00"/>
    <d v="2024-08-06T00:00:00"/>
    <x v="1"/>
    <x v="959"/>
    <x v="0"/>
    <x v="0"/>
    <x v="0"/>
    <x v="0"/>
    <x v="0"/>
    <x v="0"/>
  </r>
  <r>
    <n v="32369"/>
    <x v="11"/>
    <x v="4"/>
    <x v="339"/>
    <x v="2"/>
    <x v="954"/>
    <x v="3"/>
    <d v="2024-02-15T00:00:00"/>
    <d v="2024-02-28T00:00:00"/>
    <x v="1"/>
    <x v="960"/>
    <x v="1"/>
    <x v="32"/>
    <x v="1"/>
    <x v="1"/>
    <x v="1"/>
    <x v="1"/>
  </r>
  <r>
    <n v="37328"/>
    <x v="6"/>
    <x v="3"/>
    <x v="383"/>
    <x v="2"/>
    <x v="955"/>
    <x v="0"/>
    <d v="2024-09-02T00:00:00"/>
    <d v="2024-09-21T00:00:00"/>
    <x v="2"/>
    <x v="961"/>
    <x v="0"/>
    <x v="0"/>
    <x v="0"/>
    <x v="0"/>
    <x v="0"/>
    <x v="1"/>
  </r>
  <r>
    <n v="59882"/>
    <x v="4"/>
    <x v="0"/>
    <x v="218"/>
    <x v="2"/>
    <x v="956"/>
    <x v="3"/>
    <d v="2024-01-10T00:00:00"/>
    <d v="2024-01-15T00:00:00"/>
    <x v="1"/>
    <x v="962"/>
    <x v="0"/>
    <x v="0"/>
    <x v="0"/>
    <x v="0"/>
    <x v="0"/>
    <x v="0"/>
  </r>
  <r>
    <n v="77042"/>
    <x v="10"/>
    <x v="2"/>
    <x v="338"/>
    <x v="6"/>
    <x v="957"/>
    <x v="4"/>
    <d v="2024-12-14T00:00:00"/>
    <d v="2025-01-02T00:00:00"/>
    <x v="1"/>
    <x v="963"/>
    <x v="1"/>
    <x v="12"/>
    <x v="1"/>
    <x v="1"/>
    <x v="1"/>
    <x v="1"/>
  </r>
  <r>
    <n v="99110"/>
    <x v="4"/>
    <x v="0"/>
    <x v="339"/>
    <x v="1"/>
    <x v="958"/>
    <x v="0"/>
    <d v="2024-05-01T00:00:00"/>
    <d v="2024-05-31T00:00:00"/>
    <x v="0"/>
    <x v="964"/>
    <x v="1"/>
    <x v="33"/>
    <x v="1"/>
    <x v="1"/>
    <x v="1"/>
    <x v="1"/>
  </r>
  <r>
    <n v="13621"/>
    <x v="8"/>
    <x v="1"/>
    <x v="340"/>
    <x v="0"/>
    <x v="959"/>
    <x v="2"/>
    <d v="2024-02-21T00:00:00"/>
    <d v="2024-03-13T00:00:00"/>
    <x v="0"/>
    <x v="965"/>
    <x v="0"/>
    <x v="0"/>
    <x v="0"/>
    <x v="0"/>
    <x v="0"/>
    <x v="0"/>
  </r>
  <r>
    <n v="25659"/>
    <x v="15"/>
    <x v="4"/>
    <x v="107"/>
    <x v="2"/>
    <x v="960"/>
    <x v="2"/>
    <d v="2024-11-06T00:00:00"/>
    <d v="2024-11-25T00:00:00"/>
    <x v="0"/>
    <x v="966"/>
    <x v="0"/>
    <x v="0"/>
    <x v="0"/>
    <x v="0"/>
    <x v="0"/>
    <x v="1"/>
  </r>
  <r>
    <n v="67745"/>
    <x v="12"/>
    <x v="0"/>
    <x v="422"/>
    <x v="2"/>
    <x v="961"/>
    <x v="2"/>
    <d v="2024-05-27T00:00:00"/>
    <d v="2024-06-11T00:00:00"/>
    <x v="0"/>
    <x v="967"/>
    <x v="0"/>
    <x v="0"/>
    <x v="0"/>
    <x v="0"/>
    <x v="0"/>
    <x v="0"/>
  </r>
  <r>
    <n v="38797"/>
    <x v="0"/>
    <x v="0"/>
    <x v="314"/>
    <x v="1"/>
    <x v="962"/>
    <x v="1"/>
    <d v="2024-11-15T00:00:00"/>
    <d v="2024-11-28T00:00:00"/>
    <x v="2"/>
    <x v="968"/>
    <x v="0"/>
    <x v="0"/>
    <x v="0"/>
    <x v="0"/>
    <x v="0"/>
    <x v="0"/>
  </r>
  <r>
    <n v="85591"/>
    <x v="9"/>
    <x v="1"/>
    <x v="423"/>
    <x v="2"/>
    <x v="963"/>
    <x v="4"/>
    <d v="2024-07-27T00:00:00"/>
    <d v="2024-08-25T00:00:00"/>
    <x v="0"/>
    <x v="969"/>
    <x v="0"/>
    <x v="0"/>
    <x v="0"/>
    <x v="0"/>
    <x v="0"/>
    <x v="0"/>
  </r>
  <r>
    <n v="67632"/>
    <x v="9"/>
    <x v="1"/>
    <x v="146"/>
    <x v="6"/>
    <x v="964"/>
    <x v="1"/>
    <d v="2024-04-03T00:00:00"/>
    <d v="2024-04-23T00:00:00"/>
    <x v="2"/>
    <x v="970"/>
    <x v="1"/>
    <x v="64"/>
    <x v="1"/>
    <x v="1"/>
    <x v="1"/>
    <x v="1"/>
  </r>
  <r>
    <n v="63517"/>
    <x v="2"/>
    <x v="1"/>
    <x v="257"/>
    <x v="2"/>
    <x v="965"/>
    <x v="4"/>
    <d v="2024-12-11T00:00:00"/>
    <d v="2024-12-31T00:00:00"/>
    <x v="1"/>
    <x v="971"/>
    <x v="0"/>
    <x v="0"/>
    <x v="0"/>
    <x v="0"/>
    <x v="0"/>
    <x v="0"/>
  </r>
  <r>
    <n v="23275"/>
    <x v="5"/>
    <x v="2"/>
    <x v="30"/>
    <x v="0"/>
    <x v="966"/>
    <x v="2"/>
    <d v="2024-08-02T00:00:00"/>
    <d v="2024-08-14T00:00:00"/>
    <x v="2"/>
    <x v="972"/>
    <x v="0"/>
    <x v="0"/>
    <x v="0"/>
    <x v="0"/>
    <x v="0"/>
    <x v="0"/>
  </r>
  <r>
    <n v="42624"/>
    <x v="13"/>
    <x v="3"/>
    <x v="233"/>
    <x v="2"/>
    <x v="967"/>
    <x v="1"/>
    <d v="2024-03-03T00:00:00"/>
    <d v="2024-04-08T00:00:00"/>
    <x v="0"/>
    <x v="973"/>
    <x v="0"/>
    <x v="0"/>
    <x v="0"/>
    <x v="0"/>
    <x v="0"/>
    <x v="0"/>
  </r>
  <r>
    <n v="75546"/>
    <x v="12"/>
    <x v="0"/>
    <x v="200"/>
    <x v="4"/>
    <x v="968"/>
    <x v="0"/>
    <d v="2024-05-31T00:00:00"/>
    <d v="2024-06-28T00:00:00"/>
    <x v="2"/>
    <x v="974"/>
    <x v="0"/>
    <x v="0"/>
    <x v="0"/>
    <x v="0"/>
    <x v="0"/>
    <x v="0"/>
  </r>
  <r>
    <n v="65872"/>
    <x v="14"/>
    <x v="4"/>
    <x v="76"/>
    <x v="4"/>
    <x v="969"/>
    <x v="3"/>
    <d v="2024-05-07T00:00:00"/>
    <d v="2024-06-08T00:00:00"/>
    <x v="1"/>
    <x v="975"/>
    <x v="0"/>
    <x v="0"/>
    <x v="0"/>
    <x v="0"/>
    <x v="0"/>
    <x v="0"/>
  </r>
  <r>
    <n v="54135"/>
    <x v="4"/>
    <x v="0"/>
    <x v="98"/>
    <x v="1"/>
    <x v="970"/>
    <x v="2"/>
    <d v="2024-07-28T00:00:00"/>
    <d v="2024-08-07T00:00:00"/>
    <x v="0"/>
    <x v="976"/>
    <x v="0"/>
    <x v="0"/>
    <x v="0"/>
    <x v="0"/>
    <x v="0"/>
    <x v="0"/>
  </r>
  <r>
    <n v="42872"/>
    <x v="12"/>
    <x v="0"/>
    <x v="217"/>
    <x v="5"/>
    <x v="971"/>
    <x v="1"/>
    <d v="2024-01-31T00:00:00"/>
    <d v="2024-02-11T00:00:00"/>
    <x v="2"/>
    <x v="977"/>
    <x v="0"/>
    <x v="0"/>
    <x v="0"/>
    <x v="0"/>
    <x v="0"/>
    <x v="0"/>
  </r>
  <r>
    <n v="32228"/>
    <x v="6"/>
    <x v="3"/>
    <x v="269"/>
    <x v="5"/>
    <x v="972"/>
    <x v="2"/>
    <d v="2024-03-07T00:00:00"/>
    <d v="2024-03-26T00:00:00"/>
    <x v="0"/>
    <x v="978"/>
    <x v="0"/>
    <x v="0"/>
    <x v="0"/>
    <x v="0"/>
    <x v="0"/>
    <x v="1"/>
  </r>
  <r>
    <n v="71756"/>
    <x v="1"/>
    <x v="0"/>
    <x v="37"/>
    <x v="2"/>
    <x v="973"/>
    <x v="2"/>
    <d v="2024-04-01T00:00:00"/>
    <d v="2024-04-28T00:00:00"/>
    <x v="2"/>
    <x v="979"/>
    <x v="0"/>
    <x v="0"/>
    <x v="0"/>
    <x v="0"/>
    <x v="0"/>
    <x v="0"/>
  </r>
  <r>
    <n v="68182"/>
    <x v="5"/>
    <x v="2"/>
    <x v="40"/>
    <x v="5"/>
    <x v="974"/>
    <x v="1"/>
    <d v="2024-10-04T00:00:00"/>
    <d v="2024-10-26T00:00:00"/>
    <x v="2"/>
    <x v="980"/>
    <x v="0"/>
    <x v="0"/>
    <x v="0"/>
    <x v="0"/>
    <x v="0"/>
    <x v="1"/>
  </r>
  <r>
    <n v="17436"/>
    <x v="15"/>
    <x v="4"/>
    <x v="241"/>
    <x v="1"/>
    <x v="975"/>
    <x v="1"/>
    <d v="2024-11-22T00:00:00"/>
    <d v="2024-12-05T00:00:00"/>
    <x v="1"/>
    <x v="981"/>
    <x v="0"/>
    <x v="0"/>
    <x v="0"/>
    <x v="0"/>
    <x v="0"/>
    <x v="0"/>
  </r>
  <r>
    <n v="27157"/>
    <x v="10"/>
    <x v="2"/>
    <x v="219"/>
    <x v="6"/>
    <x v="976"/>
    <x v="4"/>
    <d v="2024-06-11T00:00:00"/>
    <d v="2024-06-30T00:00:00"/>
    <x v="0"/>
    <x v="982"/>
    <x v="0"/>
    <x v="0"/>
    <x v="0"/>
    <x v="0"/>
    <x v="0"/>
    <x v="1"/>
  </r>
  <r>
    <n v="37213"/>
    <x v="9"/>
    <x v="1"/>
    <x v="226"/>
    <x v="4"/>
    <x v="977"/>
    <x v="0"/>
    <d v="2024-04-27T00:00:00"/>
    <d v="2024-06-04T00:00:00"/>
    <x v="1"/>
    <x v="983"/>
    <x v="0"/>
    <x v="0"/>
    <x v="0"/>
    <x v="0"/>
    <x v="0"/>
    <x v="0"/>
  </r>
  <r>
    <n v="43371"/>
    <x v="0"/>
    <x v="0"/>
    <x v="424"/>
    <x v="4"/>
    <x v="978"/>
    <x v="4"/>
    <d v="2024-01-26T00:00:00"/>
    <d v="2024-02-17T00:00:00"/>
    <x v="1"/>
    <x v="984"/>
    <x v="0"/>
    <x v="0"/>
    <x v="0"/>
    <x v="0"/>
    <x v="0"/>
    <x v="0"/>
  </r>
  <r>
    <n v="44381"/>
    <x v="10"/>
    <x v="2"/>
    <x v="336"/>
    <x v="0"/>
    <x v="979"/>
    <x v="2"/>
    <d v="2024-07-05T00:00:00"/>
    <d v="2024-07-15T00:00:00"/>
    <x v="2"/>
    <x v="985"/>
    <x v="0"/>
    <x v="0"/>
    <x v="0"/>
    <x v="0"/>
    <x v="0"/>
    <x v="0"/>
  </r>
  <r>
    <n v="36745"/>
    <x v="16"/>
    <x v="3"/>
    <x v="165"/>
    <x v="4"/>
    <x v="980"/>
    <x v="0"/>
    <d v="2024-05-28T00:00:00"/>
    <d v="2024-06-28T00:00:00"/>
    <x v="2"/>
    <x v="986"/>
    <x v="0"/>
    <x v="0"/>
    <x v="0"/>
    <x v="0"/>
    <x v="0"/>
    <x v="0"/>
  </r>
  <r>
    <n v="74555"/>
    <x v="7"/>
    <x v="3"/>
    <x v="425"/>
    <x v="3"/>
    <x v="981"/>
    <x v="4"/>
    <d v="2024-09-29T00:00:00"/>
    <d v="2024-10-07T00:00:00"/>
    <x v="0"/>
    <x v="987"/>
    <x v="0"/>
    <x v="0"/>
    <x v="0"/>
    <x v="0"/>
    <x v="0"/>
    <x v="0"/>
  </r>
  <r>
    <n v="57096"/>
    <x v="10"/>
    <x v="2"/>
    <x v="91"/>
    <x v="3"/>
    <x v="982"/>
    <x v="3"/>
    <d v="2024-11-18T00:00:00"/>
    <d v="2024-11-24T00:00:00"/>
    <x v="0"/>
    <x v="988"/>
    <x v="0"/>
    <x v="0"/>
    <x v="0"/>
    <x v="0"/>
    <x v="0"/>
    <x v="0"/>
  </r>
  <r>
    <n v="62726"/>
    <x v="15"/>
    <x v="4"/>
    <x v="398"/>
    <x v="2"/>
    <x v="983"/>
    <x v="2"/>
    <d v="2024-09-13T00:00:00"/>
    <d v="2024-09-20T00:00:00"/>
    <x v="0"/>
    <x v="989"/>
    <x v="0"/>
    <x v="0"/>
    <x v="0"/>
    <x v="0"/>
    <x v="0"/>
    <x v="1"/>
  </r>
  <r>
    <n v="88182"/>
    <x v="6"/>
    <x v="3"/>
    <x v="0"/>
    <x v="5"/>
    <x v="984"/>
    <x v="1"/>
    <d v="2024-02-25T00:00:00"/>
    <d v="2024-03-26T00:00:00"/>
    <x v="2"/>
    <x v="990"/>
    <x v="0"/>
    <x v="0"/>
    <x v="0"/>
    <x v="0"/>
    <x v="0"/>
    <x v="1"/>
  </r>
  <r>
    <n v="79918"/>
    <x v="8"/>
    <x v="1"/>
    <x v="303"/>
    <x v="5"/>
    <x v="985"/>
    <x v="2"/>
    <d v="2024-08-10T00:00:00"/>
    <d v="2024-08-21T00:00:00"/>
    <x v="2"/>
    <x v="991"/>
    <x v="0"/>
    <x v="0"/>
    <x v="0"/>
    <x v="0"/>
    <x v="0"/>
    <x v="0"/>
  </r>
  <r>
    <n v="63450"/>
    <x v="14"/>
    <x v="4"/>
    <x v="426"/>
    <x v="1"/>
    <x v="986"/>
    <x v="4"/>
    <d v="2024-02-07T00:00:00"/>
    <d v="2024-03-09T00:00:00"/>
    <x v="0"/>
    <x v="992"/>
    <x v="1"/>
    <x v="82"/>
    <x v="1"/>
    <x v="1"/>
    <x v="1"/>
    <x v="1"/>
  </r>
  <r>
    <n v="27290"/>
    <x v="9"/>
    <x v="1"/>
    <x v="273"/>
    <x v="6"/>
    <x v="987"/>
    <x v="2"/>
    <d v="2024-04-19T00:00:00"/>
    <d v="2024-05-06T00:00:00"/>
    <x v="0"/>
    <x v="993"/>
    <x v="0"/>
    <x v="0"/>
    <x v="0"/>
    <x v="0"/>
    <x v="0"/>
    <x v="0"/>
  </r>
  <r>
    <n v="20447"/>
    <x v="11"/>
    <x v="4"/>
    <x v="14"/>
    <x v="1"/>
    <x v="988"/>
    <x v="3"/>
    <d v="2024-09-16T00:00:00"/>
    <d v="2024-10-08T00:00:00"/>
    <x v="0"/>
    <x v="994"/>
    <x v="0"/>
    <x v="0"/>
    <x v="0"/>
    <x v="0"/>
    <x v="0"/>
    <x v="0"/>
  </r>
  <r>
    <n v="94853"/>
    <x v="4"/>
    <x v="0"/>
    <x v="259"/>
    <x v="0"/>
    <x v="989"/>
    <x v="1"/>
    <d v="2024-02-29T00:00:00"/>
    <d v="2024-03-07T00:00:00"/>
    <x v="0"/>
    <x v="995"/>
    <x v="0"/>
    <x v="0"/>
    <x v="0"/>
    <x v="0"/>
    <x v="0"/>
    <x v="0"/>
  </r>
  <r>
    <n v="91060"/>
    <x v="11"/>
    <x v="4"/>
    <x v="281"/>
    <x v="6"/>
    <x v="990"/>
    <x v="0"/>
    <d v="2024-10-06T00:00:00"/>
    <d v="2024-11-06T00:00:00"/>
    <x v="1"/>
    <x v="996"/>
    <x v="0"/>
    <x v="0"/>
    <x v="0"/>
    <x v="0"/>
    <x v="0"/>
    <x v="1"/>
  </r>
  <r>
    <n v="30874"/>
    <x v="14"/>
    <x v="4"/>
    <x v="127"/>
    <x v="4"/>
    <x v="991"/>
    <x v="1"/>
    <d v="2024-09-13T00:00:00"/>
    <d v="2024-10-09T00:00:00"/>
    <x v="1"/>
    <x v="997"/>
    <x v="0"/>
    <x v="0"/>
    <x v="0"/>
    <x v="0"/>
    <x v="0"/>
    <x v="0"/>
  </r>
  <r>
    <n v="71509"/>
    <x v="9"/>
    <x v="1"/>
    <x v="40"/>
    <x v="1"/>
    <x v="992"/>
    <x v="3"/>
    <d v="2024-05-18T00:00:00"/>
    <d v="2024-06-02T00:00:00"/>
    <x v="2"/>
    <x v="998"/>
    <x v="0"/>
    <x v="0"/>
    <x v="0"/>
    <x v="0"/>
    <x v="0"/>
    <x v="1"/>
  </r>
  <r>
    <n v="35457"/>
    <x v="13"/>
    <x v="3"/>
    <x v="189"/>
    <x v="6"/>
    <x v="993"/>
    <x v="2"/>
    <d v="2024-06-23T00:00:00"/>
    <d v="2024-07-24T00:00:00"/>
    <x v="2"/>
    <x v="999"/>
    <x v="1"/>
    <x v="25"/>
    <x v="1"/>
    <x v="1"/>
    <x v="1"/>
    <x v="1"/>
  </r>
  <r>
    <n v="62137"/>
    <x v="14"/>
    <x v="4"/>
    <x v="158"/>
    <x v="4"/>
    <x v="601"/>
    <x v="1"/>
    <d v="2024-03-04T00:00:00"/>
    <d v="2024-03-15T00:00:00"/>
    <x v="2"/>
    <x v="1000"/>
    <x v="0"/>
    <x v="0"/>
    <x v="0"/>
    <x v="0"/>
    <x v="0"/>
    <x v="0"/>
  </r>
  <r>
    <n v="10037"/>
    <x v="2"/>
    <x v="1"/>
    <x v="75"/>
    <x v="4"/>
    <x v="994"/>
    <x v="3"/>
    <d v="2024-03-05T00:00:00"/>
    <d v="2024-04-11T00:00:00"/>
    <x v="2"/>
    <x v="1001"/>
    <x v="0"/>
    <x v="0"/>
    <x v="0"/>
    <x v="0"/>
    <x v="0"/>
    <x v="0"/>
  </r>
  <r>
    <n v="72008"/>
    <x v="6"/>
    <x v="3"/>
    <x v="427"/>
    <x v="2"/>
    <x v="995"/>
    <x v="3"/>
    <d v="2024-10-23T00:00:00"/>
    <d v="2024-11-26T00:00:00"/>
    <x v="0"/>
    <x v="1002"/>
    <x v="0"/>
    <x v="0"/>
    <x v="0"/>
    <x v="0"/>
    <x v="0"/>
    <x v="0"/>
  </r>
  <r>
    <n v="43439"/>
    <x v="8"/>
    <x v="1"/>
    <x v="92"/>
    <x v="5"/>
    <x v="677"/>
    <x v="1"/>
    <d v="2024-10-07T00:00:00"/>
    <d v="2024-10-12T00:00:00"/>
    <x v="2"/>
    <x v="1003"/>
    <x v="0"/>
    <x v="0"/>
    <x v="0"/>
    <x v="0"/>
    <x v="0"/>
    <x v="1"/>
  </r>
  <r>
    <n v="44743"/>
    <x v="10"/>
    <x v="2"/>
    <x v="146"/>
    <x v="4"/>
    <x v="996"/>
    <x v="3"/>
    <d v="2024-01-02T00:00:00"/>
    <d v="2024-01-15T00:00:00"/>
    <x v="2"/>
    <x v="1004"/>
    <x v="0"/>
    <x v="0"/>
    <x v="0"/>
    <x v="0"/>
    <x v="0"/>
    <x v="1"/>
  </r>
  <r>
    <n v="92896"/>
    <x v="0"/>
    <x v="0"/>
    <x v="201"/>
    <x v="2"/>
    <x v="997"/>
    <x v="1"/>
    <d v="2024-05-10T00:00:00"/>
    <d v="2024-05-18T00:00:00"/>
    <x v="0"/>
    <x v="1005"/>
    <x v="0"/>
    <x v="0"/>
    <x v="0"/>
    <x v="0"/>
    <x v="0"/>
    <x v="0"/>
  </r>
  <r>
    <n v="10636"/>
    <x v="15"/>
    <x v="4"/>
    <x v="63"/>
    <x v="0"/>
    <x v="998"/>
    <x v="1"/>
    <d v="2024-08-17T00:00:00"/>
    <d v="2024-09-14T00:00:00"/>
    <x v="0"/>
    <x v="1006"/>
    <x v="0"/>
    <x v="0"/>
    <x v="0"/>
    <x v="0"/>
    <x v="0"/>
    <x v="0"/>
  </r>
  <r>
    <n v="83309"/>
    <x v="2"/>
    <x v="1"/>
    <x v="301"/>
    <x v="2"/>
    <x v="999"/>
    <x v="0"/>
    <d v="2024-03-01T00:00:00"/>
    <d v="2024-03-20T00:00:00"/>
    <x v="1"/>
    <x v="1007"/>
    <x v="0"/>
    <x v="0"/>
    <x v="0"/>
    <x v="0"/>
    <x v="0"/>
    <x v="0"/>
  </r>
  <r>
    <n v="24367"/>
    <x v="14"/>
    <x v="4"/>
    <x v="257"/>
    <x v="6"/>
    <x v="1000"/>
    <x v="3"/>
    <d v="2024-10-28T00:00:00"/>
    <d v="2024-12-02T00:00:00"/>
    <x v="1"/>
    <x v="1008"/>
    <x v="0"/>
    <x v="0"/>
    <x v="0"/>
    <x v="0"/>
    <x v="0"/>
    <x v="1"/>
  </r>
  <r>
    <n v="99859"/>
    <x v="6"/>
    <x v="3"/>
    <x v="395"/>
    <x v="1"/>
    <x v="1001"/>
    <x v="0"/>
    <d v="2024-03-20T00:00:00"/>
    <d v="2024-03-31T00:00:00"/>
    <x v="1"/>
    <x v="1009"/>
    <x v="0"/>
    <x v="0"/>
    <x v="0"/>
    <x v="0"/>
    <x v="0"/>
    <x v="1"/>
  </r>
  <r>
    <n v="22780"/>
    <x v="9"/>
    <x v="1"/>
    <x v="203"/>
    <x v="4"/>
    <x v="1002"/>
    <x v="0"/>
    <d v="2024-11-05T00:00:00"/>
    <d v="2024-11-26T00:00:00"/>
    <x v="2"/>
    <x v="1010"/>
    <x v="0"/>
    <x v="0"/>
    <x v="0"/>
    <x v="0"/>
    <x v="0"/>
    <x v="0"/>
  </r>
  <r>
    <n v="36148"/>
    <x v="10"/>
    <x v="2"/>
    <x v="234"/>
    <x v="5"/>
    <x v="1003"/>
    <x v="3"/>
    <d v="2024-04-24T00:00:00"/>
    <d v="2024-05-25T00:00:00"/>
    <x v="1"/>
    <x v="1011"/>
    <x v="0"/>
    <x v="0"/>
    <x v="0"/>
    <x v="0"/>
    <x v="0"/>
    <x v="0"/>
  </r>
  <r>
    <n v="30601"/>
    <x v="1"/>
    <x v="0"/>
    <x v="297"/>
    <x v="1"/>
    <x v="1004"/>
    <x v="3"/>
    <d v="2024-08-15T00:00:00"/>
    <d v="2024-09-07T00:00:00"/>
    <x v="0"/>
    <x v="1012"/>
    <x v="0"/>
    <x v="0"/>
    <x v="0"/>
    <x v="0"/>
    <x v="0"/>
    <x v="0"/>
  </r>
  <r>
    <n v="79035"/>
    <x v="11"/>
    <x v="4"/>
    <x v="396"/>
    <x v="3"/>
    <x v="1005"/>
    <x v="2"/>
    <d v="2024-06-04T00:00:00"/>
    <d v="2024-06-09T00:00:00"/>
    <x v="1"/>
    <x v="1013"/>
    <x v="0"/>
    <x v="0"/>
    <x v="0"/>
    <x v="0"/>
    <x v="0"/>
    <x v="0"/>
  </r>
  <r>
    <n v="88287"/>
    <x v="13"/>
    <x v="3"/>
    <x v="19"/>
    <x v="5"/>
    <x v="1006"/>
    <x v="0"/>
    <d v="2024-05-16T00:00:00"/>
    <d v="2024-06-02T00:00:00"/>
    <x v="2"/>
    <x v="1014"/>
    <x v="0"/>
    <x v="0"/>
    <x v="0"/>
    <x v="0"/>
    <x v="0"/>
    <x v="0"/>
  </r>
  <r>
    <n v="30125"/>
    <x v="15"/>
    <x v="4"/>
    <x v="18"/>
    <x v="3"/>
    <x v="1007"/>
    <x v="2"/>
    <d v="2024-12-02T00:00:00"/>
    <d v="2024-12-30T00:00:00"/>
    <x v="0"/>
    <x v="1015"/>
    <x v="0"/>
    <x v="0"/>
    <x v="0"/>
    <x v="0"/>
    <x v="0"/>
    <x v="0"/>
  </r>
  <r>
    <n v="48737"/>
    <x v="3"/>
    <x v="2"/>
    <x v="346"/>
    <x v="0"/>
    <x v="1008"/>
    <x v="4"/>
    <d v="2024-04-13T00:00:00"/>
    <d v="2024-05-09T00:00:00"/>
    <x v="1"/>
    <x v="1016"/>
    <x v="0"/>
    <x v="0"/>
    <x v="0"/>
    <x v="0"/>
    <x v="0"/>
    <x v="0"/>
  </r>
  <r>
    <n v="27824"/>
    <x v="11"/>
    <x v="4"/>
    <x v="4"/>
    <x v="0"/>
    <x v="1009"/>
    <x v="4"/>
    <d v="2024-03-20T00:00:00"/>
    <d v="2024-04-04T00:00:00"/>
    <x v="2"/>
    <x v="1017"/>
    <x v="0"/>
    <x v="0"/>
    <x v="0"/>
    <x v="0"/>
    <x v="0"/>
    <x v="0"/>
  </r>
  <r>
    <n v="89409"/>
    <x v="0"/>
    <x v="0"/>
    <x v="299"/>
    <x v="0"/>
    <x v="1010"/>
    <x v="3"/>
    <d v="2024-05-13T00:00:00"/>
    <d v="2024-05-26T00:00:00"/>
    <x v="1"/>
    <x v="1018"/>
    <x v="0"/>
    <x v="0"/>
    <x v="0"/>
    <x v="0"/>
    <x v="0"/>
    <x v="1"/>
  </r>
  <r>
    <n v="14311"/>
    <x v="12"/>
    <x v="0"/>
    <x v="253"/>
    <x v="5"/>
    <x v="1011"/>
    <x v="3"/>
    <d v="2024-08-22T00:00:00"/>
    <d v="2024-08-29T00:00:00"/>
    <x v="0"/>
    <x v="1019"/>
    <x v="1"/>
    <x v="83"/>
    <x v="1"/>
    <x v="1"/>
    <x v="1"/>
    <x v="1"/>
  </r>
  <r>
    <n v="19386"/>
    <x v="15"/>
    <x v="4"/>
    <x v="138"/>
    <x v="4"/>
    <x v="1012"/>
    <x v="2"/>
    <d v="2024-01-21T00:00:00"/>
    <d v="2024-02-12T00:00:00"/>
    <x v="1"/>
    <x v="1020"/>
    <x v="1"/>
    <x v="48"/>
    <x v="1"/>
    <x v="1"/>
    <x v="1"/>
    <x v="1"/>
  </r>
  <r>
    <n v="24260"/>
    <x v="16"/>
    <x v="3"/>
    <x v="330"/>
    <x v="3"/>
    <x v="1013"/>
    <x v="2"/>
    <d v="2024-11-20T00:00:00"/>
    <d v="2024-11-28T00:00:00"/>
    <x v="1"/>
    <x v="1021"/>
    <x v="0"/>
    <x v="0"/>
    <x v="0"/>
    <x v="0"/>
    <x v="0"/>
    <x v="0"/>
  </r>
  <r>
    <n v="12176"/>
    <x v="7"/>
    <x v="3"/>
    <x v="263"/>
    <x v="2"/>
    <x v="1014"/>
    <x v="0"/>
    <d v="2024-03-14T00:00:00"/>
    <d v="2024-04-10T00:00:00"/>
    <x v="0"/>
    <x v="1022"/>
    <x v="0"/>
    <x v="0"/>
    <x v="0"/>
    <x v="0"/>
    <x v="0"/>
    <x v="0"/>
  </r>
  <r>
    <n v="59752"/>
    <x v="15"/>
    <x v="4"/>
    <x v="119"/>
    <x v="4"/>
    <x v="1015"/>
    <x v="3"/>
    <d v="2024-03-07T00:00:00"/>
    <d v="2024-03-30T00:00:00"/>
    <x v="0"/>
    <x v="1023"/>
    <x v="0"/>
    <x v="0"/>
    <x v="0"/>
    <x v="0"/>
    <x v="0"/>
    <x v="1"/>
  </r>
  <r>
    <n v="14482"/>
    <x v="13"/>
    <x v="3"/>
    <x v="21"/>
    <x v="4"/>
    <x v="1016"/>
    <x v="4"/>
    <d v="2024-08-06T00:00:00"/>
    <d v="2024-09-12T00:00:00"/>
    <x v="0"/>
    <x v="1024"/>
    <x v="0"/>
    <x v="0"/>
    <x v="0"/>
    <x v="0"/>
    <x v="0"/>
    <x v="0"/>
  </r>
  <r>
    <n v="32821"/>
    <x v="0"/>
    <x v="0"/>
    <x v="326"/>
    <x v="0"/>
    <x v="1017"/>
    <x v="0"/>
    <d v="2024-10-08T00:00:00"/>
    <d v="2024-11-16T00:00:00"/>
    <x v="0"/>
    <x v="1025"/>
    <x v="0"/>
    <x v="0"/>
    <x v="0"/>
    <x v="0"/>
    <x v="0"/>
    <x v="0"/>
  </r>
  <r>
    <n v="95677"/>
    <x v="6"/>
    <x v="3"/>
    <x v="293"/>
    <x v="4"/>
    <x v="1018"/>
    <x v="3"/>
    <d v="2024-08-31T00:00:00"/>
    <d v="2024-09-23T00:00:00"/>
    <x v="2"/>
    <x v="1026"/>
    <x v="0"/>
    <x v="0"/>
    <x v="0"/>
    <x v="0"/>
    <x v="0"/>
    <x v="0"/>
  </r>
  <r>
    <n v="39669"/>
    <x v="8"/>
    <x v="1"/>
    <x v="131"/>
    <x v="5"/>
    <x v="1019"/>
    <x v="3"/>
    <d v="2024-12-18T00:00:00"/>
    <d v="2025-01-04T00:00:00"/>
    <x v="1"/>
    <x v="1027"/>
    <x v="0"/>
    <x v="0"/>
    <x v="0"/>
    <x v="0"/>
    <x v="0"/>
    <x v="0"/>
  </r>
  <r>
    <n v="46943"/>
    <x v="5"/>
    <x v="2"/>
    <x v="311"/>
    <x v="2"/>
    <x v="1020"/>
    <x v="3"/>
    <d v="2024-11-20T00:00:00"/>
    <d v="2024-11-30T00:00:00"/>
    <x v="2"/>
    <x v="1028"/>
    <x v="0"/>
    <x v="0"/>
    <x v="0"/>
    <x v="0"/>
    <x v="0"/>
    <x v="0"/>
  </r>
  <r>
    <n v="63836"/>
    <x v="8"/>
    <x v="1"/>
    <x v="428"/>
    <x v="3"/>
    <x v="1021"/>
    <x v="0"/>
    <d v="2024-02-10T00:00:00"/>
    <d v="2024-03-16T00:00:00"/>
    <x v="1"/>
    <x v="1029"/>
    <x v="0"/>
    <x v="0"/>
    <x v="0"/>
    <x v="0"/>
    <x v="0"/>
    <x v="1"/>
  </r>
  <r>
    <n v="53744"/>
    <x v="11"/>
    <x v="4"/>
    <x v="404"/>
    <x v="4"/>
    <x v="1022"/>
    <x v="1"/>
    <d v="2024-04-18T00:00:00"/>
    <d v="2024-05-24T00:00:00"/>
    <x v="0"/>
    <x v="1030"/>
    <x v="0"/>
    <x v="0"/>
    <x v="0"/>
    <x v="0"/>
    <x v="0"/>
    <x v="0"/>
  </r>
  <r>
    <n v="16806"/>
    <x v="7"/>
    <x v="3"/>
    <x v="81"/>
    <x v="1"/>
    <x v="1023"/>
    <x v="2"/>
    <d v="2024-07-09T00:00:00"/>
    <d v="2024-08-04T00:00:00"/>
    <x v="2"/>
    <x v="1031"/>
    <x v="1"/>
    <x v="46"/>
    <x v="1"/>
    <x v="1"/>
    <x v="1"/>
    <x v="1"/>
  </r>
  <r>
    <n v="68830"/>
    <x v="6"/>
    <x v="3"/>
    <x v="429"/>
    <x v="1"/>
    <x v="1024"/>
    <x v="2"/>
    <d v="2024-05-04T00:00:00"/>
    <d v="2024-05-16T00:00:00"/>
    <x v="2"/>
    <x v="1032"/>
    <x v="0"/>
    <x v="0"/>
    <x v="0"/>
    <x v="0"/>
    <x v="0"/>
    <x v="1"/>
  </r>
  <r>
    <n v="21136"/>
    <x v="16"/>
    <x v="3"/>
    <x v="430"/>
    <x v="1"/>
    <x v="1025"/>
    <x v="2"/>
    <d v="2024-05-01T00:00:00"/>
    <d v="2024-05-31T00:00:00"/>
    <x v="1"/>
    <x v="1033"/>
    <x v="0"/>
    <x v="0"/>
    <x v="0"/>
    <x v="0"/>
    <x v="0"/>
    <x v="1"/>
  </r>
  <r>
    <n v="15206"/>
    <x v="14"/>
    <x v="4"/>
    <x v="65"/>
    <x v="4"/>
    <x v="1026"/>
    <x v="1"/>
    <d v="2024-06-21T00:00:00"/>
    <d v="2024-07-21T00:00:00"/>
    <x v="2"/>
    <x v="1034"/>
    <x v="0"/>
    <x v="0"/>
    <x v="0"/>
    <x v="0"/>
    <x v="0"/>
    <x v="0"/>
  </r>
  <r>
    <n v="56728"/>
    <x v="4"/>
    <x v="0"/>
    <x v="431"/>
    <x v="2"/>
    <x v="1027"/>
    <x v="1"/>
    <d v="2024-05-10T00:00:00"/>
    <d v="2024-06-09T00:00:00"/>
    <x v="1"/>
    <x v="1035"/>
    <x v="1"/>
    <x v="79"/>
    <x v="1"/>
    <x v="1"/>
    <x v="1"/>
    <x v="1"/>
  </r>
  <r>
    <n v="87256"/>
    <x v="11"/>
    <x v="4"/>
    <x v="132"/>
    <x v="0"/>
    <x v="1028"/>
    <x v="4"/>
    <d v="2024-08-29T00:00:00"/>
    <d v="2024-09-26T00:00:00"/>
    <x v="2"/>
    <x v="1036"/>
    <x v="0"/>
    <x v="0"/>
    <x v="0"/>
    <x v="0"/>
    <x v="0"/>
    <x v="0"/>
  </r>
  <r>
    <n v="86772"/>
    <x v="6"/>
    <x v="3"/>
    <x v="222"/>
    <x v="6"/>
    <x v="1029"/>
    <x v="3"/>
    <d v="2024-03-25T00:00:00"/>
    <d v="2024-04-18T00:00:00"/>
    <x v="0"/>
    <x v="1037"/>
    <x v="1"/>
    <x v="57"/>
    <x v="1"/>
    <x v="1"/>
    <x v="1"/>
    <x v="1"/>
  </r>
  <r>
    <n v="78112"/>
    <x v="8"/>
    <x v="1"/>
    <x v="347"/>
    <x v="0"/>
    <x v="1030"/>
    <x v="2"/>
    <d v="2024-08-20T00:00:00"/>
    <d v="2024-09-22T00:00:00"/>
    <x v="0"/>
    <x v="1038"/>
    <x v="0"/>
    <x v="0"/>
    <x v="0"/>
    <x v="0"/>
    <x v="0"/>
    <x v="0"/>
  </r>
  <r>
    <n v="14535"/>
    <x v="4"/>
    <x v="0"/>
    <x v="421"/>
    <x v="0"/>
    <x v="1031"/>
    <x v="2"/>
    <d v="2024-12-03T00:00:00"/>
    <d v="2025-01-02T00:00:00"/>
    <x v="0"/>
    <x v="1039"/>
    <x v="0"/>
    <x v="0"/>
    <x v="0"/>
    <x v="0"/>
    <x v="0"/>
    <x v="1"/>
  </r>
  <r>
    <n v="93583"/>
    <x v="16"/>
    <x v="3"/>
    <x v="430"/>
    <x v="2"/>
    <x v="1032"/>
    <x v="1"/>
    <d v="2024-01-04T00:00:00"/>
    <d v="2024-01-30T00:00:00"/>
    <x v="2"/>
    <x v="1040"/>
    <x v="0"/>
    <x v="0"/>
    <x v="0"/>
    <x v="0"/>
    <x v="0"/>
    <x v="0"/>
  </r>
  <r>
    <n v="53351"/>
    <x v="10"/>
    <x v="2"/>
    <x v="336"/>
    <x v="6"/>
    <x v="1033"/>
    <x v="3"/>
    <d v="2024-09-24T00:00:00"/>
    <d v="2024-10-09T00:00:00"/>
    <x v="2"/>
    <x v="1041"/>
    <x v="0"/>
    <x v="0"/>
    <x v="0"/>
    <x v="0"/>
    <x v="0"/>
    <x v="0"/>
  </r>
  <r>
    <n v="37657"/>
    <x v="4"/>
    <x v="0"/>
    <x v="359"/>
    <x v="0"/>
    <x v="1034"/>
    <x v="2"/>
    <d v="2024-07-02T00:00:00"/>
    <d v="2024-07-20T00:00:00"/>
    <x v="1"/>
    <x v="1042"/>
    <x v="0"/>
    <x v="0"/>
    <x v="0"/>
    <x v="0"/>
    <x v="0"/>
    <x v="0"/>
  </r>
  <r>
    <n v="48165"/>
    <x v="0"/>
    <x v="0"/>
    <x v="363"/>
    <x v="0"/>
    <x v="1035"/>
    <x v="3"/>
    <d v="2024-10-01T00:00:00"/>
    <d v="2024-10-26T00:00:00"/>
    <x v="0"/>
    <x v="1043"/>
    <x v="0"/>
    <x v="0"/>
    <x v="0"/>
    <x v="0"/>
    <x v="0"/>
    <x v="0"/>
  </r>
  <r>
    <n v="56716"/>
    <x v="9"/>
    <x v="1"/>
    <x v="201"/>
    <x v="4"/>
    <x v="1036"/>
    <x v="0"/>
    <d v="2024-01-08T00:00:00"/>
    <d v="2024-01-28T00:00:00"/>
    <x v="0"/>
    <x v="1044"/>
    <x v="0"/>
    <x v="0"/>
    <x v="0"/>
    <x v="0"/>
    <x v="0"/>
    <x v="0"/>
  </r>
  <r>
    <n v="25185"/>
    <x v="2"/>
    <x v="1"/>
    <x v="223"/>
    <x v="6"/>
    <x v="1037"/>
    <x v="3"/>
    <d v="2024-03-20T00:00:00"/>
    <d v="2024-04-11T00:00:00"/>
    <x v="1"/>
    <x v="1045"/>
    <x v="0"/>
    <x v="0"/>
    <x v="0"/>
    <x v="0"/>
    <x v="0"/>
    <x v="1"/>
  </r>
  <r>
    <n v="78945"/>
    <x v="7"/>
    <x v="3"/>
    <x v="149"/>
    <x v="3"/>
    <x v="1038"/>
    <x v="1"/>
    <d v="2024-11-20T00:00:00"/>
    <d v="2024-12-13T00:00:00"/>
    <x v="0"/>
    <x v="1046"/>
    <x v="0"/>
    <x v="0"/>
    <x v="0"/>
    <x v="0"/>
    <x v="0"/>
    <x v="0"/>
  </r>
  <r>
    <n v="22109"/>
    <x v="9"/>
    <x v="1"/>
    <x v="176"/>
    <x v="1"/>
    <x v="1039"/>
    <x v="0"/>
    <d v="2024-09-28T00:00:00"/>
    <d v="2024-10-18T00:00:00"/>
    <x v="0"/>
    <x v="1047"/>
    <x v="0"/>
    <x v="0"/>
    <x v="0"/>
    <x v="0"/>
    <x v="0"/>
    <x v="1"/>
  </r>
  <r>
    <n v="27040"/>
    <x v="2"/>
    <x v="1"/>
    <x v="178"/>
    <x v="0"/>
    <x v="1040"/>
    <x v="4"/>
    <d v="2024-01-29T00:00:00"/>
    <d v="2024-02-18T00:00:00"/>
    <x v="1"/>
    <x v="1048"/>
    <x v="0"/>
    <x v="0"/>
    <x v="0"/>
    <x v="0"/>
    <x v="0"/>
    <x v="0"/>
  </r>
  <r>
    <n v="39048"/>
    <x v="8"/>
    <x v="1"/>
    <x v="432"/>
    <x v="1"/>
    <x v="1041"/>
    <x v="1"/>
    <d v="2024-09-15T00:00:00"/>
    <d v="2024-10-24T00:00:00"/>
    <x v="0"/>
    <x v="1049"/>
    <x v="0"/>
    <x v="0"/>
    <x v="0"/>
    <x v="0"/>
    <x v="0"/>
    <x v="0"/>
  </r>
  <r>
    <n v="37703"/>
    <x v="2"/>
    <x v="1"/>
    <x v="74"/>
    <x v="1"/>
    <x v="1042"/>
    <x v="1"/>
    <d v="2024-04-09T00:00:00"/>
    <d v="2024-04-30T00:00:00"/>
    <x v="2"/>
    <x v="1050"/>
    <x v="0"/>
    <x v="0"/>
    <x v="0"/>
    <x v="0"/>
    <x v="0"/>
    <x v="0"/>
  </r>
  <r>
    <n v="93509"/>
    <x v="10"/>
    <x v="2"/>
    <x v="355"/>
    <x v="0"/>
    <x v="1043"/>
    <x v="1"/>
    <d v="2024-04-03T00:00:00"/>
    <d v="2024-04-30T00:00:00"/>
    <x v="0"/>
    <x v="1051"/>
    <x v="0"/>
    <x v="0"/>
    <x v="0"/>
    <x v="0"/>
    <x v="0"/>
    <x v="0"/>
  </r>
  <r>
    <n v="71142"/>
    <x v="7"/>
    <x v="3"/>
    <x v="433"/>
    <x v="3"/>
    <x v="1044"/>
    <x v="2"/>
    <d v="2024-08-16T00:00:00"/>
    <d v="2024-09-11T00:00:00"/>
    <x v="0"/>
    <x v="1052"/>
    <x v="0"/>
    <x v="0"/>
    <x v="0"/>
    <x v="0"/>
    <x v="0"/>
    <x v="1"/>
  </r>
  <r>
    <n v="93591"/>
    <x v="2"/>
    <x v="1"/>
    <x v="336"/>
    <x v="3"/>
    <x v="1045"/>
    <x v="0"/>
    <d v="2024-12-07T00:00:00"/>
    <d v="2024-12-24T00:00:00"/>
    <x v="0"/>
    <x v="1053"/>
    <x v="0"/>
    <x v="0"/>
    <x v="0"/>
    <x v="0"/>
    <x v="0"/>
    <x v="0"/>
  </r>
  <r>
    <n v="29159"/>
    <x v="8"/>
    <x v="1"/>
    <x v="238"/>
    <x v="6"/>
    <x v="1046"/>
    <x v="4"/>
    <d v="2024-09-10T00:00:00"/>
    <d v="2024-09-21T00:00:00"/>
    <x v="0"/>
    <x v="1054"/>
    <x v="0"/>
    <x v="0"/>
    <x v="0"/>
    <x v="0"/>
    <x v="0"/>
    <x v="0"/>
  </r>
  <r>
    <n v="20532"/>
    <x v="2"/>
    <x v="1"/>
    <x v="153"/>
    <x v="5"/>
    <x v="1047"/>
    <x v="4"/>
    <d v="2024-07-26T00:00:00"/>
    <d v="2024-08-20T00:00:00"/>
    <x v="0"/>
    <x v="1055"/>
    <x v="1"/>
    <x v="73"/>
    <x v="1"/>
    <x v="1"/>
    <x v="1"/>
    <x v="1"/>
  </r>
  <r>
    <n v="84142"/>
    <x v="6"/>
    <x v="3"/>
    <x v="228"/>
    <x v="0"/>
    <x v="1048"/>
    <x v="3"/>
    <d v="2024-06-02T00:00:00"/>
    <d v="2024-06-16T00:00:00"/>
    <x v="0"/>
    <x v="1056"/>
    <x v="0"/>
    <x v="0"/>
    <x v="0"/>
    <x v="0"/>
    <x v="0"/>
    <x v="1"/>
  </r>
  <r>
    <n v="61939"/>
    <x v="16"/>
    <x v="3"/>
    <x v="434"/>
    <x v="6"/>
    <x v="1049"/>
    <x v="0"/>
    <d v="2024-03-07T00:00:00"/>
    <d v="2024-03-18T00:00:00"/>
    <x v="1"/>
    <x v="1057"/>
    <x v="0"/>
    <x v="0"/>
    <x v="0"/>
    <x v="0"/>
    <x v="0"/>
    <x v="1"/>
  </r>
  <r>
    <n v="19628"/>
    <x v="10"/>
    <x v="2"/>
    <x v="227"/>
    <x v="6"/>
    <x v="1050"/>
    <x v="1"/>
    <d v="2024-11-11T00:00:00"/>
    <d v="2024-11-16T00:00:00"/>
    <x v="0"/>
    <x v="1058"/>
    <x v="1"/>
    <x v="35"/>
    <x v="1"/>
    <x v="1"/>
    <x v="1"/>
    <x v="1"/>
  </r>
  <r>
    <n v="51679"/>
    <x v="3"/>
    <x v="2"/>
    <x v="114"/>
    <x v="0"/>
    <x v="1051"/>
    <x v="2"/>
    <d v="2024-08-22T00:00:00"/>
    <d v="2024-09-21T00:00:00"/>
    <x v="0"/>
    <x v="1059"/>
    <x v="0"/>
    <x v="0"/>
    <x v="0"/>
    <x v="0"/>
    <x v="0"/>
    <x v="0"/>
  </r>
  <r>
    <n v="27165"/>
    <x v="0"/>
    <x v="0"/>
    <x v="101"/>
    <x v="1"/>
    <x v="1052"/>
    <x v="2"/>
    <d v="2024-03-31T00:00:00"/>
    <d v="2024-04-27T00:00:00"/>
    <x v="1"/>
    <x v="1060"/>
    <x v="0"/>
    <x v="0"/>
    <x v="0"/>
    <x v="0"/>
    <x v="0"/>
    <x v="1"/>
  </r>
  <r>
    <n v="29464"/>
    <x v="12"/>
    <x v="0"/>
    <x v="294"/>
    <x v="5"/>
    <x v="1053"/>
    <x v="4"/>
    <d v="2024-07-29T00:00:00"/>
    <d v="2024-09-02T00:00:00"/>
    <x v="0"/>
    <x v="1061"/>
    <x v="0"/>
    <x v="0"/>
    <x v="0"/>
    <x v="0"/>
    <x v="0"/>
    <x v="1"/>
  </r>
  <r>
    <n v="92970"/>
    <x v="4"/>
    <x v="0"/>
    <x v="246"/>
    <x v="3"/>
    <x v="1054"/>
    <x v="1"/>
    <d v="2024-06-13T00:00:00"/>
    <d v="2024-07-10T00:00:00"/>
    <x v="2"/>
    <x v="1062"/>
    <x v="0"/>
    <x v="0"/>
    <x v="0"/>
    <x v="0"/>
    <x v="0"/>
    <x v="0"/>
  </r>
  <r>
    <n v="46135"/>
    <x v="16"/>
    <x v="3"/>
    <x v="182"/>
    <x v="0"/>
    <x v="1055"/>
    <x v="4"/>
    <d v="2024-01-19T00:00:00"/>
    <d v="2024-01-24T00:00:00"/>
    <x v="2"/>
    <x v="1063"/>
    <x v="0"/>
    <x v="0"/>
    <x v="0"/>
    <x v="0"/>
    <x v="0"/>
    <x v="0"/>
  </r>
  <r>
    <n v="65107"/>
    <x v="10"/>
    <x v="2"/>
    <x v="191"/>
    <x v="0"/>
    <x v="1056"/>
    <x v="0"/>
    <d v="2024-09-20T00:00:00"/>
    <d v="2024-10-16T00:00:00"/>
    <x v="0"/>
    <x v="1064"/>
    <x v="0"/>
    <x v="0"/>
    <x v="0"/>
    <x v="0"/>
    <x v="0"/>
    <x v="0"/>
  </r>
  <r>
    <n v="96555"/>
    <x v="11"/>
    <x v="4"/>
    <x v="297"/>
    <x v="6"/>
    <x v="1057"/>
    <x v="2"/>
    <d v="2024-03-30T00:00:00"/>
    <d v="2024-04-22T00:00:00"/>
    <x v="0"/>
    <x v="1065"/>
    <x v="0"/>
    <x v="0"/>
    <x v="0"/>
    <x v="0"/>
    <x v="0"/>
    <x v="1"/>
  </r>
  <r>
    <n v="19001"/>
    <x v="15"/>
    <x v="4"/>
    <x v="385"/>
    <x v="0"/>
    <x v="1058"/>
    <x v="3"/>
    <d v="2024-10-07T00:00:00"/>
    <d v="2024-10-13T00:00:00"/>
    <x v="0"/>
    <x v="1066"/>
    <x v="0"/>
    <x v="0"/>
    <x v="0"/>
    <x v="0"/>
    <x v="0"/>
    <x v="1"/>
  </r>
  <r>
    <n v="36797"/>
    <x v="0"/>
    <x v="0"/>
    <x v="60"/>
    <x v="2"/>
    <x v="1059"/>
    <x v="3"/>
    <d v="2024-10-20T00:00:00"/>
    <d v="2024-11-26T00:00:00"/>
    <x v="0"/>
    <x v="1067"/>
    <x v="0"/>
    <x v="0"/>
    <x v="0"/>
    <x v="0"/>
    <x v="0"/>
    <x v="0"/>
  </r>
  <r>
    <n v="26571"/>
    <x v="11"/>
    <x v="4"/>
    <x v="22"/>
    <x v="4"/>
    <x v="1060"/>
    <x v="4"/>
    <d v="2024-06-24T00:00:00"/>
    <d v="2024-07-06T00:00:00"/>
    <x v="0"/>
    <x v="1068"/>
    <x v="0"/>
    <x v="0"/>
    <x v="0"/>
    <x v="0"/>
    <x v="0"/>
    <x v="0"/>
  </r>
  <r>
    <n v="66125"/>
    <x v="2"/>
    <x v="1"/>
    <x v="183"/>
    <x v="5"/>
    <x v="1061"/>
    <x v="4"/>
    <d v="2024-09-25T00:00:00"/>
    <d v="2024-10-22T00:00:00"/>
    <x v="2"/>
    <x v="1069"/>
    <x v="0"/>
    <x v="0"/>
    <x v="0"/>
    <x v="0"/>
    <x v="0"/>
    <x v="1"/>
  </r>
  <r>
    <n v="31604"/>
    <x v="8"/>
    <x v="1"/>
    <x v="435"/>
    <x v="1"/>
    <x v="1062"/>
    <x v="0"/>
    <d v="2024-07-20T00:00:00"/>
    <d v="2024-08-12T00:00:00"/>
    <x v="0"/>
    <x v="1070"/>
    <x v="1"/>
    <x v="84"/>
    <x v="1"/>
    <x v="1"/>
    <x v="1"/>
    <x v="1"/>
  </r>
  <r>
    <n v="93629"/>
    <x v="13"/>
    <x v="3"/>
    <x v="184"/>
    <x v="5"/>
    <x v="1063"/>
    <x v="0"/>
    <d v="2024-10-07T00:00:00"/>
    <d v="2024-10-18T00:00:00"/>
    <x v="2"/>
    <x v="1071"/>
    <x v="1"/>
    <x v="40"/>
    <x v="1"/>
    <x v="1"/>
    <x v="1"/>
    <x v="1"/>
  </r>
  <r>
    <n v="29689"/>
    <x v="16"/>
    <x v="3"/>
    <x v="329"/>
    <x v="2"/>
    <x v="1064"/>
    <x v="0"/>
    <d v="2024-02-02T00:00:00"/>
    <d v="2024-02-10T00:00:00"/>
    <x v="1"/>
    <x v="1072"/>
    <x v="1"/>
    <x v="0"/>
    <x v="0"/>
    <x v="0"/>
    <x v="0"/>
    <x v="1"/>
  </r>
  <r>
    <n v="75277"/>
    <x v="0"/>
    <x v="0"/>
    <x v="258"/>
    <x v="4"/>
    <x v="1065"/>
    <x v="3"/>
    <d v="2024-11-08T00:00:00"/>
    <d v="2024-12-05T00:00:00"/>
    <x v="1"/>
    <x v="1073"/>
    <x v="0"/>
    <x v="0"/>
    <x v="0"/>
    <x v="0"/>
    <x v="0"/>
    <x v="0"/>
  </r>
  <r>
    <n v="44651"/>
    <x v="16"/>
    <x v="3"/>
    <x v="436"/>
    <x v="1"/>
    <x v="1066"/>
    <x v="2"/>
    <d v="2024-11-20T00:00:00"/>
    <d v="2024-12-25T00:00:00"/>
    <x v="2"/>
    <x v="1074"/>
    <x v="0"/>
    <x v="0"/>
    <x v="0"/>
    <x v="0"/>
    <x v="0"/>
    <x v="1"/>
  </r>
  <r>
    <n v="96240"/>
    <x v="15"/>
    <x v="4"/>
    <x v="109"/>
    <x v="3"/>
    <x v="1067"/>
    <x v="3"/>
    <d v="2024-11-11T00:00:00"/>
    <d v="2024-12-03T00:00:00"/>
    <x v="1"/>
    <x v="1075"/>
    <x v="0"/>
    <x v="0"/>
    <x v="0"/>
    <x v="0"/>
    <x v="0"/>
    <x v="0"/>
  </r>
  <r>
    <n v="98593"/>
    <x v="6"/>
    <x v="3"/>
    <x v="11"/>
    <x v="3"/>
    <x v="1068"/>
    <x v="3"/>
    <d v="2024-08-22T00:00:00"/>
    <d v="2024-09-27T00:00:00"/>
    <x v="2"/>
    <x v="1076"/>
    <x v="0"/>
    <x v="0"/>
    <x v="0"/>
    <x v="0"/>
    <x v="0"/>
    <x v="0"/>
  </r>
  <r>
    <n v="47180"/>
    <x v="11"/>
    <x v="4"/>
    <x v="337"/>
    <x v="0"/>
    <x v="1069"/>
    <x v="2"/>
    <d v="2024-02-04T00:00:00"/>
    <d v="2024-02-19T00:00:00"/>
    <x v="0"/>
    <x v="1077"/>
    <x v="0"/>
    <x v="0"/>
    <x v="0"/>
    <x v="0"/>
    <x v="0"/>
    <x v="0"/>
  </r>
  <r>
    <n v="56978"/>
    <x v="0"/>
    <x v="0"/>
    <x v="417"/>
    <x v="4"/>
    <x v="1070"/>
    <x v="4"/>
    <d v="2024-06-14T00:00:00"/>
    <d v="2024-06-19T00:00:00"/>
    <x v="2"/>
    <x v="1078"/>
    <x v="0"/>
    <x v="0"/>
    <x v="0"/>
    <x v="0"/>
    <x v="0"/>
    <x v="0"/>
  </r>
  <r>
    <n v="54706"/>
    <x v="2"/>
    <x v="1"/>
    <x v="277"/>
    <x v="2"/>
    <x v="1071"/>
    <x v="0"/>
    <d v="2024-09-06T00:00:00"/>
    <d v="2024-09-23T00:00:00"/>
    <x v="2"/>
    <x v="1079"/>
    <x v="0"/>
    <x v="0"/>
    <x v="0"/>
    <x v="0"/>
    <x v="0"/>
    <x v="0"/>
  </r>
  <r>
    <n v="38460"/>
    <x v="7"/>
    <x v="3"/>
    <x v="64"/>
    <x v="0"/>
    <x v="1072"/>
    <x v="2"/>
    <d v="2024-05-25T00:00:00"/>
    <d v="2024-06-05T00:00:00"/>
    <x v="0"/>
    <x v="1080"/>
    <x v="0"/>
    <x v="0"/>
    <x v="0"/>
    <x v="0"/>
    <x v="0"/>
    <x v="0"/>
  </r>
  <r>
    <n v="43001"/>
    <x v="14"/>
    <x v="4"/>
    <x v="437"/>
    <x v="6"/>
    <x v="1073"/>
    <x v="4"/>
    <d v="2024-08-22T00:00:00"/>
    <d v="2024-08-28T00:00:00"/>
    <x v="0"/>
    <x v="1081"/>
    <x v="0"/>
    <x v="0"/>
    <x v="0"/>
    <x v="0"/>
    <x v="0"/>
    <x v="1"/>
  </r>
  <r>
    <n v="76267"/>
    <x v="3"/>
    <x v="2"/>
    <x v="410"/>
    <x v="6"/>
    <x v="1074"/>
    <x v="2"/>
    <d v="2024-07-02T00:00:00"/>
    <d v="2024-07-12T00:00:00"/>
    <x v="2"/>
    <x v="1082"/>
    <x v="0"/>
    <x v="0"/>
    <x v="0"/>
    <x v="0"/>
    <x v="0"/>
    <x v="1"/>
  </r>
  <r>
    <n v="61690"/>
    <x v="11"/>
    <x v="4"/>
    <x v="388"/>
    <x v="6"/>
    <x v="1075"/>
    <x v="3"/>
    <d v="2024-04-23T00:00:00"/>
    <d v="2024-05-05T00:00:00"/>
    <x v="1"/>
    <x v="1083"/>
    <x v="0"/>
    <x v="0"/>
    <x v="0"/>
    <x v="0"/>
    <x v="0"/>
    <x v="1"/>
  </r>
  <r>
    <n v="14261"/>
    <x v="2"/>
    <x v="1"/>
    <x v="324"/>
    <x v="5"/>
    <x v="1076"/>
    <x v="1"/>
    <d v="2024-01-04T00:00:00"/>
    <d v="2024-01-14T00:00:00"/>
    <x v="1"/>
    <x v="1084"/>
    <x v="0"/>
    <x v="0"/>
    <x v="0"/>
    <x v="0"/>
    <x v="0"/>
    <x v="0"/>
  </r>
  <r>
    <n v="19422"/>
    <x v="14"/>
    <x v="4"/>
    <x v="92"/>
    <x v="4"/>
    <x v="1077"/>
    <x v="0"/>
    <d v="2024-07-23T00:00:00"/>
    <d v="2024-08-31T00:00:00"/>
    <x v="2"/>
    <x v="1085"/>
    <x v="0"/>
    <x v="0"/>
    <x v="0"/>
    <x v="0"/>
    <x v="0"/>
    <x v="0"/>
  </r>
  <r>
    <n v="34435"/>
    <x v="7"/>
    <x v="3"/>
    <x v="83"/>
    <x v="2"/>
    <x v="1078"/>
    <x v="4"/>
    <d v="2024-09-03T00:00:00"/>
    <d v="2024-10-12T00:00:00"/>
    <x v="2"/>
    <x v="1086"/>
    <x v="0"/>
    <x v="0"/>
    <x v="0"/>
    <x v="0"/>
    <x v="0"/>
    <x v="0"/>
  </r>
  <r>
    <n v="84034"/>
    <x v="3"/>
    <x v="2"/>
    <x v="132"/>
    <x v="5"/>
    <x v="1079"/>
    <x v="0"/>
    <d v="2024-01-21T00:00:00"/>
    <d v="2024-02-29T00:00:00"/>
    <x v="1"/>
    <x v="1087"/>
    <x v="0"/>
    <x v="0"/>
    <x v="0"/>
    <x v="0"/>
    <x v="0"/>
    <x v="0"/>
  </r>
  <r>
    <n v="85160"/>
    <x v="6"/>
    <x v="3"/>
    <x v="256"/>
    <x v="2"/>
    <x v="1080"/>
    <x v="2"/>
    <d v="2024-03-28T00:00:00"/>
    <d v="2024-04-17T00:00:00"/>
    <x v="1"/>
    <x v="1088"/>
    <x v="0"/>
    <x v="0"/>
    <x v="0"/>
    <x v="0"/>
    <x v="0"/>
    <x v="0"/>
  </r>
  <r>
    <n v="96576"/>
    <x v="5"/>
    <x v="2"/>
    <x v="438"/>
    <x v="0"/>
    <x v="1081"/>
    <x v="3"/>
    <d v="2024-05-14T00:00:00"/>
    <d v="2024-05-19T00:00:00"/>
    <x v="0"/>
    <x v="1089"/>
    <x v="0"/>
    <x v="0"/>
    <x v="0"/>
    <x v="0"/>
    <x v="0"/>
    <x v="0"/>
  </r>
  <r>
    <n v="32923"/>
    <x v="15"/>
    <x v="4"/>
    <x v="384"/>
    <x v="0"/>
    <x v="1082"/>
    <x v="2"/>
    <d v="2024-12-23T00:00:00"/>
    <d v="2025-01-29T00:00:00"/>
    <x v="1"/>
    <x v="1090"/>
    <x v="0"/>
    <x v="0"/>
    <x v="0"/>
    <x v="0"/>
    <x v="0"/>
    <x v="0"/>
  </r>
  <r>
    <n v="67811"/>
    <x v="10"/>
    <x v="2"/>
    <x v="108"/>
    <x v="0"/>
    <x v="1083"/>
    <x v="2"/>
    <d v="2024-06-03T00:00:00"/>
    <d v="2024-07-10T00:00:00"/>
    <x v="0"/>
    <x v="1091"/>
    <x v="1"/>
    <x v="18"/>
    <x v="1"/>
    <x v="1"/>
    <x v="1"/>
    <x v="1"/>
  </r>
  <r>
    <n v="87518"/>
    <x v="7"/>
    <x v="3"/>
    <x v="127"/>
    <x v="6"/>
    <x v="1084"/>
    <x v="1"/>
    <d v="2024-01-19T00:00:00"/>
    <d v="2024-02-05T00:00:00"/>
    <x v="2"/>
    <x v="1092"/>
    <x v="0"/>
    <x v="0"/>
    <x v="0"/>
    <x v="0"/>
    <x v="0"/>
    <x v="1"/>
  </r>
  <r>
    <n v="55227"/>
    <x v="8"/>
    <x v="1"/>
    <x v="404"/>
    <x v="2"/>
    <x v="1085"/>
    <x v="1"/>
    <d v="2024-08-23T00:00:00"/>
    <d v="2024-09-26T00:00:00"/>
    <x v="1"/>
    <x v="1093"/>
    <x v="0"/>
    <x v="0"/>
    <x v="0"/>
    <x v="0"/>
    <x v="0"/>
    <x v="0"/>
  </r>
  <r>
    <n v="26375"/>
    <x v="10"/>
    <x v="2"/>
    <x v="347"/>
    <x v="4"/>
    <x v="1086"/>
    <x v="0"/>
    <d v="2024-06-02T00:00:00"/>
    <d v="2024-06-21T00:00:00"/>
    <x v="2"/>
    <x v="1094"/>
    <x v="0"/>
    <x v="0"/>
    <x v="0"/>
    <x v="0"/>
    <x v="0"/>
    <x v="0"/>
  </r>
  <r>
    <n v="23795"/>
    <x v="15"/>
    <x v="4"/>
    <x v="14"/>
    <x v="6"/>
    <x v="1087"/>
    <x v="4"/>
    <d v="2024-09-06T00:00:00"/>
    <d v="2024-09-17T00:00:00"/>
    <x v="1"/>
    <x v="1095"/>
    <x v="0"/>
    <x v="0"/>
    <x v="0"/>
    <x v="0"/>
    <x v="0"/>
    <x v="1"/>
  </r>
  <r>
    <n v="82089"/>
    <x v="1"/>
    <x v="0"/>
    <x v="233"/>
    <x v="4"/>
    <x v="1088"/>
    <x v="0"/>
    <d v="2024-06-06T00:00:00"/>
    <d v="2024-07-09T00:00:00"/>
    <x v="2"/>
    <x v="1096"/>
    <x v="0"/>
    <x v="0"/>
    <x v="0"/>
    <x v="0"/>
    <x v="0"/>
    <x v="1"/>
  </r>
  <r>
    <n v="17548"/>
    <x v="6"/>
    <x v="3"/>
    <x v="439"/>
    <x v="0"/>
    <x v="1089"/>
    <x v="3"/>
    <d v="2024-09-15T00:00:00"/>
    <d v="2024-09-26T00:00:00"/>
    <x v="0"/>
    <x v="1097"/>
    <x v="0"/>
    <x v="0"/>
    <x v="0"/>
    <x v="0"/>
    <x v="0"/>
    <x v="0"/>
  </r>
  <r>
    <n v="45036"/>
    <x v="8"/>
    <x v="1"/>
    <x v="223"/>
    <x v="3"/>
    <x v="1090"/>
    <x v="0"/>
    <d v="2024-05-06T00:00:00"/>
    <d v="2024-05-15T00:00:00"/>
    <x v="1"/>
    <x v="1098"/>
    <x v="0"/>
    <x v="0"/>
    <x v="0"/>
    <x v="0"/>
    <x v="0"/>
    <x v="0"/>
  </r>
  <r>
    <n v="93038"/>
    <x v="5"/>
    <x v="2"/>
    <x v="200"/>
    <x v="6"/>
    <x v="1091"/>
    <x v="3"/>
    <d v="2024-03-01T00:00:00"/>
    <d v="2024-03-13T00:00:00"/>
    <x v="2"/>
    <x v="1099"/>
    <x v="0"/>
    <x v="0"/>
    <x v="0"/>
    <x v="0"/>
    <x v="0"/>
    <x v="1"/>
  </r>
  <r>
    <n v="79506"/>
    <x v="7"/>
    <x v="3"/>
    <x v="97"/>
    <x v="3"/>
    <x v="1092"/>
    <x v="0"/>
    <d v="2024-07-12T00:00:00"/>
    <d v="2024-08-19T00:00:00"/>
    <x v="1"/>
    <x v="1100"/>
    <x v="0"/>
    <x v="0"/>
    <x v="0"/>
    <x v="0"/>
    <x v="0"/>
    <x v="0"/>
  </r>
  <r>
    <n v="98284"/>
    <x v="2"/>
    <x v="1"/>
    <x v="84"/>
    <x v="2"/>
    <x v="1093"/>
    <x v="3"/>
    <d v="2024-12-27T00:00:00"/>
    <d v="2025-01-11T00:00:00"/>
    <x v="2"/>
    <x v="1101"/>
    <x v="0"/>
    <x v="0"/>
    <x v="0"/>
    <x v="0"/>
    <x v="0"/>
    <x v="0"/>
  </r>
  <r>
    <n v="43690"/>
    <x v="9"/>
    <x v="1"/>
    <x v="408"/>
    <x v="4"/>
    <x v="1094"/>
    <x v="1"/>
    <d v="2024-01-02T00:00:00"/>
    <d v="2024-01-30T00:00:00"/>
    <x v="0"/>
    <x v="1102"/>
    <x v="0"/>
    <x v="0"/>
    <x v="0"/>
    <x v="0"/>
    <x v="0"/>
    <x v="0"/>
  </r>
  <r>
    <n v="42705"/>
    <x v="0"/>
    <x v="0"/>
    <x v="57"/>
    <x v="4"/>
    <x v="1095"/>
    <x v="1"/>
    <d v="2024-05-07T00:00:00"/>
    <d v="2024-05-19T00:00:00"/>
    <x v="0"/>
    <x v="1103"/>
    <x v="0"/>
    <x v="0"/>
    <x v="0"/>
    <x v="0"/>
    <x v="0"/>
    <x v="1"/>
  </r>
  <r>
    <n v="74356"/>
    <x v="11"/>
    <x v="4"/>
    <x v="171"/>
    <x v="0"/>
    <x v="1096"/>
    <x v="2"/>
    <d v="2024-01-29T00:00:00"/>
    <d v="2024-03-07T00:00:00"/>
    <x v="0"/>
    <x v="1104"/>
    <x v="0"/>
    <x v="0"/>
    <x v="0"/>
    <x v="0"/>
    <x v="0"/>
    <x v="0"/>
  </r>
  <r>
    <n v="20482"/>
    <x v="7"/>
    <x v="3"/>
    <x v="365"/>
    <x v="5"/>
    <x v="1097"/>
    <x v="1"/>
    <d v="2024-12-29T00:00:00"/>
    <d v="2025-01-20T00:00:00"/>
    <x v="0"/>
    <x v="1105"/>
    <x v="1"/>
    <x v="68"/>
    <x v="1"/>
    <x v="1"/>
    <x v="1"/>
    <x v="1"/>
  </r>
  <r>
    <n v="39550"/>
    <x v="16"/>
    <x v="3"/>
    <x v="373"/>
    <x v="1"/>
    <x v="1098"/>
    <x v="1"/>
    <d v="2024-03-22T00:00:00"/>
    <d v="2024-04-19T00:00:00"/>
    <x v="1"/>
    <x v="1106"/>
    <x v="0"/>
    <x v="0"/>
    <x v="0"/>
    <x v="0"/>
    <x v="0"/>
    <x v="0"/>
  </r>
  <r>
    <n v="77342"/>
    <x v="12"/>
    <x v="0"/>
    <x v="322"/>
    <x v="2"/>
    <x v="1099"/>
    <x v="0"/>
    <d v="2024-04-23T00:00:00"/>
    <d v="2024-05-23T00:00:00"/>
    <x v="0"/>
    <x v="1107"/>
    <x v="0"/>
    <x v="0"/>
    <x v="0"/>
    <x v="0"/>
    <x v="0"/>
    <x v="0"/>
  </r>
  <r>
    <n v="66344"/>
    <x v="6"/>
    <x v="3"/>
    <x v="87"/>
    <x v="0"/>
    <x v="1100"/>
    <x v="3"/>
    <d v="2024-03-16T00:00:00"/>
    <d v="2024-04-08T00:00:00"/>
    <x v="1"/>
    <x v="1108"/>
    <x v="0"/>
    <x v="0"/>
    <x v="0"/>
    <x v="0"/>
    <x v="0"/>
    <x v="1"/>
  </r>
  <r>
    <n v="84947"/>
    <x v="12"/>
    <x v="0"/>
    <x v="182"/>
    <x v="4"/>
    <x v="1101"/>
    <x v="4"/>
    <d v="2024-11-21T00:00:00"/>
    <d v="2024-12-03T00:00:00"/>
    <x v="0"/>
    <x v="1109"/>
    <x v="0"/>
    <x v="0"/>
    <x v="0"/>
    <x v="0"/>
    <x v="0"/>
    <x v="0"/>
  </r>
  <r>
    <n v="78580"/>
    <x v="12"/>
    <x v="0"/>
    <x v="171"/>
    <x v="4"/>
    <x v="1102"/>
    <x v="3"/>
    <d v="2024-05-05T00:00:00"/>
    <d v="2024-05-30T00:00:00"/>
    <x v="2"/>
    <x v="1110"/>
    <x v="0"/>
    <x v="0"/>
    <x v="0"/>
    <x v="0"/>
    <x v="0"/>
    <x v="0"/>
  </r>
  <r>
    <n v="78682"/>
    <x v="3"/>
    <x v="2"/>
    <x v="374"/>
    <x v="2"/>
    <x v="1103"/>
    <x v="1"/>
    <d v="2024-12-08T00:00:00"/>
    <d v="2025-01-15T00:00:00"/>
    <x v="0"/>
    <x v="1111"/>
    <x v="0"/>
    <x v="0"/>
    <x v="0"/>
    <x v="0"/>
    <x v="0"/>
    <x v="1"/>
  </r>
  <r>
    <n v="46731"/>
    <x v="11"/>
    <x v="4"/>
    <x v="268"/>
    <x v="6"/>
    <x v="1104"/>
    <x v="1"/>
    <d v="2024-07-04T00:00:00"/>
    <d v="2024-08-11T00:00:00"/>
    <x v="1"/>
    <x v="1112"/>
    <x v="1"/>
    <x v="61"/>
    <x v="1"/>
    <x v="1"/>
    <x v="1"/>
    <x v="1"/>
  </r>
  <r>
    <n v="38451"/>
    <x v="14"/>
    <x v="4"/>
    <x v="39"/>
    <x v="6"/>
    <x v="1105"/>
    <x v="0"/>
    <d v="2024-09-21T00:00:00"/>
    <d v="2024-10-04T00:00:00"/>
    <x v="0"/>
    <x v="1113"/>
    <x v="0"/>
    <x v="0"/>
    <x v="0"/>
    <x v="0"/>
    <x v="0"/>
    <x v="1"/>
  </r>
  <r>
    <n v="27669"/>
    <x v="11"/>
    <x v="4"/>
    <x v="440"/>
    <x v="1"/>
    <x v="1106"/>
    <x v="1"/>
    <d v="2024-09-10T00:00:00"/>
    <d v="2024-10-13T00:00:00"/>
    <x v="1"/>
    <x v="1114"/>
    <x v="0"/>
    <x v="0"/>
    <x v="0"/>
    <x v="0"/>
    <x v="0"/>
    <x v="0"/>
  </r>
  <r>
    <n v="35395"/>
    <x v="6"/>
    <x v="3"/>
    <x v="247"/>
    <x v="3"/>
    <x v="1107"/>
    <x v="0"/>
    <d v="2024-09-10T00:00:00"/>
    <d v="2024-09-15T00:00:00"/>
    <x v="2"/>
    <x v="1115"/>
    <x v="0"/>
    <x v="0"/>
    <x v="0"/>
    <x v="0"/>
    <x v="0"/>
    <x v="0"/>
  </r>
  <r>
    <n v="55913"/>
    <x v="11"/>
    <x v="4"/>
    <x v="137"/>
    <x v="0"/>
    <x v="1108"/>
    <x v="4"/>
    <d v="2024-04-24T00:00:00"/>
    <d v="2024-04-30T00:00:00"/>
    <x v="2"/>
    <x v="1116"/>
    <x v="0"/>
    <x v="0"/>
    <x v="0"/>
    <x v="0"/>
    <x v="0"/>
    <x v="0"/>
  </r>
  <r>
    <n v="38690"/>
    <x v="11"/>
    <x v="4"/>
    <x v="363"/>
    <x v="3"/>
    <x v="1109"/>
    <x v="1"/>
    <d v="2024-10-04T00:00:00"/>
    <d v="2024-10-12T00:00:00"/>
    <x v="1"/>
    <x v="1117"/>
    <x v="0"/>
    <x v="0"/>
    <x v="0"/>
    <x v="0"/>
    <x v="0"/>
    <x v="0"/>
  </r>
  <r>
    <n v="96612"/>
    <x v="9"/>
    <x v="1"/>
    <x v="73"/>
    <x v="5"/>
    <x v="1110"/>
    <x v="0"/>
    <d v="2024-09-30T00:00:00"/>
    <d v="2024-10-27T00:00:00"/>
    <x v="1"/>
    <x v="1118"/>
    <x v="0"/>
    <x v="0"/>
    <x v="0"/>
    <x v="0"/>
    <x v="0"/>
    <x v="0"/>
  </r>
  <r>
    <n v="98267"/>
    <x v="8"/>
    <x v="1"/>
    <x v="373"/>
    <x v="5"/>
    <x v="1111"/>
    <x v="1"/>
    <d v="2024-08-05T00:00:00"/>
    <d v="2024-09-12T00:00:00"/>
    <x v="2"/>
    <x v="1119"/>
    <x v="0"/>
    <x v="0"/>
    <x v="0"/>
    <x v="0"/>
    <x v="0"/>
    <x v="0"/>
  </r>
  <r>
    <n v="24588"/>
    <x v="13"/>
    <x v="3"/>
    <x v="67"/>
    <x v="4"/>
    <x v="1112"/>
    <x v="3"/>
    <d v="2024-05-12T00:00:00"/>
    <d v="2024-05-20T00:00:00"/>
    <x v="0"/>
    <x v="1120"/>
    <x v="0"/>
    <x v="0"/>
    <x v="0"/>
    <x v="0"/>
    <x v="0"/>
    <x v="0"/>
  </r>
  <r>
    <n v="39317"/>
    <x v="5"/>
    <x v="2"/>
    <x v="313"/>
    <x v="3"/>
    <x v="1113"/>
    <x v="3"/>
    <d v="2024-03-01T00:00:00"/>
    <d v="2024-03-15T00:00:00"/>
    <x v="0"/>
    <x v="1121"/>
    <x v="0"/>
    <x v="0"/>
    <x v="0"/>
    <x v="0"/>
    <x v="0"/>
    <x v="0"/>
  </r>
  <r>
    <n v="53826"/>
    <x v="11"/>
    <x v="4"/>
    <x v="279"/>
    <x v="0"/>
    <x v="1114"/>
    <x v="1"/>
    <d v="2024-11-14T00:00:00"/>
    <d v="2024-12-13T00:00:00"/>
    <x v="0"/>
    <x v="1122"/>
    <x v="0"/>
    <x v="0"/>
    <x v="0"/>
    <x v="0"/>
    <x v="0"/>
    <x v="0"/>
  </r>
  <r>
    <n v="52915"/>
    <x v="1"/>
    <x v="0"/>
    <x v="133"/>
    <x v="0"/>
    <x v="1115"/>
    <x v="0"/>
    <d v="2024-11-25T00:00:00"/>
    <d v="2025-01-02T00:00:00"/>
    <x v="2"/>
    <x v="1123"/>
    <x v="0"/>
    <x v="0"/>
    <x v="0"/>
    <x v="0"/>
    <x v="0"/>
    <x v="0"/>
  </r>
  <r>
    <n v="27629"/>
    <x v="10"/>
    <x v="2"/>
    <x v="50"/>
    <x v="3"/>
    <x v="1116"/>
    <x v="0"/>
    <d v="2024-10-23T00:00:00"/>
    <d v="2024-11-13T00:00:00"/>
    <x v="2"/>
    <x v="1124"/>
    <x v="1"/>
    <x v="50"/>
    <x v="1"/>
    <x v="1"/>
    <x v="1"/>
    <x v="1"/>
  </r>
  <r>
    <n v="20599"/>
    <x v="10"/>
    <x v="2"/>
    <x v="230"/>
    <x v="2"/>
    <x v="1117"/>
    <x v="0"/>
    <d v="2024-09-30T00:00:00"/>
    <d v="2024-10-30T00:00:00"/>
    <x v="1"/>
    <x v="1125"/>
    <x v="0"/>
    <x v="0"/>
    <x v="0"/>
    <x v="0"/>
    <x v="0"/>
    <x v="0"/>
  </r>
  <r>
    <n v="30951"/>
    <x v="0"/>
    <x v="0"/>
    <x v="94"/>
    <x v="2"/>
    <x v="734"/>
    <x v="3"/>
    <d v="2024-02-20T00:00:00"/>
    <d v="2024-03-16T00:00:00"/>
    <x v="1"/>
    <x v="1126"/>
    <x v="0"/>
    <x v="0"/>
    <x v="0"/>
    <x v="0"/>
    <x v="0"/>
    <x v="0"/>
  </r>
  <r>
    <n v="38064"/>
    <x v="9"/>
    <x v="1"/>
    <x v="68"/>
    <x v="1"/>
    <x v="1118"/>
    <x v="3"/>
    <d v="2024-11-07T00:00:00"/>
    <d v="2024-11-23T00:00:00"/>
    <x v="0"/>
    <x v="1127"/>
    <x v="0"/>
    <x v="0"/>
    <x v="0"/>
    <x v="0"/>
    <x v="0"/>
    <x v="1"/>
  </r>
  <r>
    <n v="35905"/>
    <x v="13"/>
    <x v="3"/>
    <x v="11"/>
    <x v="3"/>
    <x v="1119"/>
    <x v="4"/>
    <d v="2024-11-21T00:00:00"/>
    <d v="2024-12-12T00:00:00"/>
    <x v="2"/>
    <x v="1128"/>
    <x v="0"/>
    <x v="0"/>
    <x v="0"/>
    <x v="0"/>
    <x v="0"/>
    <x v="0"/>
  </r>
  <r>
    <n v="30234"/>
    <x v="14"/>
    <x v="4"/>
    <x v="143"/>
    <x v="1"/>
    <x v="1120"/>
    <x v="0"/>
    <d v="2024-08-03T00:00:00"/>
    <d v="2024-08-23T00:00:00"/>
    <x v="1"/>
    <x v="1129"/>
    <x v="0"/>
    <x v="0"/>
    <x v="0"/>
    <x v="0"/>
    <x v="0"/>
    <x v="0"/>
  </r>
  <r>
    <n v="93391"/>
    <x v="2"/>
    <x v="1"/>
    <x v="55"/>
    <x v="1"/>
    <x v="1121"/>
    <x v="3"/>
    <d v="2024-12-11T00:00:00"/>
    <d v="2025-01-01T00:00:00"/>
    <x v="1"/>
    <x v="1130"/>
    <x v="0"/>
    <x v="0"/>
    <x v="0"/>
    <x v="0"/>
    <x v="0"/>
    <x v="1"/>
  </r>
  <r>
    <n v="52235"/>
    <x v="2"/>
    <x v="1"/>
    <x v="15"/>
    <x v="3"/>
    <x v="1122"/>
    <x v="2"/>
    <d v="2024-09-19T00:00:00"/>
    <d v="2024-10-09T00:00:00"/>
    <x v="0"/>
    <x v="1131"/>
    <x v="0"/>
    <x v="0"/>
    <x v="0"/>
    <x v="0"/>
    <x v="0"/>
    <x v="0"/>
  </r>
  <r>
    <n v="24633"/>
    <x v="4"/>
    <x v="0"/>
    <x v="441"/>
    <x v="0"/>
    <x v="1123"/>
    <x v="4"/>
    <d v="2024-09-24T00:00:00"/>
    <d v="2024-10-19T00:00:00"/>
    <x v="2"/>
    <x v="1132"/>
    <x v="0"/>
    <x v="0"/>
    <x v="0"/>
    <x v="0"/>
    <x v="0"/>
    <x v="1"/>
  </r>
  <r>
    <n v="83177"/>
    <x v="13"/>
    <x v="3"/>
    <x v="361"/>
    <x v="6"/>
    <x v="1124"/>
    <x v="0"/>
    <d v="2024-09-27T00:00:00"/>
    <d v="2024-10-02T00:00:00"/>
    <x v="0"/>
    <x v="1133"/>
    <x v="1"/>
    <x v="85"/>
    <x v="1"/>
    <x v="1"/>
    <x v="1"/>
    <x v="1"/>
  </r>
  <r>
    <n v="66151"/>
    <x v="15"/>
    <x v="4"/>
    <x v="124"/>
    <x v="6"/>
    <x v="1125"/>
    <x v="4"/>
    <d v="2024-06-28T00:00:00"/>
    <d v="2024-07-17T00:00:00"/>
    <x v="1"/>
    <x v="1134"/>
    <x v="0"/>
    <x v="0"/>
    <x v="0"/>
    <x v="0"/>
    <x v="0"/>
    <x v="1"/>
  </r>
  <r>
    <n v="48333"/>
    <x v="8"/>
    <x v="1"/>
    <x v="233"/>
    <x v="5"/>
    <x v="1126"/>
    <x v="2"/>
    <d v="2024-11-04T00:00:00"/>
    <d v="2024-11-13T00:00:00"/>
    <x v="2"/>
    <x v="1135"/>
    <x v="1"/>
    <x v="44"/>
    <x v="1"/>
    <x v="1"/>
    <x v="1"/>
    <x v="1"/>
  </r>
  <r>
    <n v="29340"/>
    <x v="15"/>
    <x v="4"/>
    <x v="5"/>
    <x v="3"/>
    <x v="1127"/>
    <x v="4"/>
    <d v="2024-10-06T00:00:00"/>
    <d v="2024-10-12T00:00:00"/>
    <x v="1"/>
    <x v="1136"/>
    <x v="0"/>
    <x v="0"/>
    <x v="0"/>
    <x v="0"/>
    <x v="0"/>
    <x v="1"/>
  </r>
  <r>
    <n v="52875"/>
    <x v="16"/>
    <x v="3"/>
    <x v="164"/>
    <x v="0"/>
    <x v="1128"/>
    <x v="2"/>
    <d v="2024-06-28T00:00:00"/>
    <d v="2024-07-25T00:00:00"/>
    <x v="2"/>
    <x v="1137"/>
    <x v="0"/>
    <x v="0"/>
    <x v="0"/>
    <x v="0"/>
    <x v="0"/>
    <x v="0"/>
  </r>
  <r>
    <n v="59063"/>
    <x v="11"/>
    <x v="4"/>
    <x v="3"/>
    <x v="4"/>
    <x v="1129"/>
    <x v="3"/>
    <d v="2024-06-02T00:00:00"/>
    <d v="2024-06-23T00:00:00"/>
    <x v="0"/>
    <x v="1138"/>
    <x v="0"/>
    <x v="0"/>
    <x v="0"/>
    <x v="0"/>
    <x v="0"/>
    <x v="0"/>
  </r>
  <r>
    <n v="62115"/>
    <x v="5"/>
    <x v="2"/>
    <x v="409"/>
    <x v="6"/>
    <x v="1130"/>
    <x v="4"/>
    <d v="2024-03-14T00:00:00"/>
    <d v="2024-03-30T00:00:00"/>
    <x v="0"/>
    <x v="1139"/>
    <x v="1"/>
    <x v="52"/>
    <x v="1"/>
    <x v="1"/>
    <x v="1"/>
    <x v="1"/>
  </r>
  <r>
    <n v="99180"/>
    <x v="4"/>
    <x v="0"/>
    <x v="152"/>
    <x v="5"/>
    <x v="1131"/>
    <x v="3"/>
    <d v="2024-01-29T00:00:00"/>
    <d v="2024-02-12T00:00:00"/>
    <x v="2"/>
    <x v="1140"/>
    <x v="0"/>
    <x v="0"/>
    <x v="0"/>
    <x v="0"/>
    <x v="0"/>
    <x v="1"/>
  </r>
  <r>
    <n v="97695"/>
    <x v="3"/>
    <x v="2"/>
    <x v="201"/>
    <x v="2"/>
    <x v="1132"/>
    <x v="0"/>
    <d v="2024-09-21T00:00:00"/>
    <d v="2024-10-02T00:00:00"/>
    <x v="1"/>
    <x v="1141"/>
    <x v="0"/>
    <x v="0"/>
    <x v="0"/>
    <x v="0"/>
    <x v="0"/>
    <x v="0"/>
  </r>
  <r>
    <n v="38555"/>
    <x v="15"/>
    <x v="4"/>
    <x v="438"/>
    <x v="1"/>
    <x v="1133"/>
    <x v="4"/>
    <d v="2024-09-06T00:00:00"/>
    <d v="2024-09-23T00:00:00"/>
    <x v="2"/>
    <x v="1142"/>
    <x v="0"/>
    <x v="0"/>
    <x v="0"/>
    <x v="0"/>
    <x v="0"/>
    <x v="1"/>
  </r>
  <r>
    <n v="90738"/>
    <x v="4"/>
    <x v="0"/>
    <x v="60"/>
    <x v="4"/>
    <x v="1134"/>
    <x v="4"/>
    <d v="2024-02-06T00:00:00"/>
    <d v="2024-02-22T00:00:00"/>
    <x v="2"/>
    <x v="1143"/>
    <x v="0"/>
    <x v="0"/>
    <x v="0"/>
    <x v="0"/>
    <x v="0"/>
    <x v="0"/>
  </r>
  <r>
    <n v="56638"/>
    <x v="11"/>
    <x v="4"/>
    <x v="223"/>
    <x v="1"/>
    <x v="1135"/>
    <x v="4"/>
    <d v="2024-05-16T00:00:00"/>
    <d v="2024-06-11T00:00:00"/>
    <x v="0"/>
    <x v="1144"/>
    <x v="0"/>
    <x v="0"/>
    <x v="0"/>
    <x v="0"/>
    <x v="0"/>
    <x v="0"/>
  </r>
  <r>
    <n v="34918"/>
    <x v="4"/>
    <x v="0"/>
    <x v="367"/>
    <x v="0"/>
    <x v="1136"/>
    <x v="1"/>
    <d v="2024-04-24T00:00:00"/>
    <d v="2024-05-01T00:00:00"/>
    <x v="1"/>
    <x v="1145"/>
    <x v="0"/>
    <x v="0"/>
    <x v="0"/>
    <x v="0"/>
    <x v="0"/>
    <x v="0"/>
  </r>
  <r>
    <n v="38546"/>
    <x v="11"/>
    <x v="4"/>
    <x v="57"/>
    <x v="3"/>
    <x v="1137"/>
    <x v="3"/>
    <d v="2024-05-01T00:00:00"/>
    <d v="2024-05-28T00:00:00"/>
    <x v="1"/>
    <x v="1146"/>
    <x v="0"/>
    <x v="0"/>
    <x v="0"/>
    <x v="0"/>
    <x v="0"/>
    <x v="0"/>
  </r>
  <r>
    <n v="38013"/>
    <x v="15"/>
    <x v="4"/>
    <x v="302"/>
    <x v="4"/>
    <x v="1138"/>
    <x v="4"/>
    <d v="2024-10-06T00:00:00"/>
    <d v="2024-10-18T00:00:00"/>
    <x v="2"/>
    <x v="1147"/>
    <x v="0"/>
    <x v="0"/>
    <x v="0"/>
    <x v="0"/>
    <x v="0"/>
    <x v="0"/>
  </r>
  <r>
    <n v="74068"/>
    <x v="6"/>
    <x v="3"/>
    <x v="208"/>
    <x v="4"/>
    <x v="1139"/>
    <x v="4"/>
    <d v="2024-02-09T00:00:00"/>
    <d v="2024-02-19T00:00:00"/>
    <x v="0"/>
    <x v="1148"/>
    <x v="0"/>
    <x v="0"/>
    <x v="0"/>
    <x v="0"/>
    <x v="0"/>
    <x v="0"/>
  </r>
  <r>
    <n v="40776"/>
    <x v="11"/>
    <x v="4"/>
    <x v="205"/>
    <x v="6"/>
    <x v="1140"/>
    <x v="1"/>
    <d v="2024-01-17T00:00:00"/>
    <d v="2024-02-11T00:00:00"/>
    <x v="1"/>
    <x v="1149"/>
    <x v="0"/>
    <x v="0"/>
    <x v="0"/>
    <x v="0"/>
    <x v="0"/>
    <x v="1"/>
  </r>
  <r>
    <n v="92027"/>
    <x v="0"/>
    <x v="0"/>
    <x v="369"/>
    <x v="6"/>
    <x v="1141"/>
    <x v="1"/>
    <d v="2024-01-31T00:00:00"/>
    <d v="2024-02-10T00:00:00"/>
    <x v="0"/>
    <x v="1150"/>
    <x v="0"/>
    <x v="0"/>
    <x v="0"/>
    <x v="0"/>
    <x v="0"/>
    <x v="1"/>
  </r>
  <r>
    <n v="45050"/>
    <x v="10"/>
    <x v="2"/>
    <x v="442"/>
    <x v="2"/>
    <x v="1142"/>
    <x v="3"/>
    <d v="2024-11-21T00:00:00"/>
    <d v="2024-12-14T00:00:00"/>
    <x v="0"/>
    <x v="1151"/>
    <x v="0"/>
    <x v="0"/>
    <x v="0"/>
    <x v="0"/>
    <x v="0"/>
    <x v="0"/>
  </r>
  <r>
    <n v="72863"/>
    <x v="13"/>
    <x v="3"/>
    <x v="119"/>
    <x v="2"/>
    <x v="1143"/>
    <x v="2"/>
    <d v="2024-01-24T00:00:00"/>
    <d v="2024-02-22T00:00:00"/>
    <x v="2"/>
    <x v="1152"/>
    <x v="0"/>
    <x v="0"/>
    <x v="0"/>
    <x v="0"/>
    <x v="0"/>
    <x v="1"/>
  </r>
  <r>
    <n v="51542"/>
    <x v="16"/>
    <x v="3"/>
    <x v="207"/>
    <x v="3"/>
    <x v="1144"/>
    <x v="0"/>
    <d v="2024-12-13T00:00:00"/>
    <d v="2025-01-03T00:00:00"/>
    <x v="0"/>
    <x v="1153"/>
    <x v="0"/>
    <x v="0"/>
    <x v="0"/>
    <x v="0"/>
    <x v="0"/>
    <x v="0"/>
  </r>
  <r>
    <n v="71993"/>
    <x v="7"/>
    <x v="3"/>
    <x v="242"/>
    <x v="5"/>
    <x v="1145"/>
    <x v="0"/>
    <d v="2024-04-08T00:00:00"/>
    <d v="2024-05-12T00:00:00"/>
    <x v="1"/>
    <x v="1154"/>
    <x v="0"/>
    <x v="0"/>
    <x v="0"/>
    <x v="0"/>
    <x v="0"/>
    <x v="0"/>
  </r>
  <r>
    <n v="24706"/>
    <x v="3"/>
    <x v="2"/>
    <x v="69"/>
    <x v="0"/>
    <x v="1146"/>
    <x v="2"/>
    <d v="2024-02-14T00:00:00"/>
    <d v="2024-03-13T00:00:00"/>
    <x v="0"/>
    <x v="1155"/>
    <x v="0"/>
    <x v="0"/>
    <x v="0"/>
    <x v="0"/>
    <x v="0"/>
    <x v="1"/>
  </r>
  <r>
    <n v="62076"/>
    <x v="4"/>
    <x v="0"/>
    <x v="443"/>
    <x v="4"/>
    <x v="1147"/>
    <x v="0"/>
    <d v="2024-10-07T00:00:00"/>
    <d v="2024-10-18T00:00:00"/>
    <x v="1"/>
    <x v="1156"/>
    <x v="0"/>
    <x v="0"/>
    <x v="0"/>
    <x v="0"/>
    <x v="0"/>
    <x v="0"/>
  </r>
  <r>
    <n v="33447"/>
    <x v="12"/>
    <x v="0"/>
    <x v="444"/>
    <x v="0"/>
    <x v="1148"/>
    <x v="4"/>
    <d v="2024-06-16T00:00:00"/>
    <d v="2024-07-19T00:00:00"/>
    <x v="0"/>
    <x v="1157"/>
    <x v="0"/>
    <x v="0"/>
    <x v="0"/>
    <x v="0"/>
    <x v="0"/>
    <x v="0"/>
  </r>
  <r>
    <n v="50581"/>
    <x v="15"/>
    <x v="4"/>
    <x v="138"/>
    <x v="1"/>
    <x v="1149"/>
    <x v="4"/>
    <d v="2024-08-18T00:00:00"/>
    <d v="2024-09-20T00:00:00"/>
    <x v="0"/>
    <x v="1158"/>
    <x v="1"/>
    <x v="86"/>
    <x v="1"/>
    <x v="1"/>
    <x v="1"/>
    <x v="1"/>
  </r>
  <r>
    <n v="27110"/>
    <x v="15"/>
    <x v="4"/>
    <x v="264"/>
    <x v="5"/>
    <x v="1150"/>
    <x v="0"/>
    <d v="2024-07-14T00:00:00"/>
    <d v="2024-08-22T00:00:00"/>
    <x v="2"/>
    <x v="1159"/>
    <x v="0"/>
    <x v="0"/>
    <x v="0"/>
    <x v="0"/>
    <x v="0"/>
    <x v="0"/>
  </r>
  <r>
    <n v="99796"/>
    <x v="12"/>
    <x v="0"/>
    <x v="193"/>
    <x v="0"/>
    <x v="1151"/>
    <x v="2"/>
    <d v="2024-05-10T00:00:00"/>
    <d v="2024-06-15T00:00:00"/>
    <x v="2"/>
    <x v="1160"/>
    <x v="0"/>
    <x v="0"/>
    <x v="0"/>
    <x v="0"/>
    <x v="0"/>
    <x v="0"/>
  </r>
  <r>
    <n v="45999"/>
    <x v="1"/>
    <x v="0"/>
    <x v="77"/>
    <x v="6"/>
    <x v="1152"/>
    <x v="3"/>
    <d v="2024-07-04T00:00:00"/>
    <d v="2024-07-13T00:00:00"/>
    <x v="0"/>
    <x v="1161"/>
    <x v="1"/>
    <x v="54"/>
    <x v="1"/>
    <x v="1"/>
    <x v="1"/>
    <x v="1"/>
  </r>
  <r>
    <n v="21244"/>
    <x v="10"/>
    <x v="2"/>
    <x v="148"/>
    <x v="2"/>
    <x v="1153"/>
    <x v="0"/>
    <d v="2024-01-28T00:00:00"/>
    <d v="2024-02-15T00:00:00"/>
    <x v="1"/>
    <x v="1162"/>
    <x v="1"/>
    <x v="37"/>
    <x v="1"/>
    <x v="1"/>
    <x v="1"/>
    <x v="1"/>
  </r>
  <r>
    <n v="88616"/>
    <x v="3"/>
    <x v="2"/>
    <x v="296"/>
    <x v="5"/>
    <x v="1154"/>
    <x v="1"/>
    <d v="2024-02-14T00:00:00"/>
    <d v="2024-03-17T00:00:00"/>
    <x v="0"/>
    <x v="1163"/>
    <x v="0"/>
    <x v="0"/>
    <x v="0"/>
    <x v="0"/>
    <x v="0"/>
    <x v="1"/>
  </r>
  <r>
    <n v="84176"/>
    <x v="4"/>
    <x v="0"/>
    <x v="226"/>
    <x v="5"/>
    <x v="1155"/>
    <x v="1"/>
    <d v="2024-06-24T00:00:00"/>
    <d v="2024-07-12T00:00:00"/>
    <x v="1"/>
    <x v="1164"/>
    <x v="0"/>
    <x v="0"/>
    <x v="0"/>
    <x v="0"/>
    <x v="0"/>
    <x v="1"/>
  </r>
  <r>
    <n v="57800"/>
    <x v="9"/>
    <x v="1"/>
    <x v="157"/>
    <x v="6"/>
    <x v="1156"/>
    <x v="1"/>
    <d v="2024-02-25T00:00:00"/>
    <d v="2024-03-15T00:00:00"/>
    <x v="1"/>
    <x v="1165"/>
    <x v="0"/>
    <x v="0"/>
    <x v="0"/>
    <x v="0"/>
    <x v="0"/>
    <x v="1"/>
  </r>
  <r>
    <n v="61444"/>
    <x v="8"/>
    <x v="1"/>
    <x v="110"/>
    <x v="1"/>
    <x v="1157"/>
    <x v="4"/>
    <d v="2024-06-30T00:00:00"/>
    <d v="2024-07-18T00:00:00"/>
    <x v="1"/>
    <x v="1166"/>
    <x v="0"/>
    <x v="0"/>
    <x v="0"/>
    <x v="0"/>
    <x v="0"/>
    <x v="1"/>
  </r>
  <r>
    <n v="40099"/>
    <x v="3"/>
    <x v="2"/>
    <x v="297"/>
    <x v="0"/>
    <x v="1158"/>
    <x v="4"/>
    <d v="2024-10-26T00:00:00"/>
    <d v="2024-11-17T00:00:00"/>
    <x v="1"/>
    <x v="1167"/>
    <x v="0"/>
    <x v="0"/>
    <x v="0"/>
    <x v="0"/>
    <x v="0"/>
    <x v="0"/>
  </r>
  <r>
    <n v="70204"/>
    <x v="13"/>
    <x v="3"/>
    <x v="40"/>
    <x v="5"/>
    <x v="1159"/>
    <x v="4"/>
    <d v="2024-10-29T00:00:00"/>
    <d v="2024-12-01T00:00:00"/>
    <x v="0"/>
    <x v="1168"/>
    <x v="0"/>
    <x v="0"/>
    <x v="0"/>
    <x v="0"/>
    <x v="0"/>
    <x v="1"/>
  </r>
  <r>
    <n v="90249"/>
    <x v="0"/>
    <x v="0"/>
    <x v="302"/>
    <x v="4"/>
    <x v="1160"/>
    <x v="2"/>
    <d v="2024-07-18T00:00:00"/>
    <d v="2024-08-05T00:00:00"/>
    <x v="0"/>
    <x v="1169"/>
    <x v="0"/>
    <x v="0"/>
    <x v="0"/>
    <x v="0"/>
    <x v="0"/>
    <x v="0"/>
  </r>
  <r>
    <n v="16487"/>
    <x v="8"/>
    <x v="1"/>
    <x v="121"/>
    <x v="5"/>
    <x v="1161"/>
    <x v="4"/>
    <d v="2024-08-31T00:00:00"/>
    <d v="2024-10-08T00:00:00"/>
    <x v="0"/>
    <x v="1170"/>
    <x v="0"/>
    <x v="0"/>
    <x v="0"/>
    <x v="0"/>
    <x v="0"/>
    <x v="0"/>
  </r>
  <r>
    <n v="13017"/>
    <x v="8"/>
    <x v="1"/>
    <x v="445"/>
    <x v="4"/>
    <x v="1162"/>
    <x v="4"/>
    <d v="2024-04-04T00:00:00"/>
    <d v="2024-04-24T00:00:00"/>
    <x v="1"/>
    <x v="1171"/>
    <x v="0"/>
    <x v="0"/>
    <x v="0"/>
    <x v="0"/>
    <x v="0"/>
    <x v="0"/>
  </r>
  <r>
    <n v="51300"/>
    <x v="5"/>
    <x v="2"/>
    <x v="446"/>
    <x v="2"/>
    <x v="1163"/>
    <x v="0"/>
    <d v="2024-05-04T00:00:00"/>
    <d v="2024-05-25T00:00:00"/>
    <x v="2"/>
    <x v="1172"/>
    <x v="0"/>
    <x v="0"/>
    <x v="0"/>
    <x v="0"/>
    <x v="0"/>
    <x v="0"/>
  </r>
  <r>
    <n v="98913"/>
    <x v="3"/>
    <x v="2"/>
    <x v="13"/>
    <x v="6"/>
    <x v="1164"/>
    <x v="0"/>
    <d v="2024-02-17T00:00:00"/>
    <d v="2024-03-13T00:00:00"/>
    <x v="1"/>
    <x v="1173"/>
    <x v="0"/>
    <x v="0"/>
    <x v="0"/>
    <x v="0"/>
    <x v="0"/>
    <x v="1"/>
  </r>
  <r>
    <n v="27862"/>
    <x v="16"/>
    <x v="3"/>
    <x v="387"/>
    <x v="4"/>
    <x v="1165"/>
    <x v="1"/>
    <d v="2024-02-06T00:00:00"/>
    <d v="2024-02-16T00:00:00"/>
    <x v="2"/>
    <x v="1174"/>
    <x v="0"/>
    <x v="0"/>
    <x v="0"/>
    <x v="0"/>
    <x v="0"/>
    <x v="0"/>
  </r>
  <r>
    <n v="16050"/>
    <x v="9"/>
    <x v="1"/>
    <x v="308"/>
    <x v="1"/>
    <x v="1166"/>
    <x v="3"/>
    <d v="2024-01-25T00:00:00"/>
    <d v="2024-02-13T00:00:00"/>
    <x v="1"/>
    <x v="1175"/>
    <x v="1"/>
    <x v="87"/>
    <x v="1"/>
    <x v="1"/>
    <x v="1"/>
    <x v="1"/>
  </r>
  <r>
    <n v="97363"/>
    <x v="8"/>
    <x v="1"/>
    <x v="39"/>
    <x v="3"/>
    <x v="1167"/>
    <x v="4"/>
    <d v="2024-11-12T00:00:00"/>
    <d v="2024-11-30T00:00:00"/>
    <x v="2"/>
    <x v="1176"/>
    <x v="0"/>
    <x v="0"/>
    <x v="0"/>
    <x v="0"/>
    <x v="0"/>
    <x v="0"/>
  </r>
  <r>
    <n v="37370"/>
    <x v="0"/>
    <x v="0"/>
    <x v="31"/>
    <x v="4"/>
    <x v="1168"/>
    <x v="2"/>
    <d v="2024-10-12T00:00:00"/>
    <d v="2024-11-09T00:00:00"/>
    <x v="2"/>
    <x v="1177"/>
    <x v="0"/>
    <x v="0"/>
    <x v="0"/>
    <x v="0"/>
    <x v="0"/>
    <x v="0"/>
  </r>
  <r>
    <n v="13932"/>
    <x v="12"/>
    <x v="0"/>
    <x v="251"/>
    <x v="6"/>
    <x v="1169"/>
    <x v="4"/>
    <d v="2024-08-27T00:00:00"/>
    <d v="2024-09-15T00:00:00"/>
    <x v="1"/>
    <x v="1178"/>
    <x v="0"/>
    <x v="0"/>
    <x v="0"/>
    <x v="0"/>
    <x v="0"/>
    <x v="1"/>
  </r>
  <r>
    <n v="23782"/>
    <x v="8"/>
    <x v="1"/>
    <x v="0"/>
    <x v="5"/>
    <x v="1170"/>
    <x v="4"/>
    <d v="2024-01-15T00:00:00"/>
    <d v="2024-01-23T00:00:00"/>
    <x v="0"/>
    <x v="1179"/>
    <x v="0"/>
    <x v="0"/>
    <x v="0"/>
    <x v="0"/>
    <x v="0"/>
    <x v="1"/>
  </r>
  <r>
    <n v="16057"/>
    <x v="7"/>
    <x v="3"/>
    <x v="98"/>
    <x v="2"/>
    <x v="1171"/>
    <x v="2"/>
    <d v="2024-04-29T00:00:00"/>
    <d v="2024-05-10T00:00:00"/>
    <x v="0"/>
    <x v="1180"/>
    <x v="0"/>
    <x v="0"/>
    <x v="0"/>
    <x v="0"/>
    <x v="0"/>
    <x v="0"/>
  </r>
  <r>
    <n v="17043"/>
    <x v="6"/>
    <x v="3"/>
    <x v="447"/>
    <x v="2"/>
    <x v="1172"/>
    <x v="1"/>
    <d v="2024-02-10T00:00:00"/>
    <d v="2024-03-15T00:00:00"/>
    <x v="2"/>
    <x v="1181"/>
    <x v="0"/>
    <x v="0"/>
    <x v="0"/>
    <x v="0"/>
    <x v="0"/>
    <x v="0"/>
  </r>
  <r>
    <n v="79000"/>
    <x v="5"/>
    <x v="2"/>
    <x v="448"/>
    <x v="5"/>
    <x v="1173"/>
    <x v="2"/>
    <d v="2024-12-03T00:00:00"/>
    <d v="2024-12-12T00:00:00"/>
    <x v="2"/>
    <x v="1182"/>
    <x v="0"/>
    <x v="0"/>
    <x v="0"/>
    <x v="0"/>
    <x v="0"/>
    <x v="1"/>
  </r>
  <r>
    <n v="85838"/>
    <x v="15"/>
    <x v="4"/>
    <x v="401"/>
    <x v="2"/>
    <x v="1174"/>
    <x v="1"/>
    <d v="2024-02-18T00:00:00"/>
    <d v="2024-03-10T00:00:00"/>
    <x v="0"/>
    <x v="1183"/>
    <x v="0"/>
    <x v="0"/>
    <x v="0"/>
    <x v="0"/>
    <x v="0"/>
    <x v="0"/>
  </r>
  <r>
    <n v="42599"/>
    <x v="8"/>
    <x v="1"/>
    <x v="8"/>
    <x v="6"/>
    <x v="1175"/>
    <x v="4"/>
    <d v="2024-09-15T00:00:00"/>
    <d v="2024-09-23T00:00:00"/>
    <x v="1"/>
    <x v="1184"/>
    <x v="1"/>
    <x v="88"/>
    <x v="1"/>
    <x v="1"/>
    <x v="1"/>
    <x v="1"/>
  </r>
  <r>
    <n v="64766"/>
    <x v="6"/>
    <x v="3"/>
    <x v="53"/>
    <x v="1"/>
    <x v="1176"/>
    <x v="1"/>
    <d v="2024-03-05T00:00:00"/>
    <d v="2024-03-12T00:00:00"/>
    <x v="0"/>
    <x v="1185"/>
    <x v="0"/>
    <x v="0"/>
    <x v="0"/>
    <x v="0"/>
    <x v="0"/>
    <x v="0"/>
  </r>
  <r>
    <n v="96120"/>
    <x v="15"/>
    <x v="4"/>
    <x v="227"/>
    <x v="3"/>
    <x v="1177"/>
    <x v="3"/>
    <d v="2024-08-04T00:00:00"/>
    <d v="2024-08-30T00:00:00"/>
    <x v="2"/>
    <x v="1186"/>
    <x v="1"/>
    <x v="32"/>
    <x v="1"/>
    <x v="1"/>
    <x v="1"/>
    <x v="1"/>
  </r>
  <r>
    <n v="65609"/>
    <x v="0"/>
    <x v="0"/>
    <x v="284"/>
    <x v="6"/>
    <x v="1178"/>
    <x v="0"/>
    <d v="2024-05-08T00:00:00"/>
    <d v="2024-05-14T00:00:00"/>
    <x v="2"/>
    <x v="1187"/>
    <x v="1"/>
    <x v="45"/>
    <x v="1"/>
    <x v="1"/>
    <x v="1"/>
    <x v="1"/>
  </r>
  <r>
    <n v="46923"/>
    <x v="4"/>
    <x v="0"/>
    <x v="398"/>
    <x v="1"/>
    <x v="1179"/>
    <x v="0"/>
    <d v="2024-09-09T00:00:00"/>
    <d v="2024-09-14T00:00:00"/>
    <x v="0"/>
    <x v="1188"/>
    <x v="1"/>
    <x v="89"/>
    <x v="1"/>
    <x v="1"/>
    <x v="1"/>
    <x v="1"/>
  </r>
  <r>
    <n v="19304"/>
    <x v="3"/>
    <x v="2"/>
    <x v="176"/>
    <x v="4"/>
    <x v="1180"/>
    <x v="2"/>
    <d v="2024-04-05T00:00:00"/>
    <d v="2024-05-08T00:00:00"/>
    <x v="2"/>
    <x v="1189"/>
    <x v="0"/>
    <x v="0"/>
    <x v="0"/>
    <x v="0"/>
    <x v="0"/>
    <x v="1"/>
  </r>
  <r>
    <n v="86394"/>
    <x v="5"/>
    <x v="2"/>
    <x v="154"/>
    <x v="3"/>
    <x v="1181"/>
    <x v="0"/>
    <d v="2024-06-14T00:00:00"/>
    <d v="2024-07-23T00:00:00"/>
    <x v="1"/>
    <x v="1190"/>
    <x v="0"/>
    <x v="0"/>
    <x v="0"/>
    <x v="0"/>
    <x v="0"/>
    <x v="0"/>
  </r>
  <r>
    <n v="72796"/>
    <x v="15"/>
    <x v="4"/>
    <x v="449"/>
    <x v="0"/>
    <x v="1182"/>
    <x v="4"/>
    <d v="2024-09-07T00:00:00"/>
    <d v="2024-10-05T00:00:00"/>
    <x v="0"/>
    <x v="1191"/>
    <x v="0"/>
    <x v="0"/>
    <x v="0"/>
    <x v="0"/>
    <x v="0"/>
    <x v="0"/>
  </r>
  <r>
    <n v="37195"/>
    <x v="8"/>
    <x v="1"/>
    <x v="343"/>
    <x v="3"/>
    <x v="1183"/>
    <x v="1"/>
    <d v="2024-10-30T00:00:00"/>
    <d v="2024-11-10T00:00:00"/>
    <x v="0"/>
    <x v="1192"/>
    <x v="0"/>
    <x v="0"/>
    <x v="0"/>
    <x v="0"/>
    <x v="0"/>
    <x v="0"/>
  </r>
  <r>
    <n v="11816"/>
    <x v="3"/>
    <x v="2"/>
    <x v="257"/>
    <x v="4"/>
    <x v="1184"/>
    <x v="4"/>
    <d v="2024-08-13T00:00:00"/>
    <d v="2024-09-20T00:00:00"/>
    <x v="1"/>
    <x v="1193"/>
    <x v="0"/>
    <x v="0"/>
    <x v="0"/>
    <x v="0"/>
    <x v="0"/>
    <x v="0"/>
  </r>
  <r>
    <n v="22809"/>
    <x v="11"/>
    <x v="4"/>
    <x v="196"/>
    <x v="3"/>
    <x v="1185"/>
    <x v="0"/>
    <d v="2024-10-01T00:00:00"/>
    <d v="2024-10-13T00:00:00"/>
    <x v="2"/>
    <x v="1194"/>
    <x v="0"/>
    <x v="0"/>
    <x v="0"/>
    <x v="0"/>
    <x v="0"/>
    <x v="0"/>
  </r>
  <r>
    <n v="42009"/>
    <x v="6"/>
    <x v="3"/>
    <x v="344"/>
    <x v="6"/>
    <x v="1186"/>
    <x v="2"/>
    <d v="2024-01-28T00:00:00"/>
    <d v="2024-02-27T00:00:00"/>
    <x v="1"/>
    <x v="1195"/>
    <x v="1"/>
    <x v="90"/>
    <x v="1"/>
    <x v="1"/>
    <x v="1"/>
    <x v="1"/>
  </r>
  <r>
    <n v="21419"/>
    <x v="15"/>
    <x v="4"/>
    <x v="262"/>
    <x v="6"/>
    <x v="1187"/>
    <x v="3"/>
    <d v="2024-03-14T00:00:00"/>
    <d v="2024-04-06T00:00:00"/>
    <x v="1"/>
    <x v="1196"/>
    <x v="1"/>
    <x v="91"/>
    <x v="1"/>
    <x v="1"/>
    <x v="1"/>
    <x v="1"/>
  </r>
  <r>
    <n v="54291"/>
    <x v="6"/>
    <x v="3"/>
    <x v="339"/>
    <x v="1"/>
    <x v="1188"/>
    <x v="4"/>
    <d v="2024-11-01T00:00:00"/>
    <d v="2024-12-03T00:00:00"/>
    <x v="1"/>
    <x v="1197"/>
    <x v="1"/>
    <x v="33"/>
    <x v="1"/>
    <x v="1"/>
    <x v="1"/>
    <x v="1"/>
  </r>
  <r>
    <n v="80729"/>
    <x v="14"/>
    <x v="4"/>
    <x v="330"/>
    <x v="3"/>
    <x v="1189"/>
    <x v="3"/>
    <d v="2024-05-09T00:00:00"/>
    <d v="2024-06-10T00:00:00"/>
    <x v="2"/>
    <x v="1198"/>
    <x v="0"/>
    <x v="0"/>
    <x v="0"/>
    <x v="0"/>
    <x v="0"/>
    <x v="0"/>
  </r>
  <r>
    <n v="25957"/>
    <x v="3"/>
    <x v="2"/>
    <x v="420"/>
    <x v="4"/>
    <x v="1190"/>
    <x v="3"/>
    <d v="2024-12-13T00:00:00"/>
    <d v="2024-12-27T00:00:00"/>
    <x v="0"/>
    <x v="1199"/>
    <x v="0"/>
    <x v="0"/>
    <x v="0"/>
    <x v="0"/>
    <x v="0"/>
    <x v="0"/>
  </r>
  <r>
    <n v="43642"/>
    <x v="0"/>
    <x v="0"/>
    <x v="238"/>
    <x v="0"/>
    <x v="1191"/>
    <x v="4"/>
    <d v="2024-03-26T00:00:00"/>
    <d v="2024-04-29T00:00:00"/>
    <x v="2"/>
    <x v="1200"/>
    <x v="0"/>
    <x v="0"/>
    <x v="0"/>
    <x v="0"/>
    <x v="0"/>
    <x v="0"/>
  </r>
  <r>
    <n v="56023"/>
    <x v="1"/>
    <x v="0"/>
    <x v="359"/>
    <x v="3"/>
    <x v="1192"/>
    <x v="3"/>
    <d v="2024-08-14T00:00:00"/>
    <d v="2024-09-06T00:00:00"/>
    <x v="0"/>
    <x v="1201"/>
    <x v="0"/>
    <x v="0"/>
    <x v="0"/>
    <x v="0"/>
    <x v="0"/>
    <x v="0"/>
  </r>
  <r>
    <n v="70289"/>
    <x v="0"/>
    <x v="0"/>
    <x v="327"/>
    <x v="2"/>
    <x v="1193"/>
    <x v="2"/>
    <d v="2024-12-09T00:00:00"/>
    <d v="2025-01-03T00:00:00"/>
    <x v="0"/>
    <x v="1202"/>
    <x v="0"/>
    <x v="0"/>
    <x v="0"/>
    <x v="0"/>
    <x v="0"/>
    <x v="0"/>
  </r>
  <r>
    <n v="58791"/>
    <x v="1"/>
    <x v="0"/>
    <x v="431"/>
    <x v="0"/>
    <x v="1194"/>
    <x v="1"/>
    <d v="2024-08-31T00:00:00"/>
    <d v="2024-09-28T00:00:00"/>
    <x v="1"/>
    <x v="1203"/>
    <x v="1"/>
    <x v="56"/>
    <x v="1"/>
    <x v="1"/>
    <x v="1"/>
    <x v="1"/>
  </r>
  <r>
    <n v="19032"/>
    <x v="6"/>
    <x v="3"/>
    <x v="320"/>
    <x v="3"/>
    <x v="1195"/>
    <x v="2"/>
    <d v="2024-10-02T00:00:00"/>
    <d v="2024-10-14T00:00:00"/>
    <x v="2"/>
    <x v="1204"/>
    <x v="0"/>
    <x v="0"/>
    <x v="0"/>
    <x v="0"/>
    <x v="0"/>
    <x v="0"/>
  </r>
  <r>
    <n v="98365"/>
    <x v="9"/>
    <x v="1"/>
    <x v="148"/>
    <x v="1"/>
    <x v="1196"/>
    <x v="1"/>
    <d v="2024-10-17T00:00:00"/>
    <d v="2024-11-13T00:00:00"/>
    <x v="0"/>
    <x v="1205"/>
    <x v="1"/>
    <x v="92"/>
    <x v="1"/>
    <x v="1"/>
    <x v="1"/>
    <x v="1"/>
  </r>
  <r>
    <n v="55028"/>
    <x v="10"/>
    <x v="2"/>
    <x v="247"/>
    <x v="4"/>
    <x v="1197"/>
    <x v="3"/>
    <d v="2024-03-07T00:00:00"/>
    <d v="2024-03-30T00:00:00"/>
    <x v="2"/>
    <x v="1206"/>
    <x v="0"/>
    <x v="0"/>
    <x v="0"/>
    <x v="0"/>
    <x v="0"/>
    <x v="0"/>
  </r>
  <r>
    <n v="35557"/>
    <x v="12"/>
    <x v="0"/>
    <x v="253"/>
    <x v="3"/>
    <x v="1198"/>
    <x v="4"/>
    <d v="2024-04-11T00:00:00"/>
    <d v="2024-05-10T00:00:00"/>
    <x v="2"/>
    <x v="1207"/>
    <x v="0"/>
    <x v="0"/>
    <x v="0"/>
    <x v="0"/>
    <x v="0"/>
    <x v="1"/>
  </r>
  <r>
    <n v="72028"/>
    <x v="12"/>
    <x v="0"/>
    <x v="255"/>
    <x v="4"/>
    <x v="1199"/>
    <x v="4"/>
    <d v="2024-05-29T00:00:00"/>
    <d v="2024-06-23T00:00:00"/>
    <x v="2"/>
    <x v="1208"/>
    <x v="0"/>
    <x v="0"/>
    <x v="0"/>
    <x v="0"/>
    <x v="0"/>
    <x v="0"/>
  </r>
  <r>
    <n v="24859"/>
    <x v="8"/>
    <x v="1"/>
    <x v="284"/>
    <x v="1"/>
    <x v="1200"/>
    <x v="4"/>
    <d v="2024-02-28T00:00:00"/>
    <d v="2024-03-25T00:00:00"/>
    <x v="2"/>
    <x v="1209"/>
    <x v="1"/>
    <x v="38"/>
    <x v="1"/>
    <x v="1"/>
    <x v="1"/>
    <x v="1"/>
  </r>
  <r>
    <n v="51011"/>
    <x v="16"/>
    <x v="3"/>
    <x v="289"/>
    <x v="5"/>
    <x v="1201"/>
    <x v="2"/>
    <d v="2024-12-27T00:00:00"/>
    <d v="2025-01-30T00:00:00"/>
    <x v="2"/>
    <x v="1210"/>
    <x v="0"/>
    <x v="0"/>
    <x v="0"/>
    <x v="0"/>
    <x v="0"/>
    <x v="1"/>
  </r>
  <r>
    <n v="95982"/>
    <x v="16"/>
    <x v="3"/>
    <x v="204"/>
    <x v="0"/>
    <x v="1202"/>
    <x v="4"/>
    <d v="2024-10-05T00:00:00"/>
    <d v="2024-11-13T00:00:00"/>
    <x v="1"/>
    <x v="1211"/>
    <x v="1"/>
    <x v="50"/>
    <x v="1"/>
    <x v="1"/>
    <x v="1"/>
    <x v="1"/>
  </r>
  <r>
    <n v="19471"/>
    <x v="14"/>
    <x v="4"/>
    <x v="450"/>
    <x v="2"/>
    <x v="1203"/>
    <x v="2"/>
    <d v="2024-09-06T00:00:00"/>
    <d v="2024-10-12T00:00:00"/>
    <x v="2"/>
    <x v="1212"/>
    <x v="1"/>
    <x v="18"/>
    <x v="1"/>
    <x v="1"/>
    <x v="1"/>
    <x v="1"/>
  </r>
  <r>
    <n v="30229"/>
    <x v="12"/>
    <x v="0"/>
    <x v="123"/>
    <x v="2"/>
    <x v="1204"/>
    <x v="2"/>
    <d v="2024-08-08T00:00:00"/>
    <d v="2024-08-31T00:00:00"/>
    <x v="1"/>
    <x v="1213"/>
    <x v="0"/>
    <x v="0"/>
    <x v="0"/>
    <x v="0"/>
    <x v="0"/>
    <x v="0"/>
  </r>
  <r>
    <n v="82571"/>
    <x v="11"/>
    <x v="4"/>
    <x v="228"/>
    <x v="4"/>
    <x v="1205"/>
    <x v="4"/>
    <d v="2024-05-12T00:00:00"/>
    <d v="2024-06-19T00:00:00"/>
    <x v="1"/>
    <x v="1214"/>
    <x v="0"/>
    <x v="0"/>
    <x v="0"/>
    <x v="0"/>
    <x v="0"/>
    <x v="1"/>
  </r>
  <r>
    <n v="13060"/>
    <x v="5"/>
    <x v="2"/>
    <x v="78"/>
    <x v="4"/>
    <x v="1206"/>
    <x v="2"/>
    <d v="2024-10-26T00:00:00"/>
    <d v="2024-11-19T00:00:00"/>
    <x v="1"/>
    <x v="1215"/>
    <x v="0"/>
    <x v="0"/>
    <x v="0"/>
    <x v="0"/>
    <x v="0"/>
    <x v="1"/>
  </r>
  <r>
    <n v="25141"/>
    <x v="3"/>
    <x v="2"/>
    <x v="121"/>
    <x v="5"/>
    <x v="1207"/>
    <x v="1"/>
    <d v="2024-08-03T00:00:00"/>
    <d v="2024-08-30T00:00:00"/>
    <x v="1"/>
    <x v="1216"/>
    <x v="0"/>
    <x v="0"/>
    <x v="0"/>
    <x v="0"/>
    <x v="0"/>
    <x v="0"/>
  </r>
  <r>
    <n v="12365"/>
    <x v="16"/>
    <x v="3"/>
    <x v="366"/>
    <x v="2"/>
    <x v="1208"/>
    <x v="1"/>
    <d v="2024-11-27T00:00:00"/>
    <d v="2024-12-28T00:00:00"/>
    <x v="1"/>
    <x v="1217"/>
    <x v="0"/>
    <x v="0"/>
    <x v="0"/>
    <x v="0"/>
    <x v="0"/>
    <x v="0"/>
  </r>
  <r>
    <n v="59396"/>
    <x v="6"/>
    <x v="3"/>
    <x v="372"/>
    <x v="6"/>
    <x v="1209"/>
    <x v="3"/>
    <d v="2024-04-13T00:00:00"/>
    <d v="2024-05-17T00:00:00"/>
    <x v="0"/>
    <x v="1218"/>
    <x v="0"/>
    <x v="0"/>
    <x v="0"/>
    <x v="0"/>
    <x v="0"/>
    <x v="1"/>
  </r>
  <r>
    <n v="11919"/>
    <x v="0"/>
    <x v="0"/>
    <x v="100"/>
    <x v="4"/>
    <x v="1210"/>
    <x v="2"/>
    <d v="2024-01-25T00:00:00"/>
    <d v="2024-01-31T00:00:00"/>
    <x v="2"/>
    <x v="1219"/>
    <x v="0"/>
    <x v="0"/>
    <x v="0"/>
    <x v="0"/>
    <x v="0"/>
    <x v="0"/>
  </r>
  <r>
    <n v="93721"/>
    <x v="6"/>
    <x v="3"/>
    <x v="13"/>
    <x v="3"/>
    <x v="1211"/>
    <x v="4"/>
    <d v="2024-02-01T00:00:00"/>
    <d v="2024-02-26T00:00:00"/>
    <x v="0"/>
    <x v="1220"/>
    <x v="0"/>
    <x v="0"/>
    <x v="0"/>
    <x v="0"/>
    <x v="0"/>
    <x v="0"/>
  </r>
  <r>
    <n v="43910"/>
    <x v="6"/>
    <x v="3"/>
    <x v="322"/>
    <x v="2"/>
    <x v="1212"/>
    <x v="4"/>
    <d v="2024-02-15T00:00:00"/>
    <d v="2024-02-27T00:00:00"/>
    <x v="1"/>
    <x v="1221"/>
    <x v="0"/>
    <x v="0"/>
    <x v="0"/>
    <x v="0"/>
    <x v="0"/>
    <x v="0"/>
  </r>
  <r>
    <n v="80375"/>
    <x v="4"/>
    <x v="0"/>
    <x v="287"/>
    <x v="5"/>
    <x v="1213"/>
    <x v="2"/>
    <d v="2024-09-06T00:00:00"/>
    <d v="2024-10-06T00:00:00"/>
    <x v="2"/>
    <x v="1222"/>
    <x v="0"/>
    <x v="0"/>
    <x v="0"/>
    <x v="0"/>
    <x v="0"/>
    <x v="1"/>
  </r>
  <r>
    <n v="82534"/>
    <x v="5"/>
    <x v="2"/>
    <x v="451"/>
    <x v="6"/>
    <x v="1214"/>
    <x v="1"/>
    <d v="2024-01-28T00:00:00"/>
    <d v="2024-03-01T00:00:00"/>
    <x v="1"/>
    <x v="1223"/>
    <x v="1"/>
    <x v="2"/>
    <x v="1"/>
    <x v="1"/>
    <x v="1"/>
    <x v="1"/>
  </r>
  <r>
    <n v="31818"/>
    <x v="7"/>
    <x v="3"/>
    <x v="294"/>
    <x v="3"/>
    <x v="1215"/>
    <x v="1"/>
    <d v="2024-11-26T00:00:00"/>
    <d v="2024-12-11T00:00:00"/>
    <x v="1"/>
    <x v="1224"/>
    <x v="0"/>
    <x v="0"/>
    <x v="0"/>
    <x v="0"/>
    <x v="0"/>
    <x v="0"/>
  </r>
  <r>
    <n v="57037"/>
    <x v="13"/>
    <x v="3"/>
    <x v="17"/>
    <x v="1"/>
    <x v="1216"/>
    <x v="2"/>
    <d v="2024-10-15T00:00:00"/>
    <d v="2024-11-21T00:00:00"/>
    <x v="2"/>
    <x v="1225"/>
    <x v="0"/>
    <x v="0"/>
    <x v="0"/>
    <x v="0"/>
    <x v="0"/>
    <x v="1"/>
  </r>
  <r>
    <n v="18798"/>
    <x v="0"/>
    <x v="0"/>
    <x v="174"/>
    <x v="4"/>
    <x v="1217"/>
    <x v="2"/>
    <d v="2024-07-14T00:00:00"/>
    <d v="2024-08-17T00:00:00"/>
    <x v="1"/>
    <x v="1226"/>
    <x v="0"/>
    <x v="0"/>
    <x v="0"/>
    <x v="0"/>
    <x v="0"/>
    <x v="0"/>
  </r>
  <r>
    <n v="28452"/>
    <x v="0"/>
    <x v="0"/>
    <x v="279"/>
    <x v="2"/>
    <x v="1218"/>
    <x v="2"/>
    <d v="2024-06-09T00:00:00"/>
    <d v="2024-07-06T00:00:00"/>
    <x v="0"/>
    <x v="1227"/>
    <x v="0"/>
    <x v="0"/>
    <x v="0"/>
    <x v="0"/>
    <x v="0"/>
    <x v="0"/>
  </r>
  <r>
    <n v="21805"/>
    <x v="14"/>
    <x v="4"/>
    <x v="18"/>
    <x v="0"/>
    <x v="1219"/>
    <x v="4"/>
    <d v="2024-02-17T00:00:00"/>
    <d v="2024-03-06T00:00:00"/>
    <x v="0"/>
    <x v="1228"/>
    <x v="0"/>
    <x v="0"/>
    <x v="0"/>
    <x v="0"/>
    <x v="0"/>
    <x v="0"/>
  </r>
  <r>
    <n v="20985"/>
    <x v="11"/>
    <x v="4"/>
    <x v="347"/>
    <x v="6"/>
    <x v="1220"/>
    <x v="3"/>
    <d v="2024-09-26T00:00:00"/>
    <d v="2024-10-06T00:00:00"/>
    <x v="0"/>
    <x v="1229"/>
    <x v="0"/>
    <x v="0"/>
    <x v="0"/>
    <x v="0"/>
    <x v="0"/>
    <x v="1"/>
  </r>
  <r>
    <n v="95818"/>
    <x v="7"/>
    <x v="3"/>
    <x v="314"/>
    <x v="2"/>
    <x v="1221"/>
    <x v="4"/>
    <d v="2024-08-27T00:00:00"/>
    <d v="2024-09-25T00:00:00"/>
    <x v="0"/>
    <x v="1230"/>
    <x v="0"/>
    <x v="0"/>
    <x v="0"/>
    <x v="0"/>
    <x v="0"/>
    <x v="0"/>
  </r>
  <r>
    <n v="95782"/>
    <x v="2"/>
    <x v="1"/>
    <x v="363"/>
    <x v="2"/>
    <x v="1222"/>
    <x v="2"/>
    <d v="2024-05-21T00:00:00"/>
    <d v="2024-05-31T00:00:00"/>
    <x v="1"/>
    <x v="1231"/>
    <x v="0"/>
    <x v="0"/>
    <x v="0"/>
    <x v="0"/>
    <x v="0"/>
    <x v="0"/>
  </r>
  <r>
    <n v="54732"/>
    <x v="0"/>
    <x v="0"/>
    <x v="85"/>
    <x v="6"/>
    <x v="1223"/>
    <x v="3"/>
    <d v="2024-03-03T00:00:00"/>
    <d v="2024-03-15T00:00:00"/>
    <x v="2"/>
    <x v="1232"/>
    <x v="0"/>
    <x v="0"/>
    <x v="0"/>
    <x v="0"/>
    <x v="0"/>
    <x v="1"/>
  </r>
  <r>
    <n v="82743"/>
    <x v="12"/>
    <x v="0"/>
    <x v="261"/>
    <x v="4"/>
    <x v="1224"/>
    <x v="4"/>
    <d v="2024-01-22T00:00:00"/>
    <d v="2024-02-18T00:00:00"/>
    <x v="1"/>
    <x v="1233"/>
    <x v="0"/>
    <x v="0"/>
    <x v="0"/>
    <x v="0"/>
    <x v="0"/>
    <x v="0"/>
  </r>
  <r>
    <n v="46303"/>
    <x v="5"/>
    <x v="2"/>
    <x v="338"/>
    <x v="6"/>
    <x v="1225"/>
    <x v="4"/>
    <d v="2024-03-24T00:00:00"/>
    <d v="2024-04-30T00:00:00"/>
    <x v="1"/>
    <x v="1234"/>
    <x v="1"/>
    <x v="12"/>
    <x v="1"/>
    <x v="1"/>
    <x v="1"/>
    <x v="1"/>
  </r>
  <r>
    <n v="67988"/>
    <x v="15"/>
    <x v="4"/>
    <x v="104"/>
    <x v="1"/>
    <x v="1226"/>
    <x v="1"/>
    <d v="2024-08-13T00:00:00"/>
    <d v="2024-09-08T00:00:00"/>
    <x v="2"/>
    <x v="1235"/>
    <x v="0"/>
    <x v="0"/>
    <x v="0"/>
    <x v="0"/>
    <x v="0"/>
    <x v="1"/>
  </r>
  <r>
    <n v="72040"/>
    <x v="12"/>
    <x v="0"/>
    <x v="51"/>
    <x v="0"/>
    <x v="1227"/>
    <x v="4"/>
    <d v="2024-09-06T00:00:00"/>
    <d v="2024-10-05T00:00:00"/>
    <x v="0"/>
    <x v="1236"/>
    <x v="0"/>
    <x v="0"/>
    <x v="0"/>
    <x v="0"/>
    <x v="0"/>
    <x v="0"/>
  </r>
  <r>
    <n v="46572"/>
    <x v="16"/>
    <x v="3"/>
    <x v="293"/>
    <x v="5"/>
    <x v="1228"/>
    <x v="3"/>
    <d v="2024-12-08T00:00:00"/>
    <d v="2024-12-16T00:00:00"/>
    <x v="2"/>
    <x v="1237"/>
    <x v="0"/>
    <x v="0"/>
    <x v="0"/>
    <x v="0"/>
    <x v="0"/>
    <x v="1"/>
  </r>
  <r>
    <n v="19862"/>
    <x v="7"/>
    <x v="3"/>
    <x v="65"/>
    <x v="2"/>
    <x v="1229"/>
    <x v="2"/>
    <d v="2024-09-08T00:00:00"/>
    <d v="2024-10-04T00:00:00"/>
    <x v="0"/>
    <x v="1238"/>
    <x v="0"/>
    <x v="0"/>
    <x v="0"/>
    <x v="0"/>
    <x v="0"/>
    <x v="0"/>
  </r>
  <r>
    <n v="29323"/>
    <x v="10"/>
    <x v="2"/>
    <x v="358"/>
    <x v="3"/>
    <x v="1230"/>
    <x v="0"/>
    <d v="2024-09-12T00:00:00"/>
    <d v="2024-09-28T00:00:00"/>
    <x v="2"/>
    <x v="1239"/>
    <x v="0"/>
    <x v="0"/>
    <x v="0"/>
    <x v="0"/>
    <x v="0"/>
    <x v="0"/>
  </r>
  <r>
    <n v="33382"/>
    <x v="16"/>
    <x v="3"/>
    <x v="419"/>
    <x v="2"/>
    <x v="1231"/>
    <x v="2"/>
    <d v="2024-03-04T00:00:00"/>
    <d v="2024-03-12T00:00:00"/>
    <x v="1"/>
    <x v="1240"/>
    <x v="0"/>
    <x v="0"/>
    <x v="0"/>
    <x v="0"/>
    <x v="0"/>
    <x v="0"/>
  </r>
  <r>
    <n v="26292"/>
    <x v="0"/>
    <x v="0"/>
    <x v="235"/>
    <x v="1"/>
    <x v="1232"/>
    <x v="1"/>
    <d v="2024-06-28T00:00:00"/>
    <d v="2024-08-03T00:00:00"/>
    <x v="1"/>
    <x v="1241"/>
    <x v="0"/>
    <x v="0"/>
    <x v="0"/>
    <x v="0"/>
    <x v="0"/>
    <x v="0"/>
  </r>
  <r>
    <n v="59648"/>
    <x v="0"/>
    <x v="0"/>
    <x v="244"/>
    <x v="2"/>
    <x v="1233"/>
    <x v="3"/>
    <d v="2024-03-10T00:00:00"/>
    <d v="2024-03-31T00:00:00"/>
    <x v="0"/>
    <x v="1242"/>
    <x v="0"/>
    <x v="0"/>
    <x v="0"/>
    <x v="0"/>
    <x v="0"/>
    <x v="0"/>
  </r>
  <r>
    <n v="32072"/>
    <x v="10"/>
    <x v="2"/>
    <x v="110"/>
    <x v="2"/>
    <x v="1234"/>
    <x v="0"/>
    <d v="2024-07-24T00:00:00"/>
    <d v="2024-08-14T00:00:00"/>
    <x v="0"/>
    <x v="1243"/>
    <x v="0"/>
    <x v="0"/>
    <x v="0"/>
    <x v="0"/>
    <x v="0"/>
    <x v="0"/>
  </r>
  <r>
    <n v="28781"/>
    <x v="8"/>
    <x v="1"/>
    <x v="190"/>
    <x v="0"/>
    <x v="1235"/>
    <x v="0"/>
    <d v="2024-01-06T00:00:00"/>
    <d v="2024-02-12T00:00:00"/>
    <x v="1"/>
    <x v="1244"/>
    <x v="0"/>
    <x v="0"/>
    <x v="0"/>
    <x v="0"/>
    <x v="0"/>
    <x v="0"/>
  </r>
  <r>
    <n v="43746"/>
    <x v="15"/>
    <x v="4"/>
    <x v="356"/>
    <x v="0"/>
    <x v="1236"/>
    <x v="1"/>
    <d v="2024-03-08T00:00:00"/>
    <d v="2024-04-01T00:00:00"/>
    <x v="1"/>
    <x v="1245"/>
    <x v="0"/>
    <x v="0"/>
    <x v="0"/>
    <x v="0"/>
    <x v="0"/>
    <x v="0"/>
  </r>
  <r>
    <n v="76483"/>
    <x v="2"/>
    <x v="1"/>
    <x v="91"/>
    <x v="5"/>
    <x v="1237"/>
    <x v="1"/>
    <d v="2024-04-21T00:00:00"/>
    <d v="2024-05-02T00:00:00"/>
    <x v="2"/>
    <x v="1246"/>
    <x v="0"/>
    <x v="0"/>
    <x v="0"/>
    <x v="0"/>
    <x v="0"/>
    <x v="1"/>
  </r>
  <r>
    <n v="28677"/>
    <x v="10"/>
    <x v="2"/>
    <x v="452"/>
    <x v="4"/>
    <x v="1238"/>
    <x v="3"/>
    <d v="2024-11-01T00:00:00"/>
    <d v="2024-11-21T00:00:00"/>
    <x v="2"/>
    <x v="1247"/>
    <x v="0"/>
    <x v="0"/>
    <x v="0"/>
    <x v="0"/>
    <x v="0"/>
    <x v="0"/>
  </r>
  <r>
    <n v="59323"/>
    <x v="7"/>
    <x v="3"/>
    <x v="377"/>
    <x v="2"/>
    <x v="1239"/>
    <x v="3"/>
    <d v="2024-09-20T00:00:00"/>
    <d v="2024-10-15T00:00:00"/>
    <x v="1"/>
    <x v="1248"/>
    <x v="1"/>
    <x v="52"/>
    <x v="1"/>
    <x v="1"/>
    <x v="1"/>
    <x v="1"/>
  </r>
  <r>
    <n v="76697"/>
    <x v="14"/>
    <x v="4"/>
    <x v="210"/>
    <x v="4"/>
    <x v="1240"/>
    <x v="0"/>
    <d v="2024-02-03T00:00:00"/>
    <d v="2024-02-15T00:00:00"/>
    <x v="2"/>
    <x v="1249"/>
    <x v="0"/>
    <x v="0"/>
    <x v="0"/>
    <x v="0"/>
    <x v="0"/>
    <x v="0"/>
  </r>
  <r>
    <n v="68150"/>
    <x v="8"/>
    <x v="1"/>
    <x v="6"/>
    <x v="5"/>
    <x v="1241"/>
    <x v="4"/>
    <d v="2024-02-15T00:00:00"/>
    <d v="2024-03-13T00:00:00"/>
    <x v="1"/>
    <x v="1250"/>
    <x v="0"/>
    <x v="0"/>
    <x v="0"/>
    <x v="0"/>
    <x v="0"/>
    <x v="0"/>
  </r>
  <r>
    <n v="15594"/>
    <x v="1"/>
    <x v="0"/>
    <x v="450"/>
    <x v="6"/>
    <x v="1242"/>
    <x v="4"/>
    <d v="2024-05-20T00:00:00"/>
    <d v="2024-06-02T00:00:00"/>
    <x v="0"/>
    <x v="1251"/>
    <x v="1"/>
    <x v="93"/>
    <x v="1"/>
    <x v="1"/>
    <x v="1"/>
    <x v="1"/>
  </r>
  <r>
    <n v="56798"/>
    <x v="5"/>
    <x v="2"/>
    <x v="271"/>
    <x v="6"/>
    <x v="1243"/>
    <x v="3"/>
    <d v="2024-09-24T00:00:00"/>
    <d v="2024-10-21T00:00:00"/>
    <x v="0"/>
    <x v="1252"/>
    <x v="0"/>
    <x v="0"/>
    <x v="0"/>
    <x v="0"/>
    <x v="0"/>
    <x v="1"/>
  </r>
  <r>
    <n v="63365"/>
    <x v="6"/>
    <x v="3"/>
    <x v="342"/>
    <x v="1"/>
    <x v="1244"/>
    <x v="4"/>
    <d v="2024-07-11T00:00:00"/>
    <d v="2024-07-20T00:00:00"/>
    <x v="1"/>
    <x v="1253"/>
    <x v="0"/>
    <x v="0"/>
    <x v="0"/>
    <x v="0"/>
    <x v="0"/>
    <x v="0"/>
  </r>
  <r>
    <n v="78247"/>
    <x v="7"/>
    <x v="3"/>
    <x v="422"/>
    <x v="4"/>
    <x v="1245"/>
    <x v="4"/>
    <d v="2024-11-05T00:00:00"/>
    <d v="2024-11-19T00:00:00"/>
    <x v="0"/>
    <x v="1254"/>
    <x v="0"/>
    <x v="0"/>
    <x v="0"/>
    <x v="0"/>
    <x v="0"/>
    <x v="1"/>
  </r>
  <r>
    <n v="96135"/>
    <x v="1"/>
    <x v="0"/>
    <x v="453"/>
    <x v="0"/>
    <x v="1246"/>
    <x v="2"/>
    <d v="2024-05-29T00:00:00"/>
    <d v="2024-06-06T00:00:00"/>
    <x v="1"/>
    <x v="1255"/>
    <x v="0"/>
    <x v="0"/>
    <x v="0"/>
    <x v="0"/>
    <x v="0"/>
    <x v="1"/>
  </r>
  <r>
    <n v="62800"/>
    <x v="3"/>
    <x v="2"/>
    <x v="454"/>
    <x v="6"/>
    <x v="1247"/>
    <x v="4"/>
    <d v="2024-01-02T00:00:00"/>
    <d v="2024-01-30T00:00:00"/>
    <x v="0"/>
    <x v="1256"/>
    <x v="0"/>
    <x v="0"/>
    <x v="0"/>
    <x v="0"/>
    <x v="0"/>
    <x v="1"/>
  </r>
  <r>
    <n v="63871"/>
    <x v="7"/>
    <x v="3"/>
    <x v="293"/>
    <x v="3"/>
    <x v="1248"/>
    <x v="3"/>
    <d v="2024-04-12T00:00:00"/>
    <d v="2024-04-19T00:00:00"/>
    <x v="1"/>
    <x v="1257"/>
    <x v="0"/>
    <x v="0"/>
    <x v="0"/>
    <x v="0"/>
    <x v="0"/>
    <x v="0"/>
  </r>
  <r>
    <n v="65773"/>
    <x v="12"/>
    <x v="0"/>
    <x v="230"/>
    <x v="6"/>
    <x v="1249"/>
    <x v="3"/>
    <d v="2024-09-14T00:00:00"/>
    <d v="2024-10-18T00:00:00"/>
    <x v="1"/>
    <x v="1258"/>
    <x v="0"/>
    <x v="0"/>
    <x v="0"/>
    <x v="0"/>
    <x v="0"/>
    <x v="1"/>
  </r>
  <r>
    <n v="86816"/>
    <x v="7"/>
    <x v="3"/>
    <x v="455"/>
    <x v="5"/>
    <x v="1250"/>
    <x v="2"/>
    <d v="2024-05-17T00:00:00"/>
    <d v="2024-06-16T00:00:00"/>
    <x v="0"/>
    <x v="1259"/>
    <x v="0"/>
    <x v="0"/>
    <x v="0"/>
    <x v="0"/>
    <x v="0"/>
    <x v="0"/>
  </r>
  <r>
    <n v="60870"/>
    <x v="12"/>
    <x v="0"/>
    <x v="251"/>
    <x v="4"/>
    <x v="1251"/>
    <x v="1"/>
    <d v="2024-04-06T00:00:00"/>
    <d v="2024-05-06T00:00:00"/>
    <x v="0"/>
    <x v="1260"/>
    <x v="0"/>
    <x v="0"/>
    <x v="0"/>
    <x v="0"/>
    <x v="0"/>
    <x v="0"/>
  </r>
  <r>
    <n v="95961"/>
    <x v="5"/>
    <x v="2"/>
    <x v="456"/>
    <x v="4"/>
    <x v="1252"/>
    <x v="1"/>
    <d v="2024-12-27T00:00:00"/>
    <d v="2025-01-05T00:00:00"/>
    <x v="0"/>
    <x v="1261"/>
    <x v="0"/>
    <x v="0"/>
    <x v="0"/>
    <x v="0"/>
    <x v="0"/>
    <x v="0"/>
  </r>
  <r>
    <n v="99062"/>
    <x v="3"/>
    <x v="2"/>
    <x v="125"/>
    <x v="2"/>
    <x v="1253"/>
    <x v="3"/>
    <d v="2024-09-14T00:00:00"/>
    <d v="2024-09-20T00:00:00"/>
    <x v="2"/>
    <x v="1262"/>
    <x v="0"/>
    <x v="0"/>
    <x v="0"/>
    <x v="0"/>
    <x v="0"/>
    <x v="0"/>
  </r>
  <r>
    <n v="69004"/>
    <x v="4"/>
    <x v="0"/>
    <x v="194"/>
    <x v="4"/>
    <x v="1254"/>
    <x v="1"/>
    <d v="2024-06-21T00:00:00"/>
    <d v="2024-07-06T00:00:00"/>
    <x v="1"/>
    <x v="1263"/>
    <x v="1"/>
    <x v="79"/>
    <x v="1"/>
    <x v="1"/>
    <x v="1"/>
    <x v="1"/>
  </r>
  <r>
    <n v="30754"/>
    <x v="16"/>
    <x v="3"/>
    <x v="118"/>
    <x v="4"/>
    <x v="1255"/>
    <x v="3"/>
    <d v="2024-07-19T00:00:00"/>
    <d v="2024-07-29T00:00:00"/>
    <x v="1"/>
    <x v="1264"/>
    <x v="0"/>
    <x v="0"/>
    <x v="0"/>
    <x v="0"/>
    <x v="0"/>
    <x v="0"/>
  </r>
  <r>
    <n v="11924"/>
    <x v="13"/>
    <x v="3"/>
    <x v="229"/>
    <x v="0"/>
    <x v="1256"/>
    <x v="2"/>
    <d v="2024-03-05T00:00:00"/>
    <d v="2024-03-16T00:00:00"/>
    <x v="2"/>
    <x v="1265"/>
    <x v="0"/>
    <x v="0"/>
    <x v="0"/>
    <x v="0"/>
    <x v="0"/>
    <x v="0"/>
  </r>
  <r>
    <n v="10306"/>
    <x v="10"/>
    <x v="2"/>
    <x v="326"/>
    <x v="4"/>
    <x v="1257"/>
    <x v="4"/>
    <d v="2024-08-05T00:00:00"/>
    <d v="2024-08-24T00:00:00"/>
    <x v="1"/>
    <x v="1266"/>
    <x v="0"/>
    <x v="0"/>
    <x v="0"/>
    <x v="0"/>
    <x v="0"/>
    <x v="0"/>
  </r>
  <r>
    <n v="55704"/>
    <x v="8"/>
    <x v="1"/>
    <x v="362"/>
    <x v="2"/>
    <x v="1258"/>
    <x v="0"/>
    <d v="2024-07-27T00:00:00"/>
    <d v="2024-09-03T00:00:00"/>
    <x v="0"/>
    <x v="1267"/>
    <x v="0"/>
    <x v="0"/>
    <x v="0"/>
    <x v="0"/>
    <x v="0"/>
    <x v="0"/>
  </r>
  <r>
    <n v="88563"/>
    <x v="16"/>
    <x v="3"/>
    <x v="182"/>
    <x v="2"/>
    <x v="1259"/>
    <x v="2"/>
    <d v="2024-02-16T00:00:00"/>
    <d v="2024-02-24T00:00:00"/>
    <x v="2"/>
    <x v="1268"/>
    <x v="0"/>
    <x v="0"/>
    <x v="0"/>
    <x v="0"/>
    <x v="0"/>
    <x v="0"/>
  </r>
  <r>
    <n v="14781"/>
    <x v="0"/>
    <x v="0"/>
    <x v="18"/>
    <x v="5"/>
    <x v="1134"/>
    <x v="3"/>
    <d v="2024-05-19T00:00:00"/>
    <d v="2024-05-26T00:00:00"/>
    <x v="2"/>
    <x v="1269"/>
    <x v="0"/>
    <x v="0"/>
    <x v="0"/>
    <x v="0"/>
    <x v="0"/>
    <x v="1"/>
  </r>
  <r>
    <n v="17549"/>
    <x v="4"/>
    <x v="0"/>
    <x v="441"/>
    <x v="5"/>
    <x v="1260"/>
    <x v="0"/>
    <d v="2024-04-19T00:00:00"/>
    <d v="2024-04-26T00:00:00"/>
    <x v="1"/>
    <x v="1270"/>
    <x v="0"/>
    <x v="0"/>
    <x v="0"/>
    <x v="0"/>
    <x v="0"/>
    <x v="1"/>
  </r>
  <r>
    <n v="93402"/>
    <x v="4"/>
    <x v="0"/>
    <x v="42"/>
    <x v="3"/>
    <x v="1261"/>
    <x v="0"/>
    <d v="2024-12-20T00:00:00"/>
    <d v="2025-01-25T00:00:00"/>
    <x v="1"/>
    <x v="1271"/>
    <x v="0"/>
    <x v="0"/>
    <x v="0"/>
    <x v="0"/>
    <x v="0"/>
    <x v="0"/>
  </r>
  <r>
    <n v="96839"/>
    <x v="7"/>
    <x v="3"/>
    <x v="351"/>
    <x v="3"/>
    <x v="1262"/>
    <x v="2"/>
    <d v="2024-02-02T00:00:00"/>
    <d v="2024-02-19T00:00:00"/>
    <x v="2"/>
    <x v="1272"/>
    <x v="0"/>
    <x v="0"/>
    <x v="0"/>
    <x v="0"/>
    <x v="0"/>
    <x v="0"/>
  </r>
  <r>
    <n v="76266"/>
    <x v="3"/>
    <x v="2"/>
    <x v="363"/>
    <x v="4"/>
    <x v="1263"/>
    <x v="3"/>
    <d v="2024-09-12T00:00:00"/>
    <d v="2024-09-28T00:00:00"/>
    <x v="0"/>
    <x v="1273"/>
    <x v="0"/>
    <x v="0"/>
    <x v="0"/>
    <x v="0"/>
    <x v="0"/>
    <x v="0"/>
  </r>
  <r>
    <n v="97977"/>
    <x v="15"/>
    <x v="4"/>
    <x v="155"/>
    <x v="4"/>
    <x v="1264"/>
    <x v="0"/>
    <d v="2024-06-24T00:00:00"/>
    <d v="2024-07-01T00:00:00"/>
    <x v="2"/>
    <x v="1274"/>
    <x v="1"/>
    <x v="39"/>
    <x v="1"/>
    <x v="1"/>
    <x v="1"/>
    <x v="1"/>
  </r>
  <r>
    <n v="57445"/>
    <x v="12"/>
    <x v="0"/>
    <x v="457"/>
    <x v="4"/>
    <x v="1265"/>
    <x v="0"/>
    <d v="2024-08-23T00:00:00"/>
    <d v="2024-09-09T00:00:00"/>
    <x v="1"/>
    <x v="1275"/>
    <x v="0"/>
    <x v="0"/>
    <x v="0"/>
    <x v="0"/>
    <x v="0"/>
    <x v="0"/>
  </r>
  <r>
    <n v="41704"/>
    <x v="0"/>
    <x v="0"/>
    <x v="190"/>
    <x v="3"/>
    <x v="1266"/>
    <x v="0"/>
    <d v="2024-05-04T00:00:00"/>
    <d v="2024-05-29T00:00:00"/>
    <x v="1"/>
    <x v="1276"/>
    <x v="0"/>
    <x v="0"/>
    <x v="0"/>
    <x v="0"/>
    <x v="0"/>
    <x v="0"/>
  </r>
  <r>
    <n v="87338"/>
    <x v="0"/>
    <x v="0"/>
    <x v="10"/>
    <x v="5"/>
    <x v="1267"/>
    <x v="3"/>
    <d v="2024-07-30T00:00:00"/>
    <d v="2024-08-22T00:00:00"/>
    <x v="2"/>
    <x v="1277"/>
    <x v="0"/>
    <x v="0"/>
    <x v="0"/>
    <x v="0"/>
    <x v="0"/>
    <x v="0"/>
  </r>
  <r>
    <n v="65415"/>
    <x v="12"/>
    <x v="0"/>
    <x v="173"/>
    <x v="6"/>
    <x v="1268"/>
    <x v="3"/>
    <d v="2024-09-22T00:00:00"/>
    <d v="2024-10-11T00:00:00"/>
    <x v="1"/>
    <x v="1278"/>
    <x v="0"/>
    <x v="0"/>
    <x v="0"/>
    <x v="0"/>
    <x v="0"/>
    <x v="1"/>
  </r>
  <r>
    <n v="80022"/>
    <x v="10"/>
    <x v="2"/>
    <x v="42"/>
    <x v="3"/>
    <x v="1269"/>
    <x v="4"/>
    <d v="2024-03-12T00:00:00"/>
    <d v="2024-03-21T00:00:00"/>
    <x v="0"/>
    <x v="1279"/>
    <x v="0"/>
    <x v="0"/>
    <x v="0"/>
    <x v="0"/>
    <x v="0"/>
    <x v="0"/>
  </r>
  <r>
    <n v="13420"/>
    <x v="1"/>
    <x v="0"/>
    <x v="435"/>
    <x v="2"/>
    <x v="1270"/>
    <x v="2"/>
    <d v="2024-11-21T00:00:00"/>
    <d v="2024-12-11T00:00:00"/>
    <x v="2"/>
    <x v="1280"/>
    <x v="0"/>
    <x v="0"/>
    <x v="0"/>
    <x v="0"/>
    <x v="0"/>
    <x v="1"/>
  </r>
  <r>
    <n v="74973"/>
    <x v="7"/>
    <x v="3"/>
    <x v="83"/>
    <x v="2"/>
    <x v="1271"/>
    <x v="2"/>
    <d v="2024-08-20T00:00:00"/>
    <d v="2024-09-22T00:00:00"/>
    <x v="2"/>
    <x v="1281"/>
    <x v="0"/>
    <x v="0"/>
    <x v="0"/>
    <x v="0"/>
    <x v="0"/>
    <x v="0"/>
  </r>
  <r>
    <n v="31326"/>
    <x v="4"/>
    <x v="0"/>
    <x v="7"/>
    <x v="1"/>
    <x v="1272"/>
    <x v="3"/>
    <d v="2024-10-03T00:00:00"/>
    <d v="2024-10-23T00:00:00"/>
    <x v="0"/>
    <x v="1282"/>
    <x v="0"/>
    <x v="0"/>
    <x v="0"/>
    <x v="0"/>
    <x v="0"/>
    <x v="1"/>
  </r>
  <r>
    <n v="67492"/>
    <x v="13"/>
    <x v="3"/>
    <x v="181"/>
    <x v="0"/>
    <x v="1273"/>
    <x v="0"/>
    <d v="2024-02-05T00:00:00"/>
    <d v="2024-03-13T00:00:00"/>
    <x v="1"/>
    <x v="1283"/>
    <x v="0"/>
    <x v="0"/>
    <x v="0"/>
    <x v="0"/>
    <x v="0"/>
    <x v="0"/>
  </r>
  <r>
    <n v="40314"/>
    <x v="13"/>
    <x v="3"/>
    <x v="48"/>
    <x v="3"/>
    <x v="1274"/>
    <x v="2"/>
    <d v="2024-10-04T00:00:00"/>
    <d v="2024-10-25T00:00:00"/>
    <x v="0"/>
    <x v="1284"/>
    <x v="0"/>
    <x v="0"/>
    <x v="0"/>
    <x v="0"/>
    <x v="0"/>
    <x v="0"/>
  </r>
  <r>
    <n v="31946"/>
    <x v="10"/>
    <x v="2"/>
    <x v="260"/>
    <x v="3"/>
    <x v="1275"/>
    <x v="4"/>
    <d v="2024-06-29T00:00:00"/>
    <d v="2024-07-20T00:00:00"/>
    <x v="1"/>
    <x v="1285"/>
    <x v="0"/>
    <x v="0"/>
    <x v="0"/>
    <x v="0"/>
    <x v="0"/>
    <x v="0"/>
  </r>
  <r>
    <n v="97938"/>
    <x v="4"/>
    <x v="0"/>
    <x v="270"/>
    <x v="5"/>
    <x v="1276"/>
    <x v="0"/>
    <d v="2024-01-05T00:00:00"/>
    <d v="2024-01-27T00:00:00"/>
    <x v="2"/>
    <x v="1286"/>
    <x v="1"/>
    <x v="60"/>
    <x v="1"/>
    <x v="1"/>
    <x v="1"/>
    <x v="1"/>
  </r>
  <r>
    <n v="46394"/>
    <x v="2"/>
    <x v="1"/>
    <x v="458"/>
    <x v="6"/>
    <x v="1277"/>
    <x v="0"/>
    <d v="2024-07-25T00:00:00"/>
    <d v="2024-08-31T00:00:00"/>
    <x v="0"/>
    <x v="1287"/>
    <x v="1"/>
    <x v="86"/>
    <x v="1"/>
    <x v="1"/>
    <x v="1"/>
    <x v="1"/>
  </r>
  <r>
    <n v="16765"/>
    <x v="8"/>
    <x v="1"/>
    <x v="283"/>
    <x v="1"/>
    <x v="1278"/>
    <x v="0"/>
    <d v="2024-04-26T00:00:00"/>
    <d v="2024-05-06T00:00:00"/>
    <x v="0"/>
    <x v="1288"/>
    <x v="0"/>
    <x v="0"/>
    <x v="0"/>
    <x v="0"/>
    <x v="0"/>
    <x v="0"/>
  </r>
  <r>
    <n v="60304"/>
    <x v="10"/>
    <x v="2"/>
    <x v="317"/>
    <x v="0"/>
    <x v="1279"/>
    <x v="3"/>
    <d v="2024-06-19T00:00:00"/>
    <d v="2024-07-20T00:00:00"/>
    <x v="0"/>
    <x v="1289"/>
    <x v="0"/>
    <x v="0"/>
    <x v="0"/>
    <x v="0"/>
    <x v="0"/>
    <x v="0"/>
  </r>
  <r>
    <n v="52548"/>
    <x v="3"/>
    <x v="2"/>
    <x v="40"/>
    <x v="6"/>
    <x v="1280"/>
    <x v="1"/>
    <d v="2024-12-11T00:00:00"/>
    <d v="2025-01-12T00:00:00"/>
    <x v="0"/>
    <x v="1290"/>
    <x v="0"/>
    <x v="0"/>
    <x v="0"/>
    <x v="0"/>
    <x v="0"/>
    <x v="1"/>
  </r>
  <r>
    <n v="49846"/>
    <x v="12"/>
    <x v="0"/>
    <x v="306"/>
    <x v="5"/>
    <x v="1281"/>
    <x v="0"/>
    <d v="2024-10-24T00:00:00"/>
    <d v="2024-11-24T00:00:00"/>
    <x v="0"/>
    <x v="1291"/>
    <x v="0"/>
    <x v="0"/>
    <x v="0"/>
    <x v="0"/>
    <x v="0"/>
    <x v="0"/>
  </r>
  <r>
    <n v="28996"/>
    <x v="7"/>
    <x v="3"/>
    <x v="274"/>
    <x v="4"/>
    <x v="1282"/>
    <x v="1"/>
    <d v="2024-03-06T00:00:00"/>
    <d v="2024-03-24T00:00:00"/>
    <x v="1"/>
    <x v="1292"/>
    <x v="1"/>
    <x v="36"/>
    <x v="1"/>
    <x v="1"/>
    <x v="1"/>
    <x v="1"/>
  </r>
  <r>
    <n v="37690"/>
    <x v="15"/>
    <x v="4"/>
    <x v="24"/>
    <x v="1"/>
    <x v="1283"/>
    <x v="0"/>
    <d v="2024-10-08T00:00:00"/>
    <d v="2024-10-24T00:00:00"/>
    <x v="2"/>
    <x v="1293"/>
    <x v="0"/>
    <x v="0"/>
    <x v="0"/>
    <x v="0"/>
    <x v="0"/>
    <x v="1"/>
  </r>
  <r>
    <n v="57606"/>
    <x v="5"/>
    <x v="2"/>
    <x v="7"/>
    <x v="4"/>
    <x v="1284"/>
    <x v="3"/>
    <d v="2024-04-24T00:00:00"/>
    <d v="2024-05-25T00:00:00"/>
    <x v="1"/>
    <x v="1294"/>
    <x v="0"/>
    <x v="0"/>
    <x v="0"/>
    <x v="0"/>
    <x v="0"/>
    <x v="0"/>
  </r>
  <r>
    <n v="93697"/>
    <x v="15"/>
    <x v="4"/>
    <x v="90"/>
    <x v="6"/>
    <x v="1285"/>
    <x v="4"/>
    <d v="2024-03-07T00:00:00"/>
    <d v="2024-03-21T00:00:00"/>
    <x v="0"/>
    <x v="1295"/>
    <x v="0"/>
    <x v="0"/>
    <x v="0"/>
    <x v="0"/>
    <x v="0"/>
    <x v="0"/>
  </r>
  <r>
    <n v="27333"/>
    <x v="6"/>
    <x v="3"/>
    <x v="344"/>
    <x v="2"/>
    <x v="1286"/>
    <x v="3"/>
    <d v="2024-08-01T00:00:00"/>
    <d v="2024-09-01T00:00:00"/>
    <x v="1"/>
    <x v="1296"/>
    <x v="0"/>
    <x v="0"/>
    <x v="0"/>
    <x v="0"/>
    <x v="0"/>
    <x v="0"/>
  </r>
  <r>
    <n v="96153"/>
    <x v="5"/>
    <x v="2"/>
    <x v="445"/>
    <x v="0"/>
    <x v="1287"/>
    <x v="3"/>
    <d v="2024-07-09T00:00:00"/>
    <d v="2024-07-30T00:00:00"/>
    <x v="2"/>
    <x v="1297"/>
    <x v="0"/>
    <x v="0"/>
    <x v="0"/>
    <x v="0"/>
    <x v="0"/>
    <x v="0"/>
  </r>
  <r>
    <n v="13952"/>
    <x v="8"/>
    <x v="1"/>
    <x v="85"/>
    <x v="1"/>
    <x v="1288"/>
    <x v="3"/>
    <d v="2024-12-10T00:00:00"/>
    <d v="2025-01-03T00:00:00"/>
    <x v="2"/>
    <x v="1298"/>
    <x v="0"/>
    <x v="0"/>
    <x v="0"/>
    <x v="0"/>
    <x v="0"/>
    <x v="0"/>
  </r>
  <r>
    <n v="35957"/>
    <x v="7"/>
    <x v="3"/>
    <x v="121"/>
    <x v="1"/>
    <x v="1289"/>
    <x v="4"/>
    <d v="2024-01-16T00:00:00"/>
    <d v="2024-02-19T00:00:00"/>
    <x v="1"/>
    <x v="1299"/>
    <x v="0"/>
    <x v="0"/>
    <x v="0"/>
    <x v="0"/>
    <x v="0"/>
    <x v="0"/>
  </r>
  <r>
    <n v="67757"/>
    <x v="7"/>
    <x v="3"/>
    <x v="459"/>
    <x v="3"/>
    <x v="1290"/>
    <x v="3"/>
    <d v="2024-10-31T00:00:00"/>
    <d v="2024-11-17T00:00:00"/>
    <x v="0"/>
    <x v="1300"/>
    <x v="0"/>
    <x v="0"/>
    <x v="0"/>
    <x v="0"/>
    <x v="0"/>
    <x v="0"/>
  </r>
  <r>
    <n v="67732"/>
    <x v="12"/>
    <x v="0"/>
    <x v="460"/>
    <x v="4"/>
    <x v="1291"/>
    <x v="1"/>
    <d v="2024-10-02T00:00:00"/>
    <d v="2024-11-09T00:00:00"/>
    <x v="1"/>
    <x v="1301"/>
    <x v="0"/>
    <x v="0"/>
    <x v="0"/>
    <x v="0"/>
    <x v="0"/>
    <x v="0"/>
  </r>
  <r>
    <n v="76299"/>
    <x v="10"/>
    <x v="2"/>
    <x v="39"/>
    <x v="0"/>
    <x v="1292"/>
    <x v="1"/>
    <d v="2024-12-07T00:00:00"/>
    <d v="2024-12-31T00:00:00"/>
    <x v="1"/>
    <x v="1302"/>
    <x v="0"/>
    <x v="0"/>
    <x v="0"/>
    <x v="0"/>
    <x v="0"/>
    <x v="0"/>
  </r>
  <r>
    <n v="19395"/>
    <x v="0"/>
    <x v="0"/>
    <x v="461"/>
    <x v="4"/>
    <x v="1293"/>
    <x v="3"/>
    <d v="2024-06-02T00:00:00"/>
    <d v="2024-06-20T00:00:00"/>
    <x v="2"/>
    <x v="1303"/>
    <x v="0"/>
    <x v="0"/>
    <x v="0"/>
    <x v="0"/>
    <x v="0"/>
    <x v="0"/>
  </r>
  <r>
    <n v="13664"/>
    <x v="10"/>
    <x v="2"/>
    <x v="34"/>
    <x v="3"/>
    <x v="1294"/>
    <x v="3"/>
    <d v="2024-01-21T00:00:00"/>
    <d v="2024-02-21T00:00:00"/>
    <x v="1"/>
    <x v="1304"/>
    <x v="0"/>
    <x v="0"/>
    <x v="0"/>
    <x v="0"/>
    <x v="0"/>
    <x v="1"/>
  </r>
  <r>
    <n v="27241"/>
    <x v="11"/>
    <x v="4"/>
    <x v="36"/>
    <x v="1"/>
    <x v="1295"/>
    <x v="2"/>
    <d v="2024-05-11T00:00:00"/>
    <d v="2024-05-19T00:00:00"/>
    <x v="0"/>
    <x v="1305"/>
    <x v="0"/>
    <x v="0"/>
    <x v="0"/>
    <x v="0"/>
    <x v="0"/>
    <x v="0"/>
  </r>
  <r>
    <n v="59167"/>
    <x v="2"/>
    <x v="1"/>
    <x v="458"/>
    <x v="1"/>
    <x v="1296"/>
    <x v="4"/>
    <d v="2024-08-24T00:00:00"/>
    <d v="2024-09-20T00:00:00"/>
    <x v="2"/>
    <x v="1306"/>
    <x v="0"/>
    <x v="0"/>
    <x v="0"/>
    <x v="0"/>
    <x v="0"/>
    <x v="1"/>
  </r>
  <r>
    <n v="21826"/>
    <x v="9"/>
    <x v="1"/>
    <x v="357"/>
    <x v="5"/>
    <x v="1297"/>
    <x v="3"/>
    <d v="2024-07-26T00:00:00"/>
    <d v="2024-08-06T00:00:00"/>
    <x v="0"/>
    <x v="1307"/>
    <x v="0"/>
    <x v="0"/>
    <x v="0"/>
    <x v="0"/>
    <x v="0"/>
    <x v="0"/>
  </r>
  <r>
    <n v="93106"/>
    <x v="14"/>
    <x v="4"/>
    <x v="410"/>
    <x v="6"/>
    <x v="1298"/>
    <x v="3"/>
    <d v="2024-09-22T00:00:00"/>
    <d v="2024-10-05T00:00:00"/>
    <x v="2"/>
    <x v="1308"/>
    <x v="0"/>
    <x v="0"/>
    <x v="0"/>
    <x v="0"/>
    <x v="0"/>
    <x v="1"/>
  </r>
  <r>
    <n v="97340"/>
    <x v="1"/>
    <x v="0"/>
    <x v="113"/>
    <x v="4"/>
    <x v="1299"/>
    <x v="2"/>
    <d v="2024-08-26T00:00:00"/>
    <d v="2024-09-04T00:00:00"/>
    <x v="1"/>
    <x v="1309"/>
    <x v="0"/>
    <x v="0"/>
    <x v="0"/>
    <x v="0"/>
    <x v="0"/>
    <x v="0"/>
  </r>
  <r>
    <n v="58807"/>
    <x v="16"/>
    <x v="3"/>
    <x v="159"/>
    <x v="5"/>
    <x v="1300"/>
    <x v="4"/>
    <d v="2024-10-21T00:00:00"/>
    <d v="2024-11-15T00:00:00"/>
    <x v="1"/>
    <x v="1310"/>
    <x v="0"/>
    <x v="0"/>
    <x v="0"/>
    <x v="0"/>
    <x v="0"/>
    <x v="1"/>
  </r>
  <r>
    <n v="99521"/>
    <x v="11"/>
    <x v="4"/>
    <x v="407"/>
    <x v="5"/>
    <x v="1301"/>
    <x v="3"/>
    <d v="2024-06-13T00:00:00"/>
    <d v="2024-07-02T00:00:00"/>
    <x v="2"/>
    <x v="1311"/>
    <x v="0"/>
    <x v="0"/>
    <x v="0"/>
    <x v="0"/>
    <x v="0"/>
    <x v="1"/>
  </r>
  <r>
    <n v="26254"/>
    <x v="10"/>
    <x v="2"/>
    <x v="330"/>
    <x v="6"/>
    <x v="1302"/>
    <x v="3"/>
    <d v="2024-02-17T00:00:00"/>
    <d v="2024-03-10T00:00:00"/>
    <x v="0"/>
    <x v="1312"/>
    <x v="0"/>
    <x v="0"/>
    <x v="0"/>
    <x v="0"/>
    <x v="0"/>
    <x v="1"/>
  </r>
  <r>
    <n v="60603"/>
    <x v="6"/>
    <x v="3"/>
    <x v="421"/>
    <x v="3"/>
    <x v="1303"/>
    <x v="0"/>
    <d v="2024-04-25T00:00:00"/>
    <d v="2024-05-12T00:00:00"/>
    <x v="2"/>
    <x v="1313"/>
    <x v="0"/>
    <x v="0"/>
    <x v="0"/>
    <x v="0"/>
    <x v="0"/>
    <x v="1"/>
  </r>
  <r>
    <n v="72820"/>
    <x v="13"/>
    <x v="3"/>
    <x v="14"/>
    <x v="1"/>
    <x v="765"/>
    <x v="3"/>
    <d v="2024-06-04T00:00:00"/>
    <d v="2024-06-10T00:00:00"/>
    <x v="0"/>
    <x v="1314"/>
    <x v="0"/>
    <x v="0"/>
    <x v="0"/>
    <x v="0"/>
    <x v="0"/>
    <x v="0"/>
  </r>
  <r>
    <n v="83802"/>
    <x v="15"/>
    <x v="4"/>
    <x v="59"/>
    <x v="5"/>
    <x v="1304"/>
    <x v="3"/>
    <d v="2024-06-05T00:00:00"/>
    <d v="2024-07-14T00:00:00"/>
    <x v="1"/>
    <x v="1315"/>
    <x v="1"/>
    <x v="94"/>
    <x v="1"/>
    <x v="1"/>
    <x v="1"/>
    <x v="1"/>
  </r>
  <r>
    <n v="79852"/>
    <x v="10"/>
    <x v="2"/>
    <x v="78"/>
    <x v="6"/>
    <x v="1305"/>
    <x v="0"/>
    <d v="2024-10-30T00:00:00"/>
    <d v="2024-11-06T00:00:00"/>
    <x v="1"/>
    <x v="1316"/>
    <x v="1"/>
    <x v="92"/>
    <x v="1"/>
    <x v="1"/>
    <x v="1"/>
    <x v="1"/>
  </r>
  <r>
    <n v="53481"/>
    <x v="1"/>
    <x v="0"/>
    <x v="345"/>
    <x v="3"/>
    <x v="1306"/>
    <x v="1"/>
    <d v="2024-08-02T00:00:00"/>
    <d v="2024-08-28T00:00:00"/>
    <x v="1"/>
    <x v="1317"/>
    <x v="0"/>
    <x v="0"/>
    <x v="0"/>
    <x v="0"/>
    <x v="0"/>
    <x v="0"/>
  </r>
  <r>
    <n v="37740"/>
    <x v="9"/>
    <x v="1"/>
    <x v="273"/>
    <x v="3"/>
    <x v="1307"/>
    <x v="3"/>
    <d v="2024-03-06T00:00:00"/>
    <d v="2024-03-15T00:00:00"/>
    <x v="2"/>
    <x v="1318"/>
    <x v="0"/>
    <x v="0"/>
    <x v="0"/>
    <x v="0"/>
    <x v="0"/>
    <x v="0"/>
  </r>
  <r>
    <n v="66531"/>
    <x v="4"/>
    <x v="0"/>
    <x v="415"/>
    <x v="1"/>
    <x v="1308"/>
    <x v="3"/>
    <d v="2024-11-09T00:00:00"/>
    <d v="2024-11-28T00:00:00"/>
    <x v="1"/>
    <x v="1319"/>
    <x v="0"/>
    <x v="0"/>
    <x v="0"/>
    <x v="0"/>
    <x v="0"/>
    <x v="1"/>
  </r>
  <r>
    <n v="27881"/>
    <x v="0"/>
    <x v="0"/>
    <x v="210"/>
    <x v="5"/>
    <x v="1309"/>
    <x v="2"/>
    <d v="2024-10-15T00:00:00"/>
    <d v="2024-11-14T00:00:00"/>
    <x v="0"/>
    <x v="1320"/>
    <x v="0"/>
    <x v="0"/>
    <x v="0"/>
    <x v="0"/>
    <x v="0"/>
    <x v="0"/>
  </r>
  <r>
    <n v="26350"/>
    <x v="3"/>
    <x v="2"/>
    <x v="168"/>
    <x v="2"/>
    <x v="1310"/>
    <x v="2"/>
    <d v="2024-09-14T00:00:00"/>
    <d v="2024-09-19T00:00:00"/>
    <x v="2"/>
    <x v="1321"/>
    <x v="0"/>
    <x v="0"/>
    <x v="0"/>
    <x v="0"/>
    <x v="0"/>
    <x v="0"/>
  </r>
  <r>
    <n v="46303"/>
    <x v="11"/>
    <x v="4"/>
    <x v="10"/>
    <x v="2"/>
    <x v="1311"/>
    <x v="0"/>
    <d v="2024-08-14T00:00:00"/>
    <d v="2024-09-08T00:00:00"/>
    <x v="0"/>
    <x v="1322"/>
    <x v="0"/>
    <x v="0"/>
    <x v="0"/>
    <x v="0"/>
    <x v="0"/>
    <x v="0"/>
  </r>
  <r>
    <n v="64261"/>
    <x v="10"/>
    <x v="2"/>
    <x v="238"/>
    <x v="3"/>
    <x v="1312"/>
    <x v="2"/>
    <d v="2024-02-29T00:00:00"/>
    <d v="2024-03-28T00:00:00"/>
    <x v="2"/>
    <x v="1323"/>
    <x v="0"/>
    <x v="0"/>
    <x v="0"/>
    <x v="0"/>
    <x v="0"/>
    <x v="0"/>
  </r>
  <r>
    <n v="54397"/>
    <x v="13"/>
    <x v="3"/>
    <x v="184"/>
    <x v="5"/>
    <x v="1313"/>
    <x v="1"/>
    <d v="2024-12-02T00:00:00"/>
    <d v="2024-12-29T00:00:00"/>
    <x v="0"/>
    <x v="1324"/>
    <x v="1"/>
    <x v="40"/>
    <x v="1"/>
    <x v="1"/>
    <x v="1"/>
    <x v="1"/>
  </r>
  <r>
    <n v="78476"/>
    <x v="15"/>
    <x v="4"/>
    <x v="57"/>
    <x v="4"/>
    <x v="1314"/>
    <x v="1"/>
    <d v="2024-10-21T00:00:00"/>
    <d v="2024-11-18T00:00:00"/>
    <x v="1"/>
    <x v="1325"/>
    <x v="0"/>
    <x v="0"/>
    <x v="0"/>
    <x v="0"/>
    <x v="0"/>
    <x v="1"/>
  </r>
  <r>
    <n v="35968"/>
    <x v="16"/>
    <x v="3"/>
    <x v="283"/>
    <x v="6"/>
    <x v="1315"/>
    <x v="4"/>
    <d v="2024-02-20T00:00:00"/>
    <d v="2024-03-03T00:00:00"/>
    <x v="0"/>
    <x v="1326"/>
    <x v="0"/>
    <x v="0"/>
    <x v="0"/>
    <x v="0"/>
    <x v="0"/>
    <x v="1"/>
  </r>
  <r>
    <n v="80423"/>
    <x v="12"/>
    <x v="0"/>
    <x v="299"/>
    <x v="0"/>
    <x v="1316"/>
    <x v="2"/>
    <d v="2024-12-02T00:00:00"/>
    <d v="2025-01-01T00:00:00"/>
    <x v="0"/>
    <x v="1327"/>
    <x v="0"/>
    <x v="0"/>
    <x v="0"/>
    <x v="0"/>
    <x v="0"/>
    <x v="1"/>
  </r>
  <r>
    <n v="90781"/>
    <x v="10"/>
    <x v="2"/>
    <x v="86"/>
    <x v="1"/>
    <x v="1317"/>
    <x v="3"/>
    <d v="2024-06-11T00:00:00"/>
    <d v="2024-07-04T00:00:00"/>
    <x v="1"/>
    <x v="1328"/>
    <x v="1"/>
    <x v="26"/>
    <x v="1"/>
    <x v="1"/>
    <x v="1"/>
    <x v="1"/>
  </r>
  <r>
    <n v="30545"/>
    <x v="0"/>
    <x v="0"/>
    <x v="209"/>
    <x v="0"/>
    <x v="1318"/>
    <x v="0"/>
    <d v="2024-11-17T00:00:00"/>
    <d v="2024-12-06T00:00:00"/>
    <x v="0"/>
    <x v="1329"/>
    <x v="0"/>
    <x v="0"/>
    <x v="0"/>
    <x v="0"/>
    <x v="0"/>
    <x v="0"/>
  </r>
  <r>
    <n v="59431"/>
    <x v="15"/>
    <x v="4"/>
    <x v="399"/>
    <x v="0"/>
    <x v="1319"/>
    <x v="3"/>
    <d v="2024-06-26T00:00:00"/>
    <d v="2024-08-04T00:00:00"/>
    <x v="2"/>
    <x v="1330"/>
    <x v="0"/>
    <x v="0"/>
    <x v="0"/>
    <x v="0"/>
    <x v="0"/>
    <x v="0"/>
  </r>
  <r>
    <n v="26292"/>
    <x v="15"/>
    <x v="4"/>
    <x v="136"/>
    <x v="3"/>
    <x v="1320"/>
    <x v="3"/>
    <d v="2024-02-04T00:00:00"/>
    <d v="2024-03-08T00:00:00"/>
    <x v="2"/>
    <x v="1331"/>
    <x v="0"/>
    <x v="0"/>
    <x v="0"/>
    <x v="0"/>
    <x v="0"/>
    <x v="0"/>
  </r>
  <r>
    <n v="27443"/>
    <x v="15"/>
    <x v="4"/>
    <x v="99"/>
    <x v="3"/>
    <x v="1321"/>
    <x v="0"/>
    <d v="2024-09-08T00:00:00"/>
    <d v="2024-09-15T00:00:00"/>
    <x v="1"/>
    <x v="1332"/>
    <x v="0"/>
    <x v="0"/>
    <x v="0"/>
    <x v="0"/>
    <x v="0"/>
    <x v="0"/>
  </r>
  <r>
    <n v="42210"/>
    <x v="2"/>
    <x v="1"/>
    <x v="343"/>
    <x v="5"/>
    <x v="1322"/>
    <x v="0"/>
    <d v="2024-02-13T00:00:00"/>
    <d v="2024-03-15T00:00:00"/>
    <x v="2"/>
    <x v="1333"/>
    <x v="0"/>
    <x v="0"/>
    <x v="0"/>
    <x v="0"/>
    <x v="0"/>
    <x v="0"/>
  </r>
  <r>
    <n v="99882"/>
    <x v="6"/>
    <x v="3"/>
    <x v="182"/>
    <x v="0"/>
    <x v="1323"/>
    <x v="2"/>
    <d v="2024-01-21T00:00:00"/>
    <d v="2024-01-27T00:00:00"/>
    <x v="2"/>
    <x v="1334"/>
    <x v="0"/>
    <x v="0"/>
    <x v="0"/>
    <x v="0"/>
    <x v="0"/>
    <x v="0"/>
  </r>
  <r>
    <n v="71401"/>
    <x v="16"/>
    <x v="3"/>
    <x v="56"/>
    <x v="2"/>
    <x v="1324"/>
    <x v="1"/>
    <d v="2024-01-13T00:00:00"/>
    <d v="2024-01-20T00:00:00"/>
    <x v="2"/>
    <x v="1335"/>
    <x v="0"/>
    <x v="0"/>
    <x v="0"/>
    <x v="0"/>
    <x v="0"/>
    <x v="0"/>
  </r>
  <r>
    <n v="68798"/>
    <x v="10"/>
    <x v="2"/>
    <x v="371"/>
    <x v="2"/>
    <x v="1325"/>
    <x v="1"/>
    <d v="2024-07-13T00:00:00"/>
    <d v="2024-07-30T00:00:00"/>
    <x v="2"/>
    <x v="1336"/>
    <x v="0"/>
    <x v="0"/>
    <x v="0"/>
    <x v="0"/>
    <x v="0"/>
    <x v="0"/>
  </r>
  <r>
    <n v="68215"/>
    <x v="13"/>
    <x v="3"/>
    <x v="155"/>
    <x v="0"/>
    <x v="1326"/>
    <x v="3"/>
    <d v="2024-06-12T00:00:00"/>
    <d v="2024-06-17T00:00:00"/>
    <x v="1"/>
    <x v="1337"/>
    <x v="1"/>
    <x v="42"/>
    <x v="1"/>
    <x v="1"/>
    <x v="1"/>
    <x v="1"/>
  </r>
  <r>
    <n v="89311"/>
    <x v="7"/>
    <x v="3"/>
    <x v="428"/>
    <x v="0"/>
    <x v="1327"/>
    <x v="2"/>
    <d v="2024-05-21T00:00:00"/>
    <d v="2024-06-16T00:00:00"/>
    <x v="0"/>
    <x v="1338"/>
    <x v="0"/>
    <x v="0"/>
    <x v="0"/>
    <x v="0"/>
    <x v="0"/>
    <x v="1"/>
  </r>
  <r>
    <n v="98241"/>
    <x v="14"/>
    <x v="4"/>
    <x v="190"/>
    <x v="3"/>
    <x v="1328"/>
    <x v="4"/>
    <d v="2024-08-17T00:00:00"/>
    <d v="2024-09-03T00:00:00"/>
    <x v="2"/>
    <x v="1339"/>
    <x v="0"/>
    <x v="0"/>
    <x v="0"/>
    <x v="0"/>
    <x v="0"/>
    <x v="0"/>
  </r>
  <r>
    <n v="72188"/>
    <x v="6"/>
    <x v="3"/>
    <x v="108"/>
    <x v="6"/>
    <x v="1329"/>
    <x v="4"/>
    <d v="2024-10-26T00:00:00"/>
    <d v="2024-11-13T00:00:00"/>
    <x v="2"/>
    <x v="1340"/>
    <x v="1"/>
    <x v="95"/>
    <x v="1"/>
    <x v="1"/>
    <x v="1"/>
    <x v="1"/>
  </r>
  <r>
    <n v="60151"/>
    <x v="14"/>
    <x v="4"/>
    <x v="225"/>
    <x v="5"/>
    <x v="1330"/>
    <x v="3"/>
    <d v="2024-09-08T00:00:00"/>
    <d v="2024-10-06T00:00:00"/>
    <x v="2"/>
    <x v="1341"/>
    <x v="0"/>
    <x v="0"/>
    <x v="0"/>
    <x v="0"/>
    <x v="0"/>
    <x v="0"/>
  </r>
  <r>
    <n v="36898"/>
    <x v="1"/>
    <x v="0"/>
    <x v="314"/>
    <x v="0"/>
    <x v="1331"/>
    <x v="1"/>
    <d v="2024-08-23T00:00:00"/>
    <d v="2024-09-02T00:00:00"/>
    <x v="1"/>
    <x v="1342"/>
    <x v="0"/>
    <x v="0"/>
    <x v="0"/>
    <x v="0"/>
    <x v="0"/>
    <x v="0"/>
  </r>
  <r>
    <n v="89397"/>
    <x v="10"/>
    <x v="2"/>
    <x v="259"/>
    <x v="6"/>
    <x v="1332"/>
    <x v="2"/>
    <d v="2024-09-11T00:00:00"/>
    <d v="2024-09-23T00:00:00"/>
    <x v="1"/>
    <x v="1343"/>
    <x v="0"/>
    <x v="0"/>
    <x v="0"/>
    <x v="0"/>
    <x v="0"/>
    <x v="1"/>
  </r>
  <r>
    <n v="14606"/>
    <x v="8"/>
    <x v="1"/>
    <x v="297"/>
    <x v="6"/>
    <x v="1333"/>
    <x v="4"/>
    <d v="2024-06-30T00:00:00"/>
    <d v="2024-07-18T00:00:00"/>
    <x v="0"/>
    <x v="1344"/>
    <x v="0"/>
    <x v="0"/>
    <x v="0"/>
    <x v="0"/>
    <x v="0"/>
    <x v="1"/>
  </r>
  <r>
    <n v="52853"/>
    <x v="0"/>
    <x v="0"/>
    <x v="4"/>
    <x v="4"/>
    <x v="1334"/>
    <x v="2"/>
    <d v="2024-05-01T00:00:00"/>
    <d v="2024-05-08T00:00:00"/>
    <x v="1"/>
    <x v="1345"/>
    <x v="0"/>
    <x v="0"/>
    <x v="0"/>
    <x v="0"/>
    <x v="0"/>
    <x v="0"/>
  </r>
  <r>
    <n v="49994"/>
    <x v="11"/>
    <x v="4"/>
    <x v="434"/>
    <x v="2"/>
    <x v="1335"/>
    <x v="3"/>
    <d v="2024-09-05T00:00:00"/>
    <d v="2024-09-18T00:00:00"/>
    <x v="1"/>
    <x v="1346"/>
    <x v="0"/>
    <x v="0"/>
    <x v="0"/>
    <x v="0"/>
    <x v="0"/>
    <x v="0"/>
  </r>
  <r>
    <n v="31395"/>
    <x v="9"/>
    <x v="1"/>
    <x v="32"/>
    <x v="0"/>
    <x v="1336"/>
    <x v="0"/>
    <d v="2024-07-01T00:00:00"/>
    <d v="2024-08-06T00:00:00"/>
    <x v="2"/>
    <x v="1347"/>
    <x v="0"/>
    <x v="0"/>
    <x v="0"/>
    <x v="0"/>
    <x v="0"/>
    <x v="0"/>
  </r>
  <r>
    <n v="47190"/>
    <x v="9"/>
    <x v="1"/>
    <x v="413"/>
    <x v="2"/>
    <x v="1337"/>
    <x v="1"/>
    <d v="2024-04-29T00:00:00"/>
    <d v="2024-05-22T00:00:00"/>
    <x v="2"/>
    <x v="1348"/>
    <x v="0"/>
    <x v="0"/>
    <x v="0"/>
    <x v="0"/>
    <x v="0"/>
    <x v="0"/>
  </r>
  <r>
    <n v="99196"/>
    <x v="0"/>
    <x v="0"/>
    <x v="131"/>
    <x v="4"/>
    <x v="1338"/>
    <x v="3"/>
    <d v="2024-11-09T00:00:00"/>
    <d v="2024-12-03T00:00:00"/>
    <x v="2"/>
    <x v="1349"/>
    <x v="0"/>
    <x v="0"/>
    <x v="0"/>
    <x v="0"/>
    <x v="0"/>
    <x v="0"/>
  </r>
  <r>
    <n v="82328"/>
    <x v="0"/>
    <x v="0"/>
    <x v="276"/>
    <x v="1"/>
    <x v="1339"/>
    <x v="2"/>
    <d v="2024-10-14T00:00:00"/>
    <d v="2024-10-19T00:00:00"/>
    <x v="0"/>
    <x v="1350"/>
    <x v="0"/>
    <x v="0"/>
    <x v="0"/>
    <x v="0"/>
    <x v="0"/>
    <x v="0"/>
  </r>
  <r>
    <n v="76555"/>
    <x v="14"/>
    <x v="4"/>
    <x v="444"/>
    <x v="5"/>
    <x v="1340"/>
    <x v="3"/>
    <d v="2024-11-11T00:00:00"/>
    <d v="2024-11-16T00:00:00"/>
    <x v="0"/>
    <x v="1351"/>
    <x v="0"/>
    <x v="0"/>
    <x v="0"/>
    <x v="0"/>
    <x v="0"/>
    <x v="1"/>
  </r>
  <r>
    <n v="42963"/>
    <x v="10"/>
    <x v="2"/>
    <x v="175"/>
    <x v="2"/>
    <x v="1341"/>
    <x v="3"/>
    <d v="2024-05-11T00:00:00"/>
    <d v="2024-05-29T00:00:00"/>
    <x v="2"/>
    <x v="1352"/>
    <x v="0"/>
    <x v="0"/>
    <x v="0"/>
    <x v="0"/>
    <x v="0"/>
    <x v="0"/>
  </r>
  <r>
    <n v="92641"/>
    <x v="3"/>
    <x v="2"/>
    <x v="262"/>
    <x v="3"/>
    <x v="1342"/>
    <x v="0"/>
    <d v="2024-02-12T00:00:00"/>
    <d v="2024-03-01T00:00:00"/>
    <x v="2"/>
    <x v="1353"/>
    <x v="0"/>
    <x v="0"/>
    <x v="0"/>
    <x v="0"/>
    <x v="0"/>
    <x v="0"/>
  </r>
  <r>
    <n v="44019"/>
    <x v="6"/>
    <x v="3"/>
    <x v="365"/>
    <x v="4"/>
    <x v="1343"/>
    <x v="4"/>
    <d v="2024-03-30T00:00:00"/>
    <d v="2024-04-07T00:00:00"/>
    <x v="2"/>
    <x v="1354"/>
    <x v="0"/>
    <x v="0"/>
    <x v="0"/>
    <x v="0"/>
    <x v="0"/>
    <x v="1"/>
  </r>
  <r>
    <n v="52425"/>
    <x v="13"/>
    <x v="3"/>
    <x v="41"/>
    <x v="6"/>
    <x v="1344"/>
    <x v="2"/>
    <d v="2024-04-25T00:00:00"/>
    <d v="2024-05-17T00:00:00"/>
    <x v="0"/>
    <x v="1355"/>
    <x v="0"/>
    <x v="0"/>
    <x v="0"/>
    <x v="0"/>
    <x v="0"/>
    <x v="1"/>
  </r>
  <r>
    <n v="20857"/>
    <x v="2"/>
    <x v="1"/>
    <x v="189"/>
    <x v="6"/>
    <x v="1345"/>
    <x v="4"/>
    <d v="2024-07-11T00:00:00"/>
    <d v="2024-07-20T00:00:00"/>
    <x v="2"/>
    <x v="1356"/>
    <x v="1"/>
    <x v="25"/>
    <x v="1"/>
    <x v="1"/>
    <x v="1"/>
    <x v="1"/>
  </r>
  <r>
    <n v="44866"/>
    <x v="16"/>
    <x v="3"/>
    <x v="73"/>
    <x v="6"/>
    <x v="1346"/>
    <x v="1"/>
    <d v="2024-11-15T00:00:00"/>
    <d v="2024-12-21T00:00:00"/>
    <x v="2"/>
    <x v="1357"/>
    <x v="0"/>
    <x v="0"/>
    <x v="0"/>
    <x v="0"/>
    <x v="0"/>
    <x v="1"/>
  </r>
  <r>
    <n v="80726"/>
    <x v="4"/>
    <x v="0"/>
    <x v="89"/>
    <x v="4"/>
    <x v="1347"/>
    <x v="3"/>
    <d v="2024-03-21T00:00:00"/>
    <d v="2024-04-22T00:00:00"/>
    <x v="2"/>
    <x v="1358"/>
    <x v="0"/>
    <x v="0"/>
    <x v="0"/>
    <x v="0"/>
    <x v="0"/>
    <x v="1"/>
  </r>
  <r>
    <n v="33437"/>
    <x v="14"/>
    <x v="4"/>
    <x v="409"/>
    <x v="6"/>
    <x v="1348"/>
    <x v="1"/>
    <d v="2024-03-19T00:00:00"/>
    <d v="2024-04-13T00:00:00"/>
    <x v="1"/>
    <x v="1359"/>
    <x v="1"/>
    <x v="52"/>
    <x v="1"/>
    <x v="1"/>
    <x v="1"/>
    <x v="1"/>
  </r>
  <r>
    <n v="49293"/>
    <x v="6"/>
    <x v="3"/>
    <x v="135"/>
    <x v="1"/>
    <x v="1349"/>
    <x v="3"/>
    <d v="2024-09-18T00:00:00"/>
    <d v="2024-10-18T00:00:00"/>
    <x v="0"/>
    <x v="1360"/>
    <x v="0"/>
    <x v="0"/>
    <x v="0"/>
    <x v="0"/>
    <x v="0"/>
    <x v="0"/>
  </r>
  <r>
    <n v="56009"/>
    <x v="7"/>
    <x v="3"/>
    <x v="80"/>
    <x v="1"/>
    <x v="1350"/>
    <x v="1"/>
    <d v="2024-04-16T00:00:00"/>
    <d v="2024-05-18T00:00:00"/>
    <x v="0"/>
    <x v="1361"/>
    <x v="0"/>
    <x v="0"/>
    <x v="0"/>
    <x v="0"/>
    <x v="0"/>
    <x v="1"/>
  </r>
  <r>
    <n v="49643"/>
    <x v="5"/>
    <x v="2"/>
    <x v="183"/>
    <x v="5"/>
    <x v="1351"/>
    <x v="1"/>
    <d v="2024-08-02T00:00:00"/>
    <d v="2024-08-31T00:00:00"/>
    <x v="1"/>
    <x v="1362"/>
    <x v="0"/>
    <x v="0"/>
    <x v="0"/>
    <x v="0"/>
    <x v="0"/>
    <x v="1"/>
  </r>
  <r>
    <n v="94292"/>
    <x v="2"/>
    <x v="1"/>
    <x v="319"/>
    <x v="2"/>
    <x v="1352"/>
    <x v="0"/>
    <d v="2024-04-11T00:00:00"/>
    <d v="2024-05-07T00:00:00"/>
    <x v="0"/>
    <x v="1363"/>
    <x v="0"/>
    <x v="0"/>
    <x v="0"/>
    <x v="0"/>
    <x v="0"/>
    <x v="0"/>
  </r>
  <r>
    <n v="59485"/>
    <x v="15"/>
    <x v="4"/>
    <x v="462"/>
    <x v="6"/>
    <x v="1353"/>
    <x v="1"/>
    <d v="2024-03-27T00:00:00"/>
    <d v="2024-04-12T00:00:00"/>
    <x v="1"/>
    <x v="1364"/>
    <x v="0"/>
    <x v="0"/>
    <x v="0"/>
    <x v="0"/>
    <x v="0"/>
    <x v="1"/>
  </r>
  <r>
    <n v="97579"/>
    <x v="4"/>
    <x v="0"/>
    <x v="463"/>
    <x v="4"/>
    <x v="1354"/>
    <x v="3"/>
    <d v="2024-08-08T00:00:00"/>
    <d v="2024-08-21T00:00:00"/>
    <x v="0"/>
    <x v="1365"/>
    <x v="0"/>
    <x v="0"/>
    <x v="0"/>
    <x v="0"/>
    <x v="0"/>
    <x v="1"/>
  </r>
  <r>
    <n v="10997"/>
    <x v="7"/>
    <x v="3"/>
    <x v="376"/>
    <x v="6"/>
    <x v="1355"/>
    <x v="0"/>
    <d v="2024-03-16T00:00:00"/>
    <d v="2024-04-21T00:00:00"/>
    <x v="2"/>
    <x v="1366"/>
    <x v="1"/>
    <x v="66"/>
    <x v="1"/>
    <x v="1"/>
    <x v="1"/>
    <x v="1"/>
  </r>
  <r>
    <n v="82976"/>
    <x v="2"/>
    <x v="1"/>
    <x v="462"/>
    <x v="5"/>
    <x v="1356"/>
    <x v="0"/>
    <d v="2024-02-25T00:00:00"/>
    <d v="2024-03-23T00:00:00"/>
    <x v="2"/>
    <x v="1367"/>
    <x v="0"/>
    <x v="0"/>
    <x v="0"/>
    <x v="0"/>
    <x v="0"/>
    <x v="0"/>
  </r>
  <r>
    <n v="34945"/>
    <x v="2"/>
    <x v="1"/>
    <x v="359"/>
    <x v="5"/>
    <x v="1357"/>
    <x v="4"/>
    <d v="2024-09-29T00:00:00"/>
    <d v="2024-10-18T00:00:00"/>
    <x v="0"/>
    <x v="1368"/>
    <x v="0"/>
    <x v="0"/>
    <x v="0"/>
    <x v="0"/>
    <x v="0"/>
    <x v="0"/>
  </r>
  <r>
    <n v="58795"/>
    <x v="8"/>
    <x v="1"/>
    <x v="186"/>
    <x v="2"/>
    <x v="1358"/>
    <x v="1"/>
    <d v="2024-08-14T00:00:00"/>
    <d v="2024-09-03T00:00:00"/>
    <x v="1"/>
    <x v="1369"/>
    <x v="0"/>
    <x v="0"/>
    <x v="0"/>
    <x v="0"/>
    <x v="0"/>
    <x v="0"/>
  </r>
  <r>
    <n v="60022"/>
    <x v="8"/>
    <x v="1"/>
    <x v="435"/>
    <x v="6"/>
    <x v="1359"/>
    <x v="1"/>
    <d v="2024-06-09T00:00:00"/>
    <d v="2024-07-16T00:00:00"/>
    <x v="1"/>
    <x v="1370"/>
    <x v="1"/>
    <x v="96"/>
    <x v="1"/>
    <x v="1"/>
    <x v="1"/>
    <x v="1"/>
  </r>
  <r>
    <n v="34815"/>
    <x v="12"/>
    <x v="0"/>
    <x v="464"/>
    <x v="6"/>
    <x v="1360"/>
    <x v="4"/>
    <d v="2024-02-14T00:00:00"/>
    <d v="2024-03-05T00:00:00"/>
    <x v="2"/>
    <x v="1371"/>
    <x v="0"/>
    <x v="0"/>
    <x v="0"/>
    <x v="0"/>
    <x v="0"/>
    <x v="0"/>
  </r>
  <r>
    <n v="98757"/>
    <x v="8"/>
    <x v="1"/>
    <x v="183"/>
    <x v="4"/>
    <x v="1361"/>
    <x v="1"/>
    <d v="2024-11-30T00:00:00"/>
    <d v="2024-12-08T00:00:00"/>
    <x v="2"/>
    <x v="1372"/>
    <x v="0"/>
    <x v="0"/>
    <x v="0"/>
    <x v="0"/>
    <x v="0"/>
    <x v="0"/>
  </r>
  <r>
    <n v="33401"/>
    <x v="14"/>
    <x v="4"/>
    <x v="154"/>
    <x v="5"/>
    <x v="1362"/>
    <x v="2"/>
    <d v="2024-02-16T00:00:00"/>
    <d v="2024-03-17T00:00:00"/>
    <x v="1"/>
    <x v="1373"/>
    <x v="0"/>
    <x v="0"/>
    <x v="0"/>
    <x v="0"/>
    <x v="0"/>
    <x v="1"/>
  </r>
  <r>
    <n v="63740"/>
    <x v="11"/>
    <x v="4"/>
    <x v="236"/>
    <x v="6"/>
    <x v="1363"/>
    <x v="1"/>
    <d v="2024-11-03T00:00:00"/>
    <d v="2024-11-26T00:00:00"/>
    <x v="0"/>
    <x v="1374"/>
    <x v="0"/>
    <x v="0"/>
    <x v="0"/>
    <x v="0"/>
    <x v="0"/>
    <x v="1"/>
  </r>
  <r>
    <n v="87681"/>
    <x v="5"/>
    <x v="2"/>
    <x v="217"/>
    <x v="3"/>
    <x v="1364"/>
    <x v="1"/>
    <d v="2024-01-28T00:00:00"/>
    <d v="2024-02-29T00:00:00"/>
    <x v="0"/>
    <x v="1375"/>
    <x v="0"/>
    <x v="0"/>
    <x v="0"/>
    <x v="0"/>
    <x v="0"/>
    <x v="0"/>
  </r>
  <r>
    <n v="23665"/>
    <x v="13"/>
    <x v="3"/>
    <x v="254"/>
    <x v="3"/>
    <x v="1365"/>
    <x v="0"/>
    <d v="2024-01-15T00:00:00"/>
    <d v="2024-01-26T00:00:00"/>
    <x v="2"/>
    <x v="1376"/>
    <x v="0"/>
    <x v="0"/>
    <x v="0"/>
    <x v="0"/>
    <x v="0"/>
    <x v="1"/>
  </r>
  <r>
    <n v="19638"/>
    <x v="13"/>
    <x v="3"/>
    <x v="465"/>
    <x v="6"/>
    <x v="1366"/>
    <x v="2"/>
    <d v="2024-10-06T00:00:00"/>
    <d v="2024-10-30T00:00:00"/>
    <x v="2"/>
    <x v="1377"/>
    <x v="0"/>
    <x v="0"/>
    <x v="0"/>
    <x v="0"/>
    <x v="0"/>
    <x v="1"/>
  </r>
  <r>
    <n v="55097"/>
    <x v="9"/>
    <x v="1"/>
    <x v="143"/>
    <x v="0"/>
    <x v="1367"/>
    <x v="4"/>
    <d v="2024-02-16T00:00:00"/>
    <d v="2024-03-26T00:00:00"/>
    <x v="2"/>
    <x v="1378"/>
    <x v="0"/>
    <x v="0"/>
    <x v="0"/>
    <x v="0"/>
    <x v="0"/>
    <x v="0"/>
  </r>
  <r>
    <n v="37684"/>
    <x v="0"/>
    <x v="0"/>
    <x v="229"/>
    <x v="5"/>
    <x v="1368"/>
    <x v="0"/>
    <d v="2024-11-01T00:00:00"/>
    <d v="2024-12-07T00:00:00"/>
    <x v="1"/>
    <x v="1379"/>
    <x v="0"/>
    <x v="0"/>
    <x v="0"/>
    <x v="0"/>
    <x v="0"/>
    <x v="0"/>
  </r>
  <r>
    <n v="82725"/>
    <x v="3"/>
    <x v="2"/>
    <x v="190"/>
    <x v="2"/>
    <x v="1369"/>
    <x v="2"/>
    <d v="2024-03-23T00:00:00"/>
    <d v="2024-03-31T00:00:00"/>
    <x v="0"/>
    <x v="1380"/>
    <x v="0"/>
    <x v="0"/>
    <x v="0"/>
    <x v="0"/>
    <x v="0"/>
    <x v="0"/>
  </r>
  <r>
    <n v="89453"/>
    <x v="5"/>
    <x v="2"/>
    <x v="97"/>
    <x v="6"/>
    <x v="1370"/>
    <x v="1"/>
    <d v="2024-09-02T00:00:00"/>
    <d v="2024-09-27T00:00:00"/>
    <x v="2"/>
    <x v="1381"/>
    <x v="0"/>
    <x v="0"/>
    <x v="0"/>
    <x v="0"/>
    <x v="0"/>
    <x v="1"/>
  </r>
  <r>
    <n v="18076"/>
    <x v="3"/>
    <x v="2"/>
    <x v="148"/>
    <x v="4"/>
    <x v="1371"/>
    <x v="2"/>
    <d v="2024-10-16T00:00:00"/>
    <d v="2024-11-05T00:00:00"/>
    <x v="1"/>
    <x v="1382"/>
    <x v="1"/>
    <x v="94"/>
    <x v="1"/>
    <x v="1"/>
    <x v="1"/>
    <x v="1"/>
  </r>
  <r>
    <n v="55650"/>
    <x v="8"/>
    <x v="1"/>
    <x v="278"/>
    <x v="0"/>
    <x v="1372"/>
    <x v="0"/>
    <d v="2024-04-18T00:00:00"/>
    <d v="2024-05-25T00:00:00"/>
    <x v="0"/>
    <x v="1383"/>
    <x v="0"/>
    <x v="0"/>
    <x v="0"/>
    <x v="0"/>
    <x v="0"/>
    <x v="0"/>
  </r>
  <r>
    <n v="64850"/>
    <x v="2"/>
    <x v="1"/>
    <x v="7"/>
    <x v="5"/>
    <x v="1373"/>
    <x v="1"/>
    <d v="2024-04-17T00:00:00"/>
    <d v="2024-04-22T00:00:00"/>
    <x v="1"/>
    <x v="1384"/>
    <x v="0"/>
    <x v="0"/>
    <x v="0"/>
    <x v="0"/>
    <x v="0"/>
    <x v="1"/>
  </r>
  <r>
    <n v="60808"/>
    <x v="3"/>
    <x v="2"/>
    <x v="389"/>
    <x v="1"/>
    <x v="1374"/>
    <x v="4"/>
    <d v="2024-08-07T00:00:00"/>
    <d v="2024-08-15T00:00:00"/>
    <x v="1"/>
    <x v="1385"/>
    <x v="0"/>
    <x v="0"/>
    <x v="0"/>
    <x v="0"/>
    <x v="0"/>
    <x v="0"/>
  </r>
  <r>
    <n v="95970"/>
    <x v="6"/>
    <x v="3"/>
    <x v="326"/>
    <x v="4"/>
    <x v="1375"/>
    <x v="3"/>
    <d v="2024-10-16T00:00:00"/>
    <d v="2024-11-23T00:00:00"/>
    <x v="0"/>
    <x v="1386"/>
    <x v="0"/>
    <x v="0"/>
    <x v="0"/>
    <x v="0"/>
    <x v="0"/>
    <x v="0"/>
  </r>
  <r>
    <n v="16862"/>
    <x v="2"/>
    <x v="1"/>
    <x v="193"/>
    <x v="6"/>
    <x v="1376"/>
    <x v="4"/>
    <d v="2024-03-12T00:00:00"/>
    <d v="2024-04-12T00:00:00"/>
    <x v="0"/>
    <x v="1387"/>
    <x v="0"/>
    <x v="0"/>
    <x v="0"/>
    <x v="0"/>
    <x v="0"/>
    <x v="1"/>
  </r>
  <r>
    <n v="53021"/>
    <x v="0"/>
    <x v="0"/>
    <x v="339"/>
    <x v="3"/>
    <x v="1377"/>
    <x v="2"/>
    <d v="2024-05-26T00:00:00"/>
    <d v="2024-06-05T00:00:00"/>
    <x v="2"/>
    <x v="1388"/>
    <x v="1"/>
    <x v="52"/>
    <x v="1"/>
    <x v="1"/>
    <x v="1"/>
    <x v="1"/>
  </r>
  <r>
    <n v="50160"/>
    <x v="3"/>
    <x v="2"/>
    <x v="80"/>
    <x v="4"/>
    <x v="1378"/>
    <x v="1"/>
    <d v="2024-09-19T00:00:00"/>
    <d v="2024-09-26T00:00:00"/>
    <x v="2"/>
    <x v="1389"/>
    <x v="0"/>
    <x v="0"/>
    <x v="0"/>
    <x v="0"/>
    <x v="0"/>
    <x v="0"/>
  </r>
  <r>
    <n v="23189"/>
    <x v="9"/>
    <x v="1"/>
    <x v="274"/>
    <x v="6"/>
    <x v="1379"/>
    <x v="3"/>
    <d v="2024-06-30T00:00:00"/>
    <d v="2024-07-18T00:00:00"/>
    <x v="2"/>
    <x v="1390"/>
    <x v="1"/>
    <x v="78"/>
    <x v="1"/>
    <x v="1"/>
    <x v="1"/>
    <x v="1"/>
  </r>
  <r>
    <n v="78731"/>
    <x v="12"/>
    <x v="0"/>
    <x v="125"/>
    <x v="2"/>
    <x v="1380"/>
    <x v="2"/>
    <d v="2024-02-08T00:00:00"/>
    <d v="2024-03-15T00:00:00"/>
    <x v="0"/>
    <x v="1391"/>
    <x v="0"/>
    <x v="0"/>
    <x v="0"/>
    <x v="0"/>
    <x v="0"/>
    <x v="0"/>
  </r>
  <r>
    <n v="92641"/>
    <x v="5"/>
    <x v="2"/>
    <x v="381"/>
    <x v="2"/>
    <x v="1381"/>
    <x v="2"/>
    <d v="2024-09-29T00:00:00"/>
    <d v="2024-10-20T00:00:00"/>
    <x v="1"/>
    <x v="1392"/>
    <x v="0"/>
    <x v="0"/>
    <x v="0"/>
    <x v="0"/>
    <x v="0"/>
    <x v="0"/>
  </r>
  <r>
    <n v="43262"/>
    <x v="14"/>
    <x v="4"/>
    <x v="9"/>
    <x v="2"/>
    <x v="1382"/>
    <x v="2"/>
    <d v="2024-05-27T00:00:00"/>
    <d v="2024-06-22T00:00:00"/>
    <x v="1"/>
    <x v="1393"/>
    <x v="0"/>
    <x v="0"/>
    <x v="0"/>
    <x v="0"/>
    <x v="0"/>
    <x v="0"/>
  </r>
  <r>
    <n v="31725"/>
    <x v="9"/>
    <x v="1"/>
    <x v="81"/>
    <x v="3"/>
    <x v="1383"/>
    <x v="0"/>
    <d v="2024-03-21T00:00:00"/>
    <d v="2024-04-13T00:00:00"/>
    <x v="0"/>
    <x v="1394"/>
    <x v="0"/>
    <x v="0"/>
    <x v="0"/>
    <x v="0"/>
    <x v="0"/>
    <x v="1"/>
  </r>
  <r>
    <n v="23338"/>
    <x v="15"/>
    <x v="4"/>
    <x v="278"/>
    <x v="3"/>
    <x v="1384"/>
    <x v="1"/>
    <d v="2024-10-03T00:00:00"/>
    <d v="2024-11-04T00:00:00"/>
    <x v="0"/>
    <x v="1395"/>
    <x v="0"/>
    <x v="0"/>
    <x v="0"/>
    <x v="0"/>
    <x v="0"/>
    <x v="0"/>
  </r>
  <r>
    <n v="15349"/>
    <x v="3"/>
    <x v="2"/>
    <x v="37"/>
    <x v="1"/>
    <x v="1385"/>
    <x v="3"/>
    <d v="2024-07-12T00:00:00"/>
    <d v="2024-07-30T00:00:00"/>
    <x v="1"/>
    <x v="1396"/>
    <x v="0"/>
    <x v="0"/>
    <x v="0"/>
    <x v="0"/>
    <x v="0"/>
    <x v="1"/>
  </r>
  <r>
    <n v="67427"/>
    <x v="14"/>
    <x v="4"/>
    <x v="396"/>
    <x v="4"/>
    <x v="1386"/>
    <x v="1"/>
    <d v="2024-09-16T00:00:00"/>
    <d v="2024-10-20T00:00:00"/>
    <x v="0"/>
    <x v="1397"/>
    <x v="0"/>
    <x v="0"/>
    <x v="0"/>
    <x v="0"/>
    <x v="0"/>
    <x v="0"/>
  </r>
  <r>
    <n v="52103"/>
    <x v="7"/>
    <x v="3"/>
    <x v="265"/>
    <x v="1"/>
    <x v="1387"/>
    <x v="3"/>
    <d v="2024-06-26T00:00:00"/>
    <d v="2024-07-27T00:00:00"/>
    <x v="0"/>
    <x v="1398"/>
    <x v="0"/>
    <x v="0"/>
    <x v="0"/>
    <x v="0"/>
    <x v="0"/>
    <x v="0"/>
  </r>
  <r>
    <n v="91991"/>
    <x v="15"/>
    <x v="4"/>
    <x v="0"/>
    <x v="1"/>
    <x v="1388"/>
    <x v="2"/>
    <d v="2024-02-21T00:00:00"/>
    <d v="2024-03-20T00:00:00"/>
    <x v="0"/>
    <x v="1399"/>
    <x v="0"/>
    <x v="0"/>
    <x v="0"/>
    <x v="0"/>
    <x v="0"/>
    <x v="0"/>
  </r>
  <r>
    <n v="23107"/>
    <x v="4"/>
    <x v="0"/>
    <x v="73"/>
    <x v="0"/>
    <x v="1389"/>
    <x v="4"/>
    <d v="2024-09-05T00:00:00"/>
    <d v="2024-10-14T00:00:00"/>
    <x v="1"/>
    <x v="1400"/>
    <x v="0"/>
    <x v="0"/>
    <x v="0"/>
    <x v="0"/>
    <x v="0"/>
    <x v="0"/>
  </r>
  <r>
    <n v="89232"/>
    <x v="15"/>
    <x v="4"/>
    <x v="435"/>
    <x v="5"/>
    <x v="1390"/>
    <x v="1"/>
    <d v="2024-06-25T00:00:00"/>
    <d v="2024-07-14T00:00:00"/>
    <x v="2"/>
    <x v="1401"/>
    <x v="1"/>
    <x v="97"/>
    <x v="1"/>
    <x v="1"/>
    <x v="1"/>
    <x v="1"/>
  </r>
  <r>
    <n v="32222"/>
    <x v="2"/>
    <x v="1"/>
    <x v="64"/>
    <x v="0"/>
    <x v="1391"/>
    <x v="0"/>
    <d v="2024-07-16T00:00:00"/>
    <d v="2024-08-19T00:00:00"/>
    <x v="0"/>
    <x v="1402"/>
    <x v="0"/>
    <x v="0"/>
    <x v="0"/>
    <x v="0"/>
    <x v="0"/>
    <x v="0"/>
  </r>
  <r>
    <n v="20223"/>
    <x v="15"/>
    <x v="4"/>
    <x v="410"/>
    <x v="0"/>
    <x v="1392"/>
    <x v="1"/>
    <d v="2024-06-16T00:00:00"/>
    <d v="2024-06-22T00:00:00"/>
    <x v="0"/>
    <x v="1403"/>
    <x v="0"/>
    <x v="0"/>
    <x v="0"/>
    <x v="0"/>
    <x v="0"/>
    <x v="0"/>
  </r>
  <r>
    <n v="23672"/>
    <x v="12"/>
    <x v="0"/>
    <x v="402"/>
    <x v="6"/>
    <x v="1393"/>
    <x v="4"/>
    <d v="2024-04-04T00:00:00"/>
    <d v="2024-05-03T00:00:00"/>
    <x v="2"/>
    <x v="1404"/>
    <x v="0"/>
    <x v="0"/>
    <x v="0"/>
    <x v="0"/>
    <x v="0"/>
    <x v="1"/>
  </r>
  <r>
    <n v="97594"/>
    <x v="7"/>
    <x v="3"/>
    <x v="466"/>
    <x v="4"/>
    <x v="1394"/>
    <x v="2"/>
    <d v="2024-10-30T00:00:00"/>
    <d v="2024-11-24T00:00:00"/>
    <x v="0"/>
    <x v="1405"/>
    <x v="0"/>
    <x v="0"/>
    <x v="0"/>
    <x v="0"/>
    <x v="0"/>
    <x v="1"/>
  </r>
  <r>
    <n v="41335"/>
    <x v="16"/>
    <x v="3"/>
    <x v="467"/>
    <x v="0"/>
    <x v="1395"/>
    <x v="2"/>
    <d v="2024-11-01T00:00:00"/>
    <d v="2024-12-10T00:00:00"/>
    <x v="1"/>
    <x v="1406"/>
    <x v="0"/>
    <x v="0"/>
    <x v="0"/>
    <x v="0"/>
    <x v="0"/>
    <x v="0"/>
  </r>
  <r>
    <n v="47116"/>
    <x v="14"/>
    <x v="4"/>
    <x v="3"/>
    <x v="2"/>
    <x v="1396"/>
    <x v="4"/>
    <d v="2024-12-01T00:00:00"/>
    <d v="2024-12-29T00:00:00"/>
    <x v="1"/>
    <x v="1407"/>
    <x v="0"/>
    <x v="0"/>
    <x v="0"/>
    <x v="0"/>
    <x v="0"/>
    <x v="0"/>
  </r>
  <r>
    <n v="93100"/>
    <x v="2"/>
    <x v="1"/>
    <x v="461"/>
    <x v="6"/>
    <x v="1397"/>
    <x v="4"/>
    <d v="2024-03-17T00:00:00"/>
    <d v="2024-04-13T00:00:00"/>
    <x v="0"/>
    <x v="1408"/>
    <x v="0"/>
    <x v="0"/>
    <x v="0"/>
    <x v="0"/>
    <x v="0"/>
    <x v="1"/>
  </r>
  <r>
    <n v="38004"/>
    <x v="0"/>
    <x v="0"/>
    <x v="204"/>
    <x v="3"/>
    <x v="1398"/>
    <x v="4"/>
    <d v="2024-04-15T00:00:00"/>
    <d v="2024-04-22T00:00:00"/>
    <x v="0"/>
    <x v="1409"/>
    <x v="1"/>
    <x v="6"/>
    <x v="1"/>
    <x v="1"/>
    <x v="1"/>
    <x v="1"/>
  </r>
  <r>
    <n v="85955"/>
    <x v="16"/>
    <x v="3"/>
    <x v="239"/>
    <x v="2"/>
    <x v="1399"/>
    <x v="4"/>
    <d v="2024-11-16T00:00:00"/>
    <d v="2024-12-10T00:00:00"/>
    <x v="0"/>
    <x v="1410"/>
    <x v="1"/>
    <x v="98"/>
    <x v="1"/>
    <x v="1"/>
    <x v="1"/>
    <x v="1"/>
  </r>
  <r>
    <n v="14860"/>
    <x v="3"/>
    <x v="2"/>
    <x v="133"/>
    <x v="0"/>
    <x v="1400"/>
    <x v="1"/>
    <d v="2024-10-27T00:00:00"/>
    <d v="2024-11-19T00:00:00"/>
    <x v="0"/>
    <x v="1411"/>
    <x v="0"/>
    <x v="0"/>
    <x v="0"/>
    <x v="0"/>
    <x v="0"/>
    <x v="0"/>
  </r>
  <r>
    <n v="54293"/>
    <x v="9"/>
    <x v="1"/>
    <x v="437"/>
    <x v="4"/>
    <x v="1401"/>
    <x v="3"/>
    <d v="2024-10-26T00:00:00"/>
    <d v="2024-11-18T00:00:00"/>
    <x v="1"/>
    <x v="1412"/>
    <x v="0"/>
    <x v="0"/>
    <x v="0"/>
    <x v="0"/>
    <x v="0"/>
    <x v="0"/>
  </r>
  <r>
    <n v="64240"/>
    <x v="2"/>
    <x v="1"/>
    <x v="334"/>
    <x v="0"/>
    <x v="1402"/>
    <x v="4"/>
    <d v="2024-11-17T00:00:00"/>
    <d v="2024-12-12T00:00:00"/>
    <x v="2"/>
    <x v="1413"/>
    <x v="0"/>
    <x v="0"/>
    <x v="0"/>
    <x v="0"/>
    <x v="0"/>
    <x v="0"/>
  </r>
  <r>
    <n v="84486"/>
    <x v="14"/>
    <x v="4"/>
    <x v="30"/>
    <x v="6"/>
    <x v="1403"/>
    <x v="0"/>
    <d v="2024-10-04T00:00:00"/>
    <d v="2024-10-19T00:00:00"/>
    <x v="0"/>
    <x v="1414"/>
    <x v="0"/>
    <x v="0"/>
    <x v="0"/>
    <x v="0"/>
    <x v="0"/>
    <x v="1"/>
  </r>
  <r>
    <n v="57458"/>
    <x v="0"/>
    <x v="0"/>
    <x v="323"/>
    <x v="2"/>
    <x v="1404"/>
    <x v="2"/>
    <d v="2024-05-18T00:00:00"/>
    <d v="2024-05-28T00:00:00"/>
    <x v="1"/>
    <x v="1415"/>
    <x v="0"/>
    <x v="0"/>
    <x v="0"/>
    <x v="0"/>
    <x v="0"/>
    <x v="0"/>
  </r>
  <r>
    <n v="28394"/>
    <x v="16"/>
    <x v="3"/>
    <x v="36"/>
    <x v="3"/>
    <x v="1405"/>
    <x v="1"/>
    <d v="2024-04-03T00:00:00"/>
    <d v="2024-05-05T00:00:00"/>
    <x v="1"/>
    <x v="1416"/>
    <x v="0"/>
    <x v="0"/>
    <x v="0"/>
    <x v="0"/>
    <x v="0"/>
    <x v="0"/>
  </r>
  <r>
    <n v="66624"/>
    <x v="13"/>
    <x v="3"/>
    <x v="338"/>
    <x v="2"/>
    <x v="1406"/>
    <x v="1"/>
    <d v="2024-10-08T00:00:00"/>
    <d v="2024-11-08T00:00:00"/>
    <x v="0"/>
    <x v="1417"/>
    <x v="0"/>
    <x v="0"/>
    <x v="0"/>
    <x v="0"/>
    <x v="0"/>
    <x v="0"/>
  </r>
  <r>
    <n v="85801"/>
    <x v="2"/>
    <x v="1"/>
    <x v="14"/>
    <x v="3"/>
    <x v="1407"/>
    <x v="2"/>
    <d v="2024-07-01T00:00:00"/>
    <d v="2024-07-22T00:00:00"/>
    <x v="0"/>
    <x v="1418"/>
    <x v="0"/>
    <x v="0"/>
    <x v="0"/>
    <x v="0"/>
    <x v="0"/>
    <x v="0"/>
  </r>
  <r>
    <n v="73797"/>
    <x v="16"/>
    <x v="3"/>
    <x v="358"/>
    <x v="1"/>
    <x v="1408"/>
    <x v="0"/>
    <d v="2024-08-31T00:00:00"/>
    <d v="2024-10-04T00:00:00"/>
    <x v="1"/>
    <x v="1419"/>
    <x v="0"/>
    <x v="0"/>
    <x v="0"/>
    <x v="0"/>
    <x v="0"/>
    <x v="1"/>
  </r>
  <r>
    <n v="14123"/>
    <x v="10"/>
    <x v="2"/>
    <x v="314"/>
    <x v="5"/>
    <x v="1409"/>
    <x v="2"/>
    <d v="2024-04-08T00:00:00"/>
    <d v="2024-04-29T00:00:00"/>
    <x v="2"/>
    <x v="1420"/>
    <x v="0"/>
    <x v="0"/>
    <x v="0"/>
    <x v="0"/>
    <x v="0"/>
    <x v="1"/>
  </r>
  <r>
    <n v="39992"/>
    <x v="3"/>
    <x v="2"/>
    <x v="300"/>
    <x v="5"/>
    <x v="1410"/>
    <x v="1"/>
    <d v="2024-11-17T00:00:00"/>
    <d v="2024-12-05T00:00:00"/>
    <x v="1"/>
    <x v="1421"/>
    <x v="0"/>
    <x v="0"/>
    <x v="0"/>
    <x v="0"/>
    <x v="0"/>
    <x v="0"/>
  </r>
  <r>
    <n v="60672"/>
    <x v="12"/>
    <x v="0"/>
    <x v="86"/>
    <x v="3"/>
    <x v="1411"/>
    <x v="4"/>
    <d v="2024-03-22T00:00:00"/>
    <d v="2024-04-04T00:00:00"/>
    <x v="0"/>
    <x v="1422"/>
    <x v="1"/>
    <x v="12"/>
    <x v="1"/>
    <x v="1"/>
    <x v="1"/>
    <x v="1"/>
  </r>
  <r>
    <n v="68390"/>
    <x v="7"/>
    <x v="3"/>
    <x v="134"/>
    <x v="0"/>
    <x v="1412"/>
    <x v="4"/>
    <d v="2024-04-17T00:00:00"/>
    <d v="2024-05-24T00:00:00"/>
    <x v="2"/>
    <x v="1423"/>
    <x v="1"/>
    <x v="32"/>
    <x v="1"/>
    <x v="1"/>
    <x v="1"/>
    <x v="1"/>
  </r>
  <r>
    <n v="32873"/>
    <x v="16"/>
    <x v="3"/>
    <x v="172"/>
    <x v="5"/>
    <x v="1413"/>
    <x v="3"/>
    <d v="2024-12-23T00:00:00"/>
    <d v="2025-01-22T00:00:00"/>
    <x v="0"/>
    <x v="1424"/>
    <x v="0"/>
    <x v="0"/>
    <x v="0"/>
    <x v="0"/>
    <x v="0"/>
    <x v="0"/>
  </r>
  <r>
    <n v="31330"/>
    <x v="0"/>
    <x v="0"/>
    <x v="176"/>
    <x v="5"/>
    <x v="1414"/>
    <x v="2"/>
    <d v="2024-05-20T00:00:00"/>
    <d v="2024-06-17T00:00:00"/>
    <x v="1"/>
    <x v="1425"/>
    <x v="0"/>
    <x v="0"/>
    <x v="0"/>
    <x v="0"/>
    <x v="0"/>
    <x v="1"/>
  </r>
  <r>
    <n v="52269"/>
    <x v="2"/>
    <x v="1"/>
    <x v="468"/>
    <x v="5"/>
    <x v="1415"/>
    <x v="1"/>
    <d v="2024-12-08T00:00:00"/>
    <d v="2025-01-11T00:00:00"/>
    <x v="2"/>
    <x v="1426"/>
    <x v="1"/>
    <x v="49"/>
    <x v="1"/>
    <x v="1"/>
    <x v="1"/>
    <x v="1"/>
  </r>
  <r>
    <n v="41821"/>
    <x v="2"/>
    <x v="1"/>
    <x v="453"/>
    <x v="3"/>
    <x v="1416"/>
    <x v="1"/>
    <d v="2024-04-07T00:00:00"/>
    <d v="2024-04-27T00:00:00"/>
    <x v="2"/>
    <x v="1427"/>
    <x v="0"/>
    <x v="0"/>
    <x v="0"/>
    <x v="0"/>
    <x v="0"/>
    <x v="1"/>
  </r>
  <r>
    <n v="92427"/>
    <x v="14"/>
    <x v="4"/>
    <x v="469"/>
    <x v="4"/>
    <x v="1417"/>
    <x v="3"/>
    <d v="2024-06-16T00:00:00"/>
    <d v="2024-07-15T00:00:00"/>
    <x v="1"/>
    <x v="1428"/>
    <x v="0"/>
    <x v="0"/>
    <x v="0"/>
    <x v="0"/>
    <x v="0"/>
    <x v="1"/>
  </r>
  <r>
    <n v="19117"/>
    <x v="13"/>
    <x v="3"/>
    <x v="143"/>
    <x v="3"/>
    <x v="1418"/>
    <x v="0"/>
    <d v="2024-09-19T00:00:00"/>
    <d v="2024-10-23T00:00:00"/>
    <x v="1"/>
    <x v="1429"/>
    <x v="0"/>
    <x v="0"/>
    <x v="0"/>
    <x v="0"/>
    <x v="0"/>
    <x v="0"/>
  </r>
  <r>
    <n v="80949"/>
    <x v="10"/>
    <x v="2"/>
    <x v="101"/>
    <x v="5"/>
    <x v="1419"/>
    <x v="2"/>
    <d v="2024-01-28T00:00:00"/>
    <d v="2024-02-15T00:00:00"/>
    <x v="0"/>
    <x v="1430"/>
    <x v="0"/>
    <x v="0"/>
    <x v="0"/>
    <x v="0"/>
    <x v="0"/>
    <x v="1"/>
  </r>
  <r>
    <n v="86586"/>
    <x v="12"/>
    <x v="0"/>
    <x v="429"/>
    <x v="5"/>
    <x v="1420"/>
    <x v="0"/>
    <d v="2024-09-27T00:00:00"/>
    <d v="2024-10-04T00:00:00"/>
    <x v="2"/>
    <x v="1431"/>
    <x v="1"/>
    <x v="64"/>
    <x v="1"/>
    <x v="1"/>
    <x v="1"/>
    <x v="1"/>
  </r>
  <r>
    <n v="81458"/>
    <x v="14"/>
    <x v="4"/>
    <x v="207"/>
    <x v="3"/>
    <x v="1421"/>
    <x v="1"/>
    <d v="2024-09-14T00:00:00"/>
    <d v="2024-10-05T00:00:00"/>
    <x v="2"/>
    <x v="1432"/>
    <x v="0"/>
    <x v="0"/>
    <x v="0"/>
    <x v="0"/>
    <x v="0"/>
    <x v="0"/>
  </r>
  <r>
    <n v="91748"/>
    <x v="9"/>
    <x v="1"/>
    <x v="329"/>
    <x v="6"/>
    <x v="598"/>
    <x v="4"/>
    <d v="2024-05-05T00:00:00"/>
    <d v="2024-05-30T00:00:00"/>
    <x v="1"/>
    <x v="1433"/>
    <x v="1"/>
    <x v="99"/>
    <x v="1"/>
    <x v="1"/>
    <x v="1"/>
    <x v="1"/>
  </r>
  <r>
    <n v="94553"/>
    <x v="6"/>
    <x v="3"/>
    <x v="111"/>
    <x v="1"/>
    <x v="754"/>
    <x v="0"/>
    <d v="2024-03-12T00:00:00"/>
    <d v="2024-04-19T00:00:00"/>
    <x v="0"/>
    <x v="1434"/>
    <x v="0"/>
    <x v="0"/>
    <x v="0"/>
    <x v="0"/>
    <x v="0"/>
    <x v="1"/>
  </r>
  <r>
    <n v="92762"/>
    <x v="8"/>
    <x v="1"/>
    <x v="232"/>
    <x v="4"/>
    <x v="1422"/>
    <x v="1"/>
    <d v="2024-08-28T00:00:00"/>
    <d v="2024-10-05T00:00:00"/>
    <x v="1"/>
    <x v="1435"/>
    <x v="1"/>
    <x v="37"/>
    <x v="1"/>
    <x v="1"/>
    <x v="1"/>
    <x v="1"/>
  </r>
  <r>
    <n v="65916"/>
    <x v="4"/>
    <x v="0"/>
    <x v="280"/>
    <x v="3"/>
    <x v="1423"/>
    <x v="3"/>
    <d v="2024-06-17T00:00:00"/>
    <d v="2024-07-11T00:00:00"/>
    <x v="0"/>
    <x v="1436"/>
    <x v="0"/>
    <x v="0"/>
    <x v="0"/>
    <x v="0"/>
    <x v="0"/>
    <x v="1"/>
  </r>
  <r>
    <n v="64499"/>
    <x v="11"/>
    <x v="4"/>
    <x v="426"/>
    <x v="6"/>
    <x v="1424"/>
    <x v="1"/>
    <d v="2024-12-24T00:00:00"/>
    <d v="2025-02-01T00:00:00"/>
    <x v="2"/>
    <x v="1437"/>
    <x v="1"/>
    <x v="100"/>
    <x v="1"/>
    <x v="1"/>
    <x v="1"/>
    <x v="1"/>
  </r>
  <r>
    <n v="98131"/>
    <x v="16"/>
    <x v="3"/>
    <x v="345"/>
    <x v="5"/>
    <x v="229"/>
    <x v="2"/>
    <d v="2024-07-05T00:00:00"/>
    <d v="2024-07-13T00:00:00"/>
    <x v="1"/>
    <x v="1438"/>
    <x v="0"/>
    <x v="0"/>
    <x v="0"/>
    <x v="0"/>
    <x v="0"/>
    <x v="1"/>
  </r>
  <r>
    <n v="13447"/>
    <x v="7"/>
    <x v="3"/>
    <x v="128"/>
    <x v="5"/>
    <x v="1425"/>
    <x v="0"/>
    <d v="2024-06-10T00:00:00"/>
    <d v="2024-07-06T00:00:00"/>
    <x v="1"/>
    <x v="1439"/>
    <x v="0"/>
    <x v="0"/>
    <x v="0"/>
    <x v="0"/>
    <x v="0"/>
    <x v="1"/>
  </r>
  <r>
    <n v="93205"/>
    <x v="15"/>
    <x v="4"/>
    <x v="114"/>
    <x v="6"/>
    <x v="1426"/>
    <x v="1"/>
    <d v="2024-05-01T00:00:00"/>
    <d v="2024-06-06T00:00:00"/>
    <x v="2"/>
    <x v="1440"/>
    <x v="0"/>
    <x v="0"/>
    <x v="0"/>
    <x v="0"/>
    <x v="0"/>
    <x v="1"/>
  </r>
  <r>
    <n v="97185"/>
    <x v="3"/>
    <x v="2"/>
    <x v="76"/>
    <x v="2"/>
    <x v="1427"/>
    <x v="2"/>
    <d v="2024-01-25T00:00:00"/>
    <d v="2024-02-20T00:00:00"/>
    <x v="1"/>
    <x v="1441"/>
    <x v="0"/>
    <x v="0"/>
    <x v="0"/>
    <x v="0"/>
    <x v="0"/>
    <x v="0"/>
  </r>
  <r>
    <n v="52477"/>
    <x v="10"/>
    <x v="2"/>
    <x v="311"/>
    <x v="2"/>
    <x v="1428"/>
    <x v="4"/>
    <d v="2024-03-14T00:00:00"/>
    <d v="2024-04-21T00:00:00"/>
    <x v="2"/>
    <x v="1442"/>
    <x v="0"/>
    <x v="0"/>
    <x v="0"/>
    <x v="0"/>
    <x v="0"/>
    <x v="0"/>
  </r>
  <r>
    <n v="78774"/>
    <x v="13"/>
    <x v="3"/>
    <x v="151"/>
    <x v="1"/>
    <x v="1429"/>
    <x v="0"/>
    <d v="2024-05-21T00:00:00"/>
    <d v="2024-06-03T00:00:00"/>
    <x v="1"/>
    <x v="1443"/>
    <x v="0"/>
    <x v="0"/>
    <x v="0"/>
    <x v="0"/>
    <x v="0"/>
    <x v="0"/>
  </r>
  <r>
    <n v="84237"/>
    <x v="9"/>
    <x v="1"/>
    <x v="50"/>
    <x v="3"/>
    <x v="1430"/>
    <x v="0"/>
    <d v="2024-06-23T00:00:00"/>
    <d v="2024-07-16T00:00:00"/>
    <x v="2"/>
    <x v="1444"/>
    <x v="1"/>
    <x v="50"/>
    <x v="1"/>
    <x v="1"/>
    <x v="1"/>
    <x v="1"/>
  </r>
  <r>
    <n v="10434"/>
    <x v="5"/>
    <x v="2"/>
    <x v="5"/>
    <x v="5"/>
    <x v="1431"/>
    <x v="4"/>
    <d v="2024-10-09T00:00:00"/>
    <d v="2024-11-01T00:00:00"/>
    <x v="1"/>
    <x v="1445"/>
    <x v="1"/>
    <x v="53"/>
    <x v="1"/>
    <x v="1"/>
    <x v="1"/>
    <x v="1"/>
  </r>
  <r>
    <n v="49593"/>
    <x v="10"/>
    <x v="2"/>
    <x v="312"/>
    <x v="2"/>
    <x v="1432"/>
    <x v="2"/>
    <d v="2024-07-04T00:00:00"/>
    <d v="2024-07-16T00:00:00"/>
    <x v="2"/>
    <x v="1446"/>
    <x v="0"/>
    <x v="0"/>
    <x v="0"/>
    <x v="0"/>
    <x v="0"/>
    <x v="0"/>
  </r>
  <r>
    <n v="20596"/>
    <x v="13"/>
    <x v="3"/>
    <x v="79"/>
    <x v="3"/>
    <x v="1433"/>
    <x v="0"/>
    <d v="2024-07-30T00:00:00"/>
    <d v="2024-08-19T00:00:00"/>
    <x v="2"/>
    <x v="1447"/>
    <x v="0"/>
    <x v="0"/>
    <x v="0"/>
    <x v="0"/>
    <x v="0"/>
    <x v="0"/>
  </r>
  <r>
    <n v="55810"/>
    <x v="3"/>
    <x v="2"/>
    <x v="64"/>
    <x v="3"/>
    <x v="1434"/>
    <x v="3"/>
    <d v="2024-10-05T00:00:00"/>
    <d v="2024-10-13T00:00:00"/>
    <x v="0"/>
    <x v="1448"/>
    <x v="0"/>
    <x v="0"/>
    <x v="0"/>
    <x v="0"/>
    <x v="0"/>
    <x v="0"/>
  </r>
  <r>
    <n v="28615"/>
    <x v="0"/>
    <x v="0"/>
    <x v="92"/>
    <x v="1"/>
    <x v="1435"/>
    <x v="3"/>
    <d v="2024-02-24T00:00:00"/>
    <d v="2024-03-15T00:00:00"/>
    <x v="2"/>
    <x v="1449"/>
    <x v="0"/>
    <x v="0"/>
    <x v="0"/>
    <x v="0"/>
    <x v="0"/>
    <x v="1"/>
  </r>
  <r>
    <n v="15700"/>
    <x v="9"/>
    <x v="1"/>
    <x v="384"/>
    <x v="2"/>
    <x v="1436"/>
    <x v="3"/>
    <d v="2024-08-12T00:00:00"/>
    <d v="2024-08-17T00:00:00"/>
    <x v="2"/>
    <x v="1450"/>
    <x v="0"/>
    <x v="0"/>
    <x v="0"/>
    <x v="0"/>
    <x v="0"/>
    <x v="0"/>
  </r>
  <r>
    <n v="70611"/>
    <x v="0"/>
    <x v="0"/>
    <x v="160"/>
    <x v="4"/>
    <x v="1437"/>
    <x v="0"/>
    <d v="2024-05-13T00:00:00"/>
    <d v="2024-06-13T00:00:00"/>
    <x v="0"/>
    <x v="1451"/>
    <x v="0"/>
    <x v="0"/>
    <x v="0"/>
    <x v="0"/>
    <x v="0"/>
    <x v="0"/>
  </r>
  <r>
    <n v="37685"/>
    <x v="15"/>
    <x v="4"/>
    <x v="149"/>
    <x v="5"/>
    <x v="1438"/>
    <x v="4"/>
    <d v="2024-01-30T00:00:00"/>
    <d v="2024-02-24T00:00:00"/>
    <x v="2"/>
    <x v="1452"/>
    <x v="0"/>
    <x v="0"/>
    <x v="0"/>
    <x v="0"/>
    <x v="0"/>
    <x v="0"/>
  </r>
  <r>
    <n v="16584"/>
    <x v="14"/>
    <x v="4"/>
    <x v="441"/>
    <x v="5"/>
    <x v="1439"/>
    <x v="4"/>
    <d v="2024-05-24T00:00:00"/>
    <d v="2024-06-15T00:00:00"/>
    <x v="2"/>
    <x v="1453"/>
    <x v="0"/>
    <x v="0"/>
    <x v="0"/>
    <x v="0"/>
    <x v="0"/>
    <x v="1"/>
  </r>
  <r>
    <n v="98377"/>
    <x v="12"/>
    <x v="0"/>
    <x v="470"/>
    <x v="4"/>
    <x v="1440"/>
    <x v="0"/>
    <d v="2024-07-19T00:00:00"/>
    <d v="2024-07-24T00:00:00"/>
    <x v="1"/>
    <x v="1454"/>
    <x v="0"/>
    <x v="0"/>
    <x v="0"/>
    <x v="0"/>
    <x v="0"/>
    <x v="0"/>
  </r>
  <r>
    <n v="32333"/>
    <x v="6"/>
    <x v="3"/>
    <x v="346"/>
    <x v="5"/>
    <x v="1441"/>
    <x v="0"/>
    <d v="2024-11-06T00:00:00"/>
    <d v="2024-11-29T00:00:00"/>
    <x v="1"/>
    <x v="1455"/>
    <x v="0"/>
    <x v="0"/>
    <x v="0"/>
    <x v="0"/>
    <x v="0"/>
    <x v="0"/>
  </r>
  <r>
    <n v="72303"/>
    <x v="1"/>
    <x v="0"/>
    <x v="398"/>
    <x v="5"/>
    <x v="1442"/>
    <x v="1"/>
    <d v="2024-12-13T00:00:00"/>
    <d v="2025-01-17T00:00:00"/>
    <x v="1"/>
    <x v="1456"/>
    <x v="1"/>
    <x v="74"/>
    <x v="1"/>
    <x v="1"/>
    <x v="1"/>
    <x v="1"/>
  </r>
  <r>
    <n v="63013"/>
    <x v="15"/>
    <x v="4"/>
    <x v="367"/>
    <x v="5"/>
    <x v="1443"/>
    <x v="1"/>
    <d v="2024-07-09T00:00:00"/>
    <d v="2024-07-28T00:00:00"/>
    <x v="2"/>
    <x v="1457"/>
    <x v="0"/>
    <x v="0"/>
    <x v="0"/>
    <x v="0"/>
    <x v="0"/>
    <x v="1"/>
  </r>
  <r>
    <n v="67389"/>
    <x v="5"/>
    <x v="2"/>
    <x v="348"/>
    <x v="4"/>
    <x v="1444"/>
    <x v="2"/>
    <d v="2024-10-28T00:00:00"/>
    <d v="2024-11-29T00:00:00"/>
    <x v="2"/>
    <x v="1458"/>
    <x v="0"/>
    <x v="0"/>
    <x v="0"/>
    <x v="0"/>
    <x v="0"/>
    <x v="1"/>
  </r>
  <r>
    <n v="40580"/>
    <x v="12"/>
    <x v="0"/>
    <x v="101"/>
    <x v="4"/>
    <x v="1445"/>
    <x v="0"/>
    <d v="2024-02-21T00:00:00"/>
    <d v="2024-03-13T00:00:00"/>
    <x v="1"/>
    <x v="1459"/>
    <x v="0"/>
    <x v="0"/>
    <x v="0"/>
    <x v="0"/>
    <x v="0"/>
    <x v="0"/>
  </r>
  <r>
    <n v="99100"/>
    <x v="12"/>
    <x v="0"/>
    <x v="424"/>
    <x v="0"/>
    <x v="1446"/>
    <x v="0"/>
    <d v="2024-07-19T00:00:00"/>
    <d v="2024-07-29T00:00:00"/>
    <x v="2"/>
    <x v="1460"/>
    <x v="0"/>
    <x v="0"/>
    <x v="0"/>
    <x v="0"/>
    <x v="0"/>
    <x v="0"/>
  </r>
  <r>
    <n v="32444"/>
    <x v="4"/>
    <x v="0"/>
    <x v="3"/>
    <x v="4"/>
    <x v="1447"/>
    <x v="1"/>
    <d v="2024-02-05T00:00:00"/>
    <d v="2024-02-17T00:00:00"/>
    <x v="2"/>
    <x v="1461"/>
    <x v="0"/>
    <x v="0"/>
    <x v="0"/>
    <x v="0"/>
    <x v="0"/>
    <x v="0"/>
  </r>
  <r>
    <n v="96058"/>
    <x v="2"/>
    <x v="1"/>
    <x v="393"/>
    <x v="1"/>
    <x v="1448"/>
    <x v="4"/>
    <d v="2024-02-01T00:00:00"/>
    <d v="2024-03-10T00:00:00"/>
    <x v="1"/>
    <x v="1462"/>
    <x v="0"/>
    <x v="0"/>
    <x v="0"/>
    <x v="0"/>
    <x v="0"/>
    <x v="1"/>
  </r>
  <r>
    <n v="28227"/>
    <x v="6"/>
    <x v="3"/>
    <x v="89"/>
    <x v="0"/>
    <x v="1449"/>
    <x v="3"/>
    <d v="2024-04-10T00:00:00"/>
    <d v="2024-05-12T00:00:00"/>
    <x v="2"/>
    <x v="1463"/>
    <x v="0"/>
    <x v="0"/>
    <x v="0"/>
    <x v="0"/>
    <x v="0"/>
    <x v="1"/>
  </r>
  <r>
    <n v="31711"/>
    <x v="9"/>
    <x v="1"/>
    <x v="91"/>
    <x v="5"/>
    <x v="1450"/>
    <x v="2"/>
    <d v="2024-09-20T00:00:00"/>
    <d v="2024-10-18T00:00:00"/>
    <x v="1"/>
    <x v="1464"/>
    <x v="0"/>
    <x v="0"/>
    <x v="0"/>
    <x v="0"/>
    <x v="0"/>
    <x v="1"/>
  </r>
  <r>
    <n v="64583"/>
    <x v="14"/>
    <x v="4"/>
    <x v="33"/>
    <x v="5"/>
    <x v="1451"/>
    <x v="4"/>
    <d v="2024-01-12T00:00:00"/>
    <d v="2024-02-03T00:00:00"/>
    <x v="0"/>
    <x v="1465"/>
    <x v="0"/>
    <x v="0"/>
    <x v="0"/>
    <x v="0"/>
    <x v="0"/>
    <x v="0"/>
  </r>
  <r>
    <n v="72257"/>
    <x v="14"/>
    <x v="4"/>
    <x v="46"/>
    <x v="5"/>
    <x v="1452"/>
    <x v="4"/>
    <d v="2024-06-17T00:00:00"/>
    <d v="2024-06-22T00:00:00"/>
    <x v="0"/>
    <x v="1466"/>
    <x v="0"/>
    <x v="0"/>
    <x v="0"/>
    <x v="0"/>
    <x v="0"/>
    <x v="1"/>
  </r>
  <r>
    <n v="34408"/>
    <x v="2"/>
    <x v="1"/>
    <x v="316"/>
    <x v="5"/>
    <x v="1453"/>
    <x v="1"/>
    <d v="2024-02-10T00:00:00"/>
    <d v="2024-02-26T00:00:00"/>
    <x v="1"/>
    <x v="1467"/>
    <x v="1"/>
    <x v="92"/>
    <x v="1"/>
    <x v="1"/>
    <x v="1"/>
    <x v="1"/>
  </r>
  <r>
    <n v="94731"/>
    <x v="6"/>
    <x v="3"/>
    <x v="100"/>
    <x v="6"/>
    <x v="1454"/>
    <x v="4"/>
    <d v="2024-08-26T00:00:00"/>
    <d v="2024-09-06T00:00:00"/>
    <x v="1"/>
    <x v="1468"/>
    <x v="0"/>
    <x v="0"/>
    <x v="0"/>
    <x v="0"/>
    <x v="0"/>
    <x v="1"/>
  </r>
  <r>
    <n v="47869"/>
    <x v="1"/>
    <x v="0"/>
    <x v="247"/>
    <x v="6"/>
    <x v="1455"/>
    <x v="1"/>
    <d v="2024-01-26T00:00:00"/>
    <d v="2024-02-25T00:00:00"/>
    <x v="2"/>
    <x v="1469"/>
    <x v="0"/>
    <x v="0"/>
    <x v="0"/>
    <x v="0"/>
    <x v="0"/>
    <x v="1"/>
  </r>
  <r>
    <n v="11711"/>
    <x v="14"/>
    <x v="4"/>
    <x v="337"/>
    <x v="5"/>
    <x v="1456"/>
    <x v="1"/>
    <d v="2024-07-23T00:00:00"/>
    <d v="2024-08-23T00:00:00"/>
    <x v="2"/>
    <x v="1470"/>
    <x v="0"/>
    <x v="0"/>
    <x v="0"/>
    <x v="0"/>
    <x v="0"/>
    <x v="1"/>
  </r>
  <r>
    <n v="26220"/>
    <x v="2"/>
    <x v="1"/>
    <x v="426"/>
    <x v="6"/>
    <x v="1457"/>
    <x v="3"/>
    <d v="2024-01-27T00:00:00"/>
    <d v="2024-02-24T00:00:00"/>
    <x v="1"/>
    <x v="1471"/>
    <x v="1"/>
    <x v="100"/>
    <x v="1"/>
    <x v="1"/>
    <x v="1"/>
    <x v="1"/>
  </r>
  <r>
    <n v="85205"/>
    <x v="3"/>
    <x v="2"/>
    <x v="391"/>
    <x v="0"/>
    <x v="1458"/>
    <x v="3"/>
    <d v="2024-10-26T00:00:00"/>
    <d v="2024-11-06T00:00:00"/>
    <x v="0"/>
    <x v="1472"/>
    <x v="0"/>
    <x v="0"/>
    <x v="0"/>
    <x v="0"/>
    <x v="0"/>
    <x v="1"/>
  </r>
  <r>
    <n v="69453"/>
    <x v="10"/>
    <x v="2"/>
    <x v="15"/>
    <x v="5"/>
    <x v="1459"/>
    <x v="3"/>
    <d v="2024-12-07T00:00:00"/>
    <d v="2025-01-14T00:00:00"/>
    <x v="0"/>
    <x v="1473"/>
    <x v="0"/>
    <x v="0"/>
    <x v="0"/>
    <x v="0"/>
    <x v="0"/>
    <x v="0"/>
  </r>
  <r>
    <n v="52287"/>
    <x v="11"/>
    <x v="4"/>
    <x v="88"/>
    <x v="3"/>
    <x v="1460"/>
    <x v="4"/>
    <d v="2024-12-12T00:00:00"/>
    <d v="2024-12-30T00:00:00"/>
    <x v="0"/>
    <x v="1474"/>
    <x v="0"/>
    <x v="0"/>
    <x v="0"/>
    <x v="0"/>
    <x v="0"/>
    <x v="0"/>
  </r>
  <r>
    <n v="59625"/>
    <x v="1"/>
    <x v="0"/>
    <x v="352"/>
    <x v="6"/>
    <x v="1461"/>
    <x v="2"/>
    <d v="2024-08-04T00:00:00"/>
    <d v="2024-08-12T00:00:00"/>
    <x v="2"/>
    <x v="1475"/>
    <x v="0"/>
    <x v="0"/>
    <x v="0"/>
    <x v="0"/>
    <x v="0"/>
    <x v="1"/>
  </r>
  <r>
    <n v="58786"/>
    <x v="10"/>
    <x v="2"/>
    <x v="285"/>
    <x v="6"/>
    <x v="1462"/>
    <x v="1"/>
    <d v="2024-03-02T00:00:00"/>
    <d v="2024-03-11T00:00:00"/>
    <x v="1"/>
    <x v="1476"/>
    <x v="1"/>
    <x v="101"/>
    <x v="1"/>
    <x v="1"/>
    <x v="1"/>
    <x v="1"/>
  </r>
  <r>
    <n v="56489"/>
    <x v="2"/>
    <x v="1"/>
    <x v="10"/>
    <x v="6"/>
    <x v="1463"/>
    <x v="3"/>
    <d v="2024-08-17T00:00:00"/>
    <d v="2024-09-15T00:00:00"/>
    <x v="1"/>
    <x v="1477"/>
    <x v="0"/>
    <x v="0"/>
    <x v="0"/>
    <x v="0"/>
    <x v="0"/>
    <x v="1"/>
  </r>
  <r>
    <n v="17802"/>
    <x v="11"/>
    <x v="4"/>
    <x v="318"/>
    <x v="2"/>
    <x v="1464"/>
    <x v="1"/>
    <d v="2024-10-02T00:00:00"/>
    <d v="2024-10-16T00:00:00"/>
    <x v="0"/>
    <x v="1478"/>
    <x v="0"/>
    <x v="0"/>
    <x v="0"/>
    <x v="0"/>
    <x v="0"/>
    <x v="0"/>
  </r>
  <r>
    <n v="50324"/>
    <x v="12"/>
    <x v="0"/>
    <x v="134"/>
    <x v="2"/>
    <x v="1465"/>
    <x v="1"/>
    <d v="2024-03-11T00:00:00"/>
    <d v="2024-03-24T00:00:00"/>
    <x v="1"/>
    <x v="1479"/>
    <x v="0"/>
    <x v="0"/>
    <x v="0"/>
    <x v="0"/>
    <x v="0"/>
    <x v="1"/>
  </r>
  <r>
    <n v="73140"/>
    <x v="5"/>
    <x v="2"/>
    <x v="137"/>
    <x v="2"/>
    <x v="1466"/>
    <x v="4"/>
    <d v="2024-05-18T00:00:00"/>
    <d v="2024-06-08T00:00:00"/>
    <x v="2"/>
    <x v="1480"/>
    <x v="0"/>
    <x v="0"/>
    <x v="0"/>
    <x v="0"/>
    <x v="0"/>
    <x v="0"/>
  </r>
  <r>
    <n v="78344"/>
    <x v="10"/>
    <x v="2"/>
    <x v="272"/>
    <x v="1"/>
    <x v="1467"/>
    <x v="1"/>
    <d v="2024-07-16T00:00:00"/>
    <d v="2024-08-10T00:00:00"/>
    <x v="2"/>
    <x v="1481"/>
    <x v="0"/>
    <x v="0"/>
    <x v="0"/>
    <x v="0"/>
    <x v="0"/>
    <x v="0"/>
  </r>
  <r>
    <n v="39236"/>
    <x v="14"/>
    <x v="4"/>
    <x v="390"/>
    <x v="2"/>
    <x v="1468"/>
    <x v="4"/>
    <d v="2024-10-08T00:00:00"/>
    <d v="2024-10-31T00:00:00"/>
    <x v="0"/>
    <x v="1482"/>
    <x v="0"/>
    <x v="0"/>
    <x v="0"/>
    <x v="0"/>
    <x v="0"/>
    <x v="0"/>
  </r>
  <r>
    <n v="76084"/>
    <x v="16"/>
    <x v="3"/>
    <x v="49"/>
    <x v="1"/>
    <x v="1469"/>
    <x v="3"/>
    <d v="2024-03-21T00:00:00"/>
    <d v="2024-03-26T00:00:00"/>
    <x v="2"/>
    <x v="1483"/>
    <x v="0"/>
    <x v="0"/>
    <x v="0"/>
    <x v="0"/>
    <x v="0"/>
    <x v="0"/>
  </r>
  <r>
    <n v="21467"/>
    <x v="11"/>
    <x v="4"/>
    <x v="119"/>
    <x v="2"/>
    <x v="1470"/>
    <x v="0"/>
    <d v="2024-10-19T00:00:00"/>
    <d v="2024-11-23T00:00:00"/>
    <x v="2"/>
    <x v="1484"/>
    <x v="0"/>
    <x v="0"/>
    <x v="0"/>
    <x v="0"/>
    <x v="0"/>
    <x v="1"/>
  </r>
  <r>
    <n v="79537"/>
    <x v="7"/>
    <x v="3"/>
    <x v="339"/>
    <x v="1"/>
    <x v="1471"/>
    <x v="4"/>
    <d v="2024-02-15T00:00:00"/>
    <d v="2024-03-21T00:00:00"/>
    <x v="1"/>
    <x v="1485"/>
    <x v="1"/>
    <x v="33"/>
    <x v="1"/>
    <x v="1"/>
    <x v="1"/>
    <x v="1"/>
  </r>
  <r>
    <n v="19236"/>
    <x v="9"/>
    <x v="1"/>
    <x v="203"/>
    <x v="2"/>
    <x v="1472"/>
    <x v="1"/>
    <d v="2024-06-22T00:00:00"/>
    <d v="2024-07-05T00:00:00"/>
    <x v="2"/>
    <x v="1486"/>
    <x v="0"/>
    <x v="0"/>
    <x v="0"/>
    <x v="0"/>
    <x v="0"/>
    <x v="0"/>
  </r>
  <r>
    <n v="30096"/>
    <x v="6"/>
    <x v="3"/>
    <x v="259"/>
    <x v="1"/>
    <x v="1473"/>
    <x v="4"/>
    <d v="2024-06-16T00:00:00"/>
    <d v="2024-07-01T00:00:00"/>
    <x v="2"/>
    <x v="1487"/>
    <x v="0"/>
    <x v="0"/>
    <x v="0"/>
    <x v="0"/>
    <x v="0"/>
    <x v="0"/>
  </r>
  <r>
    <n v="88229"/>
    <x v="2"/>
    <x v="1"/>
    <x v="83"/>
    <x v="5"/>
    <x v="1474"/>
    <x v="1"/>
    <d v="2024-10-28T00:00:00"/>
    <d v="2024-11-06T00:00:00"/>
    <x v="0"/>
    <x v="1488"/>
    <x v="0"/>
    <x v="0"/>
    <x v="0"/>
    <x v="0"/>
    <x v="0"/>
    <x v="0"/>
  </r>
  <r>
    <n v="50178"/>
    <x v="5"/>
    <x v="2"/>
    <x v="218"/>
    <x v="6"/>
    <x v="1475"/>
    <x v="2"/>
    <d v="2024-01-31T00:00:00"/>
    <d v="2024-02-16T00:00:00"/>
    <x v="2"/>
    <x v="1489"/>
    <x v="0"/>
    <x v="0"/>
    <x v="0"/>
    <x v="0"/>
    <x v="0"/>
    <x v="0"/>
  </r>
  <r>
    <n v="82354"/>
    <x v="5"/>
    <x v="2"/>
    <x v="247"/>
    <x v="1"/>
    <x v="1476"/>
    <x v="4"/>
    <d v="2024-10-07T00:00:00"/>
    <d v="2024-11-15T00:00:00"/>
    <x v="2"/>
    <x v="1490"/>
    <x v="0"/>
    <x v="0"/>
    <x v="0"/>
    <x v="0"/>
    <x v="0"/>
    <x v="0"/>
  </r>
  <r>
    <n v="78099"/>
    <x v="3"/>
    <x v="2"/>
    <x v="51"/>
    <x v="1"/>
    <x v="1477"/>
    <x v="1"/>
    <d v="2024-07-10T00:00:00"/>
    <d v="2024-08-03T00:00:00"/>
    <x v="1"/>
    <x v="1491"/>
    <x v="0"/>
    <x v="0"/>
    <x v="0"/>
    <x v="0"/>
    <x v="0"/>
    <x v="1"/>
  </r>
  <r>
    <n v="26442"/>
    <x v="1"/>
    <x v="0"/>
    <x v="152"/>
    <x v="2"/>
    <x v="1478"/>
    <x v="4"/>
    <d v="2024-12-23T00:00:00"/>
    <d v="2025-01-21T00:00:00"/>
    <x v="0"/>
    <x v="1492"/>
    <x v="0"/>
    <x v="0"/>
    <x v="0"/>
    <x v="0"/>
    <x v="0"/>
    <x v="0"/>
  </r>
  <r>
    <n v="49309"/>
    <x v="6"/>
    <x v="3"/>
    <x v="220"/>
    <x v="6"/>
    <x v="1479"/>
    <x v="3"/>
    <d v="2024-01-03T00:00:00"/>
    <d v="2024-01-23T00:00:00"/>
    <x v="1"/>
    <x v="1493"/>
    <x v="0"/>
    <x v="0"/>
    <x v="0"/>
    <x v="0"/>
    <x v="0"/>
    <x v="1"/>
  </r>
  <r>
    <n v="37215"/>
    <x v="6"/>
    <x v="3"/>
    <x v="394"/>
    <x v="3"/>
    <x v="1480"/>
    <x v="1"/>
    <d v="2024-12-17T00:00:00"/>
    <d v="2024-12-26T00:00:00"/>
    <x v="2"/>
    <x v="1494"/>
    <x v="0"/>
    <x v="0"/>
    <x v="0"/>
    <x v="0"/>
    <x v="0"/>
    <x v="0"/>
  </r>
  <r>
    <n v="26772"/>
    <x v="15"/>
    <x v="4"/>
    <x v="220"/>
    <x v="6"/>
    <x v="1481"/>
    <x v="0"/>
    <d v="2024-10-23T00:00:00"/>
    <d v="2024-11-10T00:00:00"/>
    <x v="0"/>
    <x v="1495"/>
    <x v="0"/>
    <x v="0"/>
    <x v="0"/>
    <x v="0"/>
    <x v="0"/>
    <x v="1"/>
  </r>
  <r>
    <n v="35874"/>
    <x v="6"/>
    <x v="3"/>
    <x v="197"/>
    <x v="2"/>
    <x v="1482"/>
    <x v="1"/>
    <d v="2024-02-05T00:00:00"/>
    <d v="2024-02-24T00:00:00"/>
    <x v="0"/>
    <x v="1496"/>
    <x v="0"/>
    <x v="0"/>
    <x v="0"/>
    <x v="0"/>
    <x v="0"/>
    <x v="0"/>
  </r>
  <r>
    <n v="42735"/>
    <x v="0"/>
    <x v="0"/>
    <x v="408"/>
    <x v="2"/>
    <x v="1483"/>
    <x v="1"/>
    <d v="2024-07-28T00:00:00"/>
    <d v="2024-08-19T00:00:00"/>
    <x v="2"/>
    <x v="1497"/>
    <x v="0"/>
    <x v="0"/>
    <x v="0"/>
    <x v="0"/>
    <x v="0"/>
    <x v="0"/>
  </r>
  <r>
    <n v="20068"/>
    <x v="15"/>
    <x v="4"/>
    <x v="229"/>
    <x v="6"/>
    <x v="1484"/>
    <x v="0"/>
    <d v="2024-01-10T00:00:00"/>
    <d v="2024-01-19T00:00:00"/>
    <x v="1"/>
    <x v="1498"/>
    <x v="0"/>
    <x v="0"/>
    <x v="0"/>
    <x v="0"/>
    <x v="0"/>
    <x v="0"/>
  </r>
  <r>
    <n v="30773"/>
    <x v="7"/>
    <x v="3"/>
    <x v="328"/>
    <x v="5"/>
    <x v="1485"/>
    <x v="2"/>
    <d v="2024-01-18T00:00:00"/>
    <d v="2024-02-20T00:00:00"/>
    <x v="1"/>
    <x v="1499"/>
    <x v="0"/>
    <x v="0"/>
    <x v="0"/>
    <x v="0"/>
    <x v="0"/>
    <x v="0"/>
  </r>
  <r>
    <n v="61869"/>
    <x v="12"/>
    <x v="0"/>
    <x v="50"/>
    <x v="4"/>
    <x v="1486"/>
    <x v="0"/>
    <d v="2024-05-20T00:00:00"/>
    <d v="2024-06-23T00:00:00"/>
    <x v="2"/>
    <x v="1500"/>
    <x v="1"/>
    <x v="31"/>
    <x v="1"/>
    <x v="1"/>
    <x v="1"/>
    <x v="1"/>
  </r>
  <r>
    <n v="97110"/>
    <x v="0"/>
    <x v="0"/>
    <x v="49"/>
    <x v="2"/>
    <x v="1487"/>
    <x v="3"/>
    <d v="2024-12-03T00:00:00"/>
    <d v="2024-12-26T00:00:00"/>
    <x v="1"/>
    <x v="1501"/>
    <x v="0"/>
    <x v="0"/>
    <x v="0"/>
    <x v="0"/>
    <x v="0"/>
    <x v="0"/>
  </r>
  <r>
    <n v="28728"/>
    <x v="2"/>
    <x v="1"/>
    <x v="464"/>
    <x v="4"/>
    <x v="1488"/>
    <x v="2"/>
    <d v="2024-09-16T00:00:00"/>
    <d v="2024-09-25T00:00:00"/>
    <x v="1"/>
    <x v="1502"/>
    <x v="0"/>
    <x v="0"/>
    <x v="0"/>
    <x v="0"/>
    <x v="0"/>
    <x v="0"/>
  </r>
  <r>
    <n v="72651"/>
    <x v="16"/>
    <x v="3"/>
    <x v="236"/>
    <x v="0"/>
    <x v="1489"/>
    <x v="3"/>
    <d v="2024-01-13T00:00:00"/>
    <d v="2024-01-31T00:00:00"/>
    <x v="1"/>
    <x v="1503"/>
    <x v="0"/>
    <x v="0"/>
    <x v="0"/>
    <x v="0"/>
    <x v="0"/>
    <x v="0"/>
  </r>
  <r>
    <n v="32286"/>
    <x v="15"/>
    <x v="4"/>
    <x v="256"/>
    <x v="4"/>
    <x v="1490"/>
    <x v="1"/>
    <d v="2024-07-17T00:00:00"/>
    <d v="2024-08-04T00:00:00"/>
    <x v="2"/>
    <x v="1504"/>
    <x v="0"/>
    <x v="0"/>
    <x v="0"/>
    <x v="0"/>
    <x v="0"/>
    <x v="0"/>
  </r>
  <r>
    <n v="19321"/>
    <x v="15"/>
    <x v="4"/>
    <x v="420"/>
    <x v="1"/>
    <x v="1491"/>
    <x v="3"/>
    <d v="2024-02-04T00:00:00"/>
    <d v="2024-03-02T00:00:00"/>
    <x v="2"/>
    <x v="1505"/>
    <x v="0"/>
    <x v="0"/>
    <x v="0"/>
    <x v="0"/>
    <x v="0"/>
    <x v="1"/>
  </r>
  <r>
    <n v="35727"/>
    <x v="3"/>
    <x v="2"/>
    <x v="212"/>
    <x v="1"/>
    <x v="1492"/>
    <x v="4"/>
    <d v="2024-07-13T00:00:00"/>
    <d v="2024-07-25T00:00:00"/>
    <x v="1"/>
    <x v="1506"/>
    <x v="0"/>
    <x v="0"/>
    <x v="0"/>
    <x v="0"/>
    <x v="0"/>
    <x v="1"/>
  </r>
  <r>
    <n v="20796"/>
    <x v="14"/>
    <x v="4"/>
    <x v="187"/>
    <x v="4"/>
    <x v="1493"/>
    <x v="1"/>
    <d v="2024-02-05T00:00:00"/>
    <d v="2024-03-12T00:00:00"/>
    <x v="0"/>
    <x v="1507"/>
    <x v="0"/>
    <x v="0"/>
    <x v="0"/>
    <x v="0"/>
    <x v="0"/>
    <x v="0"/>
  </r>
  <r>
    <n v="69402"/>
    <x v="9"/>
    <x v="1"/>
    <x v="344"/>
    <x v="3"/>
    <x v="1494"/>
    <x v="1"/>
    <d v="2024-05-09T00:00:00"/>
    <d v="2024-05-16T00:00:00"/>
    <x v="1"/>
    <x v="1508"/>
    <x v="0"/>
    <x v="0"/>
    <x v="0"/>
    <x v="0"/>
    <x v="0"/>
    <x v="1"/>
  </r>
  <r>
    <n v="56303"/>
    <x v="5"/>
    <x v="2"/>
    <x v="174"/>
    <x v="0"/>
    <x v="1495"/>
    <x v="3"/>
    <d v="2024-12-13T00:00:00"/>
    <d v="2025-01-14T00:00:00"/>
    <x v="0"/>
    <x v="1509"/>
    <x v="0"/>
    <x v="0"/>
    <x v="0"/>
    <x v="0"/>
    <x v="0"/>
    <x v="0"/>
  </r>
  <r>
    <n v="97267"/>
    <x v="3"/>
    <x v="2"/>
    <x v="14"/>
    <x v="2"/>
    <x v="1496"/>
    <x v="1"/>
    <d v="2024-02-11T00:00:00"/>
    <d v="2024-03-20T00:00:00"/>
    <x v="2"/>
    <x v="1510"/>
    <x v="0"/>
    <x v="0"/>
    <x v="0"/>
    <x v="0"/>
    <x v="0"/>
    <x v="0"/>
  </r>
  <r>
    <n v="73967"/>
    <x v="6"/>
    <x v="3"/>
    <x v="283"/>
    <x v="4"/>
    <x v="1497"/>
    <x v="1"/>
    <d v="2024-03-15T00:00:00"/>
    <d v="2024-04-18T00:00:00"/>
    <x v="2"/>
    <x v="1511"/>
    <x v="0"/>
    <x v="0"/>
    <x v="0"/>
    <x v="0"/>
    <x v="0"/>
    <x v="0"/>
  </r>
  <r>
    <n v="15539"/>
    <x v="4"/>
    <x v="0"/>
    <x v="382"/>
    <x v="6"/>
    <x v="1498"/>
    <x v="3"/>
    <d v="2024-04-05T00:00:00"/>
    <d v="2024-05-07T00:00:00"/>
    <x v="0"/>
    <x v="1512"/>
    <x v="0"/>
    <x v="0"/>
    <x v="0"/>
    <x v="0"/>
    <x v="0"/>
    <x v="0"/>
  </r>
  <r>
    <n v="94766"/>
    <x v="0"/>
    <x v="0"/>
    <x v="318"/>
    <x v="5"/>
    <x v="1499"/>
    <x v="0"/>
    <d v="2024-07-02T00:00:00"/>
    <d v="2024-07-10T00:00:00"/>
    <x v="2"/>
    <x v="1513"/>
    <x v="0"/>
    <x v="0"/>
    <x v="0"/>
    <x v="0"/>
    <x v="0"/>
    <x v="1"/>
  </r>
  <r>
    <n v="37912"/>
    <x v="8"/>
    <x v="1"/>
    <x v="397"/>
    <x v="5"/>
    <x v="1500"/>
    <x v="2"/>
    <d v="2024-12-12T00:00:00"/>
    <d v="2024-12-24T00:00:00"/>
    <x v="0"/>
    <x v="1514"/>
    <x v="1"/>
    <x v="31"/>
    <x v="1"/>
    <x v="1"/>
    <x v="1"/>
    <x v="1"/>
  </r>
  <r>
    <n v="14090"/>
    <x v="9"/>
    <x v="1"/>
    <x v="392"/>
    <x v="6"/>
    <x v="1501"/>
    <x v="0"/>
    <d v="2024-06-13T00:00:00"/>
    <d v="2024-07-06T00:00:00"/>
    <x v="0"/>
    <x v="1515"/>
    <x v="0"/>
    <x v="0"/>
    <x v="0"/>
    <x v="0"/>
    <x v="0"/>
    <x v="1"/>
  </r>
  <r>
    <n v="84062"/>
    <x v="0"/>
    <x v="0"/>
    <x v="29"/>
    <x v="0"/>
    <x v="1502"/>
    <x v="1"/>
    <d v="2024-06-07T00:00:00"/>
    <d v="2024-06-22T00:00:00"/>
    <x v="1"/>
    <x v="1516"/>
    <x v="0"/>
    <x v="0"/>
    <x v="0"/>
    <x v="0"/>
    <x v="0"/>
    <x v="0"/>
  </r>
  <r>
    <n v="81857"/>
    <x v="5"/>
    <x v="2"/>
    <x v="149"/>
    <x v="3"/>
    <x v="1503"/>
    <x v="3"/>
    <d v="2024-05-27T00:00:00"/>
    <d v="2024-06-29T00:00:00"/>
    <x v="1"/>
    <x v="1517"/>
    <x v="0"/>
    <x v="0"/>
    <x v="0"/>
    <x v="0"/>
    <x v="0"/>
    <x v="0"/>
  </r>
  <r>
    <n v="66878"/>
    <x v="14"/>
    <x v="4"/>
    <x v="293"/>
    <x v="5"/>
    <x v="1504"/>
    <x v="1"/>
    <d v="2024-12-17T00:00:00"/>
    <d v="2024-12-31T00:00:00"/>
    <x v="1"/>
    <x v="1518"/>
    <x v="0"/>
    <x v="0"/>
    <x v="0"/>
    <x v="0"/>
    <x v="0"/>
    <x v="1"/>
  </r>
  <r>
    <n v="95827"/>
    <x v="1"/>
    <x v="0"/>
    <x v="17"/>
    <x v="4"/>
    <x v="1505"/>
    <x v="3"/>
    <d v="2024-02-22T00:00:00"/>
    <d v="2024-02-28T00:00:00"/>
    <x v="1"/>
    <x v="1519"/>
    <x v="0"/>
    <x v="0"/>
    <x v="0"/>
    <x v="0"/>
    <x v="0"/>
    <x v="1"/>
  </r>
  <r>
    <n v="66614"/>
    <x v="8"/>
    <x v="1"/>
    <x v="366"/>
    <x v="6"/>
    <x v="1506"/>
    <x v="0"/>
    <d v="2024-03-03T00:00:00"/>
    <d v="2024-03-08T00:00:00"/>
    <x v="0"/>
    <x v="1520"/>
    <x v="0"/>
    <x v="0"/>
    <x v="0"/>
    <x v="0"/>
    <x v="0"/>
    <x v="1"/>
  </r>
  <r>
    <n v="85499"/>
    <x v="11"/>
    <x v="4"/>
    <x v="182"/>
    <x v="4"/>
    <x v="1507"/>
    <x v="0"/>
    <d v="2024-10-12T00:00:00"/>
    <d v="2024-11-05T00:00:00"/>
    <x v="2"/>
    <x v="1521"/>
    <x v="0"/>
    <x v="0"/>
    <x v="0"/>
    <x v="0"/>
    <x v="0"/>
    <x v="0"/>
  </r>
  <r>
    <n v="76600"/>
    <x v="5"/>
    <x v="2"/>
    <x v="428"/>
    <x v="6"/>
    <x v="1508"/>
    <x v="3"/>
    <d v="2024-04-14T00:00:00"/>
    <d v="2024-05-22T00:00:00"/>
    <x v="0"/>
    <x v="1522"/>
    <x v="1"/>
    <x v="102"/>
    <x v="1"/>
    <x v="1"/>
    <x v="1"/>
    <x v="1"/>
  </r>
  <r>
    <n v="62433"/>
    <x v="2"/>
    <x v="1"/>
    <x v="72"/>
    <x v="2"/>
    <x v="1509"/>
    <x v="1"/>
    <d v="2024-12-17T00:00:00"/>
    <d v="2025-01-23T00:00:00"/>
    <x v="2"/>
    <x v="1523"/>
    <x v="0"/>
    <x v="0"/>
    <x v="0"/>
    <x v="0"/>
    <x v="0"/>
    <x v="0"/>
  </r>
  <r>
    <n v="61782"/>
    <x v="0"/>
    <x v="0"/>
    <x v="9"/>
    <x v="1"/>
    <x v="1510"/>
    <x v="3"/>
    <d v="2024-05-24T00:00:00"/>
    <d v="2024-06-28T00:00:00"/>
    <x v="2"/>
    <x v="1524"/>
    <x v="0"/>
    <x v="0"/>
    <x v="0"/>
    <x v="0"/>
    <x v="0"/>
    <x v="0"/>
  </r>
  <r>
    <n v="60021"/>
    <x v="13"/>
    <x v="3"/>
    <x v="0"/>
    <x v="1"/>
    <x v="1511"/>
    <x v="1"/>
    <d v="2024-06-01T00:00:00"/>
    <d v="2024-06-26T00:00:00"/>
    <x v="1"/>
    <x v="1525"/>
    <x v="0"/>
    <x v="0"/>
    <x v="0"/>
    <x v="0"/>
    <x v="0"/>
    <x v="0"/>
  </r>
  <r>
    <n v="65822"/>
    <x v="8"/>
    <x v="1"/>
    <x v="282"/>
    <x v="4"/>
    <x v="1512"/>
    <x v="2"/>
    <d v="2024-08-05T00:00:00"/>
    <d v="2024-09-12T00:00:00"/>
    <x v="2"/>
    <x v="1526"/>
    <x v="0"/>
    <x v="0"/>
    <x v="0"/>
    <x v="0"/>
    <x v="0"/>
    <x v="0"/>
  </r>
  <r>
    <n v="17925"/>
    <x v="12"/>
    <x v="0"/>
    <x v="444"/>
    <x v="6"/>
    <x v="1513"/>
    <x v="2"/>
    <d v="2024-07-25T00:00:00"/>
    <d v="2024-08-07T00:00:00"/>
    <x v="0"/>
    <x v="1527"/>
    <x v="0"/>
    <x v="0"/>
    <x v="0"/>
    <x v="0"/>
    <x v="0"/>
    <x v="1"/>
  </r>
  <r>
    <n v="17883"/>
    <x v="5"/>
    <x v="2"/>
    <x v="50"/>
    <x v="4"/>
    <x v="1514"/>
    <x v="4"/>
    <d v="2024-08-28T00:00:00"/>
    <d v="2024-09-08T00:00:00"/>
    <x v="2"/>
    <x v="1528"/>
    <x v="1"/>
    <x v="31"/>
    <x v="1"/>
    <x v="1"/>
    <x v="1"/>
    <x v="1"/>
  </r>
  <r>
    <n v="80543"/>
    <x v="3"/>
    <x v="2"/>
    <x v="402"/>
    <x v="4"/>
    <x v="1515"/>
    <x v="2"/>
    <d v="2024-03-09T00:00:00"/>
    <d v="2024-03-17T00:00:00"/>
    <x v="2"/>
    <x v="1529"/>
    <x v="0"/>
    <x v="0"/>
    <x v="0"/>
    <x v="0"/>
    <x v="0"/>
    <x v="0"/>
  </r>
  <r>
    <n v="63634"/>
    <x v="9"/>
    <x v="1"/>
    <x v="292"/>
    <x v="0"/>
    <x v="1516"/>
    <x v="2"/>
    <d v="2024-03-07T00:00:00"/>
    <d v="2024-03-22T00:00:00"/>
    <x v="2"/>
    <x v="1530"/>
    <x v="1"/>
    <x v="40"/>
    <x v="1"/>
    <x v="1"/>
    <x v="1"/>
    <x v="1"/>
  </r>
  <r>
    <n v="31143"/>
    <x v="14"/>
    <x v="4"/>
    <x v="417"/>
    <x v="0"/>
    <x v="1517"/>
    <x v="2"/>
    <d v="2024-05-19T00:00:00"/>
    <d v="2024-06-05T00:00:00"/>
    <x v="0"/>
    <x v="1531"/>
    <x v="0"/>
    <x v="0"/>
    <x v="0"/>
    <x v="0"/>
    <x v="0"/>
    <x v="0"/>
  </r>
  <r>
    <n v="60235"/>
    <x v="16"/>
    <x v="3"/>
    <x v="127"/>
    <x v="4"/>
    <x v="1518"/>
    <x v="0"/>
    <d v="2024-07-22T00:00:00"/>
    <d v="2024-08-16T00:00:00"/>
    <x v="0"/>
    <x v="1532"/>
    <x v="0"/>
    <x v="0"/>
    <x v="0"/>
    <x v="0"/>
    <x v="0"/>
    <x v="0"/>
  </r>
  <r>
    <n v="95333"/>
    <x v="5"/>
    <x v="2"/>
    <x v="337"/>
    <x v="5"/>
    <x v="1519"/>
    <x v="1"/>
    <d v="2024-03-16T00:00:00"/>
    <d v="2024-04-03T00:00:00"/>
    <x v="1"/>
    <x v="1533"/>
    <x v="0"/>
    <x v="0"/>
    <x v="0"/>
    <x v="0"/>
    <x v="0"/>
    <x v="1"/>
  </r>
  <r>
    <n v="25065"/>
    <x v="5"/>
    <x v="2"/>
    <x v="351"/>
    <x v="5"/>
    <x v="1520"/>
    <x v="1"/>
    <d v="2024-05-27T00:00:00"/>
    <d v="2024-06-21T00:00:00"/>
    <x v="2"/>
    <x v="1534"/>
    <x v="0"/>
    <x v="0"/>
    <x v="0"/>
    <x v="0"/>
    <x v="0"/>
    <x v="1"/>
  </r>
  <r>
    <n v="73908"/>
    <x v="11"/>
    <x v="4"/>
    <x v="471"/>
    <x v="4"/>
    <x v="1521"/>
    <x v="3"/>
    <d v="2024-05-07T00:00:00"/>
    <d v="2024-05-25T00:00:00"/>
    <x v="2"/>
    <x v="1535"/>
    <x v="0"/>
    <x v="0"/>
    <x v="0"/>
    <x v="0"/>
    <x v="0"/>
    <x v="1"/>
  </r>
  <r>
    <n v="44579"/>
    <x v="9"/>
    <x v="1"/>
    <x v="2"/>
    <x v="6"/>
    <x v="1522"/>
    <x v="0"/>
    <d v="2024-05-28T00:00:00"/>
    <d v="2024-06-17T00:00:00"/>
    <x v="1"/>
    <x v="1536"/>
    <x v="1"/>
    <x v="103"/>
    <x v="1"/>
    <x v="1"/>
    <x v="1"/>
    <x v="1"/>
  </r>
  <r>
    <n v="80640"/>
    <x v="15"/>
    <x v="4"/>
    <x v="27"/>
    <x v="6"/>
    <x v="1523"/>
    <x v="2"/>
    <d v="2024-08-29T00:00:00"/>
    <d v="2024-09-06T00:00:00"/>
    <x v="1"/>
    <x v="1537"/>
    <x v="0"/>
    <x v="0"/>
    <x v="0"/>
    <x v="0"/>
    <x v="0"/>
    <x v="1"/>
  </r>
  <r>
    <n v="28366"/>
    <x v="12"/>
    <x v="0"/>
    <x v="457"/>
    <x v="3"/>
    <x v="1524"/>
    <x v="3"/>
    <d v="2024-03-26T00:00:00"/>
    <d v="2024-04-13T00:00:00"/>
    <x v="0"/>
    <x v="1538"/>
    <x v="0"/>
    <x v="0"/>
    <x v="0"/>
    <x v="0"/>
    <x v="0"/>
    <x v="0"/>
  </r>
  <r>
    <n v="78617"/>
    <x v="3"/>
    <x v="2"/>
    <x v="158"/>
    <x v="6"/>
    <x v="1525"/>
    <x v="1"/>
    <d v="2024-07-01T00:00:00"/>
    <d v="2024-07-17T00:00:00"/>
    <x v="2"/>
    <x v="1539"/>
    <x v="0"/>
    <x v="0"/>
    <x v="0"/>
    <x v="0"/>
    <x v="0"/>
    <x v="1"/>
  </r>
  <r>
    <n v="84642"/>
    <x v="0"/>
    <x v="0"/>
    <x v="275"/>
    <x v="0"/>
    <x v="1526"/>
    <x v="3"/>
    <d v="2024-07-19T00:00:00"/>
    <d v="2024-08-06T00:00:00"/>
    <x v="0"/>
    <x v="1540"/>
    <x v="0"/>
    <x v="0"/>
    <x v="0"/>
    <x v="0"/>
    <x v="0"/>
    <x v="0"/>
  </r>
  <r>
    <n v="89865"/>
    <x v="15"/>
    <x v="4"/>
    <x v="472"/>
    <x v="5"/>
    <x v="1527"/>
    <x v="2"/>
    <d v="2024-02-24T00:00:00"/>
    <d v="2024-03-08T00:00:00"/>
    <x v="1"/>
    <x v="1541"/>
    <x v="0"/>
    <x v="0"/>
    <x v="0"/>
    <x v="0"/>
    <x v="0"/>
    <x v="0"/>
  </r>
  <r>
    <n v="44052"/>
    <x v="0"/>
    <x v="0"/>
    <x v="350"/>
    <x v="2"/>
    <x v="1528"/>
    <x v="1"/>
    <d v="2024-02-16T00:00:00"/>
    <d v="2024-03-02T00:00:00"/>
    <x v="1"/>
    <x v="1542"/>
    <x v="0"/>
    <x v="0"/>
    <x v="0"/>
    <x v="0"/>
    <x v="0"/>
    <x v="0"/>
  </r>
  <r>
    <n v="38702"/>
    <x v="14"/>
    <x v="4"/>
    <x v="197"/>
    <x v="5"/>
    <x v="1529"/>
    <x v="0"/>
    <d v="2024-12-03T00:00:00"/>
    <d v="2024-12-12T00:00:00"/>
    <x v="0"/>
    <x v="1543"/>
    <x v="0"/>
    <x v="0"/>
    <x v="0"/>
    <x v="0"/>
    <x v="0"/>
    <x v="1"/>
  </r>
  <r>
    <n v="76198"/>
    <x v="6"/>
    <x v="3"/>
    <x v="340"/>
    <x v="5"/>
    <x v="1530"/>
    <x v="4"/>
    <d v="2024-10-02T00:00:00"/>
    <d v="2024-10-24T00:00:00"/>
    <x v="1"/>
    <x v="1544"/>
    <x v="0"/>
    <x v="0"/>
    <x v="0"/>
    <x v="0"/>
    <x v="0"/>
    <x v="0"/>
  </r>
  <r>
    <n v="75296"/>
    <x v="8"/>
    <x v="1"/>
    <x v="335"/>
    <x v="1"/>
    <x v="1531"/>
    <x v="4"/>
    <d v="2024-08-10T00:00:00"/>
    <d v="2024-08-17T00:00:00"/>
    <x v="2"/>
    <x v="1545"/>
    <x v="0"/>
    <x v="0"/>
    <x v="0"/>
    <x v="0"/>
    <x v="0"/>
    <x v="1"/>
  </r>
  <r>
    <n v="88437"/>
    <x v="11"/>
    <x v="4"/>
    <x v="237"/>
    <x v="5"/>
    <x v="1532"/>
    <x v="4"/>
    <d v="2024-02-24T00:00:00"/>
    <d v="2024-03-07T00:00:00"/>
    <x v="1"/>
    <x v="1546"/>
    <x v="0"/>
    <x v="0"/>
    <x v="0"/>
    <x v="0"/>
    <x v="0"/>
    <x v="0"/>
  </r>
  <r>
    <n v="35444"/>
    <x v="15"/>
    <x v="4"/>
    <x v="473"/>
    <x v="2"/>
    <x v="1533"/>
    <x v="0"/>
    <d v="2024-10-27T00:00:00"/>
    <d v="2024-11-03T00:00:00"/>
    <x v="2"/>
    <x v="1547"/>
    <x v="0"/>
    <x v="0"/>
    <x v="0"/>
    <x v="0"/>
    <x v="0"/>
    <x v="0"/>
  </r>
  <r>
    <n v="10511"/>
    <x v="15"/>
    <x v="4"/>
    <x v="136"/>
    <x v="0"/>
    <x v="1534"/>
    <x v="0"/>
    <d v="2024-05-16T00:00:00"/>
    <d v="2024-06-17T00:00:00"/>
    <x v="1"/>
    <x v="1548"/>
    <x v="0"/>
    <x v="0"/>
    <x v="0"/>
    <x v="0"/>
    <x v="0"/>
    <x v="0"/>
  </r>
  <r>
    <n v="44469"/>
    <x v="16"/>
    <x v="3"/>
    <x v="232"/>
    <x v="0"/>
    <x v="1535"/>
    <x v="3"/>
    <d v="2024-07-08T00:00:00"/>
    <d v="2024-07-18T00:00:00"/>
    <x v="1"/>
    <x v="1549"/>
    <x v="1"/>
    <x v="47"/>
    <x v="1"/>
    <x v="1"/>
    <x v="1"/>
    <x v="1"/>
  </r>
  <r>
    <n v="27408"/>
    <x v="8"/>
    <x v="1"/>
    <x v="266"/>
    <x v="6"/>
    <x v="1536"/>
    <x v="3"/>
    <d v="2024-06-06T00:00:00"/>
    <d v="2024-07-01T00:00:00"/>
    <x v="1"/>
    <x v="1550"/>
    <x v="0"/>
    <x v="0"/>
    <x v="0"/>
    <x v="0"/>
    <x v="0"/>
    <x v="1"/>
  </r>
  <r>
    <n v="94814"/>
    <x v="8"/>
    <x v="1"/>
    <x v="227"/>
    <x v="0"/>
    <x v="1537"/>
    <x v="2"/>
    <d v="2024-10-01T00:00:00"/>
    <d v="2024-11-04T00:00:00"/>
    <x v="1"/>
    <x v="1551"/>
    <x v="1"/>
    <x v="52"/>
    <x v="1"/>
    <x v="1"/>
    <x v="1"/>
    <x v="1"/>
  </r>
  <r>
    <n v="16265"/>
    <x v="12"/>
    <x v="0"/>
    <x v="474"/>
    <x v="5"/>
    <x v="1538"/>
    <x v="2"/>
    <d v="2024-01-30T00:00:00"/>
    <d v="2024-02-16T00:00:00"/>
    <x v="1"/>
    <x v="1552"/>
    <x v="1"/>
    <x v="69"/>
    <x v="1"/>
    <x v="1"/>
    <x v="1"/>
    <x v="1"/>
  </r>
  <r>
    <n v="27084"/>
    <x v="10"/>
    <x v="2"/>
    <x v="186"/>
    <x v="6"/>
    <x v="1539"/>
    <x v="1"/>
    <d v="2024-01-07T00:00:00"/>
    <d v="2024-01-31T00:00:00"/>
    <x v="2"/>
    <x v="1553"/>
    <x v="0"/>
    <x v="0"/>
    <x v="0"/>
    <x v="0"/>
    <x v="0"/>
    <x v="1"/>
  </r>
  <r>
    <n v="11908"/>
    <x v="4"/>
    <x v="0"/>
    <x v="475"/>
    <x v="6"/>
    <x v="1540"/>
    <x v="0"/>
    <d v="2024-05-29T00:00:00"/>
    <d v="2024-06-23T00:00:00"/>
    <x v="2"/>
    <x v="1554"/>
    <x v="1"/>
    <x v="104"/>
    <x v="1"/>
    <x v="1"/>
    <x v="1"/>
    <x v="1"/>
  </r>
  <r>
    <n v="50449"/>
    <x v="7"/>
    <x v="3"/>
    <x v="447"/>
    <x v="2"/>
    <x v="1541"/>
    <x v="2"/>
    <d v="2024-05-14T00:00:00"/>
    <d v="2024-05-19T00:00:00"/>
    <x v="2"/>
    <x v="1555"/>
    <x v="0"/>
    <x v="0"/>
    <x v="0"/>
    <x v="0"/>
    <x v="0"/>
    <x v="0"/>
  </r>
  <r>
    <n v="35176"/>
    <x v="4"/>
    <x v="0"/>
    <x v="456"/>
    <x v="3"/>
    <x v="1542"/>
    <x v="1"/>
    <d v="2024-05-21T00:00:00"/>
    <d v="2024-06-14T00:00:00"/>
    <x v="0"/>
    <x v="1556"/>
    <x v="0"/>
    <x v="0"/>
    <x v="0"/>
    <x v="0"/>
    <x v="0"/>
    <x v="0"/>
  </r>
  <r>
    <n v="76404"/>
    <x v="12"/>
    <x v="0"/>
    <x v="251"/>
    <x v="1"/>
    <x v="1543"/>
    <x v="1"/>
    <d v="2024-01-08T00:00:00"/>
    <d v="2024-02-12T00:00:00"/>
    <x v="1"/>
    <x v="1557"/>
    <x v="0"/>
    <x v="0"/>
    <x v="0"/>
    <x v="0"/>
    <x v="0"/>
    <x v="0"/>
  </r>
  <r>
    <n v="31584"/>
    <x v="2"/>
    <x v="1"/>
    <x v="45"/>
    <x v="2"/>
    <x v="799"/>
    <x v="1"/>
    <d v="2024-02-22T00:00:00"/>
    <d v="2024-03-24T00:00:00"/>
    <x v="0"/>
    <x v="1558"/>
    <x v="0"/>
    <x v="0"/>
    <x v="0"/>
    <x v="0"/>
    <x v="0"/>
    <x v="1"/>
  </r>
  <r>
    <n v="15362"/>
    <x v="15"/>
    <x v="4"/>
    <x v="452"/>
    <x v="1"/>
    <x v="1544"/>
    <x v="0"/>
    <d v="2024-04-07T00:00:00"/>
    <d v="2024-05-15T00:00:00"/>
    <x v="1"/>
    <x v="1559"/>
    <x v="0"/>
    <x v="0"/>
    <x v="0"/>
    <x v="0"/>
    <x v="0"/>
    <x v="0"/>
  </r>
  <r>
    <n v="69267"/>
    <x v="2"/>
    <x v="1"/>
    <x v="277"/>
    <x v="5"/>
    <x v="1545"/>
    <x v="4"/>
    <d v="2024-04-21T00:00:00"/>
    <d v="2024-05-24T00:00:00"/>
    <x v="0"/>
    <x v="1560"/>
    <x v="0"/>
    <x v="0"/>
    <x v="0"/>
    <x v="0"/>
    <x v="0"/>
    <x v="1"/>
  </r>
  <r>
    <n v="30239"/>
    <x v="2"/>
    <x v="1"/>
    <x v="21"/>
    <x v="3"/>
    <x v="1277"/>
    <x v="1"/>
    <d v="2024-12-16T00:00:00"/>
    <d v="2025-01-16T00:00:00"/>
    <x v="2"/>
    <x v="1561"/>
    <x v="0"/>
    <x v="0"/>
    <x v="0"/>
    <x v="0"/>
    <x v="0"/>
    <x v="0"/>
  </r>
  <r>
    <n v="53290"/>
    <x v="4"/>
    <x v="0"/>
    <x v="450"/>
    <x v="4"/>
    <x v="1546"/>
    <x v="0"/>
    <d v="2024-06-27T00:00:00"/>
    <d v="2024-07-02T00:00:00"/>
    <x v="2"/>
    <x v="1562"/>
    <x v="1"/>
    <x v="40"/>
    <x v="1"/>
    <x v="1"/>
    <x v="1"/>
    <x v="1"/>
  </r>
  <r>
    <n v="40399"/>
    <x v="8"/>
    <x v="1"/>
    <x v="236"/>
    <x v="5"/>
    <x v="1547"/>
    <x v="0"/>
    <d v="2024-10-31T00:00:00"/>
    <d v="2024-11-08T00:00:00"/>
    <x v="1"/>
    <x v="1563"/>
    <x v="0"/>
    <x v="0"/>
    <x v="0"/>
    <x v="0"/>
    <x v="0"/>
    <x v="0"/>
  </r>
  <r>
    <n v="54345"/>
    <x v="1"/>
    <x v="0"/>
    <x v="110"/>
    <x v="6"/>
    <x v="1548"/>
    <x v="1"/>
    <d v="2024-04-12T00:00:00"/>
    <d v="2024-04-24T00:00:00"/>
    <x v="2"/>
    <x v="1564"/>
    <x v="0"/>
    <x v="0"/>
    <x v="0"/>
    <x v="0"/>
    <x v="0"/>
    <x v="1"/>
  </r>
  <r>
    <n v="48349"/>
    <x v="12"/>
    <x v="0"/>
    <x v="240"/>
    <x v="5"/>
    <x v="1468"/>
    <x v="3"/>
    <d v="2024-04-08T00:00:00"/>
    <d v="2024-05-15T00:00:00"/>
    <x v="0"/>
    <x v="1565"/>
    <x v="0"/>
    <x v="0"/>
    <x v="0"/>
    <x v="0"/>
    <x v="0"/>
    <x v="1"/>
  </r>
  <r>
    <n v="29163"/>
    <x v="2"/>
    <x v="1"/>
    <x v="62"/>
    <x v="3"/>
    <x v="1549"/>
    <x v="2"/>
    <d v="2024-10-24T00:00:00"/>
    <d v="2024-11-23T00:00:00"/>
    <x v="0"/>
    <x v="1566"/>
    <x v="0"/>
    <x v="0"/>
    <x v="0"/>
    <x v="0"/>
    <x v="0"/>
    <x v="0"/>
  </r>
  <r>
    <n v="16416"/>
    <x v="10"/>
    <x v="2"/>
    <x v="314"/>
    <x v="4"/>
    <x v="1550"/>
    <x v="1"/>
    <d v="2024-07-12T00:00:00"/>
    <d v="2024-07-18T00:00:00"/>
    <x v="2"/>
    <x v="1567"/>
    <x v="0"/>
    <x v="0"/>
    <x v="0"/>
    <x v="0"/>
    <x v="0"/>
    <x v="0"/>
  </r>
  <r>
    <n v="14861"/>
    <x v="5"/>
    <x v="2"/>
    <x v="52"/>
    <x v="2"/>
    <x v="1551"/>
    <x v="1"/>
    <d v="2024-08-15T00:00:00"/>
    <d v="2024-09-13T00:00:00"/>
    <x v="1"/>
    <x v="1568"/>
    <x v="0"/>
    <x v="0"/>
    <x v="0"/>
    <x v="0"/>
    <x v="0"/>
    <x v="1"/>
  </r>
  <r>
    <n v="45571"/>
    <x v="7"/>
    <x v="3"/>
    <x v="476"/>
    <x v="6"/>
    <x v="1552"/>
    <x v="1"/>
    <d v="2024-05-29T00:00:00"/>
    <d v="2024-06-25T00:00:00"/>
    <x v="1"/>
    <x v="1569"/>
    <x v="0"/>
    <x v="0"/>
    <x v="0"/>
    <x v="0"/>
    <x v="0"/>
    <x v="0"/>
  </r>
  <r>
    <n v="28330"/>
    <x v="0"/>
    <x v="0"/>
    <x v="196"/>
    <x v="2"/>
    <x v="1553"/>
    <x v="2"/>
    <d v="2024-01-18T00:00:00"/>
    <d v="2024-01-28T00:00:00"/>
    <x v="1"/>
    <x v="1570"/>
    <x v="0"/>
    <x v="0"/>
    <x v="0"/>
    <x v="0"/>
    <x v="0"/>
    <x v="0"/>
  </r>
  <r>
    <n v="48921"/>
    <x v="13"/>
    <x v="3"/>
    <x v="197"/>
    <x v="6"/>
    <x v="1554"/>
    <x v="1"/>
    <d v="2024-10-23T00:00:00"/>
    <d v="2024-11-16T00:00:00"/>
    <x v="2"/>
    <x v="1571"/>
    <x v="0"/>
    <x v="0"/>
    <x v="0"/>
    <x v="0"/>
    <x v="0"/>
    <x v="1"/>
  </r>
  <r>
    <n v="26746"/>
    <x v="8"/>
    <x v="1"/>
    <x v="19"/>
    <x v="1"/>
    <x v="1555"/>
    <x v="0"/>
    <d v="2024-09-19T00:00:00"/>
    <d v="2024-10-02T00:00:00"/>
    <x v="2"/>
    <x v="1572"/>
    <x v="0"/>
    <x v="0"/>
    <x v="0"/>
    <x v="0"/>
    <x v="0"/>
    <x v="0"/>
  </r>
  <r>
    <n v="31159"/>
    <x v="0"/>
    <x v="0"/>
    <x v="445"/>
    <x v="6"/>
    <x v="1556"/>
    <x v="3"/>
    <d v="2024-10-15T00:00:00"/>
    <d v="2024-10-25T00:00:00"/>
    <x v="0"/>
    <x v="1573"/>
    <x v="0"/>
    <x v="0"/>
    <x v="0"/>
    <x v="0"/>
    <x v="0"/>
    <x v="1"/>
  </r>
  <r>
    <n v="17464"/>
    <x v="12"/>
    <x v="0"/>
    <x v="388"/>
    <x v="1"/>
    <x v="1557"/>
    <x v="4"/>
    <d v="2024-11-11T00:00:00"/>
    <d v="2024-12-05T00:00:00"/>
    <x v="2"/>
    <x v="1574"/>
    <x v="0"/>
    <x v="0"/>
    <x v="0"/>
    <x v="0"/>
    <x v="0"/>
    <x v="0"/>
  </r>
  <r>
    <n v="25791"/>
    <x v="8"/>
    <x v="1"/>
    <x v="106"/>
    <x v="5"/>
    <x v="1558"/>
    <x v="2"/>
    <d v="2024-11-14T00:00:00"/>
    <d v="2024-12-22T00:00:00"/>
    <x v="2"/>
    <x v="1575"/>
    <x v="0"/>
    <x v="0"/>
    <x v="0"/>
    <x v="0"/>
    <x v="0"/>
    <x v="0"/>
  </r>
  <r>
    <n v="61408"/>
    <x v="7"/>
    <x v="3"/>
    <x v="369"/>
    <x v="5"/>
    <x v="1559"/>
    <x v="0"/>
    <d v="2024-02-03T00:00:00"/>
    <d v="2024-02-10T00:00:00"/>
    <x v="0"/>
    <x v="1576"/>
    <x v="0"/>
    <x v="0"/>
    <x v="0"/>
    <x v="0"/>
    <x v="0"/>
    <x v="1"/>
  </r>
  <r>
    <n v="95078"/>
    <x v="9"/>
    <x v="1"/>
    <x v="263"/>
    <x v="1"/>
    <x v="1560"/>
    <x v="3"/>
    <d v="2024-11-25T00:00:00"/>
    <d v="2024-12-31T00:00:00"/>
    <x v="0"/>
    <x v="1577"/>
    <x v="1"/>
    <x v="6"/>
    <x v="1"/>
    <x v="1"/>
    <x v="1"/>
    <x v="1"/>
  </r>
  <r>
    <n v="65372"/>
    <x v="1"/>
    <x v="0"/>
    <x v="349"/>
    <x v="4"/>
    <x v="1561"/>
    <x v="3"/>
    <d v="2024-01-28T00:00:00"/>
    <d v="2024-02-15T00:00:00"/>
    <x v="1"/>
    <x v="1578"/>
    <x v="0"/>
    <x v="0"/>
    <x v="0"/>
    <x v="0"/>
    <x v="0"/>
    <x v="0"/>
  </r>
  <r>
    <n v="83844"/>
    <x v="1"/>
    <x v="0"/>
    <x v="222"/>
    <x v="2"/>
    <x v="1562"/>
    <x v="4"/>
    <d v="2024-04-04T00:00:00"/>
    <d v="2024-04-25T00:00:00"/>
    <x v="1"/>
    <x v="1579"/>
    <x v="0"/>
    <x v="0"/>
    <x v="0"/>
    <x v="0"/>
    <x v="0"/>
    <x v="0"/>
  </r>
  <r>
    <n v="57419"/>
    <x v="11"/>
    <x v="4"/>
    <x v="417"/>
    <x v="0"/>
    <x v="1563"/>
    <x v="4"/>
    <d v="2024-08-07T00:00:00"/>
    <d v="2024-08-26T00:00:00"/>
    <x v="2"/>
    <x v="1580"/>
    <x v="0"/>
    <x v="0"/>
    <x v="0"/>
    <x v="0"/>
    <x v="0"/>
    <x v="0"/>
  </r>
  <r>
    <n v="49419"/>
    <x v="1"/>
    <x v="0"/>
    <x v="248"/>
    <x v="2"/>
    <x v="107"/>
    <x v="3"/>
    <d v="2024-04-11T00:00:00"/>
    <d v="2024-04-28T00:00:00"/>
    <x v="1"/>
    <x v="1581"/>
    <x v="0"/>
    <x v="0"/>
    <x v="0"/>
    <x v="0"/>
    <x v="0"/>
    <x v="0"/>
  </r>
  <r>
    <n v="17393"/>
    <x v="1"/>
    <x v="0"/>
    <x v="8"/>
    <x v="5"/>
    <x v="1438"/>
    <x v="2"/>
    <d v="2024-02-25T00:00:00"/>
    <d v="2024-03-31T00:00:00"/>
    <x v="1"/>
    <x v="1582"/>
    <x v="1"/>
    <x v="105"/>
    <x v="1"/>
    <x v="1"/>
    <x v="1"/>
    <x v="1"/>
  </r>
  <r>
    <n v="34726"/>
    <x v="11"/>
    <x v="4"/>
    <x v="93"/>
    <x v="4"/>
    <x v="1564"/>
    <x v="3"/>
    <d v="2024-11-04T00:00:00"/>
    <d v="2024-12-07T00:00:00"/>
    <x v="2"/>
    <x v="1583"/>
    <x v="0"/>
    <x v="0"/>
    <x v="0"/>
    <x v="0"/>
    <x v="0"/>
    <x v="0"/>
  </r>
  <r>
    <n v="27809"/>
    <x v="7"/>
    <x v="3"/>
    <x v="12"/>
    <x v="3"/>
    <x v="1565"/>
    <x v="4"/>
    <d v="2024-01-30T00:00:00"/>
    <d v="2024-03-07T00:00:00"/>
    <x v="0"/>
    <x v="1584"/>
    <x v="0"/>
    <x v="0"/>
    <x v="0"/>
    <x v="0"/>
    <x v="0"/>
    <x v="0"/>
  </r>
  <r>
    <n v="99119"/>
    <x v="9"/>
    <x v="1"/>
    <x v="462"/>
    <x v="4"/>
    <x v="739"/>
    <x v="1"/>
    <d v="2024-10-29T00:00:00"/>
    <d v="2024-11-24T00:00:00"/>
    <x v="2"/>
    <x v="1585"/>
    <x v="0"/>
    <x v="0"/>
    <x v="0"/>
    <x v="0"/>
    <x v="0"/>
    <x v="0"/>
  </r>
  <r>
    <n v="50129"/>
    <x v="2"/>
    <x v="1"/>
    <x v="170"/>
    <x v="0"/>
    <x v="1566"/>
    <x v="0"/>
    <d v="2024-06-19T00:00:00"/>
    <d v="2024-06-25T00:00:00"/>
    <x v="0"/>
    <x v="1586"/>
    <x v="0"/>
    <x v="0"/>
    <x v="0"/>
    <x v="0"/>
    <x v="0"/>
    <x v="0"/>
  </r>
  <r>
    <n v="26246"/>
    <x v="4"/>
    <x v="0"/>
    <x v="11"/>
    <x v="0"/>
    <x v="1567"/>
    <x v="4"/>
    <d v="2024-06-12T00:00:00"/>
    <d v="2024-07-15T00:00:00"/>
    <x v="0"/>
    <x v="1587"/>
    <x v="0"/>
    <x v="0"/>
    <x v="0"/>
    <x v="0"/>
    <x v="0"/>
    <x v="0"/>
  </r>
  <r>
    <n v="44169"/>
    <x v="15"/>
    <x v="4"/>
    <x v="477"/>
    <x v="6"/>
    <x v="1568"/>
    <x v="0"/>
    <d v="2024-07-11T00:00:00"/>
    <d v="2024-08-02T00:00:00"/>
    <x v="1"/>
    <x v="1588"/>
    <x v="0"/>
    <x v="0"/>
    <x v="0"/>
    <x v="0"/>
    <x v="0"/>
    <x v="1"/>
  </r>
  <r>
    <n v="40716"/>
    <x v="8"/>
    <x v="1"/>
    <x v="443"/>
    <x v="3"/>
    <x v="1569"/>
    <x v="0"/>
    <d v="2024-01-08T00:00:00"/>
    <d v="2024-02-15T00:00:00"/>
    <x v="2"/>
    <x v="1589"/>
    <x v="0"/>
    <x v="0"/>
    <x v="0"/>
    <x v="0"/>
    <x v="0"/>
    <x v="0"/>
  </r>
  <r>
    <n v="19496"/>
    <x v="11"/>
    <x v="4"/>
    <x v="311"/>
    <x v="4"/>
    <x v="1570"/>
    <x v="2"/>
    <d v="2024-02-24T00:00:00"/>
    <d v="2024-03-25T00:00:00"/>
    <x v="1"/>
    <x v="1590"/>
    <x v="0"/>
    <x v="0"/>
    <x v="0"/>
    <x v="0"/>
    <x v="0"/>
    <x v="0"/>
  </r>
  <r>
    <n v="64610"/>
    <x v="11"/>
    <x v="4"/>
    <x v="218"/>
    <x v="4"/>
    <x v="1571"/>
    <x v="2"/>
    <d v="2024-07-26T00:00:00"/>
    <d v="2024-08-04T00:00:00"/>
    <x v="2"/>
    <x v="1591"/>
    <x v="0"/>
    <x v="0"/>
    <x v="0"/>
    <x v="0"/>
    <x v="0"/>
    <x v="0"/>
  </r>
  <r>
    <n v="65919"/>
    <x v="14"/>
    <x v="4"/>
    <x v="295"/>
    <x v="6"/>
    <x v="1572"/>
    <x v="3"/>
    <d v="2024-02-14T00:00:00"/>
    <d v="2024-03-03T00:00:00"/>
    <x v="1"/>
    <x v="1592"/>
    <x v="1"/>
    <x v="39"/>
    <x v="1"/>
    <x v="1"/>
    <x v="1"/>
    <x v="1"/>
  </r>
  <r>
    <n v="36296"/>
    <x v="13"/>
    <x v="3"/>
    <x v="96"/>
    <x v="1"/>
    <x v="1573"/>
    <x v="3"/>
    <d v="2024-12-17T00:00:00"/>
    <d v="2025-01-11T00:00:00"/>
    <x v="1"/>
    <x v="1593"/>
    <x v="0"/>
    <x v="0"/>
    <x v="0"/>
    <x v="0"/>
    <x v="0"/>
    <x v="1"/>
  </r>
  <r>
    <n v="87865"/>
    <x v="13"/>
    <x v="3"/>
    <x v="275"/>
    <x v="5"/>
    <x v="1574"/>
    <x v="0"/>
    <d v="2024-10-25T00:00:00"/>
    <d v="2024-11-27T00:00:00"/>
    <x v="0"/>
    <x v="1594"/>
    <x v="0"/>
    <x v="0"/>
    <x v="0"/>
    <x v="0"/>
    <x v="0"/>
    <x v="0"/>
  </r>
  <r>
    <n v="59862"/>
    <x v="12"/>
    <x v="0"/>
    <x v="0"/>
    <x v="6"/>
    <x v="1575"/>
    <x v="3"/>
    <d v="2024-02-27T00:00:00"/>
    <d v="2024-04-02T00:00:00"/>
    <x v="1"/>
    <x v="1595"/>
    <x v="0"/>
    <x v="0"/>
    <x v="0"/>
    <x v="0"/>
    <x v="0"/>
    <x v="1"/>
  </r>
  <r>
    <n v="55986"/>
    <x v="12"/>
    <x v="0"/>
    <x v="126"/>
    <x v="0"/>
    <x v="1576"/>
    <x v="2"/>
    <d v="2024-02-21T00:00:00"/>
    <d v="2024-03-10T00:00:00"/>
    <x v="2"/>
    <x v="1596"/>
    <x v="0"/>
    <x v="0"/>
    <x v="0"/>
    <x v="0"/>
    <x v="0"/>
    <x v="0"/>
  </r>
  <r>
    <n v="14158"/>
    <x v="15"/>
    <x v="4"/>
    <x v="478"/>
    <x v="6"/>
    <x v="1577"/>
    <x v="4"/>
    <d v="2024-08-29T00:00:00"/>
    <d v="2024-09-16T00:00:00"/>
    <x v="1"/>
    <x v="1597"/>
    <x v="0"/>
    <x v="0"/>
    <x v="0"/>
    <x v="0"/>
    <x v="0"/>
    <x v="1"/>
  </r>
  <r>
    <n v="70558"/>
    <x v="16"/>
    <x v="3"/>
    <x v="248"/>
    <x v="5"/>
    <x v="1578"/>
    <x v="4"/>
    <d v="2024-03-09T00:00:00"/>
    <d v="2024-03-17T00:00:00"/>
    <x v="1"/>
    <x v="1598"/>
    <x v="0"/>
    <x v="0"/>
    <x v="0"/>
    <x v="0"/>
    <x v="0"/>
    <x v="0"/>
  </r>
  <r>
    <n v="15316"/>
    <x v="9"/>
    <x v="1"/>
    <x v="131"/>
    <x v="3"/>
    <x v="1579"/>
    <x v="0"/>
    <d v="2024-06-03T00:00:00"/>
    <d v="2024-06-16T00:00:00"/>
    <x v="2"/>
    <x v="1599"/>
    <x v="0"/>
    <x v="0"/>
    <x v="0"/>
    <x v="0"/>
    <x v="0"/>
    <x v="0"/>
  </r>
  <r>
    <n v="75439"/>
    <x v="5"/>
    <x v="2"/>
    <x v="448"/>
    <x v="0"/>
    <x v="1580"/>
    <x v="0"/>
    <d v="2024-07-08T00:00:00"/>
    <d v="2024-08-06T00:00:00"/>
    <x v="2"/>
    <x v="1600"/>
    <x v="0"/>
    <x v="0"/>
    <x v="0"/>
    <x v="0"/>
    <x v="0"/>
    <x v="0"/>
  </r>
  <r>
    <n v="70857"/>
    <x v="15"/>
    <x v="4"/>
    <x v="344"/>
    <x v="2"/>
    <x v="1581"/>
    <x v="4"/>
    <d v="2024-05-31T00:00:00"/>
    <d v="2024-07-05T00:00:00"/>
    <x v="2"/>
    <x v="1601"/>
    <x v="0"/>
    <x v="0"/>
    <x v="0"/>
    <x v="0"/>
    <x v="0"/>
    <x v="0"/>
  </r>
  <r>
    <n v="77561"/>
    <x v="14"/>
    <x v="4"/>
    <x v="60"/>
    <x v="4"/>
    <x v="1582"/>
    <x v="0"/>
    <d v="2024-01-18T00:00:00"/>
    <d v="2024-01-30T00:00:00"/>
    <x v="2"/>
    <x v="1602"/>
    <x v="0"/>
    <x v="0"/>
    <x v="0"/>
    <x v="0"/>
    <x v="0"/>
    <x v="0"/>
  </r>
  <r>
    <n v="54588"/>
    <x v="2"/>
    <x v="1"/>
    <x v="132"/>
    <x v="1"/>
    <x v="1583"/>
    <x v="1"/>
    <d v="2024-10-20T00:00:00"/>
    <d v="2024-11-21T00:00:00"/>
    <x v="0"/>
    <x v="1603"/>
    <x v="0"/>
    <x v="0"/>
    <x v="0"/>
    <x v="0"/>
    <x v="0"/>
    <x v="0"/>
  </r>
  <r>
    <n v="55678"/>
    <x v="2"/>
    <x v="1"/>
    <x v="307"/>
    <x v="6"/>
    <x v="1584"/>
    <x v="1"/>
    <d v="2024-08-03T00:00:00"/>
    <d v="2024-08-17T00:00:00"/>
    <x v="0"/>
    <x v="1604"/>
    <x v="0"/>
    <x v="0"/>
    <x v="0"/>
    <x v="0"/>
    <x v="0"/>
    <x v="1"/>
  </r>
  <r>
    <n v="30943"/>
    <x v="4"/>
    <x v="0"/>
    <x v="131"/>
    <x v="2"/>
    <x v="1585"/>
    <x v="1"/>
    <d v="2024-08-25T00:00:00"/>
    <d v="2024-09-13T00:00:00"/>
    <x v="0"/>
    <x v="1605"/>
    <x v="0"/>
    <x v="0"/>
    <x v="0"/>
    <x v="0"/>
    <x v="0"/>
    <x v="0"/>
  </r>
  <r>
    <n v="24708"/>
    <x v="0"/>
    <x v="0"/>
    <x v="475"/>
    <x v="1"/>
    <x v="1586"/>
    <x v="3"/>
    <d v="2024-09-22T00:00:00"/>
    <d v="2024-10-23T00:00:00"/>
    <x v="1"/>
    <x v="1606"/>
    <x v="1"/>
    <x v="70"/>
    <x v="1"/>
    <x v="1"/>
    <x v="1"/>
    <x v="1"/>
  </r>
  <r>
    <n v="16563"/>
    <x v="1"/>
    <x v="0"/>
    <x v="331"/>
    <x v="1"/>
    <x v="1587"/>
    <x v="2"/>
    <d v="2024-11-09T00:00:00"/>
    <d v="2024-12-09T00:00:00"/>
    <x v="0"/>
    <x v="1607"/>
    <x v="0"/>
    <x v="0"/>
    <x v="0"/>
    <x v="0"/>
    <x v="0"/>
    <x v="1"/>
  </r>
  <r>
    <n v="10184"/>
    <x v="3"/>
    <x v="2"/>
    <x v="220"/>
    <x v="2"/>
    <x v="1588"/>
    <x v="3"/>
    <d v="2024-08-06T00:00:00"/>
    <d v="2024-08-11T00:00:00"/>
    <x v="2"/>
    <x v="1608"/>
    <x v="0"/>
    <x v="0"/>
    <x v="0"/>
    <x v="0"/>
    <x v="0"/>
    <x v="0"/>
  </r>
  <r>
    <n v="43368"/>
    <x v="11"/>
    <x v="4"/>
    <x v="41"/>
    <x v="6"/>
    <x v="1589"/>
    <x v="4"/>
    <d v="2024-09-15T00:00:00"/>
    <d v="2024-10-23T00:00:00"/>
    <x v="2"/>
    <x v="1609"/>
    <x v="0"/>
    <x v="0"/>
    <x v="0"/>
    <x v="0"/>
    <x v="0"/>
    <x v="1"/>
  </r>
  <r>
    <n v="44810"/>
    <x v="11"/>
    <x v="4"/>
    <x v="275"/>
    <x v="2"/>
    <x v="1590"/>
    <x v="3"/>
    <d v="2024-01-21T00:00:00"/>
    <d v="2024-02-23T00:00:00"/>
    <x v="2"/>
    <x v="1610"/>
    <x v="0"/>
    <x v="0"/>
    <x v="0"/>
    <x v="0"/>
    <x v="0"/>
    <x v="0"/>
  </r>
  <r>
    <n v="97844"/>
    <x v="14"/>
    <x v="4"/>
    <x v="346"/>
    <x v="6"/>
    <x v="1591"/>
    <x v="2"/>
    <d v="2024-11-08T00:00:00"/>
    <d v="2024-11-28T00:00:00"/>
    <x v="2"/>
    <x v="1611"/>
    <x v="0"/>
    <x v="0"/>
    <x v="0"/>
    <x v="0"/>
    <x v="0"/>
    <x v="1"/>
  </r>
  <r>
    <n v="34022"/>
    <x v="0"/>
    <x v="0"/>
    <x v="464"/>
    <x v="6"/>
    <x v="1592"/>
    <x v="0"/>
    <d v="2024-01-19T00:00:00"/>
    <d v="2024-02-12T00:00:00"/>
    <x v="1"/>
    <x v="1612"/>
    <x v="0"/>
    <x v="0"/>
    <x v="0"/>
    <x v="0"/>
    <x v="0"/>
    <x v="0"/>
  </r>
  <r>
    <n v="48286"/>
    <x v="7"/>
    <x v="3"/>
    <x v="414"/>
    <x v="2"/>
    <x v="1593"/>
    <x v="1"/>
    <d v="2024-11-25T00:00:00"/>
    <d v="2024-12-22T00:00:00"/>
    <x v="0"/>
    <x v="1613"/>
    <x v="0"/>
    <x v="0"/>
    <x v="0"/>
    <x v="0"/>
    <x v="0"/>
    <x v="0"/>
  </r>
  <r>
    <n v="33707"/>
    <x v="1"/>
    <x v="0"/>
    <x v="406"/>
    <x v="6"/>
    <x v="1594"/>
    <x v="1"/>
    <d v="2024-10-16T00:00:00"/>
    <d v="2024-11-24T00:00:00"/>
    <x v="1"/>
    <x v="1614"/>
    <x v="0"/>
    <x v="0"/>
    <x v="0"/>
    <x v="0"/>
    <x v="0"/>
    <x v="0"/>
  </r>
  <r>
    <n v="42548"/>
    <x v="8"/>
    <x v="1"/>
    <x v="429"/>
    <x v="2"/>
    <x v="1595"/>
    <x v="2"/>
    <d v="2024-04-26T00:00:00"/>
    <d v="2024-05-29T00:00:00"/>
    <x v="2"/>
    <x v="1615"/>
    <x v="0"/>
    <x v="0"/>
    <x v="0"/>
    <x v="0"/>
    <x v="0"/>
    <x v="0"/>
  </r>
  <r>
    <n v="15054"/>
    <x v="14"/>
    <x v="4"/>
    <x v="427"/>
    <x v="0"/>
    <x v="1596"/>
    <x v="4"/>
    <d v="2024-06-28T00:00:00"/>
    <d v="2024-07-20T00:00:00"/>
    <x v="0"/>
    <x v="1616"/>
    <x v="0"/>
    <x v="0"/>
    <x v="0"/>
    <x v="0"/>
    <x v="0"/>
    <x v="0"/>
  </r>
  <r>
    <n v="25846"/>
    <x v="3"/>
    <x v="2"/>
    <x v="273"/>
    <x v="3"/>
    <x v="1597"/>
    <x v="2"/>
    <d v="2024-01-11T00:00:00"/>
    <d v="2024-02-18T00:00:00"/>
    <x v="1"/>
    <x v="1617"/>
    <x v="0"/>
    <x v="0"/>
    <x v="0"/>
    <x v="0"/>
    <x v="0"/>
    <x v="0"/>
  </r>
  <r>
    <n v="90337"/>
    <x v="16"/>
    <x v="3"/>
    <x v="378"/>
    <x v="3"/>
    <x v="1598"/>
    <x v="2"/>
    <d v="2024-09-16T00:00:00"/>
    <d v="2024-10-03T00:00:00"/>
    <x v="0"/>
    <x v="1618"/>
    <x v="0"/>
    <x v="0"/>
    <x v="0"/>
    <x v="0"/>
    <x v="0"/>
    <x v="0"/>
  </r>
  <r>
    <n v="82613"/>
    <x v="8"/>
    <x v="1"/>
    <x v="345"/>
    <x v="6"/>
    <x v="1599"/>
    <x v="0"/>
    <d v="2024-07-29T00:00:00"/>
    <d v="2024-08-03T00:00:00"/>
    <x v="0"/>
    <x v="1619"/>
    <x v="0"/>
    <x v="0"/>
    <x v="0"/>
    <x v="0"/>
    <x v="0"/>
    <x v="1"/>
  </r>
  <r>
    <n v="59456"/>
    <x v="8"/>
    <x v="1"/>
    <x v="120"/>
    <x v="6"/>
    <x v="1600"/>
    <x v="2"/>
    <d v="2024-10-30T00:00:00"/>
    <d v="2024-12-05T00:00:00"/>
    <x v="0"/>
    <x v="1620"/>
    <x v="1"/>
    <x v="106"/>
    <x v="1"/>
    <x v="1"/>
    <x v="1"/>
    <x v="1"/>
  </r>
  <r>
    <n v="35909"/>
    <x v="0"/>
    <x v="0"/>
    <x v="455"/>
    <x v="2"/>
    <x v="1601"/>
    <x v="1"/>
    <d v="2024-07-11T00:00:00"/>
    <d v="2024-07-31T00:00:00"/>
    <x v="0"/>
    <x v="1621"/>
    <x v="0"/>
    <x v="0"/>
    <x v="0"/>
    <x v="0"/>
    <x v="0"/>
    <x v="0"/>
  </r>
  <r>
    <n v="75382"/>
    <x v="0"/>
    <x v="0"/>
    <x v="171"/>
    <x v="5"/>
    <x v="1602"/>
    <x v="3"/>
    <d v="2024-06-19T00:00:00"/>
    <d v="2024-07-01T00:00:00"/>
    <x v="1"/>
    <x v="1622"/>
    <x v="0"/>
    <x v="0"/>
    <x v="0"/>
    <x v="0"/>
    <x v="0"/>
    <x v="1"/>
  </r>
  <r>
    <n v="19039"/>
    <x v="2"/>
    <x v="1"/>
    <x v="467"/>
    <x v="6"/>
    <x v="1603"/>
    <x v="1"/>
    <d v="2024-12-28T00:00:00"/>
    <d v="2025-01-06T00:00:00"/>
    <x v="2"/>
    <x v="1623"/>
    <x v="0"/>
    <x v="0"/>
    <x v="0"/>
    <x v="0"/>
    <x v="0"/>
    <x v="1"/>
  </r>
  <r>
    <n v="98789"/>
    <x v="15"/>
    <x v="4"/>
    <x v="350"/>
    <x v="6"/>
    <x v="1183"/>
    <x v="2"/>
    <d v="2024-01-05T00:00:00"/>
    <d v="2024-02-04T00:00:00"/>
    <x v="1"/>
    <x v="1624"/>
    <x v="0"/>
    <x v="0"/>
    <x v="0"/>
    <x v="0"/>
    <x v="0"/>
    <x v="1"/>
  </r>
  <r>
    <n v="62331"/>
    <x v="16"/>
    <x v="3"/>
    <x v="278"/>
    <x v="4"/>
    <x v="1604"/>
    <x v="3"/>
    <d v="2024-04-17T00:00:00"/>
    <d v="2024-05-15T00:00:00"/>
    <x v="2"/>
    <x v="1625"/>
    <x v="0"/>
    <x v="0"/>
    <x v="0"/>
    <x v="0"/>
    <x v="0"/>
    <x v="0"/>
  </r>
  <r>
    <n v="18262"/>
    <x v="0"/>
    <x v="0"/>
    <x v="248"/>
    <x v="2"/>
    <x v="1605"/>
    <x v="0"/>
    <d v="2024-01-14T00:00:00"/>
    <d v="2024-02-06T00:00:00"/>
    <x v="1"/>
    <x v="1626"/>
    <x v="0"/>
    <x v="0"/>
    <x v="0"/>
    <x v="0"/>
    <x v="0"/>
    <x v="0"/>
  </r>
  <r>
    <n v="59104"/>
    <x v="9"/>
    <x v="1"/>
    <x v="341"/>
    <x v="3"/>
    <x v="1606"/>
    <x v="2"/>
    <d v="2024-07-14T00:00:00"/>
    <d v="2024-08-04T00:00:00"/>
    <x v="2"/>
    <x v="1627"/>
    <x v="1"/>
    <x v="53"/>
    <x v="1"/>
    <x v="1"/>
    <x v="1"/>
    <x v="1"/>
  </r>
  <r>
    <n v="22279"/>
    <x v="7"/>
    <x v="3"/>
    <x v="161"/>
    <x v="6"/>
    <x v="1607"/>
    <x v="2"/>
    <d v="2024-12-12T00:00:00"/>
    <d v="2025-01-14T00:00:00"/>
    <x v="1"/>
    <x v="1628"/>
    <x v="0"/>
    <x v="0"/>
    <x v="0"/>
    <x v="0"/>
    <x v="0"/>
    <x v="1"/>
  </r>
  <r>
    <n v="83398"/>
    <x v="4"/>
    <x v="0"/>
    <x v="131"/>
    <x v="6"/>
    <x v="199"/>
    <x v="1"/>
    <d v="2024-09-11T00:00:00"/>
    <d v="2024-09-23T00:00:00"/>
    <x v="0"/>
    <x v="1629"/>
    <x v="0"/>
    <x v="0"/>
    <x v="0"/>
    <x v="0"/>
    <x v="0"/>
    <x v="1"/>
  </r>
  <r>
    <n v="56627"/>
    <x v="8"/>
    <x v="1"/>
    <x v="331"/>
    <x v="4"/>
    <x v="1608"/>
    <x v="4"/>
    <d v="2024-11-12T00:00:00"/>
    <d v="2024-12-13T00:00:00"/>
    <x v="0"/>
    <x v="1630"/>
    <x v="0"/>
    <x v="0"/>
    <x v="0"/>
    <x v="0"/>
    <x v="0"/>
    <x v="0"/>
  </r>
  <r>
    <n v="73545"/>
    <x v="6"/>
    <x v="3"/>
    <x v="371"/>
    <x v="6"/>
    <x v="1609"/>
    <x v="1"/>
    <d v="2024-01-22T00:00:00"/>
    <d v="2024-02-18T00:00:00"/>
    <x v="2"/>
    <x v="1631"/>
    <x v="1"/>
    <x v="33"/>
    <x v="1"/>
    <x v="1"/>
    <x v="1"/>
    <x v="1"/>
  </r>
  <r>
    <n v="30998"/>
    <x v="11"/>
    <x v="4"/>
    <x v="190"/>
    <x v="3"/>
    <x v="1610"/>
    <x v="4"/>
    <d v="2024-06-02T00:00:00"/>
    <d v="2024-06-13T00:00:00"/>
    <x v="0"/>
    <x v="1632"/>
    <x v="0"/>
    <x v="0"/>
    <x v="0"/>
    <x v="0"/>
    <x v="0"/>
    <x v="0"/>
  </r>
  <r>
    <n v="48734"/>
    <x v="14"/>
    <x v="4"/>
    <x v="128"/>
    <x v="3"/>
    <x v="1611"/>
    <x v="3"/>
    <d v="2024-04-11T00:00:00"/>
    <d v="2024-04-30T00:00:00"/>
    <x v="1"/>
    <x v="1633"/>
    <x v="0"/>
    <x v="0"/>
    <x v="0"/>
    <x v="0"/>
    <x v="0"/>
    <x v="0"/>
  </r>
  <r>
    <n v="28910"/>
    <x v="3"/>
    <x v="2"/>
    <x v="109"/>
    <x v="5"/>
    <x v="1612"/>
    <x v="4"/>
    <d v="2024-11-14T00:00:00"/>
    <d v="2024-11-26T00:00:00"/>
    <x v="2"/>
    <x v="1634"/>
    <x v="0"/>
    <x v="0"/>
    <x v="0"/>
    <x v="0"/>
    <x v="0"/>
    <x v="0"/>
  </r>
  <r>
    <n v="30426"/>
    <x v="12"/>
    <x v="0"/>
    <x v="298"/>
    <x v="1"/>
    <x v="1613"/>
    <x v="3"/>
    <d v="2024-09-26T00:00:00"/>
    <d v="2024-10-28T00:00:00"/>
    <x v="0"/>
    <x v="1635"/>
    <x v="0"/>
    <x v="0"/>
    <x v="0"/>
    <x v="0"/>
    <x v="0"/>
    <x v="1"/>
  </r>
  <r>
    <n v="37799"/>
    <x v="8"/>
    <x v="1"/>
    <x v="198"/>
    <x v="5"/>
    <x v="1614"/>
    <x v="0"/>
    <d v="2024-06-09T00:00:00"/>
    <d v="2024-07-15T00:00:00"/>
    <x v="1"/>
    <x v="1636"/>
    <x v="0"/>
    <x v="0"/>
    <x v="0"/>
    <x v="0"/>
    <x v="0"/>
    <x v="0"/>
  </r>
  <r>
    <n v="46784"/>
    <x v="13"/>
    <x v="3"/>
    <x v="75"/>
    <x v="5"/>
    <x v="1615"/>
    <x v="4"/>
    <d v="2024-05-23T00:00:00"/>
    <d v="2024-05-30T00:00:00"/>
    <x v="2"/>
    <x v="1637"/>
    <x v="0"/>
    <x v="0"/>
    <x v="0"/>
    <x v="0"/>
    <x v="0"/>
    <x v="0"/>
  </r>
  <r>
    <n v="35727"/>
    <x v="0"/>
    <x v="0"/>
    <x v="171"/>
    <x v="4"/>
    <x v="1616"/>
    <x v="3"/>
    <d v="2024-12-18T00:00:00"/>
    <d v="2025-01-06T00:00:00"/>
    <x v="2"/>
    <x v="1638"/>
    <x v="0"/>
    <x v="0"/>
    <x v="0"/>
    <x v="0"/>
    <x v="0"/>
    <x v="0"/>
  </r>
  <r>
    <n v="66790"/>
    <x v="2"/>
    <x v="1"/>
    <x v="479"/>
    <x v="4"/>
    <x v="349"/>
    <x v="3"/>
    <d v="2024-05-14T00:00:00"/>
    <d v="2024-05-27T00:00:00"/>
    <x v="0"/>
    <x v="1639"/>
    <x v="0"/>
    <x v="0"/>
    <x v="0"/>
    <x v="0"/>
    <x v="0"/>
    <x v="0"/>
  </r>
  <r>
    <n v="31966"/>
    <x v="1"/>
    <x v="0"/>
    <x v="106"/>
    <x v="5"/>
    <x v="1617"/>
    <x v="0"/>
    <d v="2024-12-06T00:00:00"/>
    <d v="2025-01-03T00:00:00"/>
    <x v="0"/>
    <x v="1640"/>
    <x v="0"/>
    <x v="0"/>
    <x v="0"/>
    <x v="0"/>
    <x v="0"/>
    <x v="0"/>
  </r>
  <r>
    <n v="33814"/>
    <x v="8"/>
    <x v="1"/>
    <x v="448"/>
    <x v="4"/>
    <x v="1618"/>
    <x v="1"/>
    <d v="2024-01-04T00:00:00"/>
    <d v="2024-02-05T00:00:00"/>
    <x v="1"/>
    <x v="1641"/>
    <x v="0"/>
    <x v="0"/>
    <x v="0"/>
    <x v="0"/>
    <x v="0"/>
    <x v="1"/>
  </r>
  <r>
    <n v="72898"/>
    <x v="5"/>
    <x v="2"/>
    <x v="326"/>
    <x v="1"/>
    <x v="1619"/>
    <x v="0"/>
    <d v="2024-08-21T00:00:00"/>
    <d v="2024-09-13T00:00:00"/>
    <x v="2"/>
    <x v="1642"/>
    <x v="0"/>
    <x v="0"/>
    <x v="0"/>
    <x v="0"/>
    <x v="0"/>
    <x v="1"/>
  </r>
  <r>
    <n v="59892"/>
    <x v="7"/>
    <x v="3"/>
    <x v="319"/>
    <x v="5"/>
    <x v="1620"/>
    <x v="1"/>
    <d v="2024-05-28T00:00:00"/>
    <d v="2024-06-12T00:00:00"/>
    <x v="2"/>
    <x v="1643"/>
    <x v="0"/>
    <x v="0"/>
    <x v="0"/>
    <x v="0"/>
    <x v="0"/>
    <x v="1"/>
  </r>
  <r>
    <n v="47117"/>
    <x v="12"/>
    <x v="0"/>
    <x v="273"/>
    <x v="1"/>
    <x v="1621"/>
    <x v="4"/>
    <d v="2024-09-24T00:00:00"/>
    <d v="2024-10-21T00:00:00"/>
    <x v="2"/>
    <x v="1644"/>
    <x v="0"/>
    <x v="0"/>
    <x v="0"/>
    <x v="0"/>
    <x v="0"/>
    <x v="0"/>
  </r>
  <r>
    <n v="97943"/>
    <x v="16"/>
    <x v="3"/>
    <x v="125"/>
    <x v="4"/>
    <x v="1310"/>
    <x v="1"/>
    <d v="2024-02-18T00:00:00"/>
    <d v="2024-03-07T00:00:00"/>
    <x v="1"/>
    <x v="1645"/>
    <x v="0"/>
    <x v="0"/>
    <x v="0"/>
    <x v="0"/>
    <x v="0"/>
    <x v="0"/>
  </r>
  <r>
    <n v="52348"/>
    <x v="8"/>
    <x v="1"/>
    <x v="16"/>
    <x v="6"/>
    <x v="1622"/>
    <x v="1"/>
    <d v="2024-11-20T00:00:00"/>
    <d v="2024-12-20T00:00:00"/>
    <x v="2"/>
    <x v="1646"/>
    <x v="0"/>
    <x v="0"/>
    <x v="0"/>
    <x v="0"/>
    <x v="0"/>
    <x v="1"/>
  </r>
  <r>
    <n v="91256"/>
    <x v="11"/>
    <x v="4"/>
    <x v="480"/>
    <x v="0"/>
    <x v="1623"/>
    <x v="0"/>
    <d v="2024-05-05T00:00:00"/>
    <d v="2024-05-29T00:00:00"/>
    <x v="0"/>
    <x v="1647"/>
    <x v="0"/>
    <x v="0"/>
    <x v="0"/>
    <x v="0"/>
    <x v="0"/>
    <x v="0"/>
  </r>
  <r>
    <n v="95666"/>
    <x v="1"/>
    <x v="0"/>
    <x v="99"/>
    <x v="5"/>
    <x v="1624"/>
    <x v="4"/>
    <d v="2024-04-02T00:00:00"/>
    <d v="2024-04-22T00:00:00"/>
    <x v="2"/>
    <x v="1648"/>
    <x v="0"/>
    <x v="0"/>
    <x v="0"/>
    <x v="0"/>
    <x v="0"/>
    <x v="1"/>
  </r>
  <r>
    <n v="45162"/>
    <x v="5"/>
    <x v="2"/>
    <x v="283"/>
    <x v="3"/>
    <x v="1625"/>
    <x v="4"/>
    <d v="2024-12-17T00:00:00"/>
    <d v="2025-01-21T00:00:00"/>
    <x v="0"/>
    <x v="1649"/>
    <x v="0"/>
    <x v="0"/>
    <x v="0"/>
    <x v="0"/>
    <x v="0"/>
    <x v="0"/>
  </r>
  <r>
    <n v="41147"/>
    <x v="3"/>
    <x v="2"/>
    <x v="481"/>
    <x v="4"/>
    <x v="1626"/>
    <x v="2"/>
    <d v="2024-07-31T00:00:00"/>
    <d v="2024-08-28T00:00:00"/>
    <x v="0"/>
    <x v="1650"/>
    <x v="1"/>
    <x v="12"/>
    <x v="1"/>
    <x v="1"/>
    <x v="1"/>
    <x v="1"/>
  </r>
  <r>
    <n v="30099"/>
    <x v="13"/>
    <x v="3"/>
    <x v="374"/>
    <x v="2"/>
    <x v="1627"/>
    <x v="0"/>
    <d v="2024-04-04T00:00:00"/>
    <d v="2024-05-03T00:00:00"/>
    <x v="1"/>
    <x v="1651"/>
    <x v="0"/>
    <x v="0"/>
    <x v="0"/>
    <x v="0"/>
    <x v="0"/>
    <x v="1"/>
  </r>
  <r>
    <n v="78040"/>
    <x v="2"/>
    <x v="1"/>
    <x v="366"/>
    <x v="2"/>
    <x v="1628"/>
    <x v="2"/>
    <d v="2024-06-05T00:00:00"/>
    <d v="2024-06-30T00:00:00"/>
    <x v="0"/>
    <x v="1652"/>
    <x v="0"/>
    <x v="0"/>
    <x v="0"/>
    <x v="0"/>
    <x v="0"/>
    <x v="0"/>
  </r>
  <r>
    <n v="70360"/>
    <x v="12"/>
    <x v="0"/>
    <x v="162"/>
    <x v="5"/>
    <x v="1629"/>
    <x v="2"/>
    <d v="2024-09-15T00:00:00"/>
    <d v="2024-09-24T00:00:00"/>
    <x v="1"/>
    <x v="1653"/>
    <x v="0"/>
    <x v="0"/>
    <x v="0"/>
    <x v="0"/>
    <x v="0"/>
    <x v="1"/>
  </r>
  <r>
    <n v="34935"/>
    <x v="6"/>
    <x v="3"/>
    <x v="268"/>
    <x v="6"/>
    <x v="1630"/>
    <x v="1"/>
    <d v="2024-01-13T00:00:00"/>
    <d v="2024-01-24T00:00:00"/>
    <x v="2"/>
    <x v="1654"/>
    <x v="1"/>
    <x v="61"/>
    <x v="1"/>
    <x v="1"/>
    <x v="1"/>
    <x v="1"/>
  </r>
  <r>
    <n v="48233"/>
    <x v="2"/>
    <x v="1"/>
    <x v="166"/>
    <x v="6"/>
    <x v="1394"/>
    <x v="0"/>
    <d v="2024-07-11T00:00:00"/>
    <d v="2024-07-30T00:00:00"/>
    <x v="0"/>
    <x v="1655"/>
    <x v="0"/>
    <x v="0"/>
    <x v="0"/>
    <x v="0"/>
    <x v="0"/>
    <x v="1"/>
  </r>
  <r>
    <n v="29861"/>
    <x v="9"/>
    <x v="1"/>
    <x v="272"/>
    <x v="3"/>
    <x v="1631"/>
    <x v="1"/>
    <d v="2024-04-04T00:00:00"/>
    <d v="2024-04-21T00:00:00"/>
    <x v="2"/>
    <x v="1656"/>
    <x v="0"/>
    <x v="0"/>
    <x v="0"/>
    <x v="0"/>
    <x v="0"/>
    <x v="0"/>
  </r>
  <r>
    <n v="69789"/>
    <x v="8"/>
    <x v="1"/>
    <x v="240"/>
    <x v="2"/>
    <x v="1632"/>
    <x v="1"/>
    <d v="2024-04-16T00:00:00"/>
    <d v="2024-04-22T00:00:00"/>
    <x v="1"/>
    <x v="1657"/>
    <x v="0"/>
    <x v="0"/>
    <x v="0"/>
    <x v="0"/>
    <x v="0"/>
    <x v="0"/>
  </r>
  <r>
    <n v="88303"/>
    <x v="16"/>
    <x v="3"/>
    <x v="264"/>
    <x v="0"/>
    <x v="1633"/>
    <x v="0"/>
    <d v="2024-01-14T00:00:00"/>
    <d v="2024-01-20T00:00:00"/>
    <x v="2"/>
    <x v="1658"/>
    <x v="0"/>
    <x v="0"/>
    <x v="0"/>
    <x v="0"/>
    <x v="0"/>
    <x v="0"/>
  </r>
  <r>
    <n v="60155"/>
    <x v="5"/>
    <x v="2"/>
    <x v="331"/>
    <x v="2"/>
    <x v="1634"/>
    <x v="2"/>
    <d v="2024-01-15T00:00:00"/>
    <d v="2024-02-15T00:00:00"/>
    <x v="1"/>
    <x v="1659"/>
    <x v="0"/>
    <x v="0"/>
    <x v="0"/>
    <x v="0"/>
    <x v="0"/>
    <x v="0"/>
  </r>
  <r>
    <n v="79535"/>
    <x v="15"/>
    <x v="4"/>
    <x v="413"/>
    <x v="1"/>
    <x v="1635"/>
    <x v="0"/>
    <d v="2024-07-24T00:00:00"/>
    <d v="2024-07-31T00:00:00"/>
    <x v="0"/>
    <x v="1660"/>
    <x v="0"/>
    <x v="0"/>
    <x v="0"/>
    <x v="0"/>
    <x v="0"/>
    <x v="0"/>
  </r>
  <r>
    <n v="96850"/>
    <x v="10"/>
    <x v="2"/>
    <x v="442"/>
    <x v="1"/>
    <x v="1636"/>
    <x v="1"/>
    <d v="2024-10-22T00:00:00"/>
    <d v="2024-11-13T00:00:00"/>
    <x v="0"/>
    <x v="1661"/>
    <x v="1"/>
    <x v="43"/>
    <x v="1"/>
    <x v="1"/>
    <x v="1"/>
    <x v="1"/>
  </r>
  <r>
    <n v="63205"/>
    <x v="10"/>
    <x v="2"/>
    <x v="482"/>
    <x v="3"/>
    <x v="1637"/>
    <x v="4"/>
    <d v="2024-10-04T00:00:00"/>
    <d v="2024-11-03T00:00:00"/>
    <x v="1"/>
    <x v="1662"/>
    <x v="0"/>
    <x v="0"/>
    <x v="0"/>
    <x v="0"/>
    <x v="0"/>
    <x v="0"/>
  </r>
  <r>
    <n v="42977"/>
    <x v="15"/>
    <x v="4"/>
    <x v="153"/>
    <x v="0"/>
    <x v="1638"/>
    <x v="3"/>
    <d v="2024-06-19T00:00:00"/>
    <d v="2024-07-05T00:00:00"/>
    <x v="2"/>
    <x v="1663"/>
    <x v="0"/>
    <x v="0"/>
    <x v="0"/>
    <x v="0"/>
    <x v="0"/>
    <x v="1"/>
  </r>
  <r>
    <n v="14758"/>
    <x v="14"/>
    <x v="4"/>
    <x v="483"/>
    <x v="5"/>
    <x v="1639"/>
    <x v="2"/>
    <d v="2024-09-21T00:00:00"/>
    <d v="2024-10-30T00:00:00"/>
    <x v="2"/>
    <x v="1664"/>
    <x v="0"/>
    <x v="0"/>
    <x v="0"/>
    <x v="0"/>
    <x v="0"/>
    <x v="0"/>
  </r>
  <r>
    <n v="98321"/>
    <x v="14"/>
    <x v="4"/>
    <x v="182"/>
    <x v="5"/>
    <x v="1640"/>
    <x v="0"/>
    <d v="2024-09-29T00:00:00"/>
    <d v="2024-10-27T00:00:00"/>
    <x v="0"/>
    <x v="1665"/>
    <x v="0"/>
    <x v="0"/>
    <x v="0"/>
    <x v="0"/>
    <x v="0"/>
    <x v="0"/>
  </r>
  <r>
    <n v="28405"/>
    <x v="12"/>
    <x v="0"/>
    <x v="101"/>
    <x v="1"/>
    <x v="1641"/>
    <x v="0"/>
    <d v="2024-02-22T00:00:00"/>
    <d v="2024-03-06T00:00:00"/>
    <x v="0"/>
    <x v="1666"/>
    <x v="0"/>
    <x v="0"/>
    <x v="0"/>
    <x v="0"/>
    <x v="0"/>
    <x v="1"/>
  </r>
  <r>
    <n v="92633"/>
    <x v="15"/>
    <x v="4"/>
    <x v="45"/>
    <x v="3"/>
    <x v="1642"/>
    <x v="3"/>
    <d v="2024-07-15T00:00:00"/>
    <d v="2024-08-13T00:00:00"/>
    <x v="2"/>
    <x v="1667"/>
    <x v="0"/>
    <x v="0"/>
    <x v="0"/>
    <x v="0"/>
    <x v="0"/>
    <x v="1"/>
  </r>
  <r>
    <n v="33118"/>
    <x v="13"/>
    <x v="3"/>
    <x v="192"/>
    <x v="3"/>
    <x v="1643"/>
    <x v="2"/>
    <d v="2024-05-15T00:00:00"/>
    <d v="2024-05-21T00:00:00"/>
    <x v="2"/>
    <x v="1668"/>
    <x v="0"/>
    <x v="0"/>
    <x v="0"/>
    <x v="0"/>
    <x v="0"/>
    <x v="0"/>
  </r>
  <r>
    <n v="71102"/>
    <x v="4"/>
    <x v="0"/>
    <x v="167"/>
    <x v="0"/>
    <x v="1644"/>
    <x v="2"/>
    <d v="2024-09-13T00:00:00"/>
    <d v="2024-10-19T00:00:00"/>
    <x v="1"/>
    <x v="1669"/>
    <x v="0"/>
    <x v="0"/>
    <x v="0"/>
    <x v="0"/>
    <x v="0"/>
    <x v="0"/>
  </r>
  <r>
    <n v="54941"/>
    <x v="2"/>
    <x v="1"/>
    <x v="477"/>
    <x v="3"/>
    <x v="1645"/>
    <x v="0"/>
    <d v="2024-08-06T00:00:00"/>
    <d v="2024-08-20T00:00:00"/>
    <x v="2"/>
    <x v="1670"/>
    <x v="0"/>
    <x v="0"/>
    <x v="0"/>
    <x v="0"/>
    <x v="0"/>
    <x v="0"/>
  </r>
  <r>
    <n v="98529"/>
    <x v="5"/>
    <x v="2"/>
    <x v="329"/>
    <x v="5"/>
    <x v="1646"/>
    <x v="0"/>
    <d v="2024-04-12T00:00:00"/>
    <d v="2024-05-10T00:00:00"/>
    <x v="2"/>
    <x v="1671"/>
    <x v="1"/>
    <x v="107"/>
    <x v="1"/>
    <x v="1"/>
    <x v="1"/>
    <x v="1"/>
  </r>
  <r>
    <n v="49491"/>
    <x v="10"/>
    <x v="2"/>
    <x v="68"/>
    <x v="1"/>
    <x v="1647"/>
    <x v="3"/>
    <d v="2024-07-08T00:00:00"/>
    <d v="2024-08-15T00:00:00"/>
    <x v="2"/>
    <x v="1672"/>
    <x v="0"/>
    <x v="0"/>
    <x v="0"/>
    <x v="0"/>
    <x v="0"/>
    <x v="1"/>
  </r>
  <r>
    <n v="74320"/>
    <x v="14"/>
    <x v="4"/>
    <x v="133"/>
    <x v="5"/>
    <x v="1648"/>
    <x v="1"/>
    <d v="2024-11-13T00:00:00"/>
    <d v="2024-12-15T00:00:00"/>
    <x v="1"/>
    <x v="1673"/>
    <x v="0"/>
    <x v="0"/>
    <x v="0"/>
    <x v="0"/>
    <x v="0"/>
    <x v="1"/>
  </r>
  <r>
    <n v="48292"/>
    <x v="8"/>
    <x v="1"/>
    <x v="272"/>
    <x v="3"/>
    <x v="1649"/>
    <x v="3"/>
    <d v="2024-02-27T00:00:00"/>
    <d v="2024-03-23T00:00:00"/>
    <x v="1"/>
    <x v="1674"/>
    <x v="0"/>
    <x v="0"/>
    <x v="0"/>
    <x v="0"/>
    <x v="0"/>
    <x v="0"/>
  </r>
  <r>
    <n v="71040"/>
    <x v="16"/>
    <x v="3"/>
    <x v="318"/>
    <x v="2"/>
    <x v="1650"/>
    <x v="4"/>
    <d v="2024-11-24T00:00:00"/>
    <d v="2024-12-30T00:00:00"/>
    <x v="1"/>
    <x v="1675"/>
    <x v="0"/>
    <x v="0"/>
    <x v="0"/>
    <x v="0"/>
    <x v="0"/>
    <x v="0"/>
  </r>
  <r>
    <n v="24677"/>
    <x v="10"/>
    <x v="2"/>
    <x v="245"/>
    <x v="6"/>
    <x v="1651"/>
    <x v="1"/>
    <d v="2024-02-16T00:00:00"/>
    <d v="2024-03-09T00:00:00"/>
    <x v="2"/>
    <x v="1676"/>
    <x v="0"/>
    <x v="0"/>
    <x v="0"/>
    <x v="0"/>
    <x v="0"/>
    <x v="1"/>
  </r>
  <r>
    <n v="22559"/>
    <x v="14"/>
    <x v="4"/>
    <x v="437"/>
    <x v="0"/>
    <x v="1652"/>
    <x v="4"/>
    <d v="2024-10-28T00:00:00"/>
    <d v="2024-11-14T00:00:00"/>
    <x v="0"/>
    <x v="1677"/>
    <x v="0"/>
    <x v="0"/>
    <x v="0"/>
    <x v="0"/>
    <x v="0"/>
    <x v="0"/>
  </r>
  <r>
    <n v="10058"/>
    <x v="11"/>
    <x v="4"/>
    <x v="15"/>
    <x v="6"/>
    <x v="1653"/>
    <x v="4"/>
    <d v="2024-02-17T00:00:00"/>
    <d v="2024-03-18T00:00:00"/>
    <x v="1"/>
    <x v="1678"/>
    <x v="0"/>
    <x v="0"/>
    <x v="0"/>
    <x v="0"/>
    <x v="0"/>
    <x v="1"/>
  </r>
  <r>
    <n v="12674"/>
    <x v="15"/>
    <x v="4"/>
    <x v="469"/>
    <x v="6"/>
    <x v="1654"/>
    <x v="4"/>
    <d v="2024-03-25T00:00:00"/>
    <d v="2024-04-20T00:00:00"/>
    <x v="2"/>
    <x v="1679"/>
    <x v="1"/>
    <x v="108"/>
    <x v="1"/>
    <x v="1"/>
    <x v="1"/>
    <x v="1"/>
  </r>
  <r>
    <n v="62342"/>
    <x v="16"/>
    <x v="3"/>
    <x v="81"/>
    <x v="0"/>
    <x v="1655"/>
    <x v="2"/>
    <d v="2024-12-08T00:00:00"/>
    <d v="2025-01-14T00:00:00"/>
    <x v="0"/>
    <x v="1680"/>
    <x v="0"/>
    <x v="0"/>
    <x v="0"/>
    <x v="0"/>
    <x v="0"/>
    <x v="1"/>
  </r>
  <r>
    <n v="30171"/>
    <x v="6"/>
    <x v="3"/>
    <x v="39"/>
    <x v="3"/>
    <x v="1656"/>
    <x v="2"/>
    <d v="2024-01-22T00:00:00"/>
    <d v="2024-02-08T00:00:00"/>
    <x v="2"/>
    <x v="1681"/>
    <x v="0"/>
    <x v="0"/>
    <x v="0"/>
    <x v="0"/>
    <x v="0"/>
    <x v="0"/>
  </r>
  <r>
    <n v="31236"/>
    <x v="6"/>
    <x v="3"/>
    <x v="334"/>
    <x v="1"/>
    <x v="1657"/>
    <x v="3"/>
    <d v="2024-05-15T00:00:00"/>
    <d v="2024-06-21T00:00:00"/>
    <x v="1"/>
    <x v="1682"/>
    <x v="0"/>
    <x v="0"/>
    <x v="0"/>
    <x v="0"/>
    <x v="0"/>
    <x v="0"/>
  </r>
  <r>
    <n v="19145"/>
    <x v="16"/>
    <x v="3"/>
    <x v="30"/>
    <x v="6"/>
    <x v="1658"/>
    <x v="0"/>
    <d v="2024-04-25T00:00:00"/>
    <d v="2024-05-30T00:00:00"/>
    <x v="1"/>
    <x v="1683"/>
    <x v="0"/>
    <x v="0"/>
    <x v="0"/>
    <x v="0"/>
    <x v="0"/>
    <x v="1"/>
  </r>
  <r>
    <n v="61712"/>
    <x v="10"/>
    <x v="2"/>
    <x v="377"/>
    <x v="1"/>
    <x v="1659"/>
    <x v="3"/>
    <d v="2024-05-01T00:00:00"/>
    <d v="2024-05-31T00:00:00"/>
    <x v="2"/>
    <x v="1684"/>
    <x v="1"/>
    <x v="109"/>
    <x v="1"/>
    <x v="1"/>
    <x v="1"/>
    <x v="1"/>
  </r>
  <r>
    <n v="61567"/>
    <x v="2"/>
    <x v="1"/>
    <x v="22"/>
    <x v="2"/>
    <x v="1660"/>
    <x v="2"/>
    <d v="2024-03-07T00:00:00"/>
    <d v="2024-03-28T00:00:00"/>
    <x v="0"/>
    <x v="1685"/>
    <x v="0"/>
    <x v="0"/>
    <x v="0"/>
    <x v="0"/>
    <x v="0"/>
    <x v="0"/>
  </r>
  <r>
    <n v="57452"/>
    <x v="8"/>
    <x v="1"/>
    <x v="125"/>
    <x v="2"/>
    <x v="1661"/>
    <x v="0"/>
    <d v="2024-04-24T00:00:00"/>
    <d v="2024-05-23T00:00:00"/>
    <x v="2"/>
    <x v="1686"/>
    <x v="0"/>
    <x v="0"/>
    <x v="0"/>
    <x v="0"/>
    <x v="0"/>
    <x v="0"/>
  </r>
  <r>
    <n v="60511"/>
    <x v="16"/>
    <x v="3"/>
    <x v="32"/>
    <x v="4"/>
    <x v="1662"/>
    <x v="3"/>
    <d v="2024-01-16T00:00:00"/>
    <d v="2024-02-03T00:00:00"/>
    <x v="0"/>
    <x v="1687"/>
    <x v="0"/>
    <x v="0"/>
    <x v="0"/>
    <x v="0"/>
    <x v="0"/>
    <x v="0"/>
  </r>
  <r>
    <n v="91984"/>
    <x v="0"/>
    <x v="0"/>
    <x v="96"/>
    <x v="5"/>
    <x v="1663"/>
    <x v="3"/>
    <d v="2024-08-19T00:00:00"/>
    <d v="2024-08-26T00:00:00"/>
    <x v="1"/>
    <x v="1688"/>
    <x v="0"/>
    <x v="0"/>
    <x v="0"/>
    <x v="0"/>
    <x v="0"/>
    <x v="1"/>
  </r>
  <r>
    <n v="11238"/>
    <x v="16"/>
    <x v="3"/>
    <x v="319"/>
    <x v="2"/>
    <x v="1664"/>
    <x v="2"/>
    <d v="2024-06-30T00:00:00"/>
    <d v="2024-07-08T00:00:00"/>
    <x v="0"/>
    <x v="1689"/>
    <x v="0"/>
    <x v="0"/>
    <x v="0"/>
    <x v="0"/>
    <x v="0"/>
    <x v="0"/>
  </r>
  <r>
    <n v="42046"/>
    <x v="0"/>
    <x v="0"/>
    <x v="324"/>
    <x v="3"/>
    <x v="1665"/>
    <x v="1"/>
    <d v="2024-04-02T00:00:00"/>
    <d v="2024-04-18T00:00:00"/>
    <x v="0"/>
    <x v="1690"/>
    <x v="0"/>
    <x v="0"/>
    <x v="0"/>
    <x v="0"/>
    <x v="0"/>
    <x v="0"/>
  </r>
  <r>
    <n v="24071"/>
    <x v="11"/>
    <x v="4"/>
    <x v="346"/>
    <x v="1"/>
    <x v="1666"/>
    <x v="3"/>
    <d v="2024-04-16T00:00:00"/>
    <d v="2024-04-26T00:00:00"/>
    <x v="1"/>
    <x v="1691"/>
    <x v="0"/>
    <x v="0"/>
    <x v="0"/>
    <x v="0"/>
    <x v="0"/>
    <x v="0"/>
  </r>
  <r>
    <n v="93443"/>
    <x v="9"/>
    <x v="1"/>
    <x v="127"/>
    <x v="6"/>
    <x v="1667"/>
    <x v="2"/>
    <d v="2024-05-22T00:00:00"/>
    <d v="2024-06-30T00:00:00"/>
    <x v="1"/>
    <x v="1692"/>
    <x v="0"/>
    <x v="0"/>
    <x v="0"/>
    <x v="0"/>
    <x v="0"/>
    <x v="1"/>
  </r>
  <r>
    <n v="96217"/>
    <x v="1"/>
    <x v="0"/>
    <x v="211"/>
    <x v="3"/>
    <x v="1668"/>
    <x v="1"/>
    <d v="2024-06-06T00:00:00"/>
    <d v="2024-07-15T00:00:00"/>
    <x v="0"/>
    <x v="1693"/>
    <x v="0"/>
    <x v="0"/>
    <x v="0"/>
    <x v="0"/>
    <x v="0"/>
    <x v="0"/>
  </r>
  <r>
    <n v="51232"/>
    <x v="7"/>
    <x v="3"/>
    <x v="436"/>
    <x v="3"/>
    <x v="1669"/>
    <x v="0"/>
    <d v="2024-08-05T00:00:00"/>
    <d v="2024-08-24T00:00:00"/>
    <x v="2"/>
    <x v="1694"/>
    <x v="0"/>
    <x v="0"/>
    <x v="0"/>
    <x v="0"/>
    <x v="0"/>
    <x v="0"/>
  </r>
  <r>
    <n v="93470"/>
    <x v="3"/>
    <x v="2"/>
    <x v="480"/>
    <x v="1"/>
    <x v="1670"/>
    <x v="0"/>
    <d v="2024-10-30T00:00:00"/>
    <d v="2024-12-03T00:00:00"/>
    <x v="2"/>
    <x v="1695"/>
    <x v="0"/>
    <x v="0"/>
    <x v="0"/>
    <x v="0"/>
    <x v="0"/>
    <x v="0"/>
  </r>
  <r>
    <n v="81428"/>
    <x v="4"/>
    <x v="0"/>
    <x v="76"/>
    <x v="4"/>
    <x v="1671"/>
    <x v="4"/>
    <d v="2024-12-17T00:00:00"/>
    <d v="2024-12-25T00:00:00"/>
    <x v="2"/>
    <x v="1696"/>
    <x v="0"/>
    <x v="0"/>
    <x v="0"/>
    <x v="0"/>
    <x v="0"/>
    <x v="0"/>
  </r>
  <r>
    <n v="42322"/>
    <x v="15"/>
    <x v="4"/>
    <x v="440"/>
    <x v="5"/>
    <x v="1672"/>
    <x v="4"/>
    <d v="2024-12-22T00:00:00"/>
    <d v="2025-01-11T00:00:00"/>
    <x v="2"/>
    <x v="1697"/>
    <x v="0"/>
    <x v="0"/>
    <x v="0"/>
    <x v="0"/>
    <x v="0"/>
    <x v="0"/>
  </r>
  <r>
    <n v="61030"/>
    <x v="6"/>
    <x v="3"/>
    <x v="324"/>
    <x v="3"/>
    <x v="1673"/>
    <x v="2"/>
    <d v="2024-01-02T00:00:00"/>
    <d v="2024-01-28T00:00:00"/>
    <x v="2"/>
    <x v="1698"/>
    <x v="0"/>
    <x v="0"/>
    <x v="0"/>
    <x v="0"/>
    <x v="0"/>
    <x v="0"/>
  </r>
  <r>
    <n v="41795"/>
    <x v="3"/>
    <x v="2"/>
    <x v="298"/>
    <x v="5"/>
    <x v="1674"/>
    <x v="1"/>
    <d v="2024-12-08T00:00:00"/>
    <d v="2025-01-14T00:00:00"/>
    <x v="2"/>
    <x v="1699"/>
    <x v="1"/>
    <x v="98"/>
    <x v="1"/>
    <x v="1"/>
    <x v="1"/>
    <x v="1"/>
  </r>
  <r>
    <n v="82102"/>
    <x v="0"/>
    <x v="0"/>
    <x v="437"/>
    <x v="0"/>
    <x v="1675"/>
    <x v="0"/>
    <d v="2024-03-03T00:00:00"/>
    <d v="2024-04-10T00:00:00"/>
    <x v="1"/>
    <x v="1700"/>
    <x v="0"/>
    <x v="0"/>
    <x v="0"/>
    <x v="0"/>
    <x v="0"/>
    <x v="0"/>
  </r>
  <r>
    <n v="28079"/>
    <x v="16"/>
    <x v="3"/>
    <x v="274"/>
    <x v="1"/>
    <x v="1676"/>
    <x v="0"/>
    <d v="2024-06-09T00:00:00"/>
    <d v="2024-07-16T00:00:00"/>
    <x v="0"/>
    <x v="1701"/>
    <x v="1"/>
    <x v="110"/>
    <x v="1"/>
    <x v="1"/>
    <x v="1"/>
    <x v="1"/>
  </r>
  <r>
    <n v="58838"/>
    <x v="8"/>
    <x v="1"/>
    <x v="4"/>
    <x v="6"/>
    <x v="1677"/>
    <x v="2"/>
    <d v="2024-05-26T00:00:00"/>
    <d v="2024-07-03T00:00:00"/>
    <x v="2"/>
    <x v="1702"/>
    <x v="0"/>
    <x v="0"/>
    <x v="0"/>
    <x v="0"/>
    <x v="0"/>
    <x v="1"/>
  </r>
  <r>
    <n v="90488"/>
    <x v="5"/>
    <x v="2"/>
    <x v="183"/>
    <x v="3"/>
    <x v="1239"/>
    <x v="2"/>
    <d v="2024-08-05T00:00:00"/>
    <d v="2024-09-08T00:00:00"/>
    <x v="1"/>
    <x v="1703"/>
    <x v="0"/>
    <x v="0"/>
    <x v="0"/>
    <x v="0"/>
    <x v="0"/>
    <x v="0"/>
  </r>
  <r>
    <n v="25636"/>
    <x v="9"/>
    <x v="1"/>
    <x v="309"/>
    <x v="2"/>
    <x v="1678"/>
    <x v="4"/>
    <d v="2024-11-14T00:00:00"/>
    <d v="2024-12-15T00:00:00"/>
    <x v="0"/>
    <x v="1704"/>
    <x v="0"/>
    <x v="0"/>
    <x v="0"/>
    <x v="0"/>
    <x v="0"/>
    <x v="0"/>
  </r>
  <r>
    <n v="38357"/>
    <x v="10"/>
    <x v="2"/>
    <x v="282"/>
    <x v="2"/>
    <x v="1679"/>
    <x v="3"/>
    <d v="2024-07-08T00:00:00"/>
    <d v="2024-08-16T00:00:00"/>
    <x v="0"/>
    <x v="1705"/>
    <x v="0"/>
    <x v="0"/>
    <x v="0"/>
    <x v="0"/>
    <x v="0"/>
    <x v="0"/>
  </r>
  <r>
    <n v="23440"/>
    <x v="11"/>
    <x v="4"/>
    <x v="430"/>
    <x v="4"/>
    <x v="1680"/>
    <x v="3"/>
    <d v="2024-08-03T00:00:00"/>
    <d v="2024-09-04T00:00:00"/>
    <x v="0"/>
    <x v="1706"/>
    <x v="0"/>
    <x v="0"/>
    <x v="0"/>
    <x v="0"/>
    <x v="0"/>
    <x v="1"/>
  </r>
  <r>
    <n v="58720"/>
    <x v="15"/>
    <x v="4"/>
    <x v="363"/>
    <x v="2"/>
    <x v="1681"/>
    <x v="4"/>
    <d v="2024-07-17T00:00:00"/>
    <d v="2024-08-02T00:00:00"/>
    <x v="1"/>
    <x v="1707"/>
    <x v="0"/>
    <x v="0"/>
    <x v="0"/>
    <x v="0"/>
    <x v="0"/>
    <x v="0"/>
  </r>
  <r>
    <n v="66210"/>
    <x v="14"/>
    <x v="4"/>
    <x v="266"/>
    <x v="0"/>
    <x v="1682"/>
    <x v="0"/>
    <d v="2024-11-10T00:00:00"/>
    <d v="2024-11-29T00:00:00"/>
    <x v="2"/>
    <x v="1708"/>
    <x v="0"/>
    <x v="0"/>
    <x v="0"/>
    <x v="0"/>
    <x v="0"/>
    <x v="0"/>
  </r>
  <r>
    <n v="53950"/>
    <x v="6"/>
    <x v="3"/>
    <x v="299"/>
    <x v="6"/>
    <x v="1683"/>
    <x v="2"/>
    <d v="2024-01-12T00:00:00"/>
    <d v="2024-02-04T00:00:00"/>
    <x v="2"/>
    <x v="1709"/>
    <x v="1"/>
    <x v="111"/>
    <x v="1"/>
    <x v="1"/>
    <x v="1"/>
    <x v="1"/>
  </r>
  <r>
    <n v="84385"/>
    <x v="4"/>
    <x v="0"/>
    <x v="343"/>
    <x v="0"/>
    <x v="1684"/>
    <x v="4"/>
    <d v="2024-02-03T00:00:00"/>
    <d v="2024-03-11T00:00:00"/>
    <x v="0"/>
    <x v="1710"/>
    <x v="0"/>
    <x v="0"/>
    <x v="0"/>
    <x v="0"/>
    <x v="0"/>
    <x v="0"/>
  </r>
  <r>
    <n v="21273"/>
    <x v="8"/>
    <x v="1"/>
    <x v="196"/>
    <x v="1"/>
    <x v="1685"/>
    <x v="4"/>
    <d v="2024-08-08T00:00:00"/>
    <d v="2024-09-14T00:00:00"/>
    <x v="0"/>
    <x v="1711"/>
    <x v="0"/>
    <x v="0"/>
    <x v="0"/>
    <x v="0"/>
    <x v="0"/>
    <x v="1"/>
  </r>
  <r>
    <n v="79336"/>
    <x v="11"/>
    <x v="4"/>
    <x v="97"/>
    <x v="6"/>
    <x v="1686"/>
    <x v="2"/>
    <d v="2024-05-27T00:00:00"/>
    <d v="2024-06-10T00:00:00"/>
    <x v="1"/>
    <x v="1712"/>
    <x v="0"/>
    <x v="0"/>
    <x v="0"/>
    <x v="0"/>
    <x v="0"/>
    <x v="1"/>
  </r>
  <r>
    <n v="82651"/>
    <x v="1"/>
    <x v="0"/>
    <x v="115"/>
    <x v="3"/>
    <x v="1687"/>
    <x v="1"/>
    <d v="2024-08-16T00:00:00"/>
    <d v="2024-08-22T00:00:00"/>
    <x v="1"/>
    <x v="1713"/>
    <x v="0"/>
    <x v="0"/>
    <x v="0"/>
    <x v="0"/>
    <x v="0"/>
    <x v="0"/>
  </r>
  <r>
    <n v="68596"/>
    <x v="16"/>
    <x v="3"/>
    <x v="362"/>
    <x v="2"/>
    <x v="349"/>
    <x v="1"/>
    <d v="2024-09-13T00:00:00"/>
    <d v="2024-09-29T00:00:00"/>
    <x v="2"/>
    <x v="1714"/>
    <x v="0"/>
    <x v="0"/>
    <x v="0"/>
    <x v="0"/>
    <x v="0"/>
    <x v="0"/>
  </r>
  <r>
    <n v="31818"/>
    <x v="12"/>
    <x v="0"/>
    <x v="161"/>
    <x v="5"/>
    <x v="1688"/>
    <x v="2"/>
    <d v="2024-06-26T00:00:00"/>
    <d v="2024-08-01T00:00:00"/>
    <x v="2"/>
    <x v="1715"/>
    <x v="0"/>
    <x v="0"/>
    <x v="0"/>
    <x v="0"/>
    <x v="0"/>
    <x v="0"/>
  </r>
  <r>
    <n v="47790"/>
    <x v="9"/>
    <x v="1"/>
    <x v="484"/>
    <x v="3"/>
    <x v="1689"/>
    <x v="0"/>
    <d v="2024-04-02T00:00:00"/>
    <d v="2024-05-03T00:00:00"/>
    <x v="2"/>
    <x v="1716"/>
    <x v="0"/>
    <x v="0"/>
    <x v="0"/>
    <x v="0"/>
    <x v="0"/>
    <x v="1"/>
  </r>
  <r>
    <n v="71526"/>
    <x v="11"/>
    <x v="4"/>
    <x v="58"/>
    <x v="0"/>
    <x v="1690"/>
    <x v="3"/>
    <d v="2024-11-27T00:00:00"/>
    <d v="2024-12-21T00:00:00"/>
    <x v="2"/>
    <x v="62"/>
    <x v="1"/>
    <x v="9"/>
    <x v="1"/>
    <x v="1"/>
    <x v="1"/>
    <x v="1"/>
  </r>
  <r>
    <n v="41016"/>
    <x v="10"/>
    <x v="2"/>
    <x v="485"/>
    <x v="6"/>
    <x v="1691"/>
    <x v="0"/>
    <d v="2024-05-26T00:00:00"/>
    <d v="2024-06-03T00:00:00"/>
    <x v="1"/>
    <x v="1717"/>
    <x v="0"/>
    <x v="0"/>
    <x v="0"/>
    <x v="0"/>
    <x v="0"/>
    <x v="1"/>
  </r>
  <r>
    <n v="44626"/>
    <x v="15"/>
    <x v="4"/>
    <x v="2"/>
    <x v="3"/>
    <x v="1692"/>
    <x v="1"/>
    <d v="2024-10-18T00:00:00"/>
    <d v="2024-11-11T00:00:00"/>
    <x v="1"/>
    <x v="1718"/>
    <x v="1"/>
    <x v="79"/>
    <x v="1"/>
    <x v="1"/>
    <x v="1"/>
    <x v="1"/>
  </r>
  <r>
    <n v="39473"/>
    <x v="14"/>
    <x v="4"/>
    <x v="186"/>
    <x v="1"/>
    <x v="1693"/>
    <x v="1"/>
    <d v="2024-11-07T00:00:00"/>
    <d v="2024-12-01T00:00:00"/>
    <x v="2"/>
    <x v="1719"/>
    <x v="0"/>
    <x v="0"/>
    <x v="0"/>
    <x v="0"/>
    <x v="0"/>
    <x v="0"/>
  </r>
  <r>
    <n v="52095"/>
    <x v="4"/>
    <x v="0"/>
    <x v="260"/>
    <x v="4"/>
    <x v="1694"/>
    <x v="4"/>
    <d v="2024-04-20T00:00:00"/>
    <d v="2024-05-06T00:00:00"/>
    <x v="1"/>
    <x v="1720"/>
    <x v="0"/>
    <x v="0"/>
    <x v="0"/>
    <x v="0"/>
    <x v="0"/>
    <x v="0"/>
  </r>
  <r>
    <n v="17837"/>
    <x v="11"/>
    <x v="4"/>
    <x v="450"/>
    <x v="6"/>
    <x v="1695"/>
    <x v="4"/>
    <d v="2024-06-14T00:00:00"/>
    <d v="2024-07-12T00:00:00"/>
    <x v="0"/>
    <x v="1721"/>
    <x v="1"/>
    <x v="93"/>
    <x v="1"/>
    <x v="1"/>
    <x v="1"/>
    <x v="1"/>
  </r>
  <r>
    <n v="75206"/>
    <x v="10"/>
    <x v="2"/>
    <x v="279"/>
    <x v="6"/>
    <x v="1696"/>
    <x v="2"/>
    <d v="2024-12-01T00:00:00"/>
    <d v="2024-12-26T00:00:00"/>
    <x v="0"/>
    <x v="1722"/>
    <x v="0"/>
    <x v="0"/>
    <x v="0"/>
    <x v="0"/>
    <x v="0"/>
    <x v="1"/>
  </r>
  <r>
    <n v="27388"/>
    <x v="6"/>
    <x v="3"/>
    <x v="175"/>
    <x v="0"/>
    <x v="1697"/>
    <x v="1"/>
    <d v="2024-04-09T00:00:00"/>
    <d v="2024-05-14T00:00:00"/>
    <x v="1"/>
    <x v="1723"/>
    <x v="0"/>
    <x v="0"/>
    <x v="0"/>
    <x v="0"/>
    <x v="0"/>
    <x v="0"/>
  </r>
  <r>
    <n v="98271"/>
    <x v="6"/>
    <x v="3"/>
    <x v="227"/>
    <x v="6"/>
    <x v="1698"/>
    <x v="4"/>
    <d v="2024-02-10T00:00:00"/>
    <d v="2024-02-24T00:00:00"/>
    <x v="0"/>
    <x v="1724"/>
    <x v="1"/>
    <x v="35"/>
    <x v="1"/>
    <x v="1"/>
    <x v="1"/>
    <x v="1"/>
  </r>
  <r>
    <n v="33212"/>
    <x v="16"/>
    <x v="3"/>
    <x v="456"/>
    <x v="6"/>
    <x v="1699"/>
    <x v="0"/>
    <d v="2024-07-30T00:00:00"/>
    <d v="2024-08-23T00:00:00"/>
    <x v="0"/>
    <x v="1725"/>
    <x v="0"/>
    <x v="0"/>
    <x v="0"/>
    <x v="0"/>
    <x v="0"/>
    <x v="1"/>
  </r>
  <r>
    <n v="74708"/>
    <x v="1"/>
    <x v="0"/>
    <x v="136"/>
    <x v="5"/>
    <x v="641"/>
    <x v="3"/>
    <d v="2024-09-25T00:00:00"/>
    <d v="2024-10-28T00:00:00"/>
    <x v="0"/>
    <x v="1726"/>
    <x v="0"/>
    <x v="0"/>
    <x v="0"/>
    <x v="0"/>
    <x v="0"/>
    <x v="1"/>
  </r>
  <r>
    <n v="44841"/>
    <x v="12"/>
    <x v="0"/>
    <x v="432"/>
    <x v="4"/>
    <x v="1700"/>
    <x v="1"/>
    <d v="2024-04-24T00:00:00"/>
    <d v="2024-05-18T00:00:00"/>
    <x v="1"/>
    <x v="1727"/>
    <x v="0"/>
    <x v="0"/>
    <x v="0"/>
    <x v="0"/>
    <x v="0"/>
    <x v="0"/>
  </r>
  <r>
    <n v="93388"/>
    <x v="16"/>
    <x v="3"/>
    <x v="132"/>
    <x v="0"/>
    <x v="1701"/>
    <x v="4"/>
    <d v="2024-03-23T00:00:00"/>
    <d v="2024-04-30T00:00:00"/>
    <x v="0"/>
    <x v="1728"/>
    <x v="0"/>
    <x v="0"/>
    <x v="0"/>
    <x v="0"/>
    <x v="0"/>
    <x v="0"/>
  </r>
  <r>
    <n v="63616"/>
    <x v="3"/>
    <x v="2"/>
    <x v="269"/>
    <x v="5"/>
    <x v="1702"/>
    <x v="3"/>
    <d v="2024-07-04T00:00:00"/>
    <d v="2024-07-13T00:00:00"/>
    <x v="1"/>
    <x v="1729"/>
    <x v="0"/>
    <x v="0"/>
    <x v="0"/>
    <x v="0"/>
    <x v="0"/>
    <x v="1"/>
  </r>
  <r>
    <n v="76714"/>
    <x v="9"/>
    <x v="1"/>
    <x v="183"/>
    <x v="6"/>
    <x v="1703"/>
    <x v="0"/>
    <d v="2024-11-26T00:00:00"/>
    <d v="2024-12-13T00:00:00"/>
    <x v="2"/>
    <x v="1730"/>
    <x v="0"/>
    <x v="0"/>
    <x v="0"/>
    <x v="0"/>
    <x v="0"/>
    <x v="1"/>
  </r>
  <r>
    <n v="98306"/>
    <x v="6"/>
    <x v="3"/>
    <x v="334"/>
    <x v="2"/>
    <x v="1704"/>
    <x v="4"/>
    <d v="2024-08-11T00:00:00"/>
    <d v="2024-08-18T00:00:00"/>
    <x v="2"/>
    <x v="1731"/>
    <x v="0"/>
    <x v="0"/>
    <x v="0"/>
    <x v="0"/>
    <x v="0"/>
    <x v="0"/>
  </r>
  <r>
    <n v="82126"/>
    <x v="10"/>
    <x v="2"/>
    <x v="12"/>
    <x v="1"/>
    <x v="1705"/>
    <x v="1"/>
    <d v="2024-06-18T00:00:00"/>
    <d v="2024-07-23T00:00:00"/>
    <x v="2"/>
    <x v="1732"/>
    <x v="0"/>
    <x v="0"/>
    <x v="0"/>
    <x v="0"/>
    <x v="0"/>
    <x v="1"/>
  </r>
  <r>
    <n v="68171"/>
    <x v="11"/>
    <x v="4"/>
    <x v="453"/>
    <x v="6"/>
    <x v="1706"/>
    <x v="3"/>
    <d v="2024-02-17T00:00:00"/>
    <d v="2024-03-08T00:00:00"/>
    <x v="1"/>
    <x v="1733"/>
    <x v="1"/>
    <x v="8"/>
    <x v="1"/>
    <x v="1"/>
    <x v="1"/>
    <x v="1"/>
  </r>
  <r>
    <n v="87712"/>
    <x v="5"/>
    <x v="2"/>
    <x v="308"/>
    <x v="4"/>
    <x v="1707"/>
    <x v="3"/>
    <d v="2024-01-09T00:00:00"/>
    <d v="2024-01-30T00:00:00"/>
    <x v="2"/>
    <x v="1734"/>
    <x v="1"/>
    <x v="83"/>
    <x v="1"/>
    <x v="1"/>
    <x v="1"/>
    <x v="1"/>
  </r>
  <r>
    <n v="99432"/>
    <x v="12"/>
    <x v="0"/>
    <x v="280"/>
    <x v="0"/>
    <x v="1708"/>
    <x v="2"/>
    <d v="2024-01-08T00:00:00"/>
    <d v="2024-02-03T00:00:00"/>
    <x v="2"/>
    <x v="1735"/>
    <x v="0"/>
    <x v="0"/>
    <x v="0"/>
    <x v="0"/>
    <x v="0"/>
    <x v="1"/>
  </r>
  <r>
    <n v="96472"/>
    <x v="8"/>
    <x v="1"/>
    <x v="35"/>
    <x v="5"/>
    <x v="1709"/>
    <x v="2"/>
    <d v="2024-01-21T00:00:00"/>
    <d v="2024-02-18T00:00:00"/>
    <x v="2"/>
    <x v="1736"/>
    <x v="0"/>
    <x v="0"/>
    <x v="0"/>
    <x v="0"/>
    <x v="0"/>
    <x v="0"/>
  </r>
  <r>
    <n v="95141"/>
    <x v="14"/>
    <x v="4"/>
    <x v="116"/>
    <x v="0"/>
    <x v="1710"/>
    <x v="3"/>
    <d v="2024-02-05T00:00:00"/>
    <d v="2024-02-18T00:00:00"/>
    <x v="0"/>
    <x v="1737"/>
    <x v="0"/>
    <x v="0"/>
    <x v="0"/>
    <x v="0"/>
    <x v="0"/>
    <x v="0"/>
  </r>
  <r>
    <n v="83100"/>
    <x v="8"/>
    <x v="1"/>
    <x v="181"/>
    <x v="0"/>
    <x v="1711"/>
    <x v="2"/>
    <d v="2024-12-28T00:00:00"/>
    <d v="2025-02-02T00:00:00"/>
    <x v="1"/>
    <x v="1738"/>
    <x v="0"/>
    <x v="0"/>
    <x v="0"/>
    <x v="0"/>
    <x v="0"/>
    <x v="0"/>
  </r>
  <r>
    <n v="17398"/>
    <x v="0"/>
    <x v="0"/>
    <x v="439"/>
    <x v="3"/>
    <x v="1712"/>
    <x v="4"/>
    <d v="2024-08-08T00:00:00"/>
    <d v="2024-09-05T00:00:00"/>
    <x v="0"/>
    <x v="1739"/>
    <x v="0"/>
    <x v="0"/>
    <x v="0"/>
    <x v="0"/>
    <x v="0"/>
    <x v="0"/>
  </r>
  <r>
    <n v="93220"/>
    <x v="2"/>
    <x v="1"/>
    <x v="194"/>
    <x v="3"/>
    <x v="1713"/>
    <x v="1"/>
    <d v="2024-04-05T00:00:00"/>
    <d v="2024-04-23T00:00:00"/>
    <x v="2"/>
    <x v="1740"/>
    <x v="0"/>
    <x v="0"/>
    <x v="0"/>
    <x v="0"/>
    <x v="0"/>
    <x v="1"/>
  </r>
  <r>
    <n v="57411"/>
    <x v="7"/>
    <x v="3"/>
    <x v="281"/>
    <x v="3"/>
    <x v="1714"/>
    <x v="1"/>
    <d v="2024-11-08T00:00:00"/>
    <d v="2024-12-15T00:00:00"/>
    <x v="1"/>
    <x v="1741"/>
    <x v="0"/>
    <x v="0"/>
    <x v="0"/>
    <x v="0"/>
    <x v="0"/>
    <x v="0"/>
  </r>
  <r>
    <n v="95997"/>
    <x v="12"/>
    <x v="0"/>
    <x v="222"/>
    <x v="1"/>
    <x v="1715"/>
    <x v="4"/>
    <d v="2024-08-26T00:00:00"/>
    <d v="2024-10-03T00:00:00"/>
    <x v="1"/>
    <x v="1742"/>
    <x v="0"/>
    <x v="0"/>
    <x v="0"/>
    <x v="0"/>
    <x v="0"/>
    <x v="1"/>
  </r>
  <r>
    <n v="47918"/>
    <x v="13"/>
    <x v="3"/>
    <x v="286"/>
    <x v="5"/>
    <x v="1716"/>
    <x v="4"/>
    <d v="2024-01-29T00:00:00"/>
    <d v="2024-02-19T00:00:00"/>
    <x v="2"/>
    <x v="1743"/>
    <x v="0"/>
    <x v="0"/>
    <x v="0"/>
    <x v="0"/>
    <x v="0"/>
    <x v="0"/>
  </r>
  <r>
    <n v="20349"/>
    <x v="8"/>
    <x v="1"/>
    <x v="207"/>
    <x v="5"/>
    <x v="1717"/>
    <x v="4"/>
    <d v="2024-02-04T00:00:00"/>
    <d v="2024-02-14T00:00:00"/>
    <x v="0"/>
    <x v="1744"/>
    <x v="0"/>
    <x v="0"/>
    <x v="0"/>
    <x v="0"/>
    <x v="0"/>
    <x v="0"/>
  </r>
  <r>
    <n v="17660"/>
    <x v="11"/>
    <x v="4"/>
    <x v="452"/>
    <x v="0"/>
    <x v="1718"/>
    <x v="3"/>
    <d v="2024-03-11T00:00:00"/>
    <d v="2024-03-30T00:00:00"/>
    <x v="2"/>
    <x v="1745"/>
    <x v="0"/>
    <x v="0"/>
    <x v="0"/>
    <x v="0"/>
    <x v="0"/>
    <x v="0"/>
  </r>
  <r>
    <n v="49913"/>
    <x v="5"/>
    <x v="2"/>
    <x v="467"/>
    <x v="5"/>
    <x v="1719"/>
    <x v="2"/>
    <d v="2024-10-26T00:00:00"/>
    <d v="2024-11-21T00:00:00"/>
    <x v="0"/>
    <x v="1746"/>
    <x v="0"/>
    <x v="0"/>
    <x v="0"/>
    <x v="0"/>
    <x v="0"/>
    <x v="1"/>
  </r>
  <r>
    <n v="24919"/>
    <x v="2"/>
    <x v="1"/>
    <x v="261"/>
    <x v="2"/>
    <x v="1720"/>
    <x v="1"/>
    <d v="2024-10-27T00:00:00"/>
    <d v="2024-11-20T00:00:00"/>
    <x v="1"/>
    <x v="1747"/>
    <x v="0"/>
    <x v="0"/>
    <x v="0"/>
    <x v="0"/>
    <x v="0"/>
    <x v="0"/>
  </r>
  <r>
    <n v="24242"/>
    <x v="10"/>
    <x v="2"/>
    <x v="450"/>
    <x v="0"/>
    <x v="1721"/>
    <x v="0"/>
    <d v="2024-03-14T00:00:00"/>
    <d v="2024-04-05T00:00:00"/>
    <x v="2"/>
    <x v="1748"/>
    <x v="1"/>
    <x v="11"/>
    <x v="1"/>
    <x v="1"/>
    <x v="1"/>
    <x v="1"/>
  </r>
  <r>
    <n v="75950"/>
    <x v="3"/>
    <x v="2"/>
    <x v="119"/>
    <x v="4"/>
    <x v="1722"/>
    <x v="4"/>
    <d v="2024-03-10T00:00:00"/>
    <d v="2024-03-28T00:00:00"/>
    <x v="2"/>
    <x v="1749"/>
    <x v="0"/>
    <x v="0"/>
    <x v="0"/>
    <x v="0"/>
    <x v="0"/>
    <x v="1"/>
  </r>
  <r>
    <n v="41676"/>
    <x v="9"/>
    <x v="1"/>
    <x v="107"/>
    <x v="1"/>
    <x v="1723"/>
    <x v="3"/>
    <d v="2024-12-11T00:00:00"/>
    <d v="2024-12-27T00:00:00"/>
    <x v="0"/>
    <x v="1750"/>
    <x v="1"/>
    <x v="68"/>
    <x v="1"/>
    <x v="1"/>
    <x v="1"/>
    <x v="1"/>
  </r>
  <r>
    <n v="82369"/>
    <x v="1"/>
    <x v="0"/>
    <x v="407"/>
    <x v="2"/>
    <x v="1724"/>
    <x v="3"/>
    <d v="2024-04-26T00:00:00"/>
    <d v="2024-05-03T00:00:00"/>
    <x v="2"/>
    <x v="1751"/>
    <x v="0"/>
    <x v="0"/>
    <x v="0"/>
    <x v="0"/>
    <x v="0"/>
    <x v="0"/>
  </r>
  <r>
    <n v="64843"/>
    <x v="15"/>
    <x v="4"/>
    <x v="274"/>
    <x v="0"/>
    <x v="1725"/>
    <x v="0"/>
    <d v="2024-04-14T00:00:00"/>
    <d v="2024-05-07T00:00:00"/>
    <x v="2"/>
    <x v="1752"/>
    <x v="1"/>
    <x v="14"/>
    <x v="1"/>
    <x v="1"/>
    <x v="1"/>
    <x v="1"/>
  </r>
  <r>
    <n v="20108"/>
    <x v="6"/>
    <x v="3"/>
    <x v="67"/>
    <x v="0"/>
    <x v="1726"/>
    <x v="3"/>
    <d v="2024-09-19T00:00:00"/>
    <d v="2024-09-29T00:00:00"/>
    <x v="2"/>
    <x v="1753"/>
    <x v="0"/>
    <x v="0"/>
    <x v="0"/>
    <x v="0"/>
    <x v="0"/>
    <x v="0"/>
  </r>
  <r>
    <n v="84693"/>
    <x v="8"/>
    <x v="1"/>
    <x v="105"/>
    <x v="3"/>
    <x v="1727"/>
    <x v="2"/>
    <d v="2024-06-22T00:00:00"/>
    <d v="2024-07-03T00:00:00"/>
    <x v="0"/>
    <x v="1754"/>
    <x v="0"/>
    <x v="0"/>
    <x v="0"/>
    <x v="0"/>
    <x v="0"/>
    <x v="0"/>
  </r>
  <r>
    <n v="46067"/>
    <x v="9"/>
    <x v="1"/>
    <x v="400"/>
    <x v="4"/>
    <x v="1728"/>
    <x v="3"/>
    <d v="2024-11-20T00:00:00"/>
    <d v="2024-11-29T00:00:00"/>
    <x v="0"/>
    <x v="1755"/>
    <x v="0"/>
    <x v="0"/>
    <x v="0"/>
    <x v="0"/>
    <x v="0"/>
    <x v="0"/>
  </r>
  <r>
    <n v="55852"/>
    <x v="4"/>
    <x v="0"/>
    <x v="152"/>
    <x v="1"/>
    <x v="1198"/>
    <x v="2"/>
    <d v="2024-12-25T00:00:00"/>
    <d v="2024-12-30T00:00:00"/>
    <x v="1"/>
    <x v="1756"/>
    <x v="0"/>
    <x v="0"/>
    <x v="0"/>
    <x v="0"/>
    <x v="0"/>
    <x v="1"/>
  </r>
  <r>
    <n v="35099"/>
    <x v="16"/>
    <x v="3"/>
    <x v="397"/>
    <x v="1"/>
    <x v="1729"/>
    <x v="2"/>
    <d v="2024-12-09T00:00:00"/>
    <d v="2025-01-01T00:00:00"/>
    <x v="0"/>
    <x v="1757"/>
    <x v="1"/>
    <x v="50"/>
    <x v="1"/>
    <x v="1"/>
    <x v="1"/>
    <x v="1"/>
  </r>
  <r>
    <n v="31788"/>
    <x v="9"/>
    <x v="1"/>
    <x v="309"/>
    <x v="0"/>
    <x v="1730"/>
    <x v="0"/>
    <d v="2024-07-05T00:00:00"/>
    <d v="2024-07-12T00:00:00"/>
    <x v="0"/>
    <x v="1758"/>
    <x v="0"/>
    <x v="0"/>
    <x v="0"/>
    <x v="0"/>
    <x v="0"/>
    <x v="0"/>
  </r>
  <r>
    <n v="75911"/>
    <x v="11"/>
    <x v="4"/>
    <x v="41"/>
    <x v="3"/>
    <x v="1731"/>
    <x v="1"/>
    <d v="2024-05-30T00:00:00"/>
    <d v="2024-06-24T00:00:00"/>
    <x v="2"/>
    <x v="1759"/>
    <x v="0"/>
    <x v="0"/>
    <x v="0"/>
    <x v="0"/>
    <x v="0"/>
    <x v="0"/>
  </r>
  <r>
    <n v="29984"/>
    <x v="7"/>
    <x v="3"/>
    <x v="471"/>
    <x v="4"/>
    <x v="1732"/>
    <x v="0"/>
    <d v="2024-09-13T00:00:00"/>
    <d v="2024-10-02T00:00:00"/>
    <x v="1"/>
    <x v="1760"/>
    <x v="0"/>
    <x v="0"/>
    <x v="0"/>
    <x v="0"/>
    <x v="0"/>
    <x v="1"/>
  </r>
  <r>
    <n v="48516"/>
    <x v="3"/>
    <x v="2"/>
    <x v="379"/>
    <x v="4"/>
    <x v="1733"/>
    <x v="4"/>
    <d v="2024-12-30T00:00:00"/>
    <d v="2025-01-09T00:00:00"/>
    <x v="1"/>
    <x v="1761"/>
    <x v="0"/>
    <x v="0"/>
    <x v="0"/>
    <x v="0"/>
    <x v="0"/>
    <x v="0"/>
  </r>
  <r>
    <n v="74198"/>
    <x v="8"/>
    <x v="1"/>
    <x v="71"/>
    <x v="5"/>
    <x v="317"/>
    <x v="2"/>
    <d v="2024-06-19T00:00:00"/>
    <d v="2024-07-20T00:00:00"/>
    <x v="1"/>
    <x v="1762"/>
    <x v="0"/>
    <x v="0"/>
    <x v="0"/>
    <x v="0"/>
    <x v="0"/>
    <x v="0"/>
  </r>
  <r>
    <n v="81895"/>
    <x v="14"/>
    <x v="4"/>
    <x v="429"/>
    <x v="2"/>
    <x v="1734"/>
    <x v="4"/>
    <d v="2024-04-10T00:00:00"/>
    <d v="2024-05-07T00:00:00"/>
    <x v="2"/>
    <x v="1763"/>
    <x v="0"/>
    <x v="0"/>
    <x v="0"/>
    <x v="0"/>
    <x v="0"/>
    <x v="0"/>
  </r>
  <r>
    <n v="51936"/>
    <x v="5"/>
    <x v="2"/>
    <x v="486"/>
    <x v="5"/>
    <x v="1735"/>
    <x v="4"/>
    <d v="2024-02-14T00:00:00"/>
    <d v="2024-03-12T00:00:00"/>
    <x v="0"/>
    <x v="1764"/>
    <x v="0"/>
    <x v="0"/>
    <x v="0"/>
    <x v="0"/>
    <x v="0"/>
    <x v="1"/>
  </r>
  <r>
    <n v="92298"/>
    <x v="3"/>
    <x v="2"/>
    <x v="197"/>
    <x v="5"/>
    <x v="1736"/>
    <x v="1"/>
    <d v="2024-02-18T00:00:00"/>
    <d v="2024-02-28T00:00:00"/>
    <x v="2"/>
    <x v="1765"/>
    <x v="0"/>
    <x v="0"/>
    <x v="0"/>
    <x v="0"/>
    <x v="0"/>
    <x v="1"/>
  </r>
  <r>
    <n v="26689"/>
    <x v="2"/>
    <x v="1"/>
    <x v="84"/>
    <x v="4"/>
    <x v="1737"/>
    <x v="2"/>
    <d v="2024-06-20T00:00:00"/>
    <d v="2024-07-16T00:00:00"/>
    <x v="2"/>
    <x v="1766"/>
    <x v="0"/>
    <x v="0"/>
    <x v="0"/>
    <x v="0"/>
    <x v="0"/>
    <x v="0"/>
  </r>
  <r>
    <n v="85519"/>
    <x v="12"/>
    <x v="0"/>
    <x v="158"/>
    <x v="6"/>
    <x v="1738"/>
    <x v="2"/>
    <d v="2024-04-27T00:00:00"/>
    <d v="2024-06-01T00:00:00"/>
    <x v="1"/>
    <x v="1767"/>
    <x v="0"/>
    <x v="0"/>
    <x v="0"/>
    <x v="0"/>
    <x v="0"/>
    <x v="1"/>
  </r>
  <r>
    <n v="29504"/>
    <x v="12"/>
    <x v="0"/>
    <x v="277"/>
    <x v="3"/>
    <x v="1739"/>
    <x v="0"/>
    <d v="2024-02-29T00:00:00"/>
    <d v="2024-03-14T00:00:00"/>
    <x v="0"/>
    <x v="1768"/>
    <x v="0"/>
    <x v="0"/>
    <x v="0"/>
    <x v="0"/>
    <x v="0"/>
    <x v="0"/>
  </r>
  <r>
    <n v="51745"/>
    <x v="12"/>
    <x v="0"/>
    <x v="387"/>
    <x v="2"/>
    <x v="1740"/>
    <x v="2"/>
    <d v="2024-11-04T00:00:00"/>
    <d v="2024-12-09T00:00:00"/>
    <x v="2"/>
    <x v="1769"/>
    <x v="0"/>
    <x v="0"/>
    <x v="0"/>
    <x v="0"/>
    <x v="0"/>
    <x v="0"/>
  </r>
  <r>
    <n v="21230"/>
    <x v="9"/>
    <x v="1"/>
    <x v="218"/>
    <x v="6"/>
    <x v="1741"/>
    <x v="0"/>
    <d v="2024-09-15T00:00:00"/>
    <d v="2024-09-25T00:00:00"/>
    <x v="2"/>
    <x v="1770"/>
    <x v="0"/>
    <x v="0"/>
    <x v="0"/>
    <x v="0"/>
    <x v="0"/>
    <x v="0"/>
  </r>
  <r>
    <n v="24962"/>
    <x v="10"/>
    <x v="2"/>
    <x v="176"/>
    <x v="5"/>
    <x v="1742"/>
    <x v="0"/>
    <d v="2024-03-01T00:00:00"/>
    <d v="2024-03-31T00:00:00"/>
    <x v="0"/>
    <x v="1771"/>
    <x v="0"/>
    <x v="0"/>
    <x v="0"/>
    <x v="0"/>
    <x v="0"/>
    <x v="1"/>
  </r>
  <r>
    <n v="93040"/>
    <x v="6"/>
    <x v="3"/>
    <x v="329"/>
    <x v="0"/>
    <x v="1743"/>
    <x v="3"/>
    <d v="2024-01-27T00:00:00"/>
    <d v="2024-02-09T00:00:00"/>
    <x v="2"/>
    <x v="1772"/>
    <x v="1"/>
    <x v="53"/>
    <x v="1"/>
    <x v="1"/>
    <x v="1"/>
    <x v="1"/>
  </r>
  <r>
    <n v="63648"/>
    <x v="1"/>
    <x v="0"/>
    <x v="165"/>
    <x v="6"/>
    <x v="1744"/>
    <x v="1"/>
    <d v="2024-07-30T00:00:00"/>
    <d v="2024-08-15T00:00:00"/>
    <x v="2"/>
    <x v="1773"/>
    <x v="0"/>
    <x v="0"/>
    <x v="0"/>
    <x v="0"/>
    <x v="0"/>
    <x v="1"/>
  </r>
  <r>
    <n v="78993"/>
    <x v="1"/>
    <x v="0"/>
    <x v="348"/>
    <x v="5"/>
    <x v="1745"/>
    <x v="3"/>
    <d v="2024-01-28T00:00:00"/>
    <d v="2024-02-10T00:00:00"/>
    <x v="2"/>
    <x v="1774"/>
    <x v="1"/>
    <x v="47"/>
    <x v="1"/>
    <x v="1"/>
    <x v="1"/>
    <x v="1"/>
  </r>
  <r>
    <n v="62330"/>
    <x v="14"/>
    <x v="4"/>
    <x v="465"/>
    <x v="3"/>
    <x v="1746"/>
    <x v="3"/>
    <d v="2024-01-19T00:00:00"/>
    <d v="2024-02-09T00:00:00"/>
    <x v="2"/>
    <x v="1775"/>
    <x v="0"/>
    <x v="0"/>
    <x v="0"/>
    <x v="0"/>
    <x v="0"/>
    <x v="0"/>
  </r>
  <r>
    <n v="31883"/>
    <x v="15"/>
    <x v="4"/>
    <x v="340"/>
    <x v="5"/>
    <x v="1747"/>
    <x v="0"/>
    <d v="2024-05-02T00:00:00"/>
    <d v="2024-05-07T00:00:00"/>
    <x v="1"/>
    <x v="1776"/>
    <x v="0"/>
    <x v="0"/>
    <x v="0"/>
    <x v="0"/>
    <x v="0"/>
    <x v="0"/>
  </r>
  <r>
    <n v="61319"/>
    <x v="4"/>
    <x v="0"/>
    <x v="329"/>
    <x v="1"/>
    <x v="1748"/>
    <x v="3"/>
    <d v="2024-07-24T00:00:00"/>
    <d v="2024-08-12T00:00:00"/>
    <x v="1"/>
    <x v="1777"/>
    <x v="1"/>
    <x v="55"/>
    <x v="1"/>
    <x v="1"/>
    <x v="1"/>
    <x v="1"/>
  </r>
  <r>
    <n v="43971"/>
    <x v="16"/>
    <x v="3"/>
    <x v="291"/>
    <x v="3"/>
    <x v="1749"/>
    <x v="3"/>
    <d v="2024-11-15T00:00:00"/>
    <d v="2024-11-27T00:00:00"/>
    <x v="0"/>
    <x v="1778"/>
    <x v="0"/>
    <x v="0"/>
    <x v="0"/>
    <x v="0"/>
    <x v="0"/>
    <x v="0"/>
  </r>
  <r>
    <n v="30114"/>
    <x v="11"/>
    <x v="4"/>
    <x v="111"/>
    <x v="5"/>
    <x v="1750"/>
    <x v="0"/>
    <d v="2024-08-06T00:00:00"/>
    <d v="2024-09-10T00:00:00"/>
    <x v="2"/>
    <x v="1779"/>
    <x v="0"/>
    <x v="0"/>
    <x v="0"/>
    <x v="0"/>
    <x v="0"/>
    <x v="1"/>
  </r>
  <r>
    <n v="48973"/>
    <x v="6"/>
    <x v="3"/>
    <x v="384"/>
    <x v="5"/>
    <x v="1751"/>
    <x v="2"/>
    <d v="2024-02-22T00:00:00"/>
    <d v="2024-02-28T00:00:00"/>
    <x v="2"/>
    <x v="1780"/>
    <x v="0"/>
    <x v="0"/>
    <x v="0"/>
    <x v="0"/>
    <x v="0"/>
    <x v="0"/>
  </r>
  <r>
    <n v="93611"/>
    <x v="3"/>
    <x v="2"/>
    <x v="302"/>
    <x v="4"/>
    <x v="1752"/>
    <x v="1"/>
    <d v="2024-03-29T00:00:00"/>
    <d v="2024-05-03T00:00:00"/>
    <x v="1"/>
    <x v="1781"/>
    <x v="0"/>
    <x v="0"/>
    <x v="0"/>
    <x v="0"/>
    <x v="0"/>
    <x v="0"/>
  </r>
  <r>
    <n v="42632"/>
    <x v="4"/>
    <x v="0"/>
    <x v="189"/>
    <x v="0"/>
    <x v="1753"/>
    <x v="3"/>
    <d v="2024-08-07T00:00:00"/>
    <d v="2024-08-23T00:00:00"/>
    <x v="2"/>
    <x v="1782"/>
    <x v="0"/>
    <x v="0"/>
    <x v="0"/>
    <x v="0"/>
    <x v="0"/>
    <x v="1"/>
  </r>
  <r>
    <n v="65175"/>
    <x v="12"/>
    <x v="0"/>
    <x v="420"/>
    <x v="2"/>
    <x v="1754"/>
    <x v="0"/>
    <d v="2024-02-03T00:00:00"/>
    <d v="2024-02-20T00:00:00"/>
    <x v="0"/>
    <x v="1783"/>
    <x v="0"/>
    <x v="0"/>
    <x v="0"/>
    <x v="0"/>
    <x v="0"/>
    <x v="0"/>
  </r>
  <r>
    <n v="36190"/>
    <x v="4"/>
    <x v="0"/>
    <x v="181"/>
    <x v="1"/>
    <x v="343"/>
    <x v="3"/>
    <d v="2024-08-28T00:00:00"/>
    <d v="2024-09-08T00:00:00"/>
    <x v="2"/>
    <x v="1784"/>
    <x v="0"/>
    <x v="0"/>
    <x v="0"/>
    <x v="0"/>
    <x v="0"/>
    <x v="1"/>
  </r>
  <r>
    <n v="89455"/>
    <x v="4"/>
    <x v="0"/>
    <x v="49"/>
    <x v="6"/>
    <x v="1755"/>
    <x v="4"/>
    <d v="2024-04-13T00:00:00"/>
    <d v="2024-05-03T00:00:00"/>
    <x v="2"/>
    <x v="1785"/>
    <x v="0"/>
    <x v="0"/>
    <x v="0"/>
    <x v="0"/>
    <x v="0"/>
    <x v="1"/>
  </r>
  <r>
    <n v="39692"/>
    <x v="4"/>
    <x v="0"/>
    <x v="239"/>
    <x v="6"/>
    <x v="1756"/>
    <x v="3"/>
    <d v="2024-07-09T00:00:00"/>
    <d v="2024-07-16T00:00:00"/>
    <x v="0"/>
    <x v="1786"/>
    <x v="1"/>
    <x v="80"/>
    <x v="1"/>
    <x v="1"/>
    <x v="1"/>
    <x v="1"/>
  </r>
  <r>
    <n v="19605"/>
    <x v="2"/>
    <x v="1"/>
    <x v="121"/>
    <x v="5"/>
    <x v="757"/>
    <x v="3"/>
    <d v="2024-06-21T00:00:00"/>
    <d v="2024-07-27T00:00:00"/>
    <x v="0"/>
    <x v="1787"/>
    <x v="0"/>
    <x v="0"/>
    <x v="0"/>
    <x v="0"/>
    <x v="0"/>
    <x v="0"/>
  </r>
  <r>
    <n v="68618"/>
    <x v="9"/>
    <x v="1"/>
    <x v="17"/>
    <x v="5"/>
    <x v="1757"/>
    <x v="3"/>
    <d v="2024-07-29T00:00:00"/>
    <d v="2024-08-22T00:00:00"/>
    <x v="1"/>
    <x v="1788"/>
    <x v="0"/>
    <x v="0"/>
    <x v="0"/>
    <x v="0"/>
    <x v="0"/>
    <x v="1"/>
  </r>
  <r>
    <n v="33386"/>
    <x v="4"/>
    <x v="0"/>
    <x v="61"/>
    <x v="2"/>
    <x v="1758"/>
    <x v="0"/>
    <d v="2024-06-11T00:00:00"/>
    <d v="2024-06-25T00:00:00"/>
    <x v="0"/>
    <x v="1789"/>
    <x v="0"/>
    <x v="0"/>
    <x v="0"/>
    <x v="0"/>
    <x v="0"/>
    <x v="0"/>
  </r>
  <r>
    <n v="65097"/>
    <x v="0"/>
    <x v="0"/>
    <x v="361"/>
    <x v="0"/>
    <x v="1759"/>
    <x v="3"/>
    <d v="2024-09-16T00:00:00"/>
    <d v="2024-10-03T00:00:00"/>
    <x v="1"/>
    <x v="1790"/>
    <x v="1"/>
    <x v="43"/>
    <x v="1"/>
    <x v="1"/>
    <x v="1"/>
    <x v="1"/>
  </r>
  <r>
    <n v="55167"/>
    <x v="15"/>
    <x v="4"/>
    <x v="423"/>
    <x v="4"/>
    <x v="1760"/>
    <x v="0"/>
    <d v="2024-09-06T00:00:00"/>
    <d v="2024-10-02T00:00:00"/>
    <x v="1"/>
    <x v="1791"/>
    <x v="0"/>
    <x v="0"/>
    <x v="0"/>
    <x v="0"/>
    <x v="0"/>
    <x v="1"/>
  </r>
  <r>
    <n v="42259"/>
    <x v="2"/>
    <x v="1"/>
    <x v="335"/>
    <x v="2"/>
    <x v="1761"/>
    <x v="4"/>
    <d v="2024-06-29T00:00:00"/>
    <d v="2024-07-06T00:00:00"/>
    <x v="0"/>
    <x v="1792"/>
    <x v="0"/>
    <x v="0"/>
    <x v="0"/>
    <x v="0"/>
    <x v="0"/>
    <x v="0"/>
  </r>
  <r>
    <n v="53199"/>
    <x v="8"/>
    <x v="1"/>
    <x v="190"/>
    <x v="0"/>
    <x v="1762"/>
    <x v="4"/>
    <d v="2024-03-26T00:00:00"/>
    <d v="2024-04-19T00:00:00"/>
    <x v="2"/>
    <x v="1793"/>
    <x v="0"/>
    <x v="0"/>
    <x v="0"/>
    <x v="0"/>
    <x v="0"/>
    <x v="0"/>
  </r>
  <r>
    <n v="15717"/>
    <x v="11"/>
    <x v="4"/>
    <x v="299"/>
    <x v="6"/>
    <x v="1763"/>
    <x v="0"/>
    <d v="2024-07-28T00:00:00"/>
    <d v="2024-08-12T00:00:00"/>
    <x v="2"/>
    <x v="1794"/>
    <x v="1"/>
    <x v="111"/>
    <x v="1"/>
    <x v="1"/>
    <x v="1"/>
    <x v="1"/>
  </r>
  <r>
    <n v="25198"/>
    <x v="11"/>
    <x v="4"/>
    <x v="237"/>
    <x v="2"/>
    <x v="1764"/>
    <x v="3"/>
    <d v="2024-05-08T00:00:00"/>
    <d v="2024-05-21T00:00:00"/>
    <x v="1"/>
    <x v="1795"/>
    <x v="0"/>
    <x v="0"/>
    <x v="0"/>
    <x v="0"/>
    <x v="0"/>
    <x v="0"/>
  </r>
  <r>
    <n v="36547"/>
    <x v="7"/>
    <x v="3"/>
    <x v="176"/>
    <x v="6"/>
    <x v="1765"/>
    <x v="3"/>
    <d v="2024-03-27T00:00:00"/>
    <d v="2024-04-11T00:00:00"/>
    <x v="2"/>
    <x v="1796"/>
    <x v="1"/>
    <x v="18"/>
    <x v="1"/>
    <x v="1"/>
    <x v="1"/>
    <x v="1"/>
  </r>
  <r>
    <n v="98636"/>
    <x v="7"/>
    <x v="3"/>
    <x v="373"/>
    <x v="2"/>
    <x v="1766"/>
    <x v="0"/>
    <d v="2024-06-18T00:00:00"/>
    <d v="2024-07-18T00:00:00"/>
    <x v="1"/>
    <x v="1797"/>
    <x v="0"/>
    <x v="0"/>
    <x v="0"/>
    <x v="0"/>
    <x v="0"/>
    <x v="0"/>
  </r>
  <r>
    <n v="24248"/>
    <x v="15"/>
    <x v="4"/>
    <x v="264"/>
    <x v="4"/>
    <x v="1767"/>
    <x v="1"/>
    <d v="2024-02-08T00:00:00"/>
    <d v="2024-03-04T00:00:00"/>
    <x v="1"/>
    <x v="1798"/>
    <x v="0"/>
    <x v="0"/>
    <x v="0"/>
    <x v="0"/>
    <x v="0"/>
    <x v="0"/>
  </r>
  <r>
    <n v="87994"/>
    <x v="7"/>
    <x v="3"/>
    <x v="1"/>
    <x v="2"/>
    <x v="1768"/>
    <x v="2"/>
    <d v="2024-05-25T00:00:00"/>
    <d v="2024-06-13T00:00:00"/>
    <x v="0"/>
    <x v="1799"/>
    <x v="0"/>
    <x v="0"/>
    <x v="0"/>
    <x v="0"/>
    <x v="0"/>
    <x v="0"/>
  </r>
  <r>
    <n v="44094"/>
    <x v="16"/>
    <x v="3"/>
    <x v="127"/>
    <x v="2"/>
    <x v="1769"/>
    <x v="1"/>
    <d v="2024-08-15T00:00:00"/>
    <d v="2024-09-19T00:00:00"/>
    <x v="2"/>
    <x v="1800"/>
    <x v="0"/>
    <x v="0"/>
    <x v="0"/>
    <x v="0"/>
    <x v="0"/>
    <x v="0"/>
  </r>
  <r>
    <n v="42089"/>
    <x v="15"/>
    <x v="4"/>
    <x v="312"/>
    <x v="4"/>
    <x v="1770"/>
    <x v="2"/>
    <d v="2024-09-06T00:00:00"/>
    <d v="2024-09-29T00:00:00"/>
    <x v="2"/>
    <x v="1801"/>
    <x v="0"/>
    <x v="0"/>
    <x v="0"/>
    <x v="0"/>
    <x v="0"/>
    <x v="1"/>
  </r>
  <r>
    <n v="92864"/>
    <x v="6"/>
    <x v="3"/>
    <x v="349"/>
    <x v="0"/>
    <x v="1771"/>
    <x v="2"/>
    <d v="2024-11-05T00:00:00"/>
    <d v="2024-11-15T00:00:00"/>
    <x v="2"/>
    <x v="1802"/>
    <x v="0"/>
    <x v="0"/>
    <x v="0"/>
    <x v="0"/>
    <x v="0"/>
    <x v="0"/>
  </r>
  <r>
    <n v="17084"/>
    <x v="0"/>
    <x v="0"/>
    <x v="270"/>
    <x v="4"/>
    <x v="1772"/>
    <x v="4"/>
    <d v="2024-07-07T00:00:00"/>
    <d v="2024-07-13T00:00:00"/>
    <x v="1"/>
    <x v="1803"/>
    <x v="0"/>
    <x v="0"/>
    <x v="0"/>
    <x v="0"/>
    <x v="0"/>
    <x v="1"/>
  </r>
  <r>
    <n v="46668"/>
    <x v="7"/>
    <x v="3"/>
    <x v="163"/>
    <x v="3"/>
    <x v="1773"/>
    <x v="1"/>
    <d v="2024-07-25T00:00:00"/>
    <d v="2024-08-30T00:00:00"/>
    <x v="0"/>
    <x v="1804"/>
    <x v="0"/>
    <x v="0"/>
    <x v="0"/>
    <x v="0"/>
    <x v="0"/>
    <x v="0"/>
  </r>
  <r>
    <n v="14601"/>
    <x v="3"/>
    <x v="2"/>
    <x v="487"/>
    <x v="1"/>
    <x v="1774"/>
    <x v="0"/>
    <d v="2024-11-16T00:00:00"/>
    <d v="2024-12-04T00:00:00"/>
    <x v="2"/>
    <x v="1805"/>
    <x v="0"/>
    <x v="0"/>
    <x v="0"/>
    <x v="0"/>
    <x v="0"/>
    <x v="1"/>
  </r>
  <r>
    <n v="50854"/>
    <x v="2"/>
    <x v="1"/>
    <x v="200"/>
    <x v="4"/>
    <x v="1775"/>
    <x v="0"/>
    <d v="2024-04-09T00:00:00"/>
    <d v="2024-04-23T00:00:00"/>
    <x v="1"/>
    <x v="1806"/>
    <x v="0"/>
    <x v="0"/>
    <x v="0"/>
    <x v="0"/>
    <x v="0"/>
    <x v="0"/>
  </r>
  <r>
    <n v="97191"/>
    <x v="15"/>
    <x v="4"/>
    <x v="184"/>
    <x v="6"/>
    <x v="1776"/>
    <x v="2"/>
    <d v="2024-12-02T00:00:00"/>
    <d v="2024-12-24T00:00:00"/>
    <x v="1"/>
    <x v="1807"/>
    <x v="1"/>
    <x v="81"/>
    <x v="1"/>
    <x v="1"/>
    <x v="1"/>
    <x v="1"/>
  </r>
  <r>
    <n v="41300"/>
    <x v="13"/>
    <x v="3"/>
    <x v="304"/>
    <x v="3"/>
    <x v="1777"/>
    <x v="3"/>
    <d v="2024-06-10T00:00:00"/>
    <d v="2024-06-16T00:00:00"/>
    <x v="2"/>
    <x v="1808"/>
    <x v="0"/>
    <x v="0"/>
    <x v="0"/>
    <x v="0"/>
    <x v="0"/>
    <x v="1"/>
  </r>
  <r>
    <n v="66422"/>
    <x v="4"/>
    <x v="0"/>
    <x v="464"/>
    <x v="1"/>
    <x v="1778"/>
    <x v="4"/>
    <d v="2024-04-16T00:00:00"/>
    <d v="2024-04-28T00:00:00"/>
    <x v="0"/>
    <x v="1809"/>
    <x v="0"/>
    <x v="0"/>
    <x v="0"/>
    <x v="0"/>
    <x v="0"/>
    <x v="0"/>
  </r>
  <r>
    <n v="67135"/>
    <x v="3"/>
    <x v="2"/>
    <x v="394"/>
    <x v="5"/>
    <x v="1779"/>
    <x v="3"/>
    <d v="2024-09-06T00:00:00"/>
    <d v="2024-10-03T00:00:00"/>
    <x v="1"/>
    <x v="1810"/>
    <x v="0"/>
    <x v="0"/>
    <x v="0"/>
    <x v="0"/>
    <x v="0"/>
    <x v="0"/>
  </r>
  <r>
    <n v="40085"/>
    <x v="10"/>
    <x v="2"/>
    <x v="285"/>
    <x v="6"/>
    <x v="939"/>
    <x v="2"/>
    <d v="2024-11-05T00:00:00"/>
    <d v="2024-12-06T00:00:00"/>
    <x v="1"/>
    <x v="1811"/>
    <x v="1"/>
    <x v="101"/>
    <x v="1"/>
    <x v="1"/>
    <x v="1"/>
    <x v="1"/>
  </r>
  <r>
    <n v="26057"/>
    <x v="0"/>
    <x v="0"/>
    <x v="441"/>
    <x v="5"/>
    <x v="1780"/>
    <x v="1"/>
    <d v="2024-01-07T00:00:00"/>
    <d v="2024-02-06T00:00:00"/>
    <x v="2"/>
    <x v="1812"/>
    <x v="0"/>
    <x v="0"/>
    <x v="0"/>
    <x v="0"/>
    <x v="0"/>
    <x v="1"/>
  </r>
  <r>
    <n v="43149"/>
    <x v="13"/>
    <x v="3"/>
    <x v="70"/>
    <x v="6"/>
    <x v="1781"/>
    <x v="4"/>
    <d v="2024-04-24T00:00:00"/>
    <d v="2024-05-22T00:00:00"/>
    <x v="2"/>
    <x v="1813"/>
    <x v="0"/>
    <x v="0"/>
    <x v="0"/>
    <x v="0"/>
    <x v="0"/>
    <x v="0"/>
  </r>
  <r>
    <n v="66869"/>
    <x v="6"/>
    <x v="3"/>
    <x v="252"/>
    <x v="6"/>
    <x v="1782"/>
    <x v="3"/>
    <d v="2024-02-13T00:00:00"/>
    <d v="2024-03-02T00:00:00"/>
    <x v="0"/>
    <x v="1814"/>
    <x v="0"/>
    <x v="0"/>
    <x v="0"/>
    <x v="0"/>
    <x v="0"/>
    <x v="1"/>
  </r>
  <r>
    <n v="65333"/>
    <x v="14"/>
    <x v="4"/>
    <x v="132"/>
    <x v="1"/>
    <x v="1783"/>
    <x v="0"/>
    <d v="2024-03-26T00:00:00"/>
    <d v="2024-04-02T00:00:00"/>
    <x v="1"/>
    <x v="1815"/>
    <x v="0"/>
    <x v="0"/>
    <x v="0"/>
    <x v="0"/>
    <x v="0"/>
    <x v="0"/>
  </r>
  <r>
    <n v="10792"/>
    <x v="2"/>
    <x v="1"/>
    <x v="372"/>
    <x v="6"/>
    <x v="1784"/>
    <x v="2"/>
    <d v="2024-11-21T00:00:00"/>
    <d v="2024-11-26T00:00:00"/>
    <x v="1"/>
    <x v="1816"/>
    <x v="0"/>
    <x v="0"/>
    <x v="0"/>
    <x v="0"/>
    <x v="0"/>
    <x v="1"/>
  </r>
  <r>
    <n v="54870"/>
    <x v="14"/>
    <x v="4"/>
    <x v="401"/>
    <x v="0"/>
    <x v="1785"/>
    <x v="1"/>
    <d v="2024-04-22T00:00:00"/>
    <d v="2024-04-27T00:00:00"/>
    <x v="1"/>
    <x v="1817"/>
    <x v="0"/>
    <x v="0"/>
    <x v="0"/>
    <x v="0"/>
    <x v="0"/>
    <x v="0"/>
  </r>
  <r>
    <n v="24937"/>
    <x v="5"/>
    <x v="2"/>
    <x v="319"/>
    <x v="0"/>
    <x v="1786"/>
    <x v="0"/>
    <d v="2024-09-25T00:00:00"/>
    <d v="2024-10-19T00:00:00"/>
    <x v="0"/>
    <x v="1818"/>
    <x v="0"/>
    <x v="0"/>
    <x v="0"/>
    <x v="0"/>
    <x v="0"/>
    <x v="0"/>
  </r>
  <r>
    <n v="58122"/>
    <x v="8"/>
    <x v="1"/>
    <x v="27"/>
    <x v="4"/>
    <x v="1787"/>
    <x v="2"/>
    <d v="2024-08-29T00:00:00"/>
    <d v="2024-10-06T00:00:00"/>
    <x v="0"/>
    <x v="1819"/>
    <x v="0"/>
    <x v="0"/>
    <x v="0"/>
    <x v="0"/>
    <x v="0"/>
    <x v="0"/>
  </r>
  <r>
    <n v="73175"/>
    <x v="5"/>
    <x v="2"/>
    <x v="30"/>
    <x v="6"/>
    <x v="620"/>
    <x v="1"/>
    <d v="2024-06-04T00:00:00"/>
    <d v="2024-06-29T00:00:00"/>
    <x v="2"/>
    <x v="1820"/>
    <x v="0"/>
    <x v="0"/>
    <x v="0"/>
    <x v="0"/>
    <x v="0"/>
    <x v="1"/>
  </r>
  <r>
    <n v="21447"/>
    <x v="11"/>
    <x v="4"/>
    <x v="111"/>
    <x v="4"/>
    <x v="1788"/>
    <x v="0"/>
    <d v="2024-08-12T00:00:00"/>
    <d v="2024-08-20T00:00:00"/>
    <x v="2"/>
    <x v="1821"/>
    <x v="0"/>
    <x v="0"/>
    <x v="0"/>
    <x v="0"/>
    <x v="0"/>
    <x v="0"/>
  </r>
  <r>
    <n v="12589"/>
    <x v="4"/>
    <x v="0"/>
    <x v="471"/>
    <x v="4"/>
    <x v="1789"/>
    <x v="3"/>
    <d v="2024-12-19T00:00:00"/>
    <d v="2024-12-25T00:00:00"/>
    <x v="1"/>
    <x v="1822"/>
    <x v="0"/>
    <x v="0"/>
    <x v="0"/>
    <x v="0"/>
    <x v="0"/>
    <x v="1"/>
  </r>
  <r>
    <n v="71104"/>
    <x v="11"/>
    <x v="4"/>
    <x v="354"/>
    <x v="2"/>
    <x v="1790"/>
    <x v="3"/>
    <d v="2024-08-15T00:00:00"/>
    <d v="2024-08-31T00:00:00"/>
    <x v="0"/>
    <x v="1823"/>
    <x v="0"/>
    <x v="0"/>
    <x v="0"/>
    <x v="0"/>
    <x v="0"/>
    <x v="0"/>
  </r>
  <r>
    <n v="60298"/>
    <x v="5"/>
    <x v="2"/>
    <x v="140"/>
    <x v="5"/>
    <x v="1791"/>
    <x v="4"/>
    <d v="2024-12-25T00:00:00"/>
    <d v="2025-01-03T00:00:00"/>
    <x v="0"/>
    <x v="1824"/>
    <x v="1"/>
    <x v="5"/>
    <x v="1"/>
    <x v="1"/>
    <x v="1"/>
    <x v="1"/>
  </r>
  <r>
    <n v="46366"/>
    <x v="3"/>
    <x v="2"/>
    <x v="90"/>
    <x v="6"/>
    <x v="1792"/>
    <x v="2"/>
    <d v="2024-03-22T00:00:00"/>
    <d v="2024-04-07T00:00:00"/>
    <x v="1"/>
    <x v="1825"/>
    <x v="0"/>
    <x v="0"/>
    <x v="0"/>
    <x v="0"/>
    <x v="0"/>
    <x v="0"/>
  </r>
  <r>
    <n v="45779"/>
    <x v="15"/>
    <x v="4"/>
    <x v="462"/>
    <x v="2"/>
    <x v="1793"/>
    <x v="0"/>
    <d v="2024-11-02T00:00:00"/>
    <d v="2024-11-14T00:00:00"/>
    <x v="1"/>
    <x v="1826"/>
    <x v="0"/>
    <x v="0"/>
    <x v="0"/>
    <x v="0"/>
    <x v="0"/>
    <x v="0"/>
  </r>
  <r>
    <n v="76555"/>
    <x v="3"/>
    <x v="2"/>
    <x v="485"/>
    <x v="3"/>
    <x v="1794"/>
    <x v="1"/>
    <d v="2024-10-12T00:00:00"/>
    <d v="2024-11-15T00:00:00"/>
    <x v="0"/>
    <x v="1827"/>
    <x v="0"/>
    <x v="0"/>
    <x v="0"/>
    <x v="0"/>
    <x v="0"/>
    <x v="0"/>
  </r>
  <r>
    <n v="65165"/>
    <x v="15"/>
    <x v="4"/>
    <x v="171"/>
    <x v="0"/>
    <x v="1795"/>
    <x v="4"/>
    <d v="2024-05-03T00:00:00"/>
    <d v="2024-05-20T00:00:00"/>
    <x v="2"/>
    <x v="1828"/>
    <x v="0"/>
    <x v="0"/>
    <x v="0"/>
    <x v="0"/>
    <x v="0"/>
    <x v="0"/>
  </r>
  <r>
    <n v="97404"/>
    <x v="10"/>
    <x v="2"/>
    <x v="238"/>
    <x v="2"/>
    <x v="1796"/>
    <x v="4"/>
    <d v="2024-05-27T00:00:00"/>
    <d v="2024-06-14T00:00:00"/>
    <x v="1"/>
    <x v="1829"/>
    <x v="0"/>
    <x v="0"/>
    <x v="0"/>
    <x v="0"/>
    <x v="0"/>
    <x v="0"/>
  </r>
  <r>
    <n v="94351"/>
    <x v="10"/>
    <x v="2"/>
    <x v="382"/>
    <x v="3"/>
    <x v="1797"/>
    <x v="1"/>
    <d v="2024-08-19T00:00:00"/>
    <d v="2024-08-26T00:00:00"/>
    <x v="2"/>
    <x v="1830"/>
    <x v="0"/>
    <x v="0"/>
    <x v="0"/>
    <x v="0"/>
    <x v="0"/>
    <x v="0"/>
  </r>
  <r>
    <n v="97081"/>
    <x v="14"/>
    <x v="4"/>
    <x v="132"/>
    <x v="2"/>
    <x v="1798"/>
    <x v="4"/>
    <d v="2024-04-29T00:00:00"/>
    <d v="2024-05-19T00:00:00"/>
    <x v="2"/>
    <x v="1831"/>
    <x v="0"/>
    <x v="0"/>
    <x v="0"/>
    <x v="0"/>
    <x v="0"/>
    <x v="0"/>
  </r>
  <r>
    <n v="72979"/>
    <x v="8"/>
    <x v="1"/>
    <x v="291"/>
    <x v="5"/>
    <x v="1799"/>
    <x v="1"/>
    <d v="2024-07-07T00:00:00"/>
    <d v="2024-07-15T00:00:00"/>
    <x v="0"/>
    <x v="1832"/>
    <x v="0"/>
    <x v="0"/>
    <x v="0"/>
    <x v="0"/>
    <x v="0"/>
    <x v="0"/>
  </r>
  <r>
    <n v="27007"/>
    <x v="5"/>
    <x v="2"/>
    <x v="482"/>
    <x v="1"/>
    <x v="1800"/>
    <x v="4"/>
    <d v="2024-05-07T00:00:00"/>
    <d v="2024-06-01T00:00:00"/>
    <x v="0"/>
    <x v="1833"/>
    <x v="0"/>
    <x v="0"/>
    <x v="0"/>
    <x v="0"/>
    <x v="0"/>
    <x v="0"/>
  </r>
  <r>
    <n v="74367"/>
    <x v="15"/>
    <x v="4"/>
    <x v="30"/>
    <x v="2"/>
    <x v="1801"/>
    <x v="3"/>
    <d v="2024-02-14T00:00:00"/>
    <d v="2024-03-07T00:00:00"/>
    <x v="2"/>
    <x v="1834"/>
    <x v="0"/>
    <x v="0"/>
    <x v="0"/>
    <x v="0"/>
    <x v="0"/>
    <x v="0"/>
  </r>
  <r>
    <n v="70482"/>
    <x v="9"/>
    <x v="1"/>
    <x v="222"/>
    <x v="3"/>
    <x v="1802"/>
    <x v="0"/>
    <d v="2024-08-15T00:00:00"/>
    <d v="2024-09-23T00:00:00"/>
    <x v="0"/>
    <x v="1835"/>
    <x v="0"/>
    <x v="0"/>
    <x v="0"/>
    <x v="0"/>
    <x v="0"/>
    <x v="1"/>
  </r>
  <r>
    <n v="30967"/>
    <x v="5"/>
    <x v="2"/>
    <x v="456"/>
    <x v="5"/>
    <x v="1803"/>
    <x v="1"/>
    <d v="2024-10-27T00:00:00"/>
    <d v="2024-11-07T00:00:00"/>
    <x v="0"/>
    <x v="1836"/>
    <x v="0"/>
    <x v="0"/>
    <x v="0"/>
    <x v="0"/>
    <x v="0"/>
    <x v="0"/>
  </r>
  <r>
    <n v="70200"/>
    <x v="8"/>
    <x v="1"/>
    <x v="121"/>
    <x v="3"/>
    <x v="1804"/>
    <x v="1"/>
    <d v="2024-04-21T00:00:00"/>
    <d v="2024-05-24T00:00:00"/>
    <x v="2"/>
    <x v="1837"/>
    <x v="0"/>
    <x v="0"/>
    <x v="0"/>
    <x v="0"/>
    <x v="0"/>
    <x v="0"/>
  </r>
  <r>
    <n v="70587"/>
    <x v="13"/>
    <x v="3"/>
    <x v="333"/>
    <x v="2"/>
    <x v="1805"/>
    <x v="1"/>
    <d v="2024-10-23T00:00:00"/>
    <d v="2024-11-05T00:00:00"/>
    <x v="1"/>
    <x v="1838"/>
    <x v="0"/>
    <x v="0"/>
    <x v="0"/>
    <x v="0"/>
    <x v="0"/>
    <x v="0"/>
  </r>
  <r>
    <n v="31661"/>
    <x v="6"/>
    <x v="3"/>
    <x v="216"/>
    <x v="2"/>
    <x v="1806"/>
    <x v="1"/>
    <d v="2024-12-03T00:00:00"/>
    <d v="2024-12-21T00:00:00"/>
    <x v="0"/>
    <x v="1839"/>
    <x v="0"/>
    <x v="0"/>
    <x v="0"/>
    <x v="0"/>
    <x v="0"/>
    <x v="0"/>
  </r>
  <r>
    <n v="34198"/>
    <x v="3"/>
    <x v="2"/>
    <x v="113"/>
    <x v="4"/>
    <x v="1310"/>
    <x v="1"/>
    <d v="2024-09-27T00:00:00"/>
    <d v="2024-10-21T00:00:00"/>
    <x v="1"/>
    <x v="1840"/>
    <x v="0"/>
    <x v="0"/>
    <x v="0"/>
    <x v="0"/>
    <x v="0"/>
    <x v="0"/>
  </r>
  <r>
    <n v="47443"/>
    <x v="15"/>
    <x v="4"/>
    <x v="36"/>
    <x v="1"/>
    <x v="1807"/>
    <x v="4"/>
    <d v="2024-11-01T00:00:00"/>
    <d v="2024-11-07T00:00:00"/>
    <x v="0"/>
    <x v="1841"/>
    <x v="0"/>
    <x v="0"/>
    <x v="0"/>
    <x v="0"/>
    <x v="0"/>
    <x v="0"/>
  </r>
  <r>
    <n v="57280"/>
    <x v="14"/>
    <x v="4"/>
    <x v="396"/>
    <x v="1"/>
    <x v="1808"/>
    <x v="1"/>
    <d v="2024-01-02T00:00:00"/>
    <d v="2024-01-24T00:00:00"/>
    <x v="1"/>
    <x v="1842"/>
    <x v="0"/>
    <x v="0"/>
    <x v="0"/>
    <x v="0"/>
    <x v="0"/>
    <x v="0"/>
  </r>
  <r>
    <n v="53025"/>
    <x v="8"/>
    <x v="1"/>
    <x v="171"/>
    <x v="3"/>
    <x v="1749"/>
    <x v="1"/>
    <d v="2024-10-31T00:00:00"/>
    <d v="2024-12-08T00:00:00"/>
    <x v="2"/>
    <x v="1843"/>
    <x v="0"/>
    <x v="0"/>
    <x v="0"/>
    <x v="0"/>
    <x v="0"/>
    <x v="0"/>
  </r>
  <r>
    <n v="69169"/>
    <x v="10"/>
    <x v="2"/>
    <x v="230"/>
    <x v="1"/>
    <x v="1809"/>
    <x v="3"/>
    <d v="2024-11-15T00:00:00"/>
    <d v="2024-11-21T00:00:00"/>
    <x v="0"/>
    <x v="1844"/>
    <x v="0"/>
    <x v="0"/>
    <x v="0"/>
    <x v="0"/>
    <x v="0"/>
    <x v="0"/>
  </r>
  <r>
    <n v="15131"/>
    <x v="12"/>
    <x v="0"/>
    <x v="346"/>
    <x v="3"/>
    <x v="1810"/>
    <x v="2"/>
    <d v="2024-08-19T00:00:00"/>
    <d v="2024-09-02T00:00:00"/>
    <x v="1"/>
    <x v="1845"/>
    <x v="0"/>
    <x v="0"/>
    <x v="0"/>
    <x v="0"/>
    <x v="0"/>
    <x v="0"/>
  </r>
  <r>
    <n v="10891"/>
    <x v="2"/>
    <x v="1"/>
    <x v="264"/>
    <x v="2"/>
    <x v="1811"/>
    <x v="4"/>
    <d v="2024-12-02T00:00:00"/>
    <d v="2025-01-08T00:00:00"/>
    <x v="2"/>
    <x v="1846"/>
    <x v="0"/>
    <x v="0"/>
    <x v="0"/>
    <x v="0"/>
    <x v="0"/>
    <x v="0"/>
  </r>
  <r>
    <n v="32778"/>
    <x v="0"/>
    <x v="0"/>
    <x v="429"/>
    <x v="2"/>
    <x v="1812"/>
    <x v="0"/>
    <d v="2024-10-19T00:00:00"/>
    <d v="2024-10-25T00:00:00"/>
    <x v="0"/>
    <x v="1847"/>
    <x v="0"/>
    <x v="0"/>
    <x v="0"/>
    <x v="0"/>
    <x v="0"/>
    <x v="0"/>
  </r>
  <r>
    <n v="29521"/>
    <x v="14"/>
    <x v="4"/>
    <x v="71"/>
    <x v="1"/>
    <x v="1813"/>
    <x v="0"/>
    <d v="2024-07-22T00:00:00"/>
    <d v="2024-07-31T00:00:00"/>
    <x v="1"/>
    <x v="1848"/>
    <x v="0"/>
    <x v="0"/>
    <x v="0"/>
    <x v="0"/>
    <x v="0"/>
    <x v="0"/>
  </r>
  <r>
    <n v="50376"/>
    <x v="5"/>
    <x v="2"/>
    <x v="28"/>
    <x v="3"/>
    <x v="1814"/>
    <x v="1"/>
    <d v="2024-08-05T00:00:00"/>
    <d v="2024-08-24T00:00:00"/>
    <x v="2"/>
    <x v="1849"/>
    <x v="0"/>
    <x v="0"/>
    <x v="0"/>
    <x v="0"/>
    <x v="0"/>
    <x v="0"/>
  </r>
  <r>
    <n v="46775"/>
    <x v="9"/>
    <x v="1"/>
    <x v="474"/>
    <x v="1"/>
    <x v="1815"/>
    <x v="1"/>
    <d v="2024-04-19T00:00:00"/>
    <d v="2024-05-26T00:00:00"/>
    <x v="2"/>
    <x v="1850"/>
    <x v="1"/>
    <x v="64"/>
    <x v="1"/>
    <x v="1"/>
    <x v="1"/>
    <x v="1"/>
  </r>
  <r>
    <n v="17101"/>
    <x v="8"/>
    <x v="1"/>
    <x v="45"/>
    <x v="3"/>
    <x v="1816"/>
    <x v="4"/>
    <d v="2024-10-09T00:00:00"/>
    <d v="2024-10-19T00:00:00"/>
    <x v="2"/>
    <x v="1851"/>
    <x v="0"/>
    <x v="0"/>
    <x v="0"/>
    <x v="0"/>
    <x v="0"/>
    <x v="1"/>
  </r>
  <r>
    <n v="29276"/>
    <x v="11"/>
    <x v="4"/>
    <x v="208"/>
    <x v="4"/>
    <x v="1817"/>
    <x v="1"/>
    <d v="2024-01-28T00:00:00"/>
    <d v="2024-03-04T00:00:00"/>
    <x v="1"/>
    <x v="1852"/>
    <x v="0"/>
    <x v="0"/>
    <x v="0"/>
    <x v="0"/>
    <x v="0"/>
    <x v="0"/>
  </r>
  <r>
    <n v="20862"/>
    <x v="10"/>
    <x v="2"/>
    <x v="35"/>
    <x v="0"/>
    <x v="1818"/>
    <x v="3"/>
    <d v="2024-12-20T00:00:00"/>
    <d v="2025-01-07T00:00:00"/>
    <x v="2"/>
    <x v="1853"/>
    <x v="0"/>
    <x v="0"/>
    <x v="0"/>
    <x v="0"/>
    <x v="0"/>
    <x v="0"/>
  </r>
  <r>
    <n v="32942"/>
    <x v="14"/>
    <x v="4"/>
    <x v="370"/>
    <x v="4"/>
    <x v="1819"/>
    <x v="2"/>
    <d v="2024-11-26T00:00:00"/>
    <d v="2024-12-13T00:00:00"/>
    <x v="0"/>
    <x v="1854"/>
    <x v="0"/>
    <x v="0"/>
    <x v="0"/>
    <x v="0"/>
    <x v="0"/>
    <x v="0"/>
  </r>
  <r>
    <n v="68434"/>
    <x v="14"/>
    <x v="4"/>
    <x v="99"/>
    <x v="2"/>
    <x v="1820"/>
    <x v="0"/>
    <d v="2024-03-22T00:00:00"/>
    <d v="2024-04-01T00:00:00"/>
    <x v="2"/>
    <x v="1855"/>
    <x v="0"/>
    <x v="0"/>
    <x v="0"/>
    <x v="0"/>
    <x v="0"/>
    <x v="0"/>
  </r>
  <r>
    <n v="50693"/>
    <x v="10"/>
    <x v="2"/>
    <x v="443"/>
    <x v="5"/>
    <x v="1821"/>
    <x v="0"/>
    <d v="2024-10-28T00:00:00"/>
    <d v="2024-11-20T00:00:00"/>
    <x v="0"/>
    <x v="1856"/>
    <x v="0"/>
    <x v="0"/>
    <x v="0"/>
    <x v="0"/>
    <x v="0"/>
    <x v="1"/>
  </r>
  <r>
    <n v="21440"/>
    <x v="13"/>
    <x v="3"/>
    <x v="89"/>
    <x v="2"/>
    <x v="1822"/>
    <x v="2"/>
    <d v="2024-09-16T00:00:00"/>
    <d v="2024-10-15T00:00:00"/>
    <x v="2"/>
    <x v="1857"/>
    <x v="0"/>
    <x v="0"/>
    <x v="0"/>
    <x v="0"/>
    <x v="0"/>
    <x v="0"/>
  </r>
  <r>
    <n v="81839"/>
    <x v="14"/>
    <x v="4"/>
    <x v="174"/>
    <x v="0"/>
    <x v="1823"/>
    <x v="1"/>
    <d v="2024-09-03T00:00:00"/>
    <d v="2024-09-11T00:00:00"/>
    <x v="2"/>
    <x v="1858"/>
    <x v="0"/>
    <x v="0"/>
    <x v="0"/>
    <x v="0"/>
    <x v="0"/>
    <x v="0"/>
  </r>
  <r>
    <n v="78908"/>
    <x v="13"/>
    <x v="3"/>
    <x v="100"/>
    <x v="5"/>
    <x v="1824"/>
    <x v="2"/>
    <d v="2024-04-27T00:00:00"/>
    <d v="2024-05-19T00:00:00"/>
    <x v="0"/>
    <x v="1859"/>
    <x v="0"/>
    <x v="0"/>
    <x v="0"/>
    <x v="0"/>
    <x v="0"/>
    <x v="0"/>
  </r>
  <r>
    <n v="80683"/>
    <x v="9"/>
    <x v="1"/>
    <x v="76"/>
    <x v="3"/>
    <x v="1825"/>
    <x v="2"/>
    <d v="2024-10-23T00:00:00"/>
    <d v="2024-11-22T00:00:00"/>
    <x v="1"/>
    <x v="1860"/>
    <x v="0"/>
    <x v="0"/>
    <x v="0"/>
    <x v="0"/>
    <x v="0"/>
    <x v="0"/>
  </r>
  <r>
    <n v="45391"/>
    <x v="5"/>
    <x v="2"/>
    <x v="179"/>
    <x v="3"/>
    <x v="1826"/>
    <x v="2"/>
    <d v="2024-04-09T00:00:00"/>
    <d v="2024-05-02T00:00:00"/>
    <x v="1"/>
    <x v="1861"/>
    <x v="0"/>
    <x v="0"/>
    <x v="0"/>
    <x v="0"/>
    <x v="0"/>
    <x v="0"/>
  </r>
  <r>
    <n v="95380"/>
    <x v="4"/>
    <x v="0"/>
    <x v="57"/>
    <x v="2"/>
    <x v="1827"/>
    <x v="3"/>
    <d v="2024-04-01T00:00:00"/>
    <d v="2024-05-05T00:00:00"/>
    <x v="2"/>
    <x v="1862"/>
    <x v="0"/>
    <x v="0"/>
    <x v="0"/>
    <x v="0"/>
    <x v="0"/>
    <x v="0"/>
  </r>
  <r>
    <n v="52801"/>
    <x v="3"/>
    <x v="2"/>
    <x v="219"/>
    <x v="5"/>
    <x v="1828"/>
    <x v="1"/>
    <d v="2024-04-30T00:00:00"/>
    <d v="2024-05-10T00:00:00"/>
    <x v="1"/>
    <x v="1863"/>
    <x v="0"/>
    <x v="0"/>
    <x v="0"/>
    <x v="0"/>
    <x v="0"/>
    <x v="1"/>
  </r>
  <r>
    <n v="77602"/>
    <x v="8"/>
    <x v="1"/>
    <x v="103"/>
    <x v="3"/>
    <x v="1829"/>
    <x v="0"/>
    <d v="2024-02-17T00:00:00"/>
    <d v="2024-03-15T00:00:00"/>
    <x v="2"/>
    <x v="1864"/>
    <x v="0"/>
    <x v="0"/>
    <x v="0"/>
    <x v="0"/>
    <x v="0"/>
    <x v="0"/>
  </r>
  <r>
    <n v="56390"/>
    <x v="16"/>
    <x v="3"/>
    <x v="391"/>
    <x v="3"/>
    <x v="537"/>
    <x v="4"/>
    <d v="2024-05-29T00:00:00"/>
    <d v="2024-06-29T00:00:00"/>
    <x v="0"/>
    <x v="1865"/>
    <x v="0"/>
    <x v="0"/>
    <x v="0"/>
    <x v="0"/>
    <x v="0"/>
    <x v="0"/>
  </r>
  <r>
    <n v="82043"/>
    <x v="5"/>
    <x v="2"/>
    <x v="286"/>
    <x v="2"/>
    <x v="1830"/>
    <x v="0"/>
    <d v="2024-12-07T00:00:00"/>
    <d v="2025-01-06T00:00:00"/>
    <x v="1"/>
    <x v="1866"/>
    <x v="0"/>
    <x v="0"/>
    <x v="0"/>
    <x v="0"/>
    <x v="0"/>
    <x v="0"/>
  </r>
  <r>
    <n v="27970"/>
    <x v="2"/>
    <x v="1"/>
    <x v="488"/>
    <x v="4"/>
    <x v="1831"/>
    <x v="0"/>
    <d v="2024-08-23T00:00:00"/>
    <d v="2024-09-12T00:00:00"/>
    <x v="1"/>
    <x v="1867"/>
    <x v="0"/>
    <x v="0"/>
    <x v="0"/>
    <x v="0"/>
    <x v="0"/>
    <x v="0"/>
  </r>
  <r>
    <n v="93804"/>
    <x v="12"/>
    <x v="0"/>
    <x v="480"/>
    <x v="0"/>
    <x v="1217"/>
    <x v="1"/>
    <d v="2024-05-09T00:00:00"/>
    <d v="2024-06-06T00:00:00"/>
    <x v="2"/>
    <x v="1868"/>
    <x v="0"/>
    <x v="0"/>
    <x v="0"/>
    <x v="0"/>
    <x v="0"/>
    <x v="0"/>
  </r>
  <r>
    <n v="53030"/>
    <x v="11"/>
    <x v="4"/>
    <x v="106"/>
    <x v="4"/>
    <x v="1832"/>
    <x v="2"/>
    <d v="2024-06-17T00:00:00"/>
    <d v="2024-07-02T00:00:00"/>
    <x v="1"/>
    <x v="1869"/>
    <x v="0"/>
    <x v="0"/>
    <x v="0"/>
    <x v="0"/>
    <x v="0"/>
    <x v="0"/>
  </r>
  <r>
    <n v="80474"/>
    <x v="4"/>
    <x v="0"/>
    <x v="242"/>
    <x v="6"/>
    <x v="1833"/>
    <x v="0"/>
    <d v="2024-04-27T00:00:00"/>
    <d v="2024-05-07T00:00:00"/>
    <x v="0"/>
    <x v="1870"/>
    <x v="0"/>
    <x v="0"/>
    <x v="0"/>
    <x v="0"/>
    <x v="0"/>
    <x v="0"/>
  </r>
  <r>
    <n v="34146"/>
    <x v="5"/>
    <x v="2"/>
    <x v="107"/>
    <x v="1"/>
    <x v="1834"/>
    <x v="3"/>
    <d v="2024-09-05T00:00:00"/>
    <d v="2024-09-26T00:00:00"/>
    <x v="1"/>
    <x v="1871"/>
    <x v="1"/>
    <x v="68"/>
    <x v="1"/>
    <x v="1"/>
    <x v="1"/>
    <x v="1"/>
  </r>
  <r>
    <n v="48071"/>
    <x v="6"/>
    <x v="3"/>
    <x v="219"/>
    <x v="0"/>
    <x v="1835"/>
    <x v="4"/>
    <d v="2024-10-17T00:00:00"/>
    <d v="2024-11-06T00:00:00"/>
    <x v="1"/>
    <x v="1872"/>
    <x v="0"/>
    <x v="0"/>
    <x v="0"/>
    <x v="0"/>
    <x v="0"/>
    <x v="0"/>
  </r>
  <r>
    <n v="76535"/>
    <x v="5"/>
    <x v="2"/>
    <x v="378"/>
    <x v="4"/>
    <x v="1836"/>
    <x v="3"/>
    <d v="2024-10-15T00:00:00"/>
    <d v="2024-11-08T00:00:00"/>
    <x v="0"/>
    <x v="1873"/>
    <x v="0"/>
    <x v="0"/>
    <x v="0"/>
    <x v="0"/>
    <x v="0"/>
    <x v="0"/>
  </r>
  <r>
    <n v="72278"/>
    <x v="1"/>
    <x v="0"/>
    <x v="26"/>
    <x v="6"/>
    <x v="1837"/>
    <x v="1"/>
    <d v="2024-05-02T00:00:00"/>
    <d v="2024-05-28T00:00:00"/>
    <x v="1"/>
    <x v="1874"/>
    <x v="0"/>
    <x v="0"/>
    <x v="0"/>
    <x v="0"/>
    <x v="0"/>
    <x v="1"/>
  </r>
  <r>
    <n v="55564"/>
    <x v="9"/>
    <x v="1"/>
    <x v="489"/>
    <x v="1"/>
    <x v="1838"/>
    <x v="1"/>
    <d v="2024-07-14T00:00:00"/>
    <d v="2024-08-07T00:00:00"/>
    <x v="1"/>
    <x v="1875"/>
    <x v="0"/>
    <x v="0"/>
    <x v="0"/>
    <x v="0"/>
    <x v="0"/>
    <x v="1"/>
  </r>
  <r>
    <n v="82495"/>
    <x v="14"/>
    <x v="4"/>
    <x v="338"/>
    <x v="0"/>
    <x v="1839"/>
    <x v="0"/>
    <d v="2024-11-30T00:00:00"/>
    <d v="2024-12-10T00:00:00"/>
    <x v="2"/>
    <x v="1876"/>
    <x v="0"/>
    <x v="0"/>
    <x v="0"/>
    <x v="0"/>
    <x v="0"/>
    <x v="0"/>
  </r>
  <r>
    <n v="25437"/>
    <x v="1"/>
    <x v="0"/>
    <x v="125"/>
    <x v="3"/>
    <x v="1840"/>
    <x v="2"/>
    <d v="2024-01-19T00:00:00"/>
    <d v="2024-02-26T00:00:00"/>
    <x v="0"/>
    <x v="1877"/>
    <x v="0"/>
    <x v="0"/>
    <x v="0"/>
    <x v="0"/>
    <x v="0"/>
    <x v="0"/>
  </r>
  <r>
    <n v="31305"/>
    <x v="14"/>
    <x v="4"/>
    <x v="248"/>
    <x v="2"/>
    <x v="1841"/>
    <x v="0"/>
    <d v="2024-01-29T00:00:00"/>
    <d v="2024-03-02T00:00:00"/>
    <x v="1"/>
    <x v="1878"/>
    <x v="0"/>
    <x v="0"/>
    <x v="0"/>
    <x v="0"/>
    <x v="0"/>
    <x v="0"/>
  </r>
  <r>
    <n v="50122"/>
    <x v="3"/>
    <x v="2"/>
    <x v="118"/>
    <x v="5"/>
    <x v="1842"/>
    <x v="2"/>
    <d v="2024-07-24T00:00:00"/>
    <d v="2024-08-07T00:00:00"/>
    <x v="2"/>
    <x v="1879"/>
    <x v="0"/>
    <x v="0"/>
    <x v="0"/>
    <x v="0"/>
    <x v="0"/>
    <x v="0"/>
  </r>
  <r>
    <n v="23510"/>
    <x v="15"/>
    <x v="4"/>
    <x v="259"/>
    <x v="1"/>
    <x v="1843"/>
    <x v="3"/>
    <d v="2024-02-22T00:00:00"/>
    <d v="2024-03-11T00:00:00"/>
    <x v="1"/>
    <x v="1880"/>
    <x v="0"/>
    <x v="0"/>
    <x v="0"/>
    <x v="0"/>
    <x v="0"/>
    <x v="0"/>
  </r>
  <r>
    <n v="68860"/>
    <x v="2"/>
    <x v="1"/>
    <x v="443"/>
    <x v="5"/>
    <x v="1844"/>
    <x v="3"/>
    <d v="2024-07-04T00:00:00"/>
    <d v="2024-08-05T00:00:00"/>
    <x v="1"/>
    <x v="1881"/>
    <x v="0"/>
    <x v="0"/>
    <x v="0"/>
    <x v="0"/>
    <x v="0"/>
    <x v="1"/>
  </r>
  <r>
    <n v="51604"/>
    <x v="11"/>
    <x v="4"/>
    <x v="53"/>
    <x v="2"/>
    <x v="1845"/>
    <x v="1"/>
    <d v="2024-05-26T00:00:00"/>
    <d v="2024-06-17T00:00:00"/>
    <x v="1"/>
    <x v="1882"/>
    <x v="0"/>
    <x v="0"/>
    <x v="0"/>
    <x v="0"/>
    <x v="0"/>
    <x v="0"/>
  </r>
  <r>
    <n v="56235"/>
    <x v="14"/>
    <x v="4"/>
    <x v="441"/>
    <x v="6"/>
    <x v="1846"/>
    <x v="3"/>
    <d v="2024-02-26T00:00:00"/>
    <d v="2024-03-02T00:00:00"/>
    <x v="2"/>
    <x v="1883"/>
    <x v="1"/>
    <x v="27"/>
    <x v="1"/>
    <x v="1"/>
    <x v="1"/>
    <x v="1"/>
  </r>
  <r>
    <n v="11316"/>
    <x v="11"/>
    <x v="4"/>
    <x v="490"/>
    <x v="6"/>
    <x v="1847"/>
    <x v="2"/>
    <d v="2024-06-25T00:00:00"/>
    <d v="2024-07-04T00:00:00"/>
    <x v="1"/>
    <x v="1884"/>
    <x v="0"/>
    <x v="0"/>
    <x v="0"/>
    <x v="0"/>
    <x v="0"/>
    <x v="1"/>
  </r>
  <r>
    <n v="41957"/>
    <x v="7"/>
    <x v="3"/>
    <x v="226"/>
    <x v="0"/>
    <x v="1848"/>
    <x v="3"/>
    <d v="2024-05-30T00:00:00"/>
    <d v="2024-06-05T00:00:00"/>
    <x v="1"/>
    <x v="1885"/>
    <x v="0"/>
    <x v="0"/>
    <x v="0"/>
    <x v="0"/>
    <x v="0"/>
    <x v="0"/>
  </r>
  <r>
    <n v="12106"/>
    <x v="5"/>
    <x v="2"/>
    <x v="461"/>
    <x v="4"/>
    <x v="1849"/>
    <x v="0"/>
    <d v="2024-01-09T00:00:00"/>
    <d v="2024-01-14T00:00:00"/>
    <x v="1"/>
    <x v="1886"/>
    <x v="0"/>
    <x v="0"/>
    <x v="0"/>
    <x v="0"/>
    <x v="0"/>
    <x v="0"/>
  </r>
  <r>
    <n v="92164"/>
    <x v="4"/>
    <x v="0"/>
    <x v="302"/>
    <x v="3"/>
    <x v="1850"/>
    <x v="4"/>
    <d v="2024-06-25T00:00:00"/>
    <d v="2024-07-31T00:00:00"/>
    <x v="2"/>
    <x v="1887"/>
    <x v="0"/>
    <x v="0"/>
    <x v="0"/>
    <x v="0"/>
    <x v="0"/>
    <x v="0"/>
  </r>
  <r>
    <n v="89789"/>
    <x v="1"/>
    <x v="0"/>
    <x v="460"/>
    <x v="5"/>
    <x v="1851"/>
    <x v="3"/>
    <d v="2024-06-13T00:00:00"/>
    <d v="2024-07-03T00:00:00"/>
    <x v="0"/>
    <x v="1888"/>
    <x v="0"/>
    <x v="0"/>
    <x v="0"/>
    <x v="0"/>
    <x v="0"/>
    <x v="1"/>
  </r>
  <r>
    <n v="63450"/>
    <x v="13"/>
    <x v="3"/>
    <x v="387"/>
    <x v="5"/>
    <x v="1852"/>
    <x v="1"/>
    <d v="2024-06-18T00:00:00"/>
    <d v="2024-06-26T00:00:00"/>
    <x v="1"/>
    <x v="1889"/>
    <x v="0"/>
    <x v="0"/>
    <x v="0"/>
    <x v="0"/>
    <x v="0"/>
    <x v="1"/>
  </r>
  <r>
    <n v="30742"/>
    <x v="15"/>
    <x v="4"/>
    <x v="452"/>
    <x v="6"/>
    <x v="1853"/>
    <x v="1"/>
    <d v="2024-07-17T00:00:00"/>
    <d v="2024-08-22T00:00:00"/>
    <x v="2"/>
    <x v="1890"/>
    <x v="0"/>
    <x v="0"/>
    <x v="0"/>
    <x v="0"/>
    <x v="0"/>
    <x v="1"/>
  </r>
  <r>
    <n v="51057"/>
    <x v="1"/>
    <x v="0"/>
    <x v="211"/>
    <x v="1"/>
    <x v="1854"/>
    <x v="1"/>
    <d v="2024-12-17T00:00:00"/>
    <d v="2025-01-08T00:00:00"/>
    <x v="1"/>
    <x v="1891"/>
    <x v="0"/>
    <x v="0"/>
    <x v="0"/>
    <x v="0"/>
    <x v="0"/>
    <x v="1"/>
  </r>
  <r>
    <n v="55874"/>
    <x v="9"/>
    <x v="1"/>
    <x v="4"/>
    <x v="3"/>
    <x v="1855"/>
    <x v="1"/>
    <d v="2024-09-10T00:00:00"/>
    <d v="2024-09-15T00:00:00"/>
    <x v="1"/>
    <x v="1892"/>
    <x v="0"/>
    <x v="0"/>
    <x v="0"/>
    <x v="0"/>
    <x v="0"/>
    <x v="0"/>
  </r>
  <r>
    <n v="26119"/>
    <x v="16"/>
    <x v="3"/>
    <x v="344"/>
    <x v="1"/>
    <x v="1856"/>
    <x v="1"/>
    <d v="2024-05-24T00:00:00"/>
    <d v="2024-06-22T00:00:00"/>
    <x v="2"/>
    <x v="1893"/>
    <x v="0"/>
    <x v="0"/>
    <x v="0"/>
    <x v="0"/>
    <x v="0"/>
    <x v="1"/>
  </r>
  <r>
    <n v="90880"/>
    <x v="7"/>
    <x v="3"/>
    <x v="307"/>
    <x v="5"/>
    <x v="1857"/>
    <x v="2"/>
    <d v="2024-05-14T00:00:00"/>
    <d v="2024-05-31T00:00:00"/>
    <x v="2"/>
    <x v="1894"/>
    <x v="0"/>
    <x v="0"/>
    <x v="0"/>
    <x v="0"/>
    <x v="0"/>
    <x v="1"/>
  </r>
  <r>
    <n v="25376"/>
    <x v="15"/>
    <x v="4"/>
    <x v="409"/>
    <x v="2"/>
    <x v="1858"/>
    <x v="2"/>
    <d v="2024-11-01T00:00:00"/>
    <d v="2024-11-18T00:00:00"/>
    <x v="1"/>
    <x v="1895"/>
    <x v="0"/>
    <x v="0"/>
    <x v="0"/>
    <x v="0"/>
    <x v="0"/>
    <x v="0"/>
  </r>
  <r>
    <n v="69821"/>
    <x v="2"/>
    <x v="1"/>
    <x v="368"/>
    <x v="0"/>
    <x v="1859"/>
    <x v="3"/>
    <d v="2024-06-30T00:00:00"/>
    <d v="2024-07-22T00:00:00"/>
    <x v="0"/>
    <x v="1896"/>
    <x v="0"/>
    <x v="0"/>
    <x v="0"/>
    <x v="0"/>
    <x v="0"/>
    <x v="0"/>
  </r>
  <r>
    <n v="14318"/>
    <x v="8"/>
    <x v="1"/>
    <x v="76"/>
    <x v="2"/>
    <x v="1860"/>
    <x v="2"/>
    <d v="2024-08-28T00:00:00"/>
    <d v="2024-09-11T00:00:00"/>
    <x v="0"/>
    <x v="1897"/>
    <x v="0"/>
    <x v="0"/>
    <x v="0"/>
    <x v="0"/>
    <x v="0"/>
    <x v="0"/>
  </r>
  <r>
    <n v="38273"/>
    <x v="0"/>
    <x v="0"/>
    <x v="32"/>
    <x v="6"/>
    <x v="1861"/>
    <x v="1"/>
    <d v="2024-09-25T00:00:00"/>
    <d v="2024-10-13T00:00:00"/>
    <x v="2"/>
    <x v="1898"/>
    <x v="0"/>
    <x v="0"/>
    <x v="0"/>
    <x v="0"/>
    <x v="0"/>
    <x v="1"/>
  </r>
  <r>
    <n v="39433"/>
    <x v="10"/>
    <x v="2"/>
    <x v="156"/>
    <x v="5"/>
    <x v="1862"/>
    <x v="4"/>
    <d v="2024-09-24T00:00:00"/>
    <d v="2024-10-07T00:00:00"/>
    <x v="0"/>
    <x v="1899"/>
    <x v="1"/>
    <x v="16"/>
    <x v="1"/>
    <x v="1"/>
    <x v="1"/>
    <x v="1"/>
  </r>
  <r>
    <n v="33439"/>
    <x v="5"/>
    <x v="2"/>
    <x v="194"/>
    <x v="4"/>
    <x v="1863"/>
    <x v="0"/>
    <d v="2024-03-07T00:00:00"/>
    <d v="2024-03-13T00:00:00"/>
    <x v="2"/>
    <x v="1900"/>
    <x v="1"/>
    <x v="79"/>
    <x v="1"/>
    <x v="1"/>
    <x v="1"/>
    <x v="1"/>
  </r>
  <r>
    <n v="51887"/>
    <x v="9"/>
    <x v="1"/>
    <x v="143"/>
    <x v="3"/>
    <x v="1864"/>
    <x v="2"/>
    <d v="2024-05-17T00:00:00"/>
    <d v="2024-06-08T00:00:00"/>
    <x v="0"/>
    <x v="1901"/>
    <x v="0"/>
    <x v="0"/>
    <x v="0"/>
    <x v="0"/>
    <x v="0"/>
    <x v="0"/>
  </r>
  <r>
    <n v="66437"/>
    <x v="0"/>
    <x v="0"/>
    <x v="412"/>
    <x v="4"/>
    <x v="1865"/>
    <x v="2"/>
    <d v="2024-07-05T00:00:00"/>
    <d v="2024-08-13T00:00:00"/>
    <x v="1"/>
    <x v="1902"/>
    <x v="0"/>
    <x v="0"/>
    <x v="0"/>
    <x v="0"/>
    <x v="0"/>
    <x v="1"/>
  </r>
  <r>
    <n v="74557"/>
    <x v="4"/>
    <x v="0"/>
    <x v="321"/>
    <x v="2"/>
    <x v="1866"/>
    <x v="3"/>
    <d v="2024-06-17T00:00:00"/>
    <d v="2024-07-08T00:00:00"/>
    <x v="0"/>
    <x v="1903"/>
    <x v="0"/>
    <x v="0"/>
    <x v="0"/>
    <x v="0"/>
    <x v="0"/>
    <x v="1"/>
  </r>
  <r>
    <n v="91122"/>
    <x v="15"/>
    <x v="4"/>
    <x v="327"/>
    <x v="0"/>
    <x v="1867"/>
    <x v="3"/>
    <d v="2024-03-28T00:00:00"/>
    <d v="2024-04-04T00:00:00"/>
    <x v="2"/>
    <x v="1904"/>
    <x v="0"/>
    <x v="0"/>
    <x v="0"/>
    <x v="0"/>
    <x v="0"/>
    <x v="0"/>
  </r>
  <r>
    <n v="69556"/>
    <x v="3"/>
    <x v="2"/>
    <x v="403"/>
    <x v="1"/>
    <x v="1868"/>
    <x v="0"/>
    <d v="2024-04-21T00:00:00"/>
    <d v="2024-05-02T00:00:00"/>
    <x v="2"/>
    <x v="1905"/>
    <x v="0"/>
    <x v="0"/>
    <x v="0"/>
    <x v="0"/>
    <x v="0"/>
    <x v="0"/>
  </r>
  <r>
    <n v="17139"/>
    <x v="8"/>
    <x v="1"/>
    <x v="267"/>
    <x v="0"/>
    <x v="1869"/>
    <x v="0"/>
    <d v="2024-10-15T00:00:00"/>
    <d v="2024-11-23T00:00:00"/>
    <x v="1"/>
    <x v="1906"/>
    <x v="0"/>
    <x v="0"/>
    <x v="0"/>
    <x v="0"/>
    <x v="0"/>
    <x v="0"/>
  </r>
  <r>
    <n v="64020"/>
    <x v="10"/>
    <x v="2"/>
    <x v="279"/>
    <x v="1"/>
    <x v="1870"/>
    <x v="1"/>
    <d v="2024-04-29T00:00:00"/>
    <d v="2024-05-16T00:00:00"/>
    <x v="2"/>
    <x v="1907"/>
    <x v="0"/>
    <x v="0"/>
    <x v="0"/>
    <x v="0"/>
    <x v="0"/>
    <x v="1"/>
  </r>
  <r>
    <n v="54789"/>
    <x v="3"/>
    <x v="2"/>
    <x v="213"/>
    <x v="5"/>
    <x v="1871"/>
    <x v="0"/>
    <d v="2024-07-23T00:00:00"/>
    <d v="2024-07-28T00:00:00"/>
    <x v="0"/>
    <x v="1908"/>
    <x v="0"/>
    <x v="0"/>
    <x v="0"/>
    <x v="0"/>
    <x v="0"/>
    <x v="1"/>
  </r>
  <r>
    <n v="93938"/>
    <x v="7"/>
    <x v="3"/>
    <x v="58"/>
    <x v="0"/>
    <x v="1872"/>
    <x v="2"/>
    <d v="2024-05-07T00:00:00"/>
    <d v="2024-06-02T00:00:00"/>
    <x v="1"/>
    <x v="62"/>
    <x v="1"/>
    <x v="9"/>
    <x v="1"/>
    <x v="1"/>
    <x v="1"/>
    <x v="1"/>
  </r>
  <r>
    <n v="80053"/>
    <x v="4"/>
    <x v="0"/>
    <x v="269"/>
    <x v="6"/>
    <x v="1873"/>
    <x v="3"/>
    <d v="2024-01-05T00:00:00"/>
    <d v="2024-01-26T00:00:00"/>
    <x v="2"/>
    <x v="1909"/>
    <x v="0"/>
    <x v="0"/>
    <x v="0"/>
    <x v="0"/>
    <x v="0"/>
    <x v="1"/>
  </r>
  <r>
    <n v="87219"/>
    <x v="4"/>
    <x v="0"/>
    <x v="220"/>
    <x v="3"/>
    <x v="1874"/>
    <x v="1"/>
    <d v="2024-12-12T00:00:00"/>
    <d v="2025-01-10T00:00:00"/>
    <x v="0"/>
    <x v="1910"/>
    <x v="0"/>
    <x v="0"/>
    <x v="0"/>
    <x v="0"/>
    <x v="0"/>
    <x v="0"/>
  </r>
  <r>
    <n v="91457"/>
    <x v="3"/>
    <x v="2"/>
    <x v="332"/>
    <x v="3"/>
    <x v="1875"/>
    <x v="4"/>
    <d v="2024-02-16T00:00:00"/>
    <d v="2024-03-20T00:00:00"/>
    <x v="0"/>
    <x v="1911"/>
    <x v="0"/>
    <x v="0"/>
    <x v="0"/>
    <x v="0"/>
    <x v="0"/>
    <x v="0"/>
  </r>
  <r>
    <n v="98487"/>
    <x v="7"/>
    <x v="3"/>
    <x v="371"/>
    <x v="0"/>
    <x v="1876"/>
    <x v="1"/>
    <d v="2024-09-12T00:00:00"/>
    <d v="2024-10-05T00:00:00"/>
    <x v="1"/>
    <x v="1912"/>
    <x v="0"/>
    <x v="0"/>
    <x v="0"/>
    <x v="0"/>
    <x v="0"/>
    <x v="1"/>
  </r>
  <r>
    <n v="21240"/>
    <x v="2"/>
    <x v="1"/>
    <x v="270"/>
    <x v="5"/>
    <x v="1877"/>
    <x v="4"/>
    <d v="2024-09-12T00:00:00"/>
    <d v="2024-10-21T00:00:00"/>
    <x v="2"/>
    <x v="1913"/>
    <x v="1"/>
    <x v="60"/>
    <x v="1"/>
    <x v="1"/>
    <x v="1"/>
    <x v="1"/>
  </r>
  <r>
    <n v="96677"/>
    <x v="0"/>
    <x v="0"/>
    <x v="18"/>
    <x v="1"/>
    <x v="1878"/>
    <x v="0"/>
    <d v="2024-04-21T00:00:00"/>
    <d v="2024-05-26T00:00:00"/>
    <x v="2"/>
    <x v="1914"/>
    <x v="0"/>
    <x v="0"/>
    <x v="0"/>
    <x v="0"/>
    <x v="0"/>
    <x v="1"/>
  </r>
  <r>
    <n v="51252"/>
    <x v="9"/>
    <x v="1"/>
    <x v="163"/>
    <x v="1"/>
    <x v="1879"/>
    <x v="2"/>
    <d v="2024-10-30T00:00:00"/>
    <d v="2024-12-04T00:00:00"/>
    <x v="1"/>
    <x v="1915"/>
    <x v="0"/>
    <x v="0"/>
    <x v="0"/>
    <x v="0"/>
    <x v="0"/>
    <x v="0"/>
  </r>
  <r>
    <n v="35407"/>
    <x v="15"/>
    <x v="4"/>
    <x v="491"/>
    <x v="2"/>
    <x v="1880"/>
    <x v="3"/>
    <d v="2024-10-20T00:00:00"/>
    <d v="2024-11-27T00:00:00"/>
    <x v="0"/>
    <x v="1916"/>
    <x v="0"/>
    <x v="0"/>
    <x v="0"/>
    <x v="0"/>
    <x v="0"/>
    <x v="0"/>
  </r>
  <r>
    <n v="50733"/>
    <x v="14"/>
    <x v="4"/>
    <x v="119"/>
    <x v="1"/>
    <x v="1881"/>
    <x v="4"/>
    <d v="2024-01-01T00:00:00"/>
    <d v="2024-01-18T00:00:00"/>
    <x v="2"/>
    <x v="1917"/>
    <x v="1"/>
    <x v="23"/>
    <x v="1"/>
    <x v="1"/>
    <x v="1"/>
    <x v="1"/>
  </r>
  <r>
    <n v="12866"/>
    <x v="7"/>
    <x v="3"/>
    <x v="365"/>
    <x v="3"/>
    <x v="1882"/>
    <x v="0"/>
    <d v="2024-03-20T00:00:00"/>
    <d v="2024-04-24T00:00:00"/>
    <x v="0"/>
    <x v="1918"/>
    <x v="0"/>
    <x v="0"/>
    <x v="0"/>
    <x v="0"/>
    <x v="0"/>
    <x v="1"/>
  </r>
  <r>
    <n v="63544"/>
    <x v="6"/>
    <x v="3"/>
    <x v="173"/>
    <x v="2"/>
    <x v="1883"/>
    <x v="4"/>
    <d v="2024-10-01T00:00:00"/>
    <d v="2024-10-26T00:00:00"/>
    <x v="0"/>
    <x v="1919"/>
    <x v="0"/>
    <x v="0"/>
    <x v="0"/>
    <x v="0"/>
    <x v="0"/>
    <x v="0"/>
  </r>
  <r>
    <n v="52912"/>
    <x v="15"/>
    <x v="4"/>
    <x v="333"/>
    <x v="2"/>
    <x v="1884"/>
    <x v="1"/>
    <d v="2024-03-30T00:00:00"/>
    <d v="2024-04-15T00:00:00"/>
    <x v="1"/>
    <x v="1920"/>
    <x v="0"/>
    <x v="0"/>
    <x v="0"/>
    <x v="0"/>
    <x v="0"/>
    <x v="0"/>
  </r>
  <r>
    <n v="47242"/>
    <x v="5"/>
    <x v="2"/>
    <x v="270"/>
    <x v="1"/>
    <x v="1885"/>
    <x v="1"/>
    <d v="2024-08-07T00:00:00"/>
    <d v="2024-09-15T00:00:00"/>
    <x v="1"/>
    <x v="1921"/>
    <x v="0"/>
    <x v="0"/>
    <x v="0"/>
    <x v="0"/>
    <x v="0"/>
    <x v="1"/>
  </r>
  <r>
    <n v="40268"/>
    <x v="4"/>
    <x v="0"/>
    <x v="287"/>
    <x v="0"/>
    <x v="1886"/>
    <x v="0"/>
    <d v="2024-08-01T00:00:00"/>
    <d v="2024-09-07T00:00:00"/>
    <x v="2"/>
    <x v="1922"/>
    <x v="0"/>
    <x v="0"/>
    <x v="0"/>
    <x v="0"/>
    <x v="0"/>
    <x v="0"/>
  </r>
  <r>
    <n v="36401"/>
    <x v="15"/>
    <x v="4"/>
    <x v="92"/>
    <x v="1"/>
    <x v="1887"/>
    <x v="3"/>
    <d v="2024-12-17T00:00:00"/>
    <d v="2025-01-21T00:00:00"/>
    <x v="1"/>
    <x v="1923"/>
    <x v="0"/>
    <x v="0"/>
    <x v="0"/>
    <x v="0"/>
    <x v="0"/>
    <x v="1"/>
  </r>
  <r>
    <n v="67268"/>
    <x v="3"/>
    <x v="2"/>
    <x v="284"/>
    <x v="5"/>
    <x v="1888"/>
    <x v="2"/>
    <d v="2024-03-17T00:00:00"/>
    <d v="2024-03-24T00:00:00"/>
    <x v="2"/>
    <x v="1924"/>
    <x v="1"/>
    <x v="89"/>
    <x v="1"/>
    <x v="1"/>
    <x v="1"/>
    <x v="1"/>
  </r>
  <r>
    <n v="59028"/>
    <x v="3"/>
    <x v="2"/>
    <x v="212"/>
    <x v="1"/>
    <x v="1889"/>
    <x v="1"/>
    <d v="2024-07-10T00:00:00"/>
    <d v="2024-07-18T00:00:00"/>
    <x v="2"/>
    <x v="1925"/>
    <x v="0"/>
    <x v="0"/>
    <x v="0"/>
    <x v="0"/>
    <x v="0"/>
    <x v="1"/>
  </r>
  <r>
    <n v="61761"/>
    <x v="2"/>
    <x v="1"/>
    <x v="162"/>
    <x v="4"/>
    <x v="1890"/>
    <x v="1"/>
    <d v="2024-09-06T00:00:00"/>
    <d v="2024-09-13T00:00:00"/>
    <x v="0"/>
    <x v="1926"/>
    <x v="0"/>
    <x v="0"/>
    <x v="0"/>
    <x v="0"/>
    <x v="0"/>
    <x v="0"/>
  </r>
  <r>
    <n v="84492"/>
    <x v="16"/>
    <x v="3"/>
    <x v="301"/>
    <x v="0"/>
    <x v="1891"/>
    <x v="3"/>
    <d v="2024-04-20T00:00:00"/>
    <d v="2024-04-25T00:00:00"/>
    <x v="2"/>
    <x v="1927"/>
    <x v="0"/>
    <x v="0"/>
    <x v="0"/>
    <x v="0"/>
    <x v="0"/>
    <x v="0"/>
  </r>
  <r>
    <n v="11821"/>
    <x v="9"/>
    <x v="1"/>
    <x v="175"/>
    <x v="0"/>
    <x v="1892"/>
    <x v="1"/>
    <d v="2024-08-03T00:00:00"/>
    <d v="2024-09-02T00:00:00"/>
    <x v="2"/>
    <x v="1928"/>
    <x v="0"/>
    <x v="0"/>
    <x v="0"/>
    <x v="0"/>
    <x v="0"/>
    <x v="0"/>
  </r>
  <r>
    <n v="83133"/>
    <x v="16"/>
    <x v="3"/>
    <x v="205"/>
    <x v="0"/>
    <x v="1893"/>
    <x v="3"/>
    <d v="2024-03-01T00:00:00"/>
    <d v="2024-03-28T00:00:00"/>
    <x v="2"/>
    <x v="1929"/>
    <x v="0"/>
    <x v="0"/>
    <x v="0"/>
    <x v="0"/>
    <x v="0"/>
    <x v="0"/>
  </r>
  <r>
    <n v="28632"/>
    <x v="10"/>
    <x v="2"/>
    <x v="436"/>
    <x v="0"/>
    <x v="1894"/>
    <x v="2"/>
    <d v="2024-12-04T00:00:00"/>
    <d v="2024-12-09T00:00:00"/>
    <x v="0"/>
    <x v="1930"/>
    <x v="0"/>
    <x v="0"/>
    <x v="0"/>
    <x v="0"/>
    <x v="0"/>
    <x v="0"/>
  </r>
  <r>
    <n v="11461"/>
    <x v="5"/>
    <x v="2"/>
    <x v="415"/>
    <x v="3"/>
    <x v="1895"/>
    <x v="0"/>
    <d v="2024-06-01T00:00:00"/>
    <d v="2024-07-04T00:00:00"/>
    <x v="0"/>
    <x v="1931"/>
    <x v="0"/>
    <x v="0"/>
    <x v="0"/>
    <x v="0"/>
    <x v="0"/>
    <x v="0"/>
  </r>
  <r>
    <n v="63668"/>
    <x v="3"/>
    <x v="2"/>
    <x v="308"/>
    <x v="1"/>
    <x v="1896"/>
    <x v="3"/>
    <d v="2024-04-22T00:00:00"/>
    <d v="2024-05-19T00:00:00"/>
    <x v="0"/>
    <x v="1932"/>
    <x v="1"/>
    <x v="87"/>
    <x v="1"/>
    <x v="1"/>
    <x v="1"/>
    <x v="1"/>
  </r>
  <r>
    <n v="42532"/>
    <x v="16"/>
    <x v="3"/>
    <x v="481"/>
    <x v="6"/>
    <x v="1897"/>
    <x v="3"/>
    <d v="2024-05-12T00:00:00"/>
    <d v="2024-05-31T00:00:00"/>
    <x v="0"/>
    <x v="1933"/>
    <x v="1"/>
    <x v="112"/>
    <x v="1"/>
    <x v="1"/>
    <x v="1"/>
    <x v="1"/>
  </r>
  <r>
    <n v="12438"/>
    <x v="15"/>
    <x v="4"/>
    <x v="305"/>
    <x v="3"/>
    <x v="1898"/>
    <x v="4"/>
    <d v="2024-05-04T00:00:00"/>
    <d v="2024-05-27T00:00:00"/>
    <x v="1"/>
    <x v="1934"/>
    <x v="0"/>
    <x v="0"/>
    <x v="0"/>
    <x v="0"/>
    <x v="0"/>
    <x v="0"/>
  </r>
  <r>
    <n v="59831"/>
    <x v="15"/>
    <x v="4"/>
    <x v="49"/>
    <x v="6"/>
    <x v="1899"/>
    <x v="4"/>
    <d v="2024-06-30T00:00:00"/>
    <d v="2024-08-05T00:00:00"/>
    <x v="1"/>
    <x v="1935"/>
    <x v="0"/>
    <x v="0"/>
    <x v="0"/>
    <x v="0"/>
    <x v="0"/>
    <x v="1"/>
  </r>
  <r>
    <n v="36515"/>
    <x v="15"/>
    <x v="4"/>
    <x v="448"/>
    <x v="3"/>
    <x v="1900"/>
    <x v="0"/>
    <d v="2024-05-16T00:00:00"/>
    <d v="2024-06-24T00:00:00"/>
    <x v="2"/>
    <x v="1936"/>
    <x v="0"/>
    <x v="0"/>
    <x v="0"/>
    <x v="0"/>
    <x v="0"/>
    <x v="0"/>
  </r>
  <r>
    <n v="50955"/>
    <x v="4"/>
    <x v="0"/>
    <x v="209"/>
    <x v="2"/>
    <x v="1901"/>
    <x v="4"/>
    <d v="2024-07-29T00:00:00"/>
    <d v="2024-09-01T00:00:00"/>
    <x v="0"/>
    <x v="1937"/>
    <x v="0"/>
    <x v="0"/>
    <x v="0"/>
    <x v="0"/>
    <x v="0"/>
    <x v="0"/>
  </r>
  <r>
    <n v="44256"/>
    <x v="0"/>
    <x v="0"/>
    <x v="19"/>
    <x v="5"/>
    <x v="1902"/>
    <x v="1"/>
    <d v="2024-04-01T00:00:00"/>
    <d v="2024-04-29T00:00:00"/>
    <x v="1"/>
    <x v="1938"/>
    <x v="0"/>
    <x v="0"/>
    <x v="0"/>
    <x v="0"/>
    <x v="0"/>
    <x v="0"/>
  </r>
  <r>
    <n v="48664"/>
    <x v="4"/>
    <x v="0"/>
    <x v="387"/>
    <x v="0"/>
    <x v="1903"/>
    <x v="2"/>
    <d v="2024-11-15T00:00:00"/>
    <d v="2024-11-27T00:00:00"/>
    <x v="2"/>
    <x v="1939"/>
    <x v="0"/>
    <x v="0"/>
    <x v="0"/>
    <x v="0"/>
    <x v="0"/>
    <x v="0"/>
  </r>
  <r>
    <n v="71829"/>
    <x v="7"/>
    <x v="3"/>
    <x v="347"/>
    <x v="4"/>
    <x v="1904"/>
    <x v="4"/>
    <d v="2024-11-25T00:00:00"/>
    <d v="2024-12-02T00:00:00"/>
    <x v="2"/>
    <x v="1940"/>
    <x v="0"/>
    <x v="0"/>
    <x v="0"/>
    <x v="0"/>
    <x v="0"/>
    <x v="0"/>
  </r>
  <r>
    <n v="95411"/>
    <x v="5"/>
    <x v="2"/>
    <x v="12"/>
    <x v="0"/>
    <x v="1905"/>
    <x v="3"/>
    <d v="2024-10-25T00:00:00"/>
    <d v="2024-11-26T00:00:00"/>
    <x v="2"/>
    <x v="1941"/>
    <x v="0"/>
    <x v="0"/>
    <x v="0"/>
    <x v="0"/>
    <x v="0"/>
    <x v="0"/>
  </r>
  <r>
    <n v="74544"/>
    <x v="10"/>
    <x v="2"/>
    <x v="217"/>
    <x v="1"/>
    <x v="1906"/>
    <x v="0"/>
    <d v="2024-10-20T00:00:00"/>
    <d v="2024-10-26T00:00:00"/>
    <x v="1"/>
    <x v="1942"/>
    <x v="0"/>
    <x v="0"/>
    <x v="0"/>
    <x v="0"/>
    <x v="0"/>
    <x v="0"/>
  </r>
  <r>
    <n v="50144"/>
    <x v="10"/>
    <x v="2"/>
    <x v="10"/>
    <x v="6"/>
    <x v="1907"/>
    <x v="4"/>
    <d v="2024-08-05T00:00:00"/>
    <d v="2024-09-03T00:00:00"/>
    <x v="0"/>
    <x v="1943"/>
    <x v="0"/>
    <x v="0"/>
    <x v="0"/>
    <x v="0"/>
    <x v="0"/>
    <x v="1"/>
  </r>
  <r>
    <n v="57431"/>
    <x v="4"/>
    <x v="0"/>
    <x v="266"/>
    <x v="5"/>
    <x v="1908"/>
    <x v="1"/>
    <d v="2024-03-18T00:00:00"/>
    <d v="2024-04-08T00:00:00"/>
    <x v="2"/>
    <x v="1944"/>
    <x v="0"/>
    <x v="0"/>
    <x v="0"/>
    <x v="0"/>
    <x v="0"/>
    <x v="1"/>
  </r>
  <r>
    <n v="14803"/>
    <x v="13"/>
    <x v="3"/>
    <x v="382"/>
    <x v="5"/>
    <x v="1909"/>
    <x v="1"/>
    <d v="2024-08-15T00:00:00"/>
    <d v="2024-09-23T00:00:00"/>
    <x v="2"/>
    <x v="1945"/>
    <x v="0"/>
    <x v="0"/>
    <x v="0"/>
    <x v="0"/>
    <x v="0"/>
    <x v="0"/>
  </r>
  <r>
    <n v="84676"/>
    <x v="14"/>
    <x v="4"/>
    <x v="273"/>
    <x v="2"/>
    <x v="1910"/>
    <x v="1"/>
    <d v="2024-07-26T00:00:00"/>
    <d v="2024-08-18T00:00:00"/>
    <x v="0"/>
    <x v="1946"/>
    <x v="0"/>
    <x v="0"/>
    <x v="0"/>
    <x v="0"/>
    <x v="0"/>
    <x v="0"/>
  </r>
  <r>
    <n v="89118"/>
    <x v="10"/>
    <x v="2"/>
    <x v="387"/>
    <x v="3"/>
    <x v="1911"/>
    <x v="0"/>
    <d v="2024-09-22T00:00:00"/>
    <d v="2024-10-05T00:00:00"/>
    <x v="2"/>
    <x v="1947"/>
    <x v="0"/>
    <x v="0"/>
    <x v="0"/>
    <x v="0"/>
    <x v="0"/>
    <x v="0"/>
  </r>
  <r>
    <n v="92593"/>
    <x v="15"/>
    <x v="4"/>
    <x v="50"/>
    <x v="2"/>
    <x v="781"/>
    <x v="0"/>
    <d v="2024-07-02T00:00:00"/>
    <d v="2024-07-27T00:00:00"/>
    <x v="0"/>
    <x v="1948"/>
    <x v="1"/>
    <x v="6"/>
    <x v="1"/>
    <x v="1"/>
    <x v="1"/>
    <x v="1"/>
  </r>
  <r>
    <n v="88711"/>
    <x v="14"/>
    <x v="4"/>
    <x v="32"/>
    <x v="0"/>
    <x v="1912"/>
    <x v="4"/>
    <d v="2024-11-08T00:00:00"/>
    <d v="2024-11-22T00:00:00"/>
    <x v="1"/>
    <x v="1949"/>
    <x v="0"/>
    <x v="0"/>
    <x v="0"/>
    <x v="0"/>
    <x v="0"/>
    <x v="0"/>
  </r>
  <r>
    <n v="74014"/>
    <x v="1"/>
    <x v="0"/>
    <x v="362"/>
    <x v="6"/>
    <x v="1913"/>
    <x v="4"/>
    <d v="2024-07-19T00:00:00"/>
    <d v="2024-08-18T00:00:00"/>
    <x v="0"/>
    <x v="1950"/>
    <x v="0"/>
    <x v="0"/>
    <x v="0"/>
    <x v="0"/>
    <x v="0"/>
    <x v="1"/>
  </r>
  <r>
    <n v="78745"/>
    <x v="7"/>
    <x v="3"/>
    <x v="488"/>
    <x v="2"/>
    <x v="1914"/>
    <x v="2"/>
    <d v="2024-01-04T00:00:00"/>
    <d v="2024-02-07T00:00:00"/>
    <x v="1"/>
    <x v="1951"/>
    <x v="0"/>
    <x v="0"/>
    <x v="0"/>
    <x v="0"/>
    <x v="0"/>
    <x v="0"/>
  </r>
  <r>
    <n v="61481"/>
    <x v="0"/>
    <x v="0"/>
    <x v="360"/>
    <x v="2"/>
    <x v="1915"/>
    <x v="2"/>
    <d v="2024-08-18T00:00:00"/>
    <d v="2024-09-17T00:00:00"/>
    <x v="1"/>
    <x v="1952"/>
    <x v="0"/>
    <x v="0"/>
    <x v="0"/>
    <x v="0"/>
    <x v="0"/>
    <x v="0"/>
  </r>
  <r>
    <n v="58990"/>
    <x v="3"/>
    <x v="2"/>
    <x v="109"/>
    <x v="4"/>
    <x v="1916"/>
    <x v="3"/>
    <d v="2024-04-06T00:00:00"/>
    <d v="2024-05-04T00:00:00"/>
    <x v="2"/>
    <x v="1953"/>
    <x v="0"/>
    <x v="0"/>
    <x v="0"/>
    <x v="0"/>
    <x v="0"/>
    <x v="0"/>
  </r>
  <r>
    <n v="20040"/>
    <x v="11"/>
    <x v="4"/>
    <x v="409"/>
    <x v="3"/>
    <x v="1917"/>
    <x v="1"/>
    <d v="2024-06-27T00:00:00"/>
    <d v="2024-07-14T00:00:00"/>
    <x v="1"/>
    <x v="1954"/>
    <x v="0"/>
    <x v="0"/>
    <x v="0"/>
    <x v="0"/>
    <x v="0"/>
    <x v="0"/>
  </r>
  <r>
    <n v="69090"/>
    <x v="4"/>
    <x v="0"/>
    <x v="287"/>
    <x v="4"/>
    <x v="1918"/>
    <x v="2"/>
    <d v="2024-04-20T00:00:00"/>
    <d v="2024-04-27T00:00:00"/>
    <x v="0"/>
    <x v="1955"/>
    <x v="0"/>
    <x v="0"/>
    <x v="0"/>
    <x v="0"/>
    <x v="0"/>
    <x v="0"/>
  </r>
  <r>
    <n v="34248"/>
    <x v="10"/>
    <x v="2"/>
    <x v="250"/>
    <x v="2"/>
    <x v="1919"/>
    <x v="0"/>
    <d v="2024-05-02T00:00:00"/>
    <d v="2024-06-10T00:00:00"/>
    <x v="1"/>
    <x v="1956"/>
    <x v="0"/>
    <x v="0"/>
    <x v="0"/>
    <x v="0"/>
    <x v="0"/>
    <x v="0"/>
  </r>
  <r>
    <n v="18104"/>
    <x v="11"/>
    <x v="4"/>
    <x v="17"/>
    <x v="2"/>
    <x v="1920"/>
    <x v="0"/>
    <d v="2024-10-09T00:00:00"/>
    <d v="2024-11-03T00:00:00"/>
    <x v="0"/>
    <x v="1957"/>
    <x v="0"/>
    <x v="0"/>
    <x v="0"/>
    <x v="0"/>
    <x v="0"/>
    <x v="0"/>
  </r>
  <r>
    <n v="72723"/>
    <x v="11"/>
    <x v="4"/>
    <x v="37"/>
    <x v="2"/>
    <x v="1921"/>
    <x v="2"/>
    <d v="2024-09-22T00:00:00"/>
    <d v="2024-10-03T00:00:00"/>
    <x v="2"/>
    <x v="1958"/>
    <x v="0"/>
    <x v="0"/>
    <x v="0"/>
    <x v="0"/>
    <x v="0"/>
    <x v="0"/>
  </r>
  <r>
    <n v="27469"/>
    <x v="0"/>
    <x v="0"/>
    <x v="419"/>
    <x v="6"/>
    <x v="1922"/>
    <x v="1"/>
    <d v="2024-03-17T00:00:00"/>
    <d v="2024-04-09T00:00:00"/>
    <x v="0"/>
    <x v="1959"/>
    <x v="0"/>
    <x v="0"/>
    <x v="0"/>
    <x v="0"/>
    <x v="0"/>
    <x v="1"/>
  </r>
  <r>
    <n v="27221"/>
    <x v="4"/>
    <x v="0"/>
    <x v="258"/>
    <x v="6"/>
    <x v="1923"/>
    <x v="2"/>
    <d v="2024-07-22T00:00:00"/>
    <d v="2024-08-07T00:00:00"/>
    <x v="2"/>
    <x v="1960"/>
    <x v="0"/>
    <x v="0"/>
    <x v="0"/>
    <x v="0"/>
    <x v="0"/>
    <x v="1"/>
  </r>
  <r>
    <n v="54153"/>
    <x v="14"/>
    <x v="4"/>
    <x v="260"/>
    <x v="6"/>
    <x v="1924"/>
    <x v="2"/>
    <d v="2024-08-27T00:00:00"/>
    <d v="2024-09-11T00:00:00"/>
    <x v="0"/>
    <x v="1961"/>
    <x v="0"/>
    <x v="0"/>
    <x v="0"/>
    <x v="0"/>
    <x v="0"/>
    <x v="1"/>
  </r>
  <r>
    <n v="10415"/>
    <x v="3"/>
    <x v="2"/>
    <x v="124"/>
    <x v="0"/>
    <x v="1925"/>
    <x v="1"/>
    <d v="2024-03-17T00:00:00"/>
    <d v="2024-04-07T00:00:00"/>
    <x v="0"/>
    <x v="1962"/>
    <x v="0"/>
    <x v="0"/>
    <x v="0"/>
    <x v="0"/>
    <x v="0"/>
    <x v="0"/>
  </r>
  <r>
    <n v="55299"/>
    <x v="4"/>
    <x v="0"/>
    <x v="265"/>
    <x v="1"/>
    <x v="1926"/>
    <x v="0"/>
    <d v="2024-01-01T00:00:00"/>
    <d v="2024-02-07T00:00:00"/>
    <x v="1"/>
    <x v="1963"/>
    <x v="0"/>
    <x v="0"/>
    <x v="0"/>
    <x v="0"/>
    <x v="0"/>
    <x v="0"/>
  </r>
  <r>
    <n v="10552"/>
    <x v="5"/>
    <x v="2"/>
    <x v="223"/>
    <x v="2"/>
    <x v="1927"/>
    <x v="4"/>
    <d v="2024-04-24T00:00:00"/>
    <d v="2024-04-29T00:00:00"/>
    <x v="2"/>
    <x v="1964"/>
    <x v="0"/>
    <x v="0"/>
    <x v="0"/>
    <x v="0"/>
    <x v="0"/>
    <x v="0"/>
  </r>
  <r>
    <n v="45765"/>
    <x v="15"/>
    <x v="4"/>
    <x v="72"/>
    <x v="2"/>
    <x v="1928"/>
    <x v="1"/>
    <d v="2024-05-16T00:00:00"/>
    <d v="2024-06-24T00:00:00"/>
    <x v="0"/>
    <x v="1965"/>
    <x v="0"/>
    <x v="0"/>
    <x v="0"/>
    <x v="0"/>
    <x v="0"/>
    <x v="0"/>
  </r>
  <r>
    <n v="42882"/>
    <x v="5"/>
    <x v="2"/>
    <x v="466"/>
    <x v="1"/>
    <x v="1929"/>
    <x v="3"/>
    <d v="2024-02-19T00:00:00"/>
    <d v="2024-03-21T00:00:00"/>
    <x v="2"/>
    <x v="1966"/>
    <x v="1"/>
    <x v="91"/>
    <x v="1"/>
    <x v="1"/>
    <x v="1"/>
    <x v="1"/>
  </r>
  <r>
    <n v="19013"/>
    <x v="11"/>
    <x v="4"/>
    <x v="218"/>
    <x v="1"/>
    <x v="1930"/>
    <x v="1"/>
    <d v="2024-10-25T00:00:00"/>
    <d v="2024-11-06T00:00:00"/>
    <x v="1"/>
    <x v="1967"/>
    <x v="0"/>
    <x v="0"/>
    <x v="0"/>
    <x v="0"/>
    <x v="0"/>
    <x v="0"/>
  </r>
  <r>
    <n v="65773"/>
    <x v="9"/>
    <x v="1"/>
    <x v="301"/>
    <x v="2"/>
    <x v="1931"/>
    <x v="0"/>
    <d v="2024-02-17T00:00:00"/>
    <d v="2024-03-10T00:00:00"/>
    <x v="2"/>
    <x v="1968"/>
    <x v="0"/>
    <x v="0"/>
    <x v="0"/>
    <x v="0"/>
    <x v="0"/>
    <x v="0"/>
  </r>
  <r>
    <n v="57219"/>
    <x v="12"/>
    <x v="0"/>
    <x v="212"/>
    <x v="4"/>
    <x v="1932"/>
    <x v="4"/>
    <d v="2024-10-06T00:00:00"/>
    <d v="2024-10-23T00:00:00"/>
    <x v="2"/>
    <x v="1969"/>
    <x v="0"/>
    <x v="0"/>
    <x v="0"/>
    <x v="0"/>
    <x v="0"/>
    <x v="1"/>
  </r>
  <r>
    <n v="26375"/>
    <x v="7"/>
    <x v="3"/>
    <x v="365"/>
    <x v="0"/>
    <x v="1933"/>
    <x v="1"/>
    <d v="2024-05-24T00:00:00"/>
    <d v="2024-06-10T00:00:00"/>
    <x v="1"/>
    <x v="1970"/>
    <x v="0"/>
    <x v="0"/>
    <x v="0"/>
    <x v="0"/>
    <x v="0"/>
    <x v="1"/>
  </r>
  <r>
    <n v="94418"/>
    <x v="14"/>
    <x v="4"/>
    <x v="306"/>
    <x v="6"/>
    <x v="1934"/>
    <x v="3"/>
    <d v="2024-05-08T00:00:00"/>
    <d v="2024-05-27T00:00:00"/>
    <x v="2"/>
    <x v="1971"/>
    <x v="0"/>
    <x v="0"/>
    <x v="0"/>
    <x v="0"/>
    <x v="0"/>
    <x v="1"/>
  </r>
  <r>
    <n v="97049"/>
    <x v="15"/>
    <x v="4"/>
    <x v="78"/>
    <x v="4"/>
    <x v="1935"/>
    <x v="2"/>
    <d v="2024-08-15T00:00:00"/>
    <d v="2024-09-12T00:00:00"/>
    <x v="2"/>
    <x v="1972"/>
    <x v="0"/>
    <x v="0"/>
    <x v="0"/>
    <x v="0"/>
    <x v="0"/>
    <x v="1"/>
  </r>
  <r>
    <n v="39870"/>
    <x v="15"/>
    <x v="4"/>
    <x v="452"/>
    <x v="4"/>
    <x v="1936"/>
    <x v="0"/>
    <d v="2024-01-18T00:00:00"/>
    <d v="2024-01-29T00:00:00"/>
    <x v="1"/>
    <x v="1973"/>
    <x v="0"/>
    <x v="0"/>
    <x v="0"/>
    <x v="0"/>
    <x v="0"/>
    <x v="0"/>
  </r>
  <r>
    <n v="16590"/>
    <x v="9"/>
    <x v="1"/>
    <x v="42"/>
    <x v="3"/>
    <x v="1937"/>
    <x v="3"/>
    <d v="2024-12-06T00:00:00"/>
    <d v="2024-12-29T00:00:00"/>
    <x v="1"/>
    <x v="1974"/>
    <x v="0"/>
    <x v="0"/>
    <x v="0"/>
    <x v="0"/>
    <x v="0"/>
    <x v="0"/>
  </r>
  <r>
    <n v="47499"/>
    <x v="2"/>
    <x v="1"/>
    <x v="246"/>
    <x v="6"/>
    <x v="1938"/>
    <x v="4"/>
    <d v="2024-09-11T00:00:00"/>
    <d v="2024-10-20T00:00:00"/>
    <x v="1"/>
    <x v="1975"/>
    <x v="0"/>
    <x v="0"/>
    <x v="0"/>
    <x v="0"/>
    <x v="0"/>
    <x v="1"/>
  </r>
  <r>
    <n v="25852"/>
    <x v="7"/>
    <x v="3"/>
    <x v="299"/>
    <x v="1"/>
    <x v="1939"/>
    <x v="1"/>
    <d v="2024-07-04T00:00:00"/>
    <d v="2024-08-09T00:00:00"/>
    <x v="1"/>
    <x v="1976"/>
    <x v="0"/>
    <x v="0"/>
    <x v="0"/>
    <x v="0"/>
    <x v="0"/>
    <x v="1"/>
  </r>
  <r>
    <n v="19895"/>
    <x v="3"/>
    <x v="2"/>
    <x v="25"/>
    <x v="1"/>
    <x v="1940"/>
    <x v="4"/>
    <d v="2024-02-18T00:00:00"/>
    <d v="2024-03-12T00:00:00"/>
    <x v="1"/>
    <x v="1977"/>
    <x v="0"/>
    <x v="0"/>
    <x v="0"/>
    <x v="0"/>
    <x v="0"/>
    <x v="0"/>
  </r>
  <r>
    <n v="37431"/>
    <x v="14"/>
    <x v="4"/>
    <x v="437"/>
    <x v="0"/>
    <x v="1941"/>
    <x v="0"/>
    <d v="2024-10-23T00:00:00"/>
    <d v="2024-10-30T00:00:00"/>
    <x v="1"/>
    <x v="1978"/>
    <x v="0"/>
    <x v="0"/>
    <x v="0"/>
    <x v="0"/>
    <x v="0"/>
    <x v="0"/>
  </r>
  <r>
    <n v="24887"/>
    <x v="12"/>
    <x v="0"/>
    <x v="25"/>
    <x v="2"/>
    <x v="1942"/>
    <x v="4"/>
    <d v="2024-04-17T00:00:00"/>
    <d v="2024-05-15T00:00:00"/>
    <x v="1"/>
    <x v="1979"/>
    <x v="0"/>
    <x v="0"/>
    <x v="0"/>
    <x v="0"/>
    <x v="0"/>
    <x v="0"/>
  </r>
  <r>
    <n v="90875"/>
    <x v="0"/>
    <x v="0"/>
    <x v="480"/>
    <x v="2"/>
    <x v="1943"/>
    <x v="1"/>
    <d v="2024-09-14T00:00:00"/>
    <d v="2024-09-24T00:00:00"/>
    <x v="1"/>
    <x v="1980"/>
    <x v="0"/>
    <x v="0"/>
    <x v="0"/>
    <x v="0"/>
    <x v="0"/>
    <x v="0"/>
  </r>
  <r>
    <n v="75471"/>
    <x v="6"/>
    <x v="3"/>
    <x v="123"/>
    <x v="2"/>
    <x v="1944"/>
    <x v="2"/>
    <d v="2024-08-25T00:00:00"/>
    <d v="2024-09-14T00:00:00"/>
    <x v="0"/>
    <x v="1981"/>
    <x v="0"/>
    <x v="0"/>
    <x v="0"/>
    <x v="0"/>
    <x v="0"/>
    <x v="0"/>
  </r>
  <r>
    <n v="26533"/>
    <x v="0"/>
    <x v="0"/>
    <x v="171"/>
    <x v="1"/>
    <x v="1945"/>
    <x v="0"/>
    <d v="2024-02-20T00:00:00"/>
    <d v="2024-03-21T00:00:00"/>
    <x v="2"/>
    <x v="1982"/>
    <x v="0"/>
    <x v="0"/>
    <x v="0"/>
    <x v="0"/>
    <x v="0"/>
    <x v="0"/>
  </r>
  <r>
    <n v="23654"/>
    <x v="8"/>
    <x v="1"/>
    <x v="190"/>
    <x v="6"/>
    <x v="1946"/>
    <x v="4"/>
    <d v="2024-06-22T00:00:00"/>
    <d v="2024-07-22T00:00:00"/>
    <x v="0"/>
    <x v="1983"/>
    <x v="0"/>
    <x v="0"/>
    <x v="0"/>
    <x v="0"/>
    <x v="0"/>
    <x v="0"/>
  </r>
  <r>
    <n v="74934"/>
    <x v="5"/>
    <x v="2"/>
    <x v="431"/>
    <x v="1"/>
    <x v="1947"/>
    <x v="0"/>
    <d v="2024-03-06T00:00:00"/>
    <d v="2024-03-22T00:00:00"/>
    <x v="2"/>
    <x v="1984"/>
    <x v="1"/>
    <x v="29"/>
    <x v="1"/>
    <x v="1"/>
    <x v="1"/>
    <x v="1"/>
  </r>
  <r>
    <n v="92627"/>
    <x v="2"/>
    <x v="1"/>
    <x v="240"/>
    <x v="0"/>
    <x v="547"/>
    <x v="1"/>
    <d v="2024-08-29T00:00:00"/>
    <d v="2024-09-27T00:00:00"/>
    <x v="1"/>
    <x v="1985"/>
    <x v="0"/>
    <x v="0"/>
    <x v="0"/>
    <x v="0"/>
    <x v="0"/>
    <x v="0"/>
  </r>
  <r>
    <n v="59999"/>
    <x v="7"/>
    <x v="3"/>
    <x v="373"/>
    <x v="5"/>
    <x v="1948"/>
    <x v="1"/>
    <d v="2024-12-22T00:00:00"/>
    <d v="2024-12-29T00:00:00"/>
    <x v="1"/>
    <x v="1986"/>
    <x v="0"/>
    <x v="0"/>
    <x v="0"/>
    <x v="0"/>
    <x v="0"/>
    <x v="0"/>
  </r>
  <r>
    <n v="66982"/>
    <x v="5"/>
    <x v="2"/>
    <x v="174"/>
    <x v="2"/>
    <x v="1949"/>
    <x v="2"/>
    <d v="2024-07-16T00:00:00"/>
    <d v="2024-08-16T00:00:00"/>
    <x v="0"/>
    <x v="1987"/>
    <x v="0"/>
    <x v="0"/>
    <x v="0"/>
    <x v="0"/>
    <x v="0"/>
    <x v="0"/>
  </r>
  <r>
    <n v="58225"/>
    <x v="4"/>
    <x v="0"/>
    <x v="338"/>
    <x v="2"/>
    <x v="1950"/>
    <x v="3"/>
    <d v="2024-03-22T00:00:00"/>
    <d v="2024-04-17T00:00:00"/>
    <x v="1"/>
    <x v="1988"/>
    <x v="0"/>
    <x v="0"/>
    <x v="0"/>
    <x v="0"/>
    <x v="0"/>
    <x v="0"/>
  </r>
  <r>
    <n v="10973"/>
    <x v="13"/>
    <x v="3"/>
    <x v="273"/>
    <x v="1"/>
    <x v="1951"/>
    <x v="3"/>
    <d v="2024-06-05T00:00:00"/>
    <d v="2024-07-01T00:00:00"/>
    <x v="1"/>
    <x v="1989"/>
    <x v="0"/>
    <x v="0"/>
    <x v="0"/>
    <x v="0"/>
    <x v="0"/>
    <x v="0"/>
  </r>
  <r>
    <n v="81980"/>
    <x v="5"/>
    <x v="2"/>
    <x v="34"/>
    <x v="5"/>
    <x v="1952"/>
    <x v="1"/>
    <d v="2024-09-15T00:00:00"/>
    <d v="2024-10-23T00:00:00"/>
    <x v="2"/>
    <x v="1990"/>
    <x v="1"/>
    <x v="113"/>
    <x v="1"/>
    <x v="1"/>
    <x v="1"/>
    <x v="1"/>
  </r>
  <r>
    <n v="94834"/>
    <x v="6"/>
    <x v="3"/>
    <x v="192"/>
    <x v="1"/>
    <x v="1953"/>
    <x v="4"/>
    <d v="2024-08-11T00:00:00"/>
    <d v="2024-09-07T00:00:00"/>
    <x v="1"/>
    <x v="1991"/>
    <x v="0"/>
    <x v="0"/>
    <x v="0"/>
    <x v="0"/>
    <x v="0"/>
    <x v="1"/>
  </r>
  <r>
    <n v="94719"/>
    <x v="8"/>
    <x v="1"/>
    <x v="241"/>
    <x v="2"/>
    <x v="1954"/>
    <x v="1"/>
    <d v="2024-02-06T00:00:00"/>
    <d v="2024-03-02T00:00:00"/>
    <x v="1"/>
    <x v="1992"/>
    <x v="0"/>
    <x v="0"/>
    <x v="0"/>
    <x v="0"/>
    <x v="0"/>
    <x v="0"/>
  </r>
  <r>
    <n v="71457"/>
    <x v="10"/>
    <x v="2"/>
    <x v="42"/>
    <x v="1"/>
    <x v="1955"/>
    <x v="4"/>
    <d v="2024-06-06T00:00:00"/>
    <d v="2024-06-26T00:00:00"/>
    <x v="1"/>
    <x v="1993"/>
    <x v="0"/>
    <x v="0"/>
    <x v="0"/>
    <x v="0"/>
    <x v="0"/>
    <x v="0"/>
  </r>
  <r>
    <n v="87318"/>
    <x v="9"/>
    <x v="1"/>
    <x v="242"/>
    <x v="2"/>
    <x v="1956"/>
    <x v="0"/>
    <d v="2024-07-11T00:00:00"/>
    <d v="2024-07-22T00:00:00"/>
    <x v="0"/>
    <x v="1994"/>
    <x v="0"/>
    <x v="0"/>
    <x v="0"/>
    <x v="0"/>
    <x v="0"/>
    <x v="0"/>
  </r>
  <r>
    <n v="45011"/>
    <x v="3"/>
    <x v="2"/>
    <x v="170"/>
    <x v="2"/>
    <x v="1957"/>
    <x v="1"/>
    <d v="2024-02-10T00:00:00"/>
    <d v="2024-02-16T00:00:00"/>
    <x v="0"/>
    <x v="1995"/>
    <x v="0"/>
    <x v="0"/>
    <x v="0"/>
    <x v="0"/>
    <x v="0"/>
    <x v="0"/>
  </r>
  <r>
    <n v="51003"/>
    <x v="3"/>
    <x v="2"/>
    <x v="35"/>
    <x v="1"/>
    <x v="1958"/>
    <x v="3"/>
    <d v="2024-05-29T00:00:00"/>
    <d v="2024-06-13T00:00:00"/>
    <x v="0"/>
    <x v="1996"/>
    <x v="0"/>
    <x v="0"/>
    <x v="0"/>
    <x v="0"/>
    <x v="0"/>
    <x v="0"/>
  </r>
  <r>
    <n v="28260"/>
    <x v="13"/>
    <x v="3"/>
    <x v="423"/>
    <x v="1"/>
    <x v="1959"/>
    <x v="2"/>
    <d v="2024-04-01T00:00:00"/>
    <d v="2024-04-16T00:00:00"/>
    <x v="0"/>
    <x v="1997"/>
    <x v="0"/>
    <x v="0"/>
    <x v="0"/>
    <x v="0"/>
    <x v="0"/>
    <x v="1"/>
  </r>
  <r>
    <n v="22836"/>
    <x v="2"/>
    <x v="1"/>
    <x v="279"/>
    <x v="2"/>
    <x v="1960"/>
    <x v="3"/>
    <d v="2024-05-16T00:00:00"/>
    <d v="2024-06-02T00:00:00"/>
    <x v="0"/>
    <x v="1998"/>
    <x v="0"/>
    <x v="0"/>
    <x v="0"/>
    <x v="0"/>
    <x v="0"/>
    <x v="0"/>
  </r>
  <r>
    <n v="73265"/>
    <x v="6"/>
    <x v="3"/>
    <x v="262"/>
    <x v="5"/>
    <x v="1961"/>
    <x v="0"/>
    <d v="2024-09-11T00:00:00"/>
    <d v="2024-09-21T00:00:00"/>
    <x v="0"/>
    <x v="1999"/>
    <x v="0"/>
    <x v="0"/>
    <x v="0"/>
    <x v="0"/>
    <x v="0"/>
    <x v="1"/>
  </r>
  <r>
    <n v="37937"/>
    <x v="4"/>
    <x v="0"/>
    <x v="230"/>
    <x v="5"/>
    <x v="1962"/>
    <x v="4"/>
    <d v="2024-03-07T00:00:00"/>
    <d v="2024-03-15T00:00:00"/>
    <x v="0"/>
    <x v="2000"/>
    <x v="0"/>
    <x v="0"/>
    <x v="0"/>
    <x v="0"/>
    <x v="0"/>
    <x v="0"/>
  </r>
  <r>
    <n v="43400"/>
    <x v="4"/>
    <x v="0"/>
    <x v="492"/>
    <x v="3"/>
    <x v="1963"/>
    <x v="4"/>
    <d v="2024-09-18T00:00:00"/>
    <d v="2024-10-16T00:00:00"/>
    <x v="2"/>
    <x v="2001"/>
    <x v="0"/>
    <x v="0"/>
    <x v="0"/>
    <x v="0"/>
    <x v="0"/>
    <x v="0"/>
  </r>
  <r>
    <n v="23894"/>
    <x v="14"/>
    <x v="4"/>
    <x v="281"/>
    <x v="5"/>
    <x v="1964"/>
    <x v="3"/>
    <d v="2024-07-28T00:00:00"/>
    <d v="2024-08-13T00:00:00"/>
    <x v="0"/>
    <x v="2002"/>
    <x v="0"/>
    <x v="0"/>
    <x v="0"/>
    <x v="0"/>
    <x v="0"/>
    <x v="0"/>
  </r>
  <r>
    <n v="55311"/>
    <x v="2"/>
    <x v="1"/>
    <x v="390"/>
    <x v="4"/>
    <x v="1965"/>
    <x v="3"/>
    <d v="2024-08-26T00:00:00"/>
    <d v="2024-09-27T00:00:00"/>
    <x v="0"/>
    <x v="2003"/>
    <x v="0"/>
    <x v="0"/>
    <x v="0"/>
    <x v="0"/>
    <x v="0"/>
    <x v="0"/>
  </r>
  <r>
    <n v="35059"/>
    <x v="5"/>
    <x v="2"/>
    <x v="79"/>
    <x v="1"/>
    <x v="1966"/>
    <x v="3"/>
    <d v="2024-05-18T00:00:00"/>
    <d v="2024-06-13T00:00:00"/>
    <x v="1"/>
    <x v="2004"/>
    <x v="0"/>
    <x v="0"/>
    <x v="0"/>
    <x v="0"/>
    <x v="0"/>
    <x v="0"/>
  </r>
  <r>
    <n v="21628"/>
    <x v="14"/>
    <x v="4"/>
    <x v="249"/>
    <x v="5"/>
    <x v="1967"/>
    <x v="1"/>
    <d v="2024-05-11T00:00:00"/>
    <d v="2024-05-26T00:00:00"/>
    <x v="1"/>
    <x v="2005"/>
    <x v="0"/>
    <x v="0"/>
    <x v="0"/>
    <x v="0"/>
    <x v="0"/>
    <x v="0"/>
  </r>
  <r>
    <n v="60333"/>
    <x v="12"/>
    <x v="0"/>
    <x v="23"/>
    <x v="6"/>
    <x v="1968"/>
    <x v="0"/>
    <d v="2024-11-16T00:00:00"/>
    <d v="2024-12-19T00:00:00"/>
    <x v="0"/>
    <x v="2006"/>
    <x v="1"/>
    <x v="30"/>
    <x v="1"/>
    <x v="1"/>
    <x v="1"/>
    <x v="1"/>
  </r>
  <r>
    <n v="91983"/>
    <x v="0"/>
    <x v="0"/>
    <x v="313"/>
    <x v="2"/>
    <x v="1969"/>
    <x v="1"/>
    <d v="2024-02-28T00:00:00"/>
    <d v="2024-04-03T00:00:00"/>
    <x v="2"/>
    <x v="2007"/>
    <x v="0"/>
    <x v="0"/>
    <x v="0"/>
    <x v="0"/>
    <x v="0"/>
    <x v="0"/>
  </r>
  <r>
    <n v="68507"/>
    <x v="5"/>
    <x v="2"/>
    <x v="314"/>
    <x v="4"/>
    <x v="1970"/>
    <x v="4"/>
    <d v="2024-11-03T00:00:00"/>
    <d v="2024-12-04T00:00:00"/>
    <x v="2"/>
    <x v="2008"/>
    <x v="0"/>
    <x v="0"/>
    <x v="0"/>
    <x v="0"/>
    <x v="0"/>
    <x v="0"/>
  </r>
  <r>
    <n v="24066"/>
    <x v="16"/>
    <x v="3"/>
    <x v="414"/>
    <x v="4"/>
    <x v="1971"/>
    <x v="4"/>
    <d v="2024-11-28T00:00:00"/>
    <d v="2024-12-14T00:00:00"/>
    <x v="2"/>
    <x v="2009"/>
    <x v="0"/>
    <x v="0"/>
    <x v="0"/>
    <x v="0"/>
    <x v="0"/>
    <x v="0"/>
  </r>
  <r>
    <n v="19934"/>
    <x v="2"/>
    <x v="1"/>
    <x v="170"/>
    <x v="2"/>
    <x v="1972"/>
    <x v="4"/>
    <d v="2024-06-25T00:00:00"/>
    <d v="2024-07-31T00:00:00"/>
    <x v="0"/>
    <x v="2010"/>
    <x v="0"/>
    <x v="0"/>
    <x v="0"/>
    <x v="0"/>
    <x v="0"/>
    <x v="0"/>
  </r>
  <r>
    <n v="21408"/>
    <x v="1"/>
    <x v="0"/>
    <x v="200"/>
    <x v="6"/>
    <x v="1973"/>
    <x v="4"/>
    <d v="2024-04-16T00:00:00"/>
    <d v="2024-05-18T00:00:00"/>
    <x v="2"/>
    <x v="2011"/>
    <x v="0"/>
    <x v="0"/>
    <x v="0"/>
    <x v="0"/>
    <x v="0"/>
    <x v="1"/>
  </r>
  <r>
    <n v="46870"/>
    <x v="15"/>
    <x v="4"/>
    <x v="441"/>
    <x v="5"/>
    <x v="1974"/>
    <x v="1"/>
    <d v="2024-07-18T00:00:00"/>
    <d v="2024-08-12T00:00:00"/>
    <x v="0"/>
    <x v="2012"/>
    <x v="0"/>
    <x v="0"/>
    <x v="0"/>
    <x v="0"/>
    <x v="0"/>
    <x v="1"/>
  </r>
  <r>
    <n v="20511"/>
    <x v="7"/>
    <x v="3"/>
    <x v="491"/>
    <x v="6"/>
    <x v="1975"/>
    <x v="0"/>
    <d v="2024-10-22T00:00:00"/>
    <d v="2024-11-09T00:00:00"/>
    <x v="1"/>
    <x v="2013"/>
    <x v="0"/>
    <x v="0"/>
    <x v="0"/>
    <x v="0"/>
    <x v="0"/>
    <x v="1"/>
  </r>
  <r>
    <n v="74555"/>
    <x v="12"/>
    <x v="0"/>
    <x v="221"/>
    <x v="4"/>
    <x v="1976"/>
    <x v="2"/>
    <d v="2024-11-16T00:00:00"/>
    <d v="2024-12-25T00:00:00"/>
    <x v="0"/>
    <x v="2014"/>
    <x v="0"/>
    <x v="0"/>
    <x v="0"/>
    <x v="0"/>
    <x v="0"/>
    <x v="0"/>
  </r>
  <r>
    <n v="24418"/>
    <x v="11"/>
    <x v="4"/>
    <x v="327"/>
    <x v="0"/>
    <x v="1977"/>
    <x v="1"/>
    <d v="2024-12-21T00:00:00"/>
    <d v="2024-12-31T00:00:00"/>
    <x v="2"/>
    <x v="2015"/>
    <x v="0"/>
    <x v="0"/>
    <x v="0"/>
    <x v="0"/>
    <x v="0"/>
    <x v="0"/>
  </r>
  <r>
    <n v="86979"/>
    <x v="14"/>
    <x v="4"/>
    <x v="455"/>
    <x v="6"/>
    <x v="1978"/>
    <x v="2"/>
    <d v="2024-11-09T00:00:00"/>
    <d v="2024-11-15T00:00:00"/>
    <x v="0"/>
    <x v="2016"/>
    <x v="0"/>
    <x v="0"/>
    <x v="0"/>
    <x v="0"/>
    <x v="0"/>
    <x v="1"/>
  </r>
  <r>
    <n v="61341"/>
    <x v="15"/>
    <x v="4"/>
    <x v="318"/>
    <x v="3"/>
    <x v="1979"/>
    <x v="0"/>
    <d v="2024-12-09T00:00:00"/>
    <d v="2024-12-23T00:00:00"/>
    <x v="2"/>
    <x v="2017"/>
    <x v="0"/>
    <x v="0"/>
    <x v="0"/>
    <x v="0"/>
    <x v="0"/>
    <x v="0"/>
  </r>
  <r>
    <n v="83662"/>
    <x v="1"/>
    <x v="0"/>
    <x v="76"/>
    <x v="3"/>
    <x v="1980"/>
    <x v="4"/>
    <d v="2024-10-01T00:00:00"/>
    <d v="2024-10-12T00:00:00"/>
    <x v="2"/>
    <x v="2018"/>
    <x v="0"/>
    <x v="0"/>
    <x v="0"/>
    <x v="0"/>
    <x v="0"/>
    <x v="0"/>
  </r>
  <r>
    <n v="55643"/>
    <x v="7"/>
    <x v="3"/>
    <x v="365"/>
    <x v="6"/>
    <x v="1981"/>
    <x v="1"/>
    <d v="2024-08-11T00:00:00"/>
    <d v="2024-08-23T00:00:00"/>
    <x v="1"/>
    <x v="2019"/>
    <x v="1"/>
    <x v="107"/>
    <x v="1"/>
    <x v="1"/>
    <x v="1"/>
    <x v="1"/>
  </r>
  <r>
    <n v="25600"/>
    <x v="2"/>
    <x v="1"/>
    <x v="312"/>
    <x v="1"/>
    <x v="1982"/>
    <x v="0"/>
    <d v="2024-03-02T00:00:00"/>
    <d v="2024-03-26T00:00:00"/>
    <x v="2"/>
    <x v="2020"/>
    <x v="0"/>
    <x v="0"/>
    <x v="0"/>
    <x v="0"/>
    <x v="0"/>
    <x v="1"/>
  </r>
  <r>
    <n v="89303"/>
    <x v="12"/>
    <x v="0"/>
    <x v="135"/>
    <x v="5"/>
    <x v="1983"/>
    <x v="4"/>
    <d v="2024-10-27T00:00:00"/>
    <d v="2024-11-11T00:00:00"/>
    <x v="2"/>
    <x v="2021"/>
    <x v="0"/>
    <x v="0"/>
    <x v="0"/>
    <x v="0"/>
    <x v="0"/>
    <x v="0"/>
  </r>
  <r>
    <n v="25900"/>
    <x v="11"/>
    <x v="4"/>
    <x v="441"/>
    <x v="2"/>
    <x v="1984"/>
    <x v="1"/>
    <d v="2024-04-07T00:00:00"/>
    <d v="2024-05-05T00:00:00"/>
    <x v="2"/>
    <x v="2022"/>
    <x v="0"/>
    <x v="0"/>
    <x v="0"/>
    <x v="0"/>
    <x v="0"/>
    <x v="0"/>
  </r>
  <r>
    <n v="12977"/>
    <x v="8"/>
    <x v="1"/>
    <x v="432"/>
    <x v="1"/>
    <x v="1985"/>
    <x v="0"/>
    <d v="2024-06-01T00:00:00"/>
    <d v="2024-06-28T00:00:00"/>
    <x v="2"/>
    <x v="2023"/>
    <x v="0"/>
    <x v="0"/>
    <x v="0"/>
    <x v="0"/>
    <x v="0"/>
    <x v="0"/>
  </r>
  <r>
    <n v="21885"/>
    <x v="14"/>
    <x v="4"/>
    <x v="413"/>
    <x v="1"/>
    <x v="1986"/>
    <x v="4"/>
    <d v="2024-07-03T00:00:00"/>
    <d v="2024-07-14T00:00:00"/>
    <x v="1"/>
    <x v="2024"/>
    <x v="0"/>
    <x v="0"/>
    <x v="0"/>
    <x v="0"/>
    <x v="0"/>
    <x v="0"/>
  </r>
  <r>
    <n v="74649"/>
    <x v="11"/>
    <x v="4"/>
    <x v="105"/>
    <x v="3"/>
    <x v="1987"/>
    <x v="1"/>
    <d v="2024-08-24T00:00:00"/>
    <d v="2024-09-13T00:00:00"/>
    <x v="1"/>
    <x v="2025"/>
    <x v="0"/>
    <x v="0"/>
    <x v="0"/>
    <x v="0"/>
    <x v="0"/>
    <x v="0"/>
  </r>
  <r>
    <n v="31661"/>
    <x v="13"/>
    <x v="3"/>
    <x v="493"/>
    <x v="0"/>
    <x v="1675"/>
    <x v="3"/>
    <d v="2024-10-22T00:00:00"/>
    <d v="2024-11-04T00:00:00"/>
    <x v="1"/>
    <x v="2026"/>
    <x v="0"/>
    <x v="0"/>
    <x v="0"/>
    <x v="0"/>
    <x v="0"/>
    <x v="0"/>
  </r>
  <r>
    <n v="13728"/>
    <x v="4"/>
    <x v="0"/>
    <x v="422"/>
    <x v="5"/>
    <x v="1988"/>
    <x v="3"/>
    <d v="2024-12-22T00:00:00"/>
    <d v="2025-01-18T00:00:00"/>
    <x v="2"/>
    <x v="2027"/>
    <x v="0"/>
    <x v="0"/>
    <x v="0"/>
    <x v="0"/>
    <x v="0"/>
    <x v="1"/>
  </r>
  <r>
    <n v="29439"/>
    <x v="5"/>
    <x v="2"/>
    <x v="164"/>
    <x v="0"/>
    <x v="1989"/>
    <x v="4"/>
    <d v="2024-05-20T00:00:00"/>
    <d v="2024-06-07T00:00:00"/>
    <x v="2"/>
    <x v="2028"/>
    <x v="0"/>
    <x v="0"/>
    <x v="0"/>
    <x v="0"/>
    <x v="0"/>
    <x v="0"/>
  </r>
  <r>
    <n v="72235"/>
    <x v="12"/>
    <x v="0"/>
    <x v="82"/>
    <x v="5"/>
    <x v="1990"/>
    <x v="3"/>
    <d v="2024-11-14T00:00:00"/>
    <d v="2024-11-25T00:00:00"/>
    <x v="2"/>
    <x v="2029"/>
    <x v="1"/>
    <x v="0"/>
    <x v="0"/>
    <x v="0"/>
    <x v="0"/>
    <x v="1"/>
  </r>
  <r>
    <n v="29330"/>
    <x v="2"/>
    <x v="1"/>
    <x v="483"/>
    <x v="2"/>
    <x v="1991"/>
    <x v="0"/>
    <d v="2024-03-17T00:00:00"/>
    <d v="2024-04-08T00:00:00"/>
    <x v="0"/>
    <x v="2030"/>
    <x v="0"/>
    <x v="0"/>
    <x v="0"/>
    <x v="0"/>
    <x v="0"/>
    <x v="0"/>
  </r>
  <r>
    <n v="46688"/>
    <x v="8"/>
    <x v="1"/>
    <x v="274"/>
    <x v="0"/>
    <x v="1992"/>
    <x v="0"/>
    <d v="2024-11-27T00:00:00"/>
    <d v="2024-12-23T00:00:00"/>
    <x v="0"/>
    <x v="2031"/>
    <x v="1"/>
    <x v="14"/>
    <x v="1"/>
    <x v="1"/>
    <x v="1"/>
    <x v="1"/>
  </r>
  <r>
    <n v="96314"/>
    <x v="9"/>
    <x v="1"/>
    <x v="444"/>
    <x v="1"/>
    <x v="1993"/>
    <x v="3"/>
    <d v="2024-11-03T00:00:00"/>
    <d v="2024-11-30T00:00:00"/>
    <x v="1"/>
    <x v="2032"/>
    <x v="0"/>
    <x v="0"/>
    <x v="0"/>
    <x v="0"/>
    <x v="0"/>
    <x v="0"/>
  </r>
  <r>
    <n v="52129"/>
    <x v="15"/>
    <x v="4"/>
    <x v="321"/>
    <x v="2"/>
    <x v="1994"/>
    <x v="4"/>
    <d v="2024-11-10T00:00:00"/>
    <d v="2024-12-12T00:00:00"/>
    <x v="0"/>
    <x v="2033"/>
    <x v="0"/>
    <x v="0"/>
    <x v="0"/>
    <x v="0"/>
    <x v="0"/>
    <x v="1"/>
  </r>
  <r>
    <n v="94946"/>
    <x v="15"/>
    <x v="4"/>
    <x v="122"/>
    <x v="1"/>
    <x v="1995"/>
    <x v="1"/>
    <d v="2024-08-03T00:00:00"/>
    <d v="2024-08-21T00:00:00"/>
    <x v="0"/>
    <x v="2034"/>
    <x v="0"/>
    <x v="0"/>
    <x v="0"/>
    <x v="0"/>
    <x v="0"/>
    <x v="0"/>
  </r>
  <r>
    <n v="62571"/>
    <x v="1"/>
    <x v="0"/>
    <x v="35"/>
    <x v="3"/>
    <x v="1996"/>
    <x v="3"/>
    <d v="2024-06-04T00:00:00"/>
    <d v="2024-06-12T00:00:00"/>
    <x v="0"/>
    <x v="2035"/>
    <x v="0"/>
    <x v="0"/>
    <x v="0"/>
    <x v="0"/>
    <x v="0"/>
    <x v="0"/>
  </r>
  <r>
    <n v="82264"/>
    <x v="2"/>
    <x v="1"/>
    <x v="166"/>
    <x v="3"/>
    <x v="1997"/>
    <x v="4"/>
    <d v="2024-12-11T00:00:00"/>
    <d v="2025-01-06T00:00:00"/>
    <x v="0"/>
    <x v="2036"/>
    <x v="0"/>
    <x v="0"/>
    <x v="0"/>
    <x v="0"/>
    <x v="0"/>
    <x v="0"/>
  </r>
  <r>
    <n v="16621"/>
    <x v="2"/>
    <x v="1"/>
    <x v="239"/>
    <x v="1"/>
    <x v="1998"/>
    <x v="0"/>
    <d v="2024-09-11T00:00:00"/>
    <d v="2024-09-28T00:00:00"/>
    <x v="1"/>
    <x v="2037"/>
    <x v="1"/>
    <x v="10"/>
    <x v="1"/>
    <x v="1"/>
    <x v="1"/>
    <x v="1"/>
  </r>
  <r>
    <n v="51232"/>
    <x v="15"/>
    <x v="4"/>
    <x v="490"/>
    <x v="3"/>
    <x v="1999"/>
    <x v="2"/>
    <d v="2024-07-02T00:00:00"/>
    <d v="2024-07-21T00:00:00"/>
    <x v="1"/>
    <x v="2038"/>
    <x v="0"/>
    <x v="0"/>
    <x v="0"/>
    <x v="0"/>
    <x v="0"/>
    <x v="0"/>
  </r>
  <r>
    <n v="65034"/>
    <x v="13"/>
    <x v="3"/>
    <x v="226"/>
    <x v="5"/>
    <x v="1587"/>
    <x v="0"/>
    <d v="2024-01-16T00:00:00"/>
    <d v="2024-01-23T00:00:00"/>
    <x v="1"/>
    <x v="2039"/>
    <x v="0"/>
    <x v="0"/>
    <x v="0"/>
    <x v="0"/>
    <x v="0"/>
    <x v="1"/>
  </r>
  <r>
    <n v="51616"/>
    <x v="10"/>
    <x v="2"/>
    <x v="188"/>
    <x v="3"/>
    <x v="2000"/>
    <x v="4"/>
    <d v="2024-01-22T00:00:00"/>
    <d v="2024-01-31T00:00:00"/>
    <x v="2"/>
    <x v="2040"/>
    <x v="0"/>
    <x v="0"/>
    <x v="0"/>
    <x v="0"/>
    <x v="0"/>
    <x v="0"/>
  </r>
  <r>
    <n v="72473"/>
    <x v="9"/>
    <x v="1"/>
    <x v="266"/>
    <x v="0"/>
    <x v="2001"/>
    <x v="1"/>
    <d v="2024-08-24T00:00:00"/>
    <d v="2024-09-26T00:00:00"/>
    <x v="1"/>
    <x v="2041"/>
    <x v="0"/>
    <x v="0"/>
    <x v="0"/>
    <x v="0"/>
    <x v="0"/>
    <x v="0"/>
  </r>
  <r>
    <n v="91863"/>
    <x v="1"/>
    <x v="0"/>
    <x v="4"/>
    <x v="2"/>
    <x v="2002"/>
    <x v="3"/>
    <d v="2024-01-19T00:00:00"/>
    <d v="2024-02-15T00:00:00"/>
    <x v="0"/>
    <x v="2042"/>
    <x v="0"/>
    <x v="0"/>
    <x v="0"/>
    <x v="0"/>
    <x v="0"/>
    <x v="0"/>
  </r>
  <r>
    <n v="24620"/>
    <x v="14"/>
    <x v="4"/>
    <x v="316"/>
    <x v="0"/>
    <x v="2003"/>
    <x v="2"/>
    <d v="2024-10-22T00:00:00"/>
    <d v="2024-11-14T00:00:00"/>
    <x v="1"/>
    <x v="2043"/>
    <x v="1"/>
    <x v="37"/>
    <x v="1"/>
    <x v="1"/>
    <x v="1"/>
    <x v="1"/>
  </r>
  <r>
    <n v="98456"/>
    <x v="11"/>
    <x v="4"/>
    <x v="43"/>
    <x v="2"/>
    <x v="2004"/>
    <x v="1"/>
    <d v="2024-06-01T00:00:00"/>
    <d v="2024-06-09T00:00:00"/>
    <x v="1"/>
    <x v="2044"/>
    <x v="0"/>
    <x v="0"/>
    <x v="0"/>
    <x v="0"/>
    <x v="0"/>
    <x v="0"/>
  </r>
  <r>
    <n v="74264"/>
    <x v="15"/>
    <x v="4"/>
    <x v="16"/>
    <x v="4"/>
    <x v="283"/>
    <x v="4"/>
    <d v="2024-05-06T00:00:00"/>
    <d v="2024-06-11T00:00:00"/>
    <x v="0"/>
    <x v="2045"/>
    <x v="0"/>
    <x v="0"/>
    <x v="0"/>
    <x v="0"/>
    <x v="0"/>
    <x v="0"/>
  </r>
  <r>
    <n v="50028"/>
    <x v="5"/>
    <x v="2"/>
    <x v="73"/>
    <x v="4"/>
    <x v="2005"/>
    <x v="2"/>
    <d v="2024-01-18T00:00:00"/>
    <d v="2024-02-04T00:00:00"/>
    <x v="0"/>
    <x v="2046"/>
    <x v="0"/>
    <x v="0"/>
    <x v="0"/>
    <x v="0"/>
    <x v="0"/>
    <x v="0"/>
  </r>
  <r>
    <n v="91583"/>
    <x v="0"/>
    <x v="0"/>
    <x v="280"/>
    <x v="6"/>
    <x v="2006"/>
    <x v="3"/>
    <d v="2024-02-03T00:00:00"/>
    <d v="2024-03-12T00:00:00"/>
    <x v="2"/>
    <x v="2047"/>
    <x v="1"/>
    <x v="114"/>
    <x v="1"/>
    <x v="1"/>
    <x v="1"/>
    <x v="1"/>
  </r>
  <r>
    <n v="42161"/>
    <x v="7"/>
    <x v="3"/>
    <x v="105"/>
    <x v="4"/>
    <x v="2007"/>
    <x v="2"/>
    <d v="2024-03-11T00:00:00"/>
    <d v="2024-03-22T00:00:00"/>
    <x v="1"/>
    <x v="2048"/>
    <x v="0"/>
    <x v="0"/>
    <x v="0"/>
    <x v="0"/>
    <x v="0"/>
    <x v="0"/>
  </r>
  <r>
    <n v="75781"/>
    <x v="8"/>
    <x v="1"/>
    <x v="19"/>
    <x v="4"/>
    <x v="2008"/>
    <x v="4"/>
    <d v="2024-07-23T00:00:00"/>
    <d v="2024-08-20T00:00:00"/>
    <x v="1"/>
    <x v="2049"/>
    <x v="0"/>
    <x v="0"/>
    <x v="0"/>
    <x v="0"/>
    <x v="0"/>
    <x v="0"/>
  </r>
  <r>
    <n v="47371"/>
    <x v="0"/>
    <x v="0"/>
    <x v="236"/>
    <x v="5"/>
    <x v="1720"/>
    <x v="0"/>
    <d v="2024-04-03T00:00:00"/>
    <d v="2024-05-07T00:00:00"/>
    <x v="2"/>
    <x v="2050"/>
    <x v="0"/>
    <x v="0"/>
    <x v="0"/>
    <x v="0"/>
    <x v="0"/>
    <x v="0"/>
  </r>
  <r>
    <n v="41426"/>
    <x v="16"/>
    <x v="3"/>
    <x v="158"/>
    <x v="5"/>
    <x v="2009"/>
    <x v="1"/>
    <d v="2024-06-30T00:00:00"/>
    <d v="2024-07-17T00:00:00"/>
    <x v="2"/>
    <x v="2051"/>
    <x v="0"/>
    <x v="0"/>
    <x v="0"/>
    <x v="0"/>
    <x v="0"/>
    <x v="0"/>
  </r>
  <r>
    <n v="23760"/>
    <x v="0"/>
    <x v="0"/>
    <x v="113"/>
    <x v="0"/>
    <x v="2010"/>
    <x v="2"/>
    <d v="2024-01-04T00:00:00"/>
    <d v="2024-01-23T00:00:00"/>
    <x v="0"/>
    <x v="2052"/>
    <x v="0"/>
    <x v="0"/>
    <x v="0"/>
    <x v="0"/>
    <x v="0"/>
    <x v="0"/>
  </r>
  <r>
    <n v="68616"/>
    <x v="8"/>
    <x v="1"/>
    <x v="380"/>
    <x v="1"/>
    <x v="2011"/>
    <x v="2"/>
    <d v="2024-07-23T00:00:00"/>
    <d v="2024-08-26T00:00:00"/>
    <x v="1"/>
    <x v="2053"/>
    <x v="0"/>
    <x v="0"/>
    <x v="0"/>
    <x v="0"/>
    <x v="0"/>
    <x v="0"/>
  </r>
  <r>
    <n v="30325"/>
    <x v="6"/>
    <x v="3"/>
    <x v="451"/>
    <x v="5"/>
    <x v="2012"/>
    <x v="2"/>
    <d v="2024-12-16T00:00:00"/>
    <d v="2025-01-08T00:00:00"/>
    <x v="2"/>
    <x v="2054"/>
    <x v="1"/>
    <x v="91"/>
    <x v="1"/>
    <x v="1"/>
    <x v="1"/>
    <x v="1"/>
  </r>
  <r>
    <n v="62485"/>
    <x v="15"/>
    <x v="4"/>
    <x v="303"/>
    <x v="4"/>
    <x v="2013"/>
    <x v="0"/>
    <d v="2024-07-15T00:00:00"/>
    <d v="2024-07-24T00:00:00"/>
    <x v="0"/>
    <x v="2055"/>
    <x v="0"/>
    <x v="0"/>
    <x v="0"/>
    <x v="0"/>
    <x v="0"/>
    <x v="0"/>
  </r>
  <r>
    <n v="16023"/>
    <x v="9"/>
    <x v="1"/>
    <x v="152"/>
    <x v="1"/>
    <x v="2014"/>
    <x v="1"/>
    <d v="2024-08-18T00:00:00"/>
    <d v="2024-09-08T00:00:00"/>
    <x v="2"/>
    <x v="2056"/>
    <x v="0"/>
    <x v="0"/>
    <x v="0"/>
    <x v="0"/>
    <x v="0"/>
    <x v="1"/>
  </r>
  <r>
    <n v="23397"/>
    <x v="14"/>
    <x v="4"/>
    <x v="420"/>
    <x v="1"/>
    <x v="2015"/>
    <x v="4"/>
    <d v="2024-06-01T00:00:00"/>
    <d v="2024-06-28T00:00:00"/>
    <x v="2"/>
    <x v="2057"/>
    <x v="0"/>
    <x v="0"/>
    <x v="0"/>
    <x v="0"/>
    <x v="0"/>
    <x v="1"/>
  </r>
  <r>
    <n v="13846"/>
    <x v="10"/>
    <x v="2"/>
    <x v="472"/>
    <x v="4"/>
    <x v="2016"/>
    <x v="3"/>
    <d v="2024-07-21T00:00:00"/>
    <d v="2024-08-18T00:00:00"/>
    <x v="0"/>
    <x v="2058"/>
    <x v="0"/>
    <x v="0"/>
    <x v="0"/>
    <x v="0"/>
    <x v="0"/>
    <x v="0"/>
  </r>
  <r>
    <n v="31157"/>
    <x v="9"/>
    <x v="1"/>
    <x v="456"/>
    <x v="4"/>
    <x v="2017"/>
    <x v="4"/>
    <d v="2024-02-15T00:00:00"/>
    <d v="2024-02-20T00:00:00"/>
    <x v="1"/>
    <x v="2059"/>
    <x v="0"/>
    <x v="0"/>
    <x v="0"/>
    <x v="0"/>
    <x v="0"/>
    <x v="0"/>
  </r>
  <r>
    <n v="16421"/>
    <x v="5"/>
    <x v="2"/>
    <x v="301"/>
    <x v="3"/>
    <x v="2018"/>
    <x v="4"/>
    <d v="2024-10-06T00:00:00"/>
    <d v="2024-11-07T00:00:00"/>
    <x v="0"/>
    <x v="2060"/>
    <x v="0"/>
    <x v="0"/>
    <x v="0"/>
    <x v="0"/>
    <x v="0"/>
    <x v="0"/>
  </r>
  <r>
    <n v="28130"/>
    <x v="1"/>
    <x v="0"/>
    <x v="83"/>
    <x v="0"/>
    <x v="2019"/>
    <x v="3"/>
    <d v="2024-03-07T00:00:00"/>
    <d v="2024-04-07T00:00:00"/>
    <x v="0"/>
    <x v="2061"/>
    <x v="0"/>
    <x v="0"/>
    <x v="0"/>
    <x v="0"/>
    <x v="0"/>
    <x v="0"/>
  </r>
  <r>
    <n v="33267"/>
    <x v="16"/>
    <x v="3"/>
    <x v="481"/>
    <x v="0"/>
    <x v="2020"/>
    <x v="3"/>
    <d v="2024-07-16T00:00:00"/>
    <d v="2024-08-04T00:00:00"/>
    <x v="1"/>
    <x v="2062"/>
    <x v="1"/>
    <x v="44"/>
    <x v="1"/>
    <x v="1"/>
    <x v="1"/>
    <x v="1"/>
  </r>
  <r>
    <n v="71854"/>
    <x v="9"/>
    <x v="1"/>
    <x v="278"/>
    <x v="6"/>
    <x v="2021"/>
    <x v="3"/>
    <d v="2024-08-25T00:00:00"/>
    <d v="2024-09-27T00:00:00"/>
    <x v="2"/>
    <x v="2063"/>
    <x v="0"/>
    <x v="0"/>
    <x v="0"/>
    <x v="0"/>
    <x v="0"/>
    <x v="1"/>
  </r>
  <r>
    <n v="72239"/>
    <x v="11"/>
    <x v="4"/>
    <x v="136"/>
    <x v="4"/>
    <x v="2022"/>
    <x v="1"/>
    <d v="2024-08-26T00:00:00"/>
    <d v="2024-09-29T00:00:00"/>
    <x v="1"/>
    <x v="2064"/>
    <x v="0"/>
    <x v="0"/>
    <x v="0"/>
    <x v="0"/>
    <x v="0"/>
    <x v="0"/>
  </r>
  <r>
    <n v="93017"/>
    <x v="16"/>
    <x v="3"/>
    <x v="397"/>
    <x v="1"/>
    <x v="2023"/>
    <x v="3"/>
    <d v="2024-08-06T00:00:00"/>
    <d v="2024-08-14T00:00:00"/>
    <x v="1"/>
    <x v="2065"/>
    <x v="1"/>
    <x v="50"/>
    <x v="1"/>
    <x v="1"/>
    <x v="1"/>
    <x v="1"/>
  </r>
  <r>
    <n v="18418"/>
    <x v="9"/>
    <x v="1"/>
    <x v="101"/>
    <x v="2"/>
    <x v="1205"/>
    <x v="3"/>
    <d v="2024-09-14T00:00:00"/>
    <d v="2024-09-29T00:00:00"/>
    <x v="2"/>
    <x v="2066"/>
    <x v="0"/>
    <x v="0"/>
    <x v="0"/>
    <x v="0"/>
    <x v="0"/>
    <x v="0"/>
  </r>
  <r>
    <n v="15888"/>
    <x v="6"/>
    <x v="3"/>
    <x v="120"/>
    <x v="0"/>
    <x v="2024"/>
    <x v="2"/>
    <d v="2024-12-24T00:00:00"/>
    <d v="2024-12-30T00:00:00"/>
    <x v="1"/>
    <x v="2067"/>
    <x v="0"/>
    <x v="0"/>
    <x v="0"/>
    <x v="0"/>
    <x v="0"/>
    <x v="1"/>
  </r>
  <r>
    <n v="36691"/>
    <x v="12"/>
    <x v="0"/>
    <x v="193"/>
    <x v="1"/>
    <x v="2025"/>
    <x v="0"/>
    <d v="2024-06-11T00:00:00"/>
    <d v="2024-06-23T00:00:00"/>
    <x v="1"/>
    <x v="2068"/>
    <x v="0"/>
    <x v="0"/>
    <x v="0"/>
    <x v="0"/>
    <x v="0"/>
    <x v="0"/>
  </r>
  <r>
    <n v="91499"/>
    <x v="14"/>
    <x v="4"/>
    <x v="158"/>
    <x v="2"/>
    <x v="2026"/>
    <x v="1"/>
    <d v="2024-03-28T00:00:00"/>
    <d v="2024-04-06T00:00:00"/>
    <x v="2"/>
    <x v="2069"/>
    <x v="0"/>
    <x v="0"/>
    <x v="0"/>
    <x v="0"/>
    <x v="0"/>
    <x v="0"/>
  </r>
  <r>
    <n v="47462"/>
    <x v="16"/>
    <x v="3"/>
    <x v="476"/>
    <x v="2"/>
    <x v="288"/>
    <x v="4"/>
    <d v="2024-07-14T00:00:00"/>
    <d v="2024-08-15T00:00:00"/>
    <x v="2"/>
    <x v="2070"/>
    <x v="0"/>
    <x v="0"/>
    <x v="0"/>
    <x v="0"/>
    <x v="0"/>
    <x v="0"/>
  </r>
  <r>
    <n v="12792"/>
    <x v="11"/>
    <x v="4"/>
    <x v="15"/>
    <x v="4"/>
    <x v="2027"/>
    <x v="4"/>
    <d v="2024-05-25T00:00:00"/>
    <d v="2024-06-14T00:00:00"/>
    <x v="0"/>
    <x v="2071"/>
    <x v="0"/>
    <x v="0"/>
    <x v="0"/>
    <x v="0"/>
    <x v="0"/>
    <x v="0"/>
  </r>
  <r>
    <n v="28243"/>
    <x v="2"/>
    <x v="1"/>
    <x v="148"/>
    <x v="4"/>
    <x v="2028"/>
    <x v="2"/>
    <d v="2024-12-05T00:00:00"/>
    <d v="2024-12-27T00:00:00"/>
    <x v="2"/>
    <x v="2072"/>
    <x v="1"/>
    <x v="94"/>
    <x v="1"/>
    <x v="1"/>
    <x v="1"/>
    <x v="1"/>
  </r>
  <r>
    <n v="16773"/>
    <x v="5"/>
    <x v="2"/>
    <x v="472"/>
    <x v="3"/>
    <x v="1823"/>
    <x v="1"/>
    <d v="2024-02-04T00:00:00"/>
    <d v="2024-02-14T00:00:00"/>
    <x v="2"/>
    <x v="2073"/>
    <x v="0"/>
    <x v="0"/>
    <x v="0"/>
    <x v="0"/>
    <x v="0"/>
    <x v="0"/>
  </r>
  <r>
    <n v="99343"/>
    <x v="16"/>
    <x v="3"/>
    <x v="386"/>
    <x v="6"/>
    <x v="2029"/>
    <x v="0"/>
    <d v="2024-05-12T00:00:00"/>
    <d v="2024-05-23T00:00:00"/>
    <x v="1"/>
    <x v="2074"/>
    <x v="1"/>
    <x v="115"/>
    <x v="1"/>
    <x v="1"/>
    <x v="1"/>
    <x v="1"/>
  </r>
  <r>
    <n v="40875"/>
    <x v="16"/>
    <x v="3"/>
    <x v="45"/>
    <x v="3"/>
    <x v="2030"/>
    <x v="2"/>
    <d v="2024-10-11T00:00:00"/>
    <d v="2024-10-17T00:00:00"/>
    <x v="0"/>
    <x v="2075"/>
    <x v="0"/>
    <x v="0"/>
    <x v="0"/>
    <x v="0"/>
    <x v="0"/>
    <x v="1"/>
  </r>
  <r>
    <n v="50533"/>
    <x v="5"/>
    <x v="2"/>
    <x v="143"/>
    <x v="3"/>
    <x v="2031"/>
    <x v="4"/>
    <d v="2024-12-29T00:00:00"/>
    <d v="2025-02-05T00:00:00"/>
    <x v="2"/>
    <x v="2076"/>
    <x v="0"/>
    <x v="0"/>
    <x v="0"/>
    <x v="0"/>
    <x v="0"/>
    <x v="0"/>
  </r>
  <r>
    <n v="24538"/>
    <x v="16"/>
    <x v="3"/>
    <x v="476"/>
    <x v="3"/>
    <x v="2032"/>
    <x v="2"/>
    <d v="2024-07-31T00:00:00"/>
    <d v="2024-08-17T00:00:00"/>
    <x v="2"/>
    <x v="2077"/>
    <x v="0"/>
    <x v="0"/>
    <x v="0"/>
    <x v="0"/>
    <x v="0"/>
    <x v="0"/>
  </r>
  <r>
    <n v="54191"/>
    <x v="2"/>
    <x v="1"/>
    <x v="272"/>
    <x v="0"/>
    <x v="2033"/>
    <x v="3"/>
    <d v="2024-06-09T00:00:00"/>
    <d v="2024-06-21T00:00:00"/>
    <x v="2"/>
    <x v="2078"/>
    <x v="0"/>
    <x v="0"/>
    <x v="0"/>
    <x v="0"/>
    <x v="0"/>
    <x v="0"/>
  </r>
  <r>
    <n v="89946"/>
    <x v="15"/>
    <x v="4"/>
    <x v="415"/>
    <x v="6"/>
    <x v="2034"/>
    <x v="1"/>
    <d v="2024-10-03T00:00:00"/>
    <d v="2024-11-08T00:00:00"/>
    <x v="2"/>
    <x v="2079"/>
    <x v="1"/>
    <x v="15"/>
    <x v="1"/>
    <x v="1"/>
    <x v="1"/>
    <x v="1"/>
  </r>
  <r>
    <n v="93247"/>
    <x v="5"/>
    <x v="2"/>
    <x v="359"/>
    <x v="1"/>
    <x v="2035"/>
    <x v="0"/>
    <d v="2024-11-29T00:00:00"/>
    <d v="2024-12-28T00:00:00"/>
    <x v="0"/>
    <x v="2080"/>
    <x v="0"/>
    <x v="0"/>
    <x v="0"/>
    <x v="0"/>
    <x v="0"/>
    <x v="0"/>
  </r>
  <r>
    <n v="98232"/>
    <x v="7"/>
    <x v="3"/>
    <x v="104"/>
    <x v="6"/>
    <x v="2036"/>
    <x v="1"/>
    <d v="2024-02-06T00:00:00"/>
    <d v="2024-02-16T00:00:00"/>
    <x v="0"/>
    <x v="2081"/>
    <x v="0"/>
    <x v="0"/>
    <x v="0"/>
    <x v="0"/>
    <x v="0"/>
    <x v="1"/>
  </r>
  <r>
    <n v="34336"/>
    <x v="13"/>
    <x v="3"/>
    <x v="188"/>
    <x v="4"/>
    <x v="2037"/>
    <x v="3"/>
    <d v="2024-05-21T00:00:00"/>
    <d v="2024-05-26T00:00:00"/>
    <x v="1"/>
    <x v="2082"/>
    <x v="0"/>
    <x v="0"/>
    <x v="0"/>
    <x v="0"/>
    <x v="0"/>
    <x v="0"/>
  </r>
  <r>
    <n v="36447"/>
    <x v="16"/>
    <x v="3"/>
    <x v="305"/>
    <x v="1"/>
    <x v="2038"/>
    <x v="1"/>
    <d v="2024-05-15T00:00:00"/>
    <d v="2024-06-18T00:00:00"/>
    <x v="0"/>
    <x v="2083"/>
    <x v="0"/>
    <x v="0"/>
    <x v="0"/>
    <x v="0"/>
    <x v="0"/>
    <x v="1"/>
  </r>
  <r>
    <n v="26945"/>
    <x v="15"/>
    <x v="4"/>
    <x v="384"/>
    <x v="0"/>
    <x v="2039"/>
    <x v="3"/>
    <d v="2024-11-19T00:00:00"/>
    <d v="2024-12-12T00:00:00"/>
    <x v="2"/>
    <x v="2084"/>
    <x v="0"/>
    <x v="0"/>
    <x v="0"/>
    <x v="0"/>
    <x v="0"/>
    <x v="0"/>
  </r>
  <r>
    <n v="45449"/>
    <x v="10"/>
    <x v="2"/>
    <x v="242"/>
    <x v="4"/>
    <x v="2040"/>
    <x v="1"/>
    <d v="2024-02-08T00:00:00"/>
    <d v="2024-02-19T00:00:00"/>
    <x v="1"/>
    <x v="2085"/>
    <x v="0"/>
    <x v="0"/>
    <x v="0"/>
    <x v="0"/>
    <x v="0"/>
    <x v="0"/>
  </r>
  <r>
    <n v="28706"/>
    <x v="6"/>
    <x v="3"/>
    <x v="110"/>
    <x v="4"/>
    <x v="1725"/>
    <x v="2"/>
    <d v="2024-01-25T00:00:00"/>
    <d v="2024-02-26T00:00:00"/>
    <x v="2"/>
    <x v="2086"/>
    <x v="0"/>
    <x v="0"/>
    <x v="0"/>
    <x v="0"/>
    <x v="0"/>
    <x v="0"/>
  </r>
  <r>
    <n v="37924"/>
    <x v="8"/>
    <x v="1"/>
    <x v="184"/>
    <x v="6"/>
    <x v="2041"/>
    <x v="2"/>
    <d v="2024-05-25T00:00:00"/>
    <d v="2024-05-30T00:00:00"/>
    <x v="2"/>
    <x v="2087"/>
    <x v="1"/>
    <x v="81"/>
    <x v="1"/>
    <x v="1"/>
    <x v="1"/>
    <x v="1"/>
  </r>
  <r>
    <n v="82575"/>
    <x v="5"/>
    <x v="2"/>
    <x v="154"/>
    <x v="1"/>
    <x v="2042"/>
    <x v="4"/>
    <d v="2024-06-06T00:00:00"/>
    <d v="2024-07-04T00:00:00"/>
    <x v="1"/>
    <x v="2088"/>
    <x v="0"/>
    <x v="0"/>
    <x v="0"/>
    <x v="0"/>
    <x v="0"/>
    <x v="1"/>
  </r>
  <r>
    <n v="10360"/>
    <x v="4"/>
    <x v="0"/>
    <x v="15"/>
    <x v="0"/>
    <x v="2043"/>
    <x v="3"/>
    <d v="2024-06-12T00:00:00"/>
    <d v="2024-06-29T00:00:00"/>
    <x v="1"/>
    <x v="2089"/>
    <x v="0"/>
    <x v="0"/>
    <x v="0"/>
    <x v="0"/>
    <x v="0"/>
    <x v="0"/>
  </r>
  <r>
    <n v="80655"/>
    <x v="6"/>
    <x v="3"/>
    <x v="145"/>
    <x v="2"/>
    <x v="2044"/>
    <x v="2"/>
    <d v="2024-08-08T00:00:00"/>
    <d v="2024-08-23T00:00:00"/>
    <x v="1"/>
    <x v="2090"/>
    <x v="0"/>
    <x v="0"/>
    <x v="0"/>
    <x v="0"/>
    <x v="0"/>
    <x v="0"/>
  </r>
  <r>
    <n v="45081"/>
    <x v="8"/>
    <x v="1"/>
    <x v="214"/>
    <x v="1"/>
    <x v="2045"/>
    <x v="1"/>
    <d v="2024-01-31T00:00:00"/>
    <d v="2024-03-06T00:00:00"/>
    <x v="0"/>
    <x v="2091"/>
    <x v="0"/>
    <x v="0"/>
    <x v="0"/>
    <x v="0"/>
    <x v="0"/>
    <x v="1"/>
  </r>
  <r>
    <n v="22427"/>
    <x v="4"/>
    <x v="0"/>
    <x v="111"/>
    <x v="6"/>
    <x v="2046"/>
    <x v="2"/>
    <d v="2024-03-30T00:00:00"/>
    <d v="2024-04-27T00:00:00"/>
    <x v="2"/>
    <x v="2092"/>
    <x v="0"/>
    <x v="0"/>
    <x v="0"/>
    <x v="0"/>
    <x v="0"/>
    <x v="1"/>
  </r>
  <r>
    <n v="83586"/>
    <x v="7"/>
    <x v="3"/>
    <x v="141"/>
    <x v="6"/>
    <x v="2047"/>
    <x v="2"/>
    <d v="2024-12-17T00:00:00"/>
    <d v="2025-01-10T00:00:00"/>
    <x v="2"/>
    <x v="2093"/>
    <x v="0"/>
    <x v="0"/>
    <x v="0"/>
    <x v="0"/>
    <x v="0"/>
    <x v="0"/>
  </r>
  <r>
    <n v="51644"/>
    <x v="5"/>
    <x v="2"/>
    <x v="182"/>
    <x v="2"/>
    <x v="2048"/>
    <x v="0"/>
    <d v="2024-01-16T00:00:00"/>
    <d v="2024-01-25T00:00:00"/>
    <x v="2"/>
    <x v="2094"/>
    <x v="0"/>
    <x v="0"/>
    <x v="0"/>
    <x v="0"/>
    <x v="0"/>
    <x v="0"/>
  </r>
  <r>
    <n v="13571"/>
    <x v="10"/>
    <x v="2"/>
    <x v="324"/>
    <x v="6"/>
    <x v="2049"/>
    <x v="3"/>
    <d v="2024-03-03T00:00:00"/>
    <d v="2024-03-12T00:00:00"/>
    <x v="2"/>
    <x v="2095"/>
    <x v="0"/>
    <x v="0"/>
    <x v="0"/>
    <x v="0"/>
    <x v="0"/>
    <x v="0"/>
  </r>
  <r>
    <n v="26972"/>
    <x v="9"/>
    <x v="1"/>
    <x v="218"/>
    <x v="4"/>
    <x v="2050"/>
    <x v="3"/>
    <d v="2024-11-04T00:00:00"/>
    <d v="2024-12-01T00:00:00"/>
    <x v="0"/>
    <x v="2096"/>
    <x v="0"/>
    <x v="0"/>
    <x v="0"/>
    <x v="0"/>
    <x v="0"/>
    <x v="0"/>
  </r>
  <r>
    <n v="67602"/>
    <x v="13"/>
    <x v="3"/>
    <x v="216"/>
    <x v="3"/>
    <x v="2051"/>
    <x v="2"/>
    <d v="2024-11-10T00:00:00"/>
    <d v="2024-11-23T00:00:00"/>
    <x v="1"/>
    <x v="2097"/>
    <x v="0"/>
    <x v="0"/>
    <x v="0"/>
    <x v="0"/>
    <x v="0"/>
    <x v="0"/>
  </r>
  <r>
    <n v="71483"/>
    <x v="13"/>
    <x v="3"/>
    <x v="286"/>
    <x v="4"/>
    <x v="2052"/>
    <x v="3"/>
    <d v="2024-12-01T00:00:00"/>
    <d v="2024-12-30T00:00:00"/>
    <x v="2"/>
    <x v="2098"/>
    <x v="0"/>
    <x v="0"/>
    <x v="0"/>
    <x v="0"/>
    <x v="0"/>
    <x v="0"/>
  </r>
  <r>
    <n v="96113"/>
    <x v="5"/>
    <x v="2"/>
    <x v="252"/>
    <x v="5"/>
    <x v="2053"/>
    <x v="3"/>
    <d v="2024-08-01T00:00:00"/>
    <d v="2024-08-20T00:00:00"/>
    <x v="2"/>
    <x v="2099"/>
    <x v="0"/>
    <x v="0"/>
    <x v="0"/>
    <x v="0"/>
    <x v="0"/>
    <x v="1"/>
  </r>
  <r>
    <n v="97097"/>
    <x v="2"/>
    <x v="1"/>
    <x v="242"/>
    <x v="4"/>
    <x v="2054"/>
    <x v="1"/>
    <d v="2024-01-10T00:00:00"/>
    <d v="2024-02-04T00:00:00"/>
    <x v="1"/>
    <x v="2100"/>
    <x v="0"/>
    <x v="0"/>
    <x v="0"/>
    <x v="0"/>
    <x v="0"/>
    <x v="0"/>
  </r>
  <r>
    <n v="38564"/>
    <x v="6"/>
    <x v="3"/>
    <x v="363"/>
    <x v="0"/>
    <x v="2055"/>
    <x v="3"/>
    <d v="2024-02-15T00:00:00"/>
    <d v="2024-02-20T00:00:00"/>
    <x v="0"/>
    <x v="2101"/>
    <x v="0"/>
    <x v="0"/>
    <x v="0"/>
    <x v="0"/>
    <x v="0"/>
    <x v="0"/>
  </r>
  <r>
    <n v="88579"/>
    <x v="8"/>
    <x v="1"/>
    <x v="142"/>
    <x v="5"/>
    <x v="2056"/>
    <x v="2"/>
    <d v="2024-07-20T00:00:00"/>
    <d v="2024-08-08T00:00:00"/>
    <x v="0"/>
    <x v="2102"/>
    <x v="0"/>
    <x v="0"/>
    <x v="0"/>
    <x v="0"/>
    <x v="0"/>
    <x v="1"/>
  </r>
  <r>
    <n v="61599"/>
    <x v="4"/>
    <x v="0"/>
    <x v="42"/>
    <x v="1"/>
    <x v="2057"/>
    <x v="2"/>
    <d v="2024-06-01T00:00:00"/>
    <d v="2024-06-21T00:00:00"/>
    <x v="0"/>
    <x v="2103"/>
    <x v="0"/>
    <x v="0"/>
    <x v="0"/>
    <x v="0"/>
    <x v="0"/>
    <x v="0"/>
  </r>
  <r>
    <n v="64457"/>
    <x v="8"/>
    <x v="1"/>
    <x v="399"/>
    <x v="2"/>
    <x v="2058"/>
    <x v="1"/>
    <d v="2024-08-27T00:00:00"/>
    <d v="2024-10-04T00:00:00"/>
    <x v="2"/>
    <x v="2104"/>
    <x v="0"/>
    <x v="0"/>
    <x v="0"/>
    <x v="0"/>
    <x v="0"/>
    <x v="0"/>
  </r>
  <r>
    <n v="61331"/>
    <x v="16"/>
    <x v="3"/>
    <x v="412"/>
    <x v="0"/>
    <x v="2059"/>
    <x v="3"/>
    <d v="2024-12-28T00:00:00"/>
    <d v="2025-01-18T00:00:00"/>
    <x v="1"/>
    <x v="2105"/>
    <x v="0"/>
    <x v="0"/>
    <x v="0"/>
    <x v="0"/>
    <x v="0"/>
    <x v="0"/>
  </r>
  <r>
    <n v="23936"/>
    <x v="8"/>
    <x v="1"/>
    <x v="175"/>
    <x v="0"/>
    <x v="2060"/>
    <x v="2"/>
    <d v="2024-01-07T00:00:00"/>
    <d v="2024-01-21T00:00:00"/>
    <x v="1"/>
    <x v="2106"/>
    <x v="0"/>
    <x v="0"/>
    <x v="0"/>
    <x v="0"/>
    <x v="0"/>
    <x v="0"/>
  </r>
  <r>
    <n v="29112"/>
    <x v="5"/>
    <x v="2"/>
    <x v="278"/>
    <x v="5"/>
    <x v="2061"/>
    <x v="1"/>
    <d v="2024-04-11T00:00:00"/>
    <d v="2024-04-27T00:00:00"/>
    <x v="1"/>
    <x v="2107"/>
    <x v="0"/>
    <x v="0"/>
    <x v="0"/>
    <x v="0"/>
    <x v="0"/>
    <x v="1"/>
  </r>
  <r>
    <n v="75729"/>
    <x v="14"/>
    <x v="4"/>
    <x v="229"/>
    <x v="1"/>
    <x v="2062"/>
    <x v="3"/>
    <d v="2024-11-24T00:00:00"/>
    <d v="2024-12-04T00:00:00"/>
    <x v="1"/>
    <x v="2108"/>
    <x v="0"/>
    <x v="0"/>
    <x v="0"/>
    <x v="0"/>
    <x v="0"/>
    <x v="0"/>
  </r>
  <r>
    <n v="82131"/>
    <x v="9"/>
    <x v="1"/>
    <x v="249"/>
    <x v="4"/>
    <x v="2063"/>
    <x v="0"/>
    <d v="2024-10-08T00:00:00"/>
    <d v="2024-11-16T00:00:00"/>
    <x v="2"/>
    <x v="2109"/>
    <x v="0"/>
    <x v="0"/>
    <x v="0"/>
    <x v="0"/>
    <x v="0"/>
    <x v="0"/>
  </r>
  <r>
    <n v="32593"/>
    <x v="7"/>
    <x v="3"/>
    <x v="10"/>
    <x v="6"/>
    <x v="2064"/>
    <x v="3"/>
    <d v="2024-02-11T00:00:00"/>
    <d v="2024-03-05T00:00:00"/>
    <x v="2"/>
    <x v="2110"/>
    <x v="0"/>
    <x v="0"/>
    <x v="0"/>
    <x v="0"/>
    <x v="0"/>
    <x v="1"/>
  </r>
  <r>
    <n v="15193"/>
    <x v="13"/>
    <x v="3"/>
    <x v="256"/>
    <x v="5"/>
    <x v="2065"/>
    <x v="3"/>
    <d v="2024-04-06T00:00:00"/>
    <d v="2024-05-03T00:00:00"/>
    <x v="2"/>
    <x v="2111"/>
    <x v="0"/>
    <x v="0"/>
    <x v="0"/>
    <x v="0"/>
    <x v="0"/>
    <x v="0"/>
  </r>
  <r>
    <n v="93408"/>
    <x v="12"/>
    <x v="0"/>
    <x v="114"/>
    <x v="2"/>
    <x v="2066"/>
    <x v="1"/>
    <d v="2024-09-15T00:00:00"/>
    <d v="2024-10-03T00:00:00"/>
    <x v="1"/>
    <x v="2112"/>
    <x v="0"/>
    <x v="0"/>
    <x v="0"/>
    <x v="0"/>
    <x v="0"/>
    <x v="0"/>
  </r>
  <r>
    <n v="86519"/>
    <x v="13"/>
    <x v="3"/>
    <x v="387"/>
    <x v="2"/>
    <x v="2067"/>
    <x v="4"/>
    <d v="2024-08-14T00:00:00"/>
    <d v="2024-09-05T00:00:00"/>
    <x v="1"/>
    <x v="2113"/>
    <x v="0"/>
    <x v="0"/>
    <x v="0"/>
    <x v="0"/>
    <x v="0"/>
    <x v="0"/>
  </r>
  <r>
    <n v="23898"/>
    <x v="8"/>
    <x v="1"/>
    <x v="492"/>
    <x v="0"/>
    <x v="2068"/>
    <x v="3"/>
    <d v="2024-11-18T00:00:00"/>
    <d v="2024-11-26T00:00:00"/>
    <x v="0"/>
    <x v="2114"/>
    <x v="0"/>
    <x v="0"/>
    <x v="0"/>
    <x v="0"/>
    <x v="0"/>
    <x v="0"/>
  </r>
  <r>
    <n v="53386"/>
    <x v="1"/>
    <x v="0"/>
    <x v="255"/>
    <x v="6"/>
    <x v="2069"/>
    <x v="3"/>
    <d v="2024-07-21T00:00:00"/>
    <d v="2024-07-31T00:00:00"/>
    <x v="1"/>
    <x v="2115"/>
    <x v="0"/>
    <x v="0"/>
    <x v="0"/>
    <x v="0"/>
    <x v="0"/>
    <x v="1"/>
  </r>
  <r>
    <n v="63812"/>
    <x v="7"/>
    <x v="3"/>
    <x v="178"/>
    <x v="1"/>
    <x v="2070"/>
    <x v="1"/>
    <d v="2024-07-02T00:00:00"/>
    <d v="2024-08-04T00:00:00"/>
    <x v="2"/>
    <x v="2116"/>
    <x v="0"/>
    <x v="0"/>
    <x v="0"/>
    <x v="0"/>
    <x v="0"/>
    <x v="1"/>
  </r>
  <r>
    <n v="13477"/>
    <x v="0"/>
    <x v="0"/>
    <x v="76"/>
    <x v="5"/>
    <x v="2071"/>
    <x v="0"/>
    <d v="2024-12-26T00:00:00"/>
    <d v="2025-01-02T00:00:00"/>
    <x v="1"/>
    <x v="2117"/>
    <x v="0"/>
    <x v="0"/>
    <x v="0"/>
    <x v="0"/>
    <x v="0"/>
    <x v="0"/>
  </r>
  <r>
    <n v="10185"/>
    <x v="10"/>
    <x v="2"/>
    <x v="347"/>
    <x v="0"/>
    <x v="2072"/>
    <x v="1"/>
    <d v="2024-08-18T00:00:00"/>
    <d v="2024-09-24T00:00:00"/>
    <x v="1"/>
    <x v="2118"/>
    <x v="0"/>
    <x v="0"/>
    <x v="0"/>
    <x v="0"/>
    <x v="0"/>
    <x v="0"/>
  </r>
  <r>
    <n v="37655"/>
    <x v="5"/>
    <x v="2"/>
    <x v="38"/>
    <x v="6"/>
    <x v="2073"/>
    <x v="0"/>
    <d v="2024-01-21T00:00:00"/>
    <d v="2024-02-09T00:00:00"/>
    <x v="1"/>
    <x v="2119"/>
    <x v="0"/>
    <x v="0"/>
    <x v="0"/>
    <x v="0"/>
    <x v="0"/>
    <x v="0"/>
  </r>
  <r>
    <n v="76865"/>
    <x v="4"/>
    <x v="0"/>
    <x v="255"/>
    <x v="3"/>
    <x v="2074"/>
    <x v="4"/>
    <d v="2024-05-25T00:00:00"/>
    <d v="2024-06-17T00:00:00"/>
    <x v="1"/>
    <x v="2120"/>
    <x v="0"/>
    <x v="0"/>
    <x v="0"/>
    <x v="0"/>
    <x v="0"/>
    <x v="0"/>
  </r>
  <r>
    <n v="33459"/>
    <x v="1"/>
    <x v="0"/>
    <x v="309"/>
    <x v="0"/>
    <x v="2075"/>
    <x v="1"/>
    <d v="2024-08-03T00:00:00"/>
    <d v="2024-08-11T00:00:00"/>
    <x v="2"/>
    <x v="2121"/>
    <x v="0"/>
    <x v="0"/>
    <x v="0"/>
    <x v="0"/>
    <x v="0"/>
    <x v="0"/>
  </r>
  <r>
    <n v="18912"/>
    <x v="8"/>
    <x v="1"/>
    <x v="81"/>
    <x v="5"/>
    <x v="2076"/>
    <x v="0"/>
    <d v="2024-10-03T00:00:00"/>
    <d v="2024-10-15T00:00:00"/>
    <x v="1"/>
    <x v="2122"/>
    <x v="1"/>
    <x v="38"/>
    <x v="1"/>
    <x v="1"/>
    <x v="1"/>
    <x v="1"/>
  </r>
  <r>
    <n v="62716"/>
    <x v="2"/>
    <x v="1"/>
    <x v="247"/>
    <x v="5"/>
    <x v="2077"/>
    <x v="3"/>
    <d v="2024-06-14T00:00:00"/>
    <d v="2024-07-08T00:00:00"/>
    <x v="2"/>
    <x v="2123"/>
    <x v="0"/>
    <x v="0"/>
    <x v="0"/>
    <x v="0"/>
    <x v="0"/>
    <x v="0"/>
  </r>
  <r>
    <n v="49177"/>
    <x v="10"/>
    <x v="2"/>
    <x v="81"/>
    <x v="3"/>
    <x v="2078"/>
    <x v="3"/>
    <d v="2024-06-03T00:00:00"/>
    <d v="2024-07-09T00:00:00"/>
    <x v="2"/>
    <x v="2124"/>
    <x v="0"/>
    <x v="0"/>
    <x v="0"/>
    <x v="0"/>
    <x v="0"/>
    <x v="1"/>
  </r>
  <r>
    <n v="25070"/>
    <x v="2"/>
    <x v="1"/>
    <x v="311"/>
    <x v="6"/>
    <x v="2079"/>
    <x v="1"/>
    <d v="2024-11-23T00:00:00"/>
    <d v="2024-12-22T00:00:00"/>
    <x v="0"/>
    <x v="2125"/>
    <x v="0"/>
    <x v="0"/>
    <x v="0"/>
    <x v="0"/>
    <x v="0"/>
    <x v="1"/>
  </r>
  <r>
    <n v="51912"/>
    <x v="1"/>
    <x v="0"/>
    <x v="245"/>
    <x v="2"/>
    <x v="2080"/>
    <x v="4"/>
    <d v="2024-10-26T00:00:00"/>
    <d v="2024-11-22T00:00:00"/>
    <x v="2"/>
    <x v="2126"/>
    <x v="0"/>
    <x v="0"/>
    <x v="0"/>
    <x v="0"/>
    <x v="0"/>
    <x v="0"/>
  </r>
  <r>
    <n v="58505"/>
    <x v="14"/>
    <x v="4"/>
    <x v="229"/>
    <x v="6"/>
    <x v="2081"/>
    <x v="2"/>
    <d v="2024-04-26T00:00:00"/>
    <d v="2024-05-10T00:00:00"/>
    <x v="1"/>
    <x v="2127"/>
    <x v="0"/>
    <x v="0"/>
    <x v="0"/>
    <x v="0"/>
    <x v="0"/>
    <x v="0"/>
  </r>
  <r>
    <n v="43292"/>
    <x v="11"/>
    <x v="4"/>
    <x v="244"/>
    <x v="3"/>
    <x v="2082"/>
    <x v="3"/>
    <d v="2024-12-13T00:00:00"/>
    <d v="2025-01-14T00:00:00"/>
    <x v="2"/>
    <x v="2128"/>
    <x v="0"/>
    <x v="0"/>
    <x v="0"/>
    <x v="0"/>
    <x v="0"/>
    <x v="0"/>
  </r>
  <r>
    <n v="22987"/>
    <x v="2"/>
    <x v="1"/>
    <x v="47"/>
    <x v="6"/>
    <x v="2083"/>
    <x v="1"/>
    <d v="2024-09-20T00:00:00"/>
    <d v="2024-10-03T00:00:00"/>
    <x v="1"/>
    <x v="2129"/>
    <x v="0"/>
    <x v="0"/>
    <x v="0"/>
    <x v="0"/>
    <x v="0"/>
    <x v="1"/>
  </r>
  <r>
    <n v="64510"/>
    <x v="3"/>
    <x v="2"/>
    <x v="418"/>
    <x v="1"/>
    <x v="2084"/>
    <x v="4"/>
    <d v="2024-02-21T00:00:00"/>
    <d v="2024-03-04T00:00:00"/>
    <x v="1"/>
    <x v="2130"/>
    <x v="0"/>
    <x v="0"/>
    <x v="0"/>
    <x v="0"/>
    <x v="0"/>
    <x v="0"/>
  </r>
  <r>
    <n v="17213"/>
    <x v="16"/>
    <x v="3"/>
    <x v="7"/>
    <x v="6"/>
    <x v="2085"/>
    <x v="1"/>
    <d v="2024-02-26T00:00:00"/>
    <d v="2024-03-20T00:00:00"/>
    <x v="0"/>
    <x v="2131"/>
    <x v="0"/>
    <x v="0"/>
    <x v="0"/>
    <x v="0"/>
    <x v="0"/>
    <x v="1"/>
  </r>
  <r>
    <n v="33368"/>
    <x v="7"/>
    <x v="3"/>
    <x v="6"/>
    <x v="4"/>
    <x v="2086"/>
    <x v="3"/>
    <d v="2024-03-02T00:00:00"/>
    <d v="2024-03-17T00:00:00"/>
    <x v="1"/>
    <x v="2132"/>
    <x v="0"/>
    <x v="0"/>
    <x v="0"/>
    <x v="0"/>
    <x v="0"/>
    <x v="0"/>
  </r>
  <r>
    <n v="19223"/>
    <x v="9"/>
    <x v="1"/>
    <x v="444"/>
    <x v="4"/>
    <x v="2087"/>
    <x v="1"/>
    <d v="2024-06-14T00:00:00"/>
    <d v="2024-07-16T00:00:00"/>
    <x v="0"/>
    <x v="2133"/>
    <x v="0"/>
    <x v="0"/>
    <x v="0"/>
    <x v="0"/>
    <x v="0"/>
    <x v="0"/>
  </r>
  <r>
    <n v="82002"/>
    <x v="0"/>
    <x v="0"/>
    <x v="475"/>
    <x v="0"/>
    <x v="2088"/>
    <x v="4"/>
    <d v="2024-07-06T00:00:00"/>
    <d v="2024-07-18T00:00:00"/>
    <x v="2"/>
    <x v="2134"/>
    <x v="0"/>
    <x v="0"/>
    <x v="0"/>
    <x v="0"/>
    <x v="0"/>
    <x v="1"/>
  </r>
  <r>
    <n v="13346"/>
    <x v="10"/>
    <x v="2"/>
    <x v="261"/>
    <x v="1"/>
    <x v="2089"/>
    <x v="2"/>
    <d v="2024-03-03T00:00:00"/>
    <d v="2024-03-22T00:00:00"/>
    <x v="2"/>
    <x v="2135"/>
    <x v="0"/>
    <x v="0"/>
    <x v="0"/>
    <x v="0"/>
    <x v="0"/>
    <x v="1"/>
  </r>
  <r>
    <n v="55039"/>
    <x v="1"/>
    <x v="0"/>
    <x v="111"/>
    <x v="4"/>
    <x v="2090"/>
    <x v="2"/>
    <d v="2024-05-09T00:00:00"/>
    <d v="2024-06-04T00:00:00"/>
    <x v="0"/>
    <x v="2136"/>
    <x v="0"/>
    <x v="0"/>
    <x v="0"/>
    <x v="0"/>
    <x v="0"/>
    <x v="0"/>
  </r>
  <r>
    <n v="54700"/>
    <x v="11"/>
    <x v="4"/>
    <x v="354"/>
    <x v="1"/>
    <x v="2091"/>
    <x v="3"/>
    <d v="2024-07-30T00:00:00"/>
    <d v="2024-08-31T00:00:00"/>
    <x v="0"/>
    <x v="2137"/>
    <x v="0"/>
    <x v="0"/>
    <x v="0"/>
    <x v="0"/>
    <x v="0"/>
    <x v="1"/>
  </r>
  <r>
    <n v="84683"/>
    <x v="11"/>
    <x v="4"/>
    <x v="112"/>
    <x v="6"/>
    <x v="2092"/>
    <x v="2"/>
    <d v="2024-07-20T00:00:00"/>
    <d v="2024-07-25T00:00:00"/>
    <x v="1"/>
    <x v="2138"/>
    <x v="0"/>
    <x v="0"/>
    <x v="0"/>
    <x v="0"/>
    <x v="0"/>
    <x v="1"/>
  </r>
  <r>
    <n v="23188"/>
    <x v="16"/>
    <x v="3"/>
    <x v="388"/>
    <x v="1"/>
    <x v="2093"/>
    <x v="2"/>
    <d v="2024-02-13T00:00:00"/>
    <d v="2024-03-01T00:00:00"/>
    <x v="2"/>
    <x v="2139"/>
    <x v="0"/>
    <x v="0"/>
    <x v="0"/>
    <x v="0"/>
    <x v="0"/>
    <x v="0"/>
  </r>
  <r>
    <n v="48082"/>
    <x v="14"/>
    <x v="4"/>
    <x v="488"/>
    <x v="5"/>
    <x v="2094"/>
    <x v="3"/>
    <d v="2024-08-07T00:00:00"/>
    <d v="2024-08-21T00:00:00"/>
    <x v="1"/>
    <x v="2140"/>
    <x v="0"/>
    <x v="0"/>
    <x v="0"/>
    <x v="0"/>
    <x v="0"/>
    <x v="1"/>
  </r>
  <r>
    <n v="54514"/>
    <x v="5"/>
    <x v="2"/>
    <x v="383"/>
    <x v="5"/>
    <x v="2095"/>
    <x v="4"/>
    <d v="2024-04-20T00:00:00"/>
    <d v="2024-04-27T00:00:00"/>
    <x v="2"/>
    <x v="2141"/>
    <x v="1"/>
    <x v="9"/>
    <x v="1"/>
    <x v="1"/>
    <x v="1"/>
    <x v="1"/>
  </r>
  <r>
    <n v="11833"/>
    <x v="9"/>
    <x v="1"/>
    <x v="444"/>
    <x v="4"/>
    <x v="2096"/>
    <x v="3"/>
    <d v="2024-08-06T00:00:00"/>
    <d v="2024-08-28T00:00:00"/>
    <x v="2"/>
    <x v="2142"/>
    <x v="0"/>
    <x v="0"/>
    <x v="0"/>
    <x v="0"/>
    <x v="0"/>
    <x v="0"/>
  </r>
  <r>
    <n v="19940"/>
    <x v="8"/>
    <x v="1"/>
    <x v="436"/>
    <x v="2"/>
    <x v="2097"/>
    <x v="1"/>
    <d v="2024-08-02T00:00:00"/>
    <d v="2024-09-08T00:00:00"/>
    <x v="0"/>
    <x v="2143"/>
    <x v="0"/>
    <x v="0"/>
    <x v="0"/>
    <x v="0"/>
    <x v="0"/>
    <x v="0"/>
  </r>
  <r>
    <n v="10530"/>
    <x v="15"/>
    <x v="4"/>
    <x v="375"/>
    <x v="0"/>
    <x v="2098"/>
    <x v="0"/>
    <d v="2024-09-05T00:00:00"/>
    <d v="2024-09-11T00:00:00"/>
    <x v="0"/>
    <x v="2144"/>
    <x v="0"/>
    <x v="0"/>
    <x v="0"/>
    <x v="0"/>
    <x v="0"/>
    <x v="1"/>
  </r>
  <r>
    <n v="68642"/>
    <x v="2"/>
    <x v="1"/>
    <x v="470"/>
    <x v="0"/>
    <x v="2099"/>
    <x v="1"/>
    <d v="2024-08-09T00:00:00"/>
    <d v="2024-08-23T00:00:00"/>
    <x v="0"/>
    <x v="2145"/>
    <x v="0"/>
    <x v="0"/>
    <x v="0"/>
    <x v="0"/>
    <x v="0"/>
    <x v="0"/>
  </r>
  <r>
    <n v="99937"/>
    <x v="11"/>
    <x v="4"/>
    <x v="87"/>
    <x v="1"/>
    <x v="2100"/>
    <x v="3"/>
    <d v="2024-02-26T00:00:00"/>
    <d v="2024-03-30T00:00:00"/>
    <x v="1"/>
    <x v="2146"/>
    <x v="0"/>
    <x v="0"/>
    <x v="0"/>
    <x v="0"/>
    <x v="0"/>
    <x v="1"/>
  </r>
  <r>
    <n v="11929"/>
    <x v="10"/>
    <x v="2"/>
    <x v="459"/>
    <x v="3"/>
    <x v="2101"/>
    <x v="1"/>
    <d v="2024-02-26T00:00:00"/>
    <d v="2024-03-29T00:00:00"/>
    <x v="1"/>
    <x v="2147"/>
    <x v="0"/>
    <x v="0"/>
    <x v="0"/>
    <x v="0"/>
    <x v="0"/>
    <x v="0"/>
  </r>
  <r>
    <n v="91243"/>
    <x v="6"/>
    <x v="3"/>
    <x v="334"/>
    <x v="4"/>
    <x v="2102"/>
    <x v="4"/>
    <d v="2024-12-30T00:00:00"/>
    <d v="2025-01-22T00:00:00"/>
    <x v="0"/>
    <x v="2148"/>
    <x v="0"/>
    <x v="0"/>
    <x v="0"/>
    <x v="0"/>
    <x v="0"/>
    <x v="0"/>
  </r>
  <r>
    <n v="43577"/>
    <x v="6"/>
    <x v="3"/>
    <x v="122"/>
    <x v="1"/>
    <x v="2103"/>
    <x v="3"/>
    <d v="2024-08-07T00:00:00"/>
    <d v="2024-08-30T00:00:00"/>
    <x v="1"/>
    <x v="2149"/>
    <x v="0"/>
    <x v="0"/>
    <x v="0"/>
    <x v="0"/>
    <x v="0"/>
    <x v="0"/>
  </r>
  <r>
    <n v="44001"/>
    <x v="1"/>
    <x v="0"/>
    <x v="207"/>
    <x v="2"/>
    <x v="2104"/>
    <x v="0"/>
    <d v="2024-02-18T00:00:00"/>
    <d v="2024-03-18T00:00:00"/>
    <x v="0"/>
    <x v="2150"/>
    <x v="0"/>
    <x v="0"/>
    <x v="0"/>
    <x v="0"/>
    <x v="0"/>
    <x v="0"/>
  </r>
  <r>
    <n v="79498"/>
    <x v="0"/>
    <x v="0"/>
    <x v="109"/>
    <x v="2"/>
    <x v="2105"/>
    <x v="3"/>
    <d v="2024-09-20T00:00:00"/>
    <d v="2024-10-12T00:00:00"/>
    <x v="0"/>
    <x v="2151"/>
    <x v="0"/>
    <x v="0"/>
    <x v="0"/>
    <x v="0"/>
    <x v="0"/>
    <x v="0"/>
  </r>
  <r>
    <n v="35090"/>
    <x v="1"/>
    <x v="0"/>
    <x v="249"/>
    <x v="2"/>
    <x v="2106"/>
    <x v="1"/>
    <d v="2024-06-21T00:00:00"/>
    <d v="2024-06-26T00:00:00"/>
    <x v="0"/>
    <x v="2152"/>
    <x v="0"/>
    <x v="0"/>
    <x v="0"/>
    <x v="0"/>
    <x v="0"/>
    <x v="0"/>
  </r>
  <r>
    <n v="60374"/>
    <x v="1"/>
    <x v="0"/>
    <x v="331"/>
    <x v="5"/>
    <x v="2107"/>
    <x v="0"/>
    <d v="2024-07-27T00:00:00"/>
    <d v="2024-08-10T00:00:00"/>
    <x v="2"/>
    <x v="2153"/>
    <x v="0"/>
    <x v="0"/>
    <x v="0"/>
    <x v="0"/>
    <x v="0"/>
    <x v="1"/>
  </r>
  <r>
    <n v="11927"/>
    <x v="3"/>
    <x v="2"/>
    <x v="346"/>
    <x v="5"/>
    <x v="2108"/>
    <x v="3"/>
    <d v="2024-01-09T00:00:00"/>
    <d v="2024-02-06T00:00:00"/>
    <x v="2"/>
    <x v="2154"/>
    <x v="0"/>
    <x v="0"/>
    <x v="0"/>
    <x v="0"/>
    <x v="0"/>
    <x v="0"/>
  </r>
  <r>
    <n v="25007"/>
    <x v="11"/>
    <x v="4"/>
    <x v="28"/>
    <x v="0"/>
    <x v="2109"/>
    <x v="4"/>
    <d v="2024-05-13T00:00:00"/>
    <d v="2024-05-23T00:00:00"/>
    <x v="1"/>
    <x v="2155"/>
    <x v="0"/>
    <x v="0"/>
    <x v="0"/>
    <x v="0"/>
    <x v="0"/>
    <x v="0"/>
  </r>
  <r>
    <n v="40497"/>
    <x v="10"/>
    <x v="2"/>
    <x v="250"/>
    <x v="0"/>
    <x v="2110"/>
    <x v="2"/>
    <d v="2024-12-02T00:00:00"/>
    <d v="2024-12-09T00:00:00"/>
    <x v="2"/>
    <x v="2156"/>
    <x v="0"/>
    <x v="0"/>
    <x v="0"/>
    <x v="0"/>
    <x v="0"/>
    <x v="0"/>
  </r>
  <r>
    <n v="89925"/>
    <x v="15"/>
    <x v="4"/>
    <x v="327"/>
    <x v="0"/>
    <x v="2111"/>
    <x v="3"/>
    <d v="2024-09-30T00:00:00"/>
    <d v="2024-10-31T00:00:00"/>
    <x v="0"/>
    <x v="2157"/>
    <x v="0"/>
    <x v="0"/>
    <x v="0"/>
    <x v="0"/>
    <x v="0"/>
    <x v="0"/>
  </r>
  <r>
    <n v="90642"/>
    <x v="3"/>
    <x v="2"/>
    <x v="100"/>
    <x v="2"/>
    <x v="2112"/>
    <x v="3"/>
    <d v="2024-06-24T00:00:00"/>
    <d v="2024-07-16T00:00:00"/>
    <x v="2"/>
    <x v="2158"/>
    <x v="0"/>
    <x v="0"/>
    <x v="0"/>
    <x v="0"/>
    <x v="0"/>
    <x v="0"/>
  </r>
  <r>
    <n v="85348"/>
    <x v="5"/>
    <x v="2"/>
    <x v="271"/>
    <x v="0"/>
    <x v="2113"/>
    <x v="2"/>
    <d v="2024-07-15T00:00:00"/>
    <d v="2024-07-28T00:00:00"/>
    <x v="2"/>
    <x v="2159"/>
    <x v="0"/>
    <x v="0"/>
    <x v="0"/>
    <x v="0"/>
    <x v="0"/>
    <x v="0"/>
  </r>
  <r>
    <n v="69337"/>
    <x v="1"/>
    <x v="0"/>
    <x v="92"/>
    <x v="4"/>
    <x v="1119"/>
    <x v="1"/>
    <d v="2024-02-03T00:00:00"/>
    <d v="2024-02-27T00:00:00"/>
    <x v="1"/>
    <x v="2160"/>
    <x v="0"/>
    <x v="0"/>
    <x v="0"/>
    <x v="0"/>
    <x v="0"/>
    <x v="0"/>
  </r>
  <r>
    <n v="79550"/>
    <x v="11"/>
    <x v="4"/>
    <x v="126"/>
    <x v="0"/>
    <x v="2114"/>
    <x v="2"/>
    <d v="2024-04-16T00:00:00"/>
    <d v="2024-04-27T00:00:00"/>
    <x v="0"/>
    <x v="2161"/>
    <x v="0"/>
    <x v="0"/>
    <x v="0"/>
    <x v="0"/>
    <x v="0"/>
    <x v="0"/>
  </r>
  <r>
    <n v="97350"/>
    <x v="3"/>
    <x v="2"/>
    <x v="389"/>
    <x v="4"/>
    <x v="2115"/>
    <x v="0"/>
    <d v="2024-07-24T00:00:00"/>
    <d v="2024-08-05T00:00:00"/>
    <x v="2"/>
    <x v="2162"/>
    <x v="0"/>
    <x v="0"/>
    <x v="0"/>
    <x v="0"/>
    <x v="0"/>
    <x v="0"/>
  </r>
  <r>
    <n v="88764"/>
    <x v="2"/>
    <x v="1"/>
    <x v="263"/>
    <x v="1"/>
    <x v="2116"/>
    <x v="1"/>
    <d v="2024-02-19T00:00:00"/>
    <d v="2024-03-25T00:00:00"/>
    <x v="2"/>
    <x v="2163"/>
    <x v="1"/>
    <x v="6"/>
    <x v="1"/>
    <x v="1"/>
    <x v="1"/>
    <x v="1"/>
  </r>
  <r>
    <n v="55652"/>
    <x v="12"/>
    <x v="0"/>
    <x v="24"/>
    <x v="6"/>
    <x v="2117"/>
    <x v="3"/>
    <d v="2024-06-05T00:00:00"/>
    <d v="2024-07-06T00:00:00"/>
    <x v="1"/>
    <x v="2164"/>
    <x v="1"/>
    <x v="83"/>
    <x v="1"/>
    <x v="1"/>
    <x v="1"/>
    <x v="1"/>
  </r>
  <r>
    <n v="24328"/>
    <x v="15"/>
    <x v="4"/>
    <x v="92"/>
    <x v="2"/>
    <x v="2118"/>
    <x v="0"/>
    <d v="2024-12-21T00:00:00"/>
    <d v="2025-01-05T00:00:00"/>
    <x v="1"/>
    <x v="2165"/>
    <x v="0"/>
    <x v="0"/>
    <x v="0"/>
    <x v="0"/>
    <x v="0"/>
    <x v="0"/>
  </r>
  <r>
    <n v="78917"/>
    <x v="9"/>
    <x v="1"/>
    <x v="276"/>
    <x v="2"/>
    <x v="2119"/>
    <x v="3"/>
    <d v="2024-09-23T00:00:00"/>
    <d v="2024-10-13T00:00:00"/>
    <x v="2"/>
    <x v="2166"/>
    <x v="0"/>
    <x v="0"/>
    <x v="0"/>
    <x v="0"/>
    <x v="0"/>
    <x v="0"/>
  </r>
  <r>
    <n v="66843"/>
    <x v="14"/>
    <x v="4"/>
    <x v="27"/>
    <x v="4"/>
    <x v="2120"/>
    <x v="4"/>
    <d v="2024-01-07T00:00:00"/>
    <d v="2024-01-25T00:00:00"/>
    <x v="0"/>
    <x v="2167"/>
    <x v="0"/>
    <x v="0"/>
    <x v="0"/>
    <x v="0"/>
    <x v="0"/>
    <x v="0"/>
  </r>
  <r>
    <n v="80679"/>
    <x v="4"/>
    <x v="0"/>
    <x v="267"/>
    <x v="3"/>
    <x v="2121"/>
    <x v="3"/>
    <d v="2024-04-06T00:00:00"/>
    <d v="2024-05-10T00:00:00"/>
    <x v="1"/>
    <x v="2168"/>
    <x v="0"/>
    <x v="0"/>
    <x v="0"/>
    <x v="0"/>
    <x v="0"/>
    <x v="0"/>
  </r>
  <r>
    <n v="36081"/>
    <x v="15"/>
    <x v="4"/>
    <x v="178"/>
    <x v="5"/>
    <x v="2122"/>
    <x v="1"/>
    <d v="2024-02-19T00:00:00"/>
    <d v="2024-03-10T00:00:00"/>
    <x v="1"/>
    <x v="2169"/>
    <x v="0"/>
    <x v="0"/>
    <x v="0"/>
    <x v="0"/>
    <x v="0"/>
    <x v="1"/>
  </r>
  <r>
    <n v="25330"/>
    <x v="9"/>
    <x v="1"/>
    <x v="72"/>
    <x v="4"/>
    <x v="2123"/>
    <x v="3"/>
    <d v="2024-12-01T00:00:00"/>
    <d v="2024-12-31T00:00:00"/>
    <x v="1"/>
    <x v="2170"/>
    <x v="0"/>
    <x v="0"/>
    <x v="0"/>
    <x v="0"/>
    <x v="0"/>
    <x v="0"/>
  </r>
  <r>
    <n v="65810"/>
    <x v="15"/>
    <x v="4"/>
    <x v="39"/>
    <x v="4"/>
    <x v="2124"/>
    <x v="0"/>
    <d v="2024-04-05T00:00:00"/>
    <d v="2024-05-08T00:00:00"/>
    <x v="2"/>
    <x v="2171"/>
    <x v="0"/>
    <x v="0"/>
    <x v="0"/>
    <x v="0"/>
    <x v="0"/>
    <x v="0"/>
  </r>
  <r>
    <n v="16405"/>
    <x v="10"/>
    <x v="2"/>
    <x v="424"/>
    <x v="4"/>
    <x v="1344"/>
    <x v="0"/>
    <d v="2024-11-25T00:00:00"/>
    <d v="2024-12-21T00:00:00"/>
    <x v="2"/>
    <x v="2172"/>
    <x v="0"/>
    <x v="0"/>
    <x v="0"/>
    <x v="0"/>
    <x v="0"/>
    <x v="0"/>
  </r>
  <r>
    <n v="25860"/>
    <x v="1"/>
    <x v="0"/>
    <x v="279"/>
    <x v="2"/>
    <x v="2125"/>
    <x v="1"/>
    <d v="2024-03-28T00:00:00"/>
    <d v="2024-04-13T00:00:00"/>
    <x v="0"/>
    <x v="2173"/>
    <x v="0"/>
    <x v="0"/>
    <x v="0"/>
    <x v="0"/>
    <x v="0"/>
    <x v="0"/>
  </r>
  <r>
    <n v="51705"/>
    <x v="1"/>
    <x v="0"/>
    <x v="404"/>
    <x v="2"/>
    <x v="2126"/>
    <x v="0"/>
    <d v="2024-01-18T00:00:00"/>
    <d v="2024-02-24T00:00:00"/>
    <x v="2"/>
    <x v="2174"/>
    <x v="0"/>
    <x v="0"/>
    <x v="0"/>
    <x v="0"/>
    <x v="0"/>
    <x v="0"/>
  </r>
  <r>
    <n v="97787"/>
    <x v="2"/>
    <x v="1"/>
    <x v="195"/>
    <x v="5"/>
    <x v="2127"/>
    <x v="0"/>
    <d v="2024-03-27T00:00:00"/>
    <d v="2024-04-05T00:00:00"/>
    <x v="2"/>
    <x v="2175"/>
    <x v="0"/>
    <x v="0"/>
    <x v="0"/>
    <x v="0"/>
    <x v="0"/>
    <x v="0"/>
  </r>
  <r>
    <n v="44121"/>
    <x v="0"/>
    <x v="0"/>
    <x v="139"/>
    <x v="5"/>
    <x v="2128"/>
    <x v="2"/>
    <d v="2024-08-24T00:00:00"/>
    <d v="2024-09-01T00:00:00"/>
    <x v="0"/>
    <x v="2176"/>
    <x v="1"/>
    <x v="57"/>
    <x v="1"/>
    <x v="1"/>
    <x v="1"/>
    <x v="1"/>
  </r>
  <r>
    <n v="90252"/>
    <x v="7"/>
    <x v="3"/>
    <x v="38"/>
    <x v="1"/>
    <x v="2129"/>
    <x v="4"/>
    <d v="2024-08-06T00:00:00"/>
    <d v="2024-08-27T00:00:00"/>
    <x v="1"/>
    <x v="2177"/>
    <x v="0"/>
    <x v="0"/>
    <x v="0"/>
    <x v="0"/>
    <x v="0"/>
    <x v="0"/>
  </r>
  <r>
    <n v="39046"/>
    <x v="3"/>
    <x v="2"/>
    <x v="25"/>
    <x v="5"/>
    <x v="2130"/>
    <x v="3"/>
    <d v="2024-10-26T00:00:00"/>
    <d v="2024-11-23T00:00:00"/>
    <x v="1"/>
    <x v="2178"/>
    <x v="0"/>
    <x v="0"/>
    <x v="0"/>
    <x v="0"/>
    <x v="0"/>
    <x v="0"/>
  </r>
  <r>
    <n v="69469"/>
    <x v="5"/>
    <x v="2"/>
    <x v="240"/>
    <x v="3"/>
    <x v="2131"/>
    <x v="3"/>
    <d v="2024-07-04T00:00:00"/>
    <d v="2024-07-21T00:00:00"/>
    <x v="2"/>
    <x v="2179"/>
    <x v="0"/>
    <x v="0"/>
    <x v="0"/>
    <x v="0"/>
    <x v="0"/>
    <x v="0"/>
  </r>
  <r>
    <n v="18727"/>
    <x v="15"/>
    <x v="4"/>
    <x v="46"/>
    <x v="6"/>
    <x v="2132"/>
    <x v="4"/>
    <d v="2024-07-29T00:00:00"/>
    <d v="2024-08-11T00:00:00"/>
    <x v="2"/>
    <x v="2180"/>
    <x v="1"/>
    <x v="4"/>
    <x v="1"/>
    <x v="1"/>
    <x v="1"/>
    <x v="1"/>
  </r>
  <r>
    <n v="15635"/>
    <x v="10"/>
    <x v="2"/>
    <x v="476"/>
    <x v="0"/>
    <x v="2133"/>
    <x v="2"/>
    <d v="2024-07-24T00:00:00"/>
    <d v="2024-08-17T00:00:00"/>
    <x v="2"/>
    <x v="2181"/>
    <x v="0"/>
    <x v="0"/>
    <x v="0"/>
    <x v="0"/>
    <x v="0"/>
    <x v="0"/>
  </r>
  <r>
    <n v="21403"/>
    <x v="13"/>
    <x v="3"/>
    <x v="392"/>
    <x v="5"/>
    <x v="2134"/>
    <x v="0"/>
    <d v="2024-07-16T00:00:00"/>
    <d v="2024-08-03T00:00:00"/>
    <x v="2"/>
    <x v="2182"/>
    <x v="0"/>
    <x v="0"/>
    <x v="0"/>
    <x v="0"/>
    <x v="0"/>
    <x v="1"/>
  </r>
  <r>
    <n v="52898"/>
    <x v="11"/>
    <x v="4"/>
    <x v="412"/>
    <x v="4"/>
    <x v="2135"/>
    <x v="3"/>
    <d v="2024-10-27T00:00:00"/>
    <d v="2024-11-29T00:00:00"/>
    <x v="1"/>
    <x v="2183"/>
    <x v="0"/>
    <x v="0"/>
    <x v="0"/>
    <x v="0"/>
    <x v="0"/>
    <x v="1"/>
  </r>
  <r>
    <n v="68204"/>
    <x v="0"/>
    <x v="0"/>
    <x v="133"/>
    <x v="4"/>
    <x v="2136"/>
    <x v="1"/>
    <d v="2024-01-17T00:00:00"/>
    <d v="2024-02-03T00:00:00"/>
    <x v="1"/>
    <x v="2184"/>
    <x v="0"/>
    <x v="0"/>
    <x v="0"/>
    <x v="0"/>
    <x v="0"/>
    <x v="1"/>
  </r>
  <r>
    <n v="14334"/>
    <x v="8"/>
    <x v="1"/>
    <x v="494"/>
    <x v="6"/>
    <x v="2137"/>
    <x v="4"/>
    <d v="2024-10-06T00:00:00"/>
    <d v="2024-10-24T00:00:00"/>
    <x v="0"/>
    <x v="2185"/>
    <x v="1"/>
    <x v="116"/>
    <x v="1"/>
    <x v="1"/>
    <x v="1"/>
    <x v="1"/>
  </r>
  <r>
    <n v="70378"/>
    <x v="16"/>
    <x v="3"/>
    <x v="386"/>
    <x v="3"/>
    <x v="2138"/>
    <x v="2"/>
    <d v="2024-07-06T00:00:00"/>
    <d v="2024-07-19T00:00:00"/>
    <x v="2"/>
    <x v="2186"/>
    <x v="0"/>
    <x v="0"/>
    <x v="0"/>
    <x v="0"/>
    <x v="0"/>
    <x v="1"/>
  </r>
  <r>
    <n v="17004"/>
    <x v="11"/>
    <x v="4"/>
    <x v="60"/>
    <x v="3"/>
    <x v="1711"/>
    <x v="3"/>
    <d v="2024-09-09T00:00:00"/>
    <d v="2024-10-15T00:00:00"/>
    <x v="2"/>
    <x v="2187"/>
    <x v="0"/>
    <x v="0"/>
    <x v="0"/>
    <x v="0"/>
    <x v="0"/>
    <x v="0"/>
  </r>
  <r>
    <n v="36469"/>
    <x v="8"/>
    <x v="1"/>
    <x v="475"/>
    <x v="4"/>
    <x v="2139"/>
    <x v="2"/>
    <d v="2024-06-12T00:00:00"/>
    <d v="2024-07-17T00:00:00"/>
    <x v="1"/>
    <x v="2188"/>
    <x v="1"/>
    <x v="32"/>
    <x v="1"/>
    <x v="1"/>
    <x v="1"/>
    <x v="1"/>
  </r>
  <r>
    <n v="48180"/>
    <x v="6"/>
    <x v="3"/>
    <x v="437"/>
    <x v="1"/>
    <x v="2140"/>
    <x v="4"/>
    <d v="2024-05-13T00:00:00"/>
    <d v="2024-06-10T00:00:00"/>
    <x v="1"/>
    <x v="2189"/>
    <x v="0"/>
    <x v="0"/>
    <x v="0"/>
    <x v="0"/>
    <x v="0"/>
    <x v="0"/>
  </r>
  <r>
    <n v="67752"/>
    <x v="1"/>
    <x v="0"/>
    <x v="342"/>
    <x v="1"/>
    <x v="2141"/>
    <x v="1"/>
    <d v="2024-12-22T00:00:00"/>
    <d v="2025-01-27T00:00:00"/>
    <x v="1"/>
    <x v="2190"/>
    <x v="0"/>
    <x v="0"/>
    <x v="0"/>
    <x v="0"/>
    <x v="0"/>
    <x v="0"/>
  </r>
  <r>
    <n v="27986"/>
    <x v="9"/>
    <x v="1"/>
    <x v="93"/>
    <x v="0"/>
    <x v="2142"/>
    <x v="3"/>
    <d v="2024-12-27T00:00:00"/>
    <d v="2025-01-26T00:00:00"/>
    <x v="0"/>
    <x v="2191"/>
    <x v="0"/>
    <x v="0"/>
    <x v="0"/>
    <x v="0"/>
    <x v="0"/>
    <x v="0"/>
  </r>
  <r>
    <n v="28802"/>
    <x v="16"/>
    <x v="3"/>
    <x v="298"/>
    <x v="2"/>
    <x v="2143"/>
    <x v="2"/>
    <d v="2024-04-14T00:00:00"/>
    <d v="2024-05-22T00:00:00"/>
    <x v="1"/>
    <x v="2192"/>
    <x v="0"/>
    <x v="0"/>
    <x v="0"/>
    <x v="0"/>
    <x v="0"/>
    <x v="0"/>
  </r>
  <r>
    <n v="30337"/>
    <x v="16"/>
    <x v="3"/>
    <x v="328"/>
    <x v="3"/>
    <x v="2144"/>
    <x v="2"/>
    <d v="2024-04-23T00:00:00"/>
    <d v="2024-05-03T00:00:00"/>
    <x v="0"/>
    <x v="2193"/>
    <x v="0"/>
    <x v="0"/>
    <x v="0"/>
    <x v="0"/>
    <x v="0"/>
    <x v="0"/>
  </r>
  <r>
    <n v="11745"/>
    <x v="6"/>
    <x v="3"/>
    <x v="182"/>
    <x v="6"/>
    <x v="2145"/>
    <x v="1"/>
    <d v="2024-04-30T00:00:00"/>
    <d v="2024-05-07T00:00:00"/>
    <x v="2"/>
    <x v="2194"/>
    <x v="0"/>
    <x v="0"/>
    <x v="0"/>
    <x v="0"/>
    <x v="0"/>
    <x v="1"/>
  </r>
  <r>
    <n v="33849"/>
    <x v="11"/>
    <x v="4"/>
    <x v="352"/>
    <x v="4"/>
    <x v="2146"/>
    <x v="1"/>
    <d v="2024-08-24T00:00:00"/>
    <d v="2024-08-30T00:00:00"/>
    <x v="2"/>
    <x v="2195"/>
    <x v="0"/>
    <x v="0"/>
    <x v="0"/>
    <x v="0"/>
    <x v="0"/>
    <x v="0"/>
  </r>
  <r>
    <n v="35402"/>
    <x v="16"/>
    <x v="3"/>
    <x v="264"/>
    <x v="1"/>
    <x v="2147"/>
    <x v="1"/>
    <d v="2024-09-14T00:00:00"/>
    <d v="2024-10-15T00:00:00"/>
    <x v="2"/>
    <x v="2196"/>
    <x v="0"/>
    <x v="0"/>
    <x v="0"/>
    <x v="0"/>
    <x v="0"/>
    <x v="0"/>
  </r>
  <r>
    <n v="42261"/>
    <x v="7"/>
    <x v="3"/>
    <x v="426"/>
    <x v="3"/>
    <x v="2148"/>
    <x v="3"/>
    <d v="2024-06-13T00:00:00"/>
    <d v="2024-07-09T00:00:00"/>
    <x v="2"/>
    <x v="2197"/>
    <x v="1"/>
    <x v="44"/>
    <x v="1"/>
    <x v="1"/>
    <x v="1"/>
    <x v="1"/>
  </r>
  <r>
    <n v="21646"/>
    <x v="8"/>
    <x v="1"/>
    <x v="9"/>
    <x v="2"/>
    <x v="2149"/>
    <x v="4"/>
    <d v="2024-03-01T00:00:00"/>
    <d v="2024-03-18T00:00:00"/>
    <x v="2"/>
    <x v="2198"/>
    <x v="0"/>
    <x v="0"/>
    <x v="0"/>
    <x v="0"/>
    <x v="0"/>
    <x v="0"/>
  </r>
  <r>
    <n v="65721"/>
    <x v="13"/>
    <x v="3"/>
    <x v="73"/>
    <x v="0"/>
    <x v="2150"/>
    <x v="1"/>
    <d v="2024-12-06T00:00:00"/>
    <d v="2025-01-09T00:00:00"/>
    <x v="1"/>
    <x v="2199"/>
    <x v="0"/>
    <x v="0"/>
    <x v="0"/>
    <x v="0"/>
    <x v="0"/>
    <x v="0"/>
  </r>
  <r>
    <n v="42643"/>
    <x v="10"/>
    <x v="2"/>
    <x v="44"/>
    <x v="2"/>
    <x v="139"/>
    <x v="1"/>
    <d v="2024-05-10T00:00:00"/>
    <d v="2024-05-17T00:00:00"/>
    <x v="2"/>
    <x v="2200"/>
    <x v="0"/>
    <x v="0"/>
    <x v="0"/>
    <x v="0"/>
    <x v="0"/>
    <x v="0"/>
  </r>
  <r>
    <n v="58841"/>
    <x v="7"/>
    <x v="3"/>
    <x v="321"/>
    <x v="1"/>
    <x v="2151"/>
    <x v="2"/>
    <d v="2024-10-29T00:00:00"/>
    <d v="2024-11-24T00:00:00"/>
    <x v="2"/>
    <x v="2201"/>
    <x v="1"/>
    <x v="77"/>
    <x v="1"/>
    <x v="1"/>
    <x v="1"/>
    <x v="1"/>
  </r>
  <r>
    <n v="54383"/>
    <x v="9"/>
    <x v="1"/>
    <x v="140"/>
    <x v="2"/>
    <x v="2152"/>
    <x v="3"/>
    <d v="2024-07-07T00:00:00"/>
    <d v="2024-07-12T00:00:00"/>
    <x v="0"/>
    <x v="2202"/>
    <x v="0"/>
    <x v="0"/>
    <x v="0"/>
    <x v="0"/>
    <x v="0"/>
    <x v="1"/>
  </r>
  <r>
    <n v="52591"/>
    <x v="8"/>
    <x v="1"/>
    <x v="468"/>
    <x v="1"/>
    <x v="2153"/>
    <x v="1"/>
    <d v="2024-08-17T00:00:00"/>
    <d v="2024-08-23T00:00:00"/>
    <x v="2"/>
    <x v="2203"/>
    <x v="1"/>
    <x v="62"/>
    <x v="1"/>
    <x v="1"/>
    <x v="1"/>
    <x v="1"/>
  </r>
  <r>
    <n v="11431"/>
    <x v="9"/>
    <x v="1"/>
    <x v="406"/>
    <x v="3"/>
    <x v="2154"/>
    <x v="1"/>
    <d v="2024-10-20T00:00:00"/>
    <d v="2024-10-27T00:00:00"/>
    <x v="1"/>
    <x v="2204"/>
    <x v="0"/>
    <x v="0"/>
    <x v="0"/>
    <x v="0"/>
    <x v="0"/>
    <x v="0"/>
  </r>
  <r>
    <n v="95222"/>
    <x v="1"/>
    <x v="0"/>
    <x v="27"/>
    <x v="2"/>
    <x v="2155"/>
    <x v="1"/>
    <d v="2024-12-21T00:00:00"/>
    <d v="2025-01-01T00:00:00"/>
    <x v="1"/>
    <x v="2205"/>
    <x v="0"/>
    <x v="0"/>
    <x v="0"/>
    <x v="0"/>
    <x v="0"/>
    <x v="0"/>
  </r>
  <r>
    <n v="93962"/>
    <x v="8"/>
    <x v="1"/>
    <x v="447"/>
    <x v="4"/>
    <x v="2156"/>
    <x v="0"/>
    <d v="2024-03-29T00:00:00"/>
    <d v="2024-04-10T00:00:00"/>
    <x v="1"/>
    <x v="2206"/>
    <x v="0"/>
    <x v="0"/>
    <x v="0"/>
    <x v="0"/>
    <x v="0"/>
    <x v="0"/>
  </r>
  <r>
    <n v="70623"/>
    <x v="3"/>
    <x v="2"/>
    <x v="114"/>
    <x v="3"/>
    <x v="2157"/>
    <x v="1"/>
    <d v="2024-02-07T00:00:00"/>
    <d v="2024-03-07T00:00:00"/>
    <x v="0"/>
    <x v="2207"/>
    <x v="0"/>
    <x v="0"/>
    <x v="0"/>
    <x v="0"/>
    <x v="0"/>
    <x v="0"/>
  </r>
  <r>
    <n v="72513"/>
    <x v="8"/>
    <x v="1"/>
    <x v="157"/>
    <x v="1"/>
    <x v="2158"/>
    <x v="2"/>
    <d v="2024-01-25T00:00:00"/>
    <d v="2024-02-25T00:00:00"/>
    <x v="0"/>
    <x v="2208"/>
    <x v="0"/>
    <x v="0"/>
    <x v="0"/>
    <x v="0"/>
    <x v="0"/>
    <x v="0"/>
  </r>
  <r>
    <n v="71282"/>
    <x v="2"/>
    <x v="1"/>
    <x v="77"/>
    <x v="3"/>
    <x v="2159"/>
    <x v="1"/>
    <d v="2024-02-10T00:00:00"/>
    <d v="2024-02-16T00:00:00"/>
    <x v="2"/>
    <x v="2209"/>
    <x v="1"/>
    <x v="18"/>
    <x v="1"/>
    <x v="1"/>
    <x v="1"/>
    <x v="1"/>
  </r>
  <r>
    <n v="33178"/>
    <x v="4"/>
    <x v="0"/>
    <x v="271"/>
    <x v="4"/>
    <x v="2160"/>
    <x v="2"/>
    <d v="2024-07-22T00:00:00"/>
    <d v="2024-07-28T00:00:00"/>
    <x v="0"/>
    <x v="2210"/>
    <x v="0"/>
    <x v="0"/>
    <x v="0"/>
    <x v="0"/>
    <x v="0"/>
    <x v="0"/>
  </r>
  <r>
    <n v="56475"/>
    <x v="3"/>
    <x v="2"/>
    <x v="127"/>
    <x v="5"/>
    <x v="2161"/>
    <x v="1"/>
    <d v="2024-01-21T00:00:00"/>
    <d v="2024-02-03T00:00:00"/>
    <x v="1"/>
    <x v="2211"/>
    <x v="0"/>
    <x v="0"/>
    <x v="0"/>
    <x v="0"/>
    <x v="0"/>
    <x v="0"/>
  </r>
  <r>
    <n v="61932"/>
    <x v="16"/>
    <x v="3"/>
    <x v="397"/>
    <x v="6"/>
    <x v="2162"/>
    <x v="4"/>
    <d v="2024-10-11T00:00:00"/>
    <d v="2024-11-02T00:00:00"/>
    <x v="2"/>
    <x v="2212"/>
    <x v="1"/>
    <x v="117"/>
    <x v="1"/>
    <x v="1"/>
    <x v="1"/>
    <x v="1"/>
  </r>
  <r>
    <n v="30121"/>
    <x v="4"/>
    <x v="0"/>
    <x v="284"/>
    <x v="6"/>
    <x v="2163"/>
    <x v="2"/>
    <d v="2024-09-02T00:00:00"/>
    <d v="2024-09-17T00:00:00"/>
    <x v="1"/>
    <x v="2213"/>
    <x v="1"/>
    <x v="45"/>
    <x v="1"/>
    <x v="1"/>
    <x v="1"/>
    <x v="1"/>
  </r>
  <r>
    <n v="72607"/>
    <x v="10"/>
    <x v="2"/>
    <x v="248"/>
    <x v="0"/>
    <x v="2164"/>
    <x v="2"/>
    <d v="2024-05-27T00:00:00"/>
    <d v="2024-06-03T00:00:00"/>
    <x v="0"/>
    <x v="2214"/>
    <x v="0"/>
    <x v="0"/>
    <x v="0"/>
    <x v="0"/>
    <x v="0"/>
    <x v="0"/>
  </r>
  <r>
    <n v="37785"/>
    <x v="8"/>
    <x v="1"/>
    <x v="204"/>
    <x v="1"/>
    <x v="2165"/>
    <x v="0"/>
    <d v="2024-12-25T00:00:00"/>
    <d v="2025-01-30T00:00:00"/>
    <x v="1"/>
    <x v="2215"/>
    <x v="1"/>
    <x v="30"/>
    <x v="1"/>
    <x v="1"/>
    <x v="1"/>
    <x v="1"/>
  </r>
  <r>
    <n v="58339"/>
    <x v="5"/>
    <x v="2"/>
    <x v="469"/>
    <x v="0"/>
    <x v="2166"/>
    <x v="4"/>
    <d v="2024-11-07T00:00:00"/>
    <d v="2024-12-06T00:00:00"/>
    <x v="2"/>
    <x v="2216"/>
    <x v="0"/>
    <x v="0"/>
    <x v="0"/>
    <x v="0"/>
    <x v="0"/>
    <x v="1"/>
  </r>
  <r>
    <n v="53746"/>
    <x v="0"/>
    <x v="0"/>
    <x v="337"/>
    <x v="2"/>
    <x v="2167"/>
    <x v="2"/>
    <d v="2024-08-27T00:00:00"/>
    <d v="2024-10-01T00:00:00"/>
    <x v="1"/>
    <x v="2217"/>
    <x v="0"/>
    <x v="0"/>
    <x v="0"/>
    <x v="0"/>
    <x v="0"/>
    <x v="0"/>
  </r>
  <r>
    <n v="28313"/>
    <x v="1"/>
    <x v="0"/>
    <x v="360"/>
    <x v="2"/>
    <x v="2168"/>
    <x v="0"/>
    <d v="2024-03-30T00:00:00"/>
    <d v="2024-05-07T00:00:00"/>
    <x v="0"/>
    <x v="2218"/>
    <x v="0"/>
    <x v="0"/>
    <x v="0"/>
    <x v="0"/>
    <x v="0"/>
    <x v="0"/>
  </r>
  <r>
    <n v="39854"/>
    <x v="16"/>
    <x v="3"/>
    <x v="158"/>
    <x v="5"/>
    <x v="2169"/>
    <x v="1"/>
    <d v="2024-10-25T00:00:00"/>
    <d v="2024-11-08T00:00:00"/>
    <x v="0"/>
    <x v="2219"/>
    <x v="0"/>
    <x v="0"/>
    <x v="0"/>
    <x v="0"/>
    <x v="0"/>
    <x v="0"/>
  </r>
  <r>
    <n v="22679"/>
    <x v="10"/>
    <x v="2"/>
    <x v="100"/>
    <x v="2"/>
    <x v="2170"/>
    <x v="1"/>
    <d v="2024-07-13T00:00:00"/>
    <d v="2024-08-01T00:00:00"/>
    <x v="2"/>
    <x v="2220"/>
    <x v="0"/>
    <x v="0"/>
    <x v="0"/>
    <x v="0"/>
    <x v="0"/>
    <x v="0"/>
  </r>
  <r>
    <n v="22291"/>
    <x v="8"/>
    <x v="1"/>
    <x v="183"/>
    <x v="0"/>
    <x v="2171"/>
    <x v="0"/>
    <d v="2024-04-14T00:00:00"/>
    <d v="2024-05-06T00:00:00"/>
    <x v="1"/>
    <x v="2221"/>
    <x v="0"/>
    <x v="0"/>
    <x v="0"/>
    <x v="0"/>
    <x v="0"/>
    <x v="0"/>
  </r>
  <r>
    <n v="92797"/>
    <x v="10"/>
    <x v="2"/>
    <x v="94"/>
    <x v="1"/>
    <x v="2172"/>
    <x v="2"/>
    <d v="2024-02-25T00:00:00"/>
    <d v="2024-03-25T00:00:00"/>
    <x v="1"/>
    <x v="2222"/>
    <x v="0"/>
    <x v="0"/>
    <x v="0"/>
    <x v="0"/>
    <x v="0"/>
    <x v="1"/>
  </r>
  <r>
    <n v="62204"/>
    <x v="12"/>
    <x v="0"/>
    <x v="21"/>
    <x v="3"/>
    <x v="2173"/>
    <x v="0"/>
    <d v="2024-09-23T00:00:00"/>
    <d v="2024-09-29T00:00:00"/>
    <x v="2"/>
    <x v="2223"/>
    <x v="0"/>
    <x v="0"/>
    <x v="0"/>
    <x v="0"/>
    <x v="0"/>
    <x v="0"/>
  </r>
  <r>
    <n v="70089"/>
    <x v="11"/>
    <x v="4"/>
    <x v="225"/>
    <x v="1"/>
    <x v="2174"/>
    <x v="4"/>
    <d v="2024-03-12T00:00:00"/>
    <d v="2024-03-17T00:00:00"/>
    <x v="0"/>
    <x v="2224"/>
    <x v="0"/>
    <x v="0"/>
    <x v="0"/>
    <x v="0"/>
    <x v="0"/>
    <x v="0"/>
  </r>
  <r>
    <n v="50533"/>
    <x v="4"/>
    <x v="0"/>
    <x v="37"/>
    <x v="6"/>
    <x v="2175"/>
    <x v="0"/>
    <d v="2024-01-17T00:00:00"/>
    <d v="2024-01-30T00:00:00"/>
    <x v="2"/>
    <x v="2225"/>
    <x v="0"/>
    <x v="0"/>
    <x v="0"/>
    <x v="0"/>
    <x v="0"/>
    <x v="1"/>
  </r>
  <r>
    <n v="83185"/>
    <x v="4"/>
    <x v="0"/>
    <x v="180"/>
    <x v="4"/>
    <x v="2176"/>
    <x v="1"/>
    <d v="2024-02-06T00:00:00"/>
    <d v="2024-02-13T00:00:00"/>
    <x v="1"/>
    <x v="2226"/>
    <x v="0"/>
    <x v="0"/>
    <x v="0"/>
    <x v="0"/>
    <x v="0"/>
    <x v="1"/>
  </r>
  <r>
    <n v="65427"/>
    <x v="2"/>
    <x v="1"/>
    <x v="280"/>
    <x v="1"/>
    <x v="2177"/>
    <x v="1"/>
    <d v="2024-12-12T00:00:00"/>
    <d v="2025-01-17T00:00:00"/>
    <x v="1"/>
    <x v="2227"/>
    <x v="1"/>
    <x v="42"/>
    <x v="1"/>
    <x v="1"/>
    <x v="1"/>
    <x v="1"/>
  </r>
  <r>
    <n v="57431"/>
    <x v="8"/>
    <x v="1"/>
    <x v="58"/>
    <x v="4"/>
    <x v="2178"/>
    <x v="2"/>
    <d v="2024-05-04T00:00:00"/>
    <d v="2024-05-15T00:00:00"/>
    <x v="0"/>
    <x v="62"/>
    <x v="1"/>
    <x v="77"/>
    <x v="1"/>
    <x v="1"/>
    <x v="1"/>
    <x v="1"/>
  </r>
  <r>
    <n v="20296"/>
    <x v="14"/>
    <x v="4"/>
    <x v="194"/>
    <x v="0"/>
    <x v="2179"/>
    <x v="0"/>
    <d v="2024-02-10T00:00:00"/>
    <d v="2024-03-06T00:00:00"/>
    <x v="2"/>
    <x v="2228"/>
    <x v="0"/>
    <x v="0"/>
    <x v="0"/>
    <x v="0"/>
    <x v="0"/>
    <x v="1"/>
  </r>
  <r>
    <n v="13796"/>
    <x v="1"/>
    <x v="0"/>
    <x v="428"/>
    <x v="5"/>
    <x v="2180"/>
    <x v="3"/>
    <d v="2024-12-08T00:00:00"/>
    <d v="2024-12-17T00:00:00"/>
    <x v="0"/>
    <x v="2229"/>
    <x v="1"/>
    <x v="118"/>
    <x v="1"/>
    <x v="1"/>
    <x v="1"/>
    <x v="1"/>
  </r>
  <r>
    <n v="95017"/>
    <x v="2"/>
    <x v="1"/>
    <x v="213"/>
    <x v="2"/>
    <x v="2181"/>
    <x v="2"/>
    <d v="2024-08-05T00:00:00"/>
    <d v="2024-08-28T00:00:00"/>
    <x v="1"/>
    <x v="2230"/>
    <x v="0"/>
    <x v="0"/>
    <x v="0"/>
    <x v="0"/>
    <x v="0"/>
    <x v="0"/>
  </r>
  <r>
    <n v="89941"/>
    <x v="11"/>
    <x v="4"/>
    <x v="178"/>
    <x v="6"/>
    <x v="2182"/>
    <x v="3"/>
    <d v="2024-02-07T00:00:00"/>
    <d v="2024-03-02T00:00:00"/>
    <x v="1"/>
    <x v="2231"/>
    <x v="1"/>
    <x v="32"/>
    <x v="1"/>
    <x v="1"/>
    <x v="1"/>
    <x v="1"/>
  </r>
  <r>
    <n v="47372"/>
    <x v="11"/>
    <x v="4"/>
    <x v="340"/>
    <x v="1"/>
    <x v="2183"/>
    <x v="3"/>
    <d v="2024-09-30T00:00:00"/>
    <d v="2024-10-19T00:00:00"/>
    <x v="0"/>
    <x v="2232"/>
    <x v="0"/>
    <x v="0"/>
    <x v="0"/>
    <x v="0"/>
    <x v="0"/>
    <x v="0"/>
  </r>
  <r>
    <n v="78348"/>
    <x v="7"/>
    <x v="3"/>
    <x v="120"/>
    <x v="5"/>
    <x v="2184"/>
    <x v="4"/>
    <d v="2024-01-15T00:00:00"/>
    <d v="2024-02-05T00:00:00"/>
    <x v="1"/>
    <x v="2233"/>
    <x v="1"/>
    <x v="119"/>
    <x v="1"/>
    <x v="1"/>
    <x v="1"/>
    <x v="1"/>
  </r>
  <r>
    <n v="99795"/>
    <x v="15"/>
    <x v="4"/>
    <x v="150"/>
    <x v="1"/>
    <x v="2185"/>
    <x v="3"/>
    <d v="2024-03-22T00:00:00"/>
    <d v="2024-04-12T00:00:00"/>
    <x v="0"/>
    <x v="2234"/>
    <x v="0"/>
    <x v="0"/>
    <x v="0"/>
    <x v="0"/>
    <x v="0"/>
    <x v="1"/>
  </r>
  <r>
    <n v="70659"/>
    <x v="10"/>
    <x v="2"/>
    <x v="224"/>
    <x v="0"/>
    <x v="2186"/>
    <x v="3"/>
    <d v="2024-04-04T00:00:00"/>
    <d v="2024-05-10T00:00:00"/>
    <x v="1"/>
    <x v="2235"/>
    <x v="0"/>
    <x v="0"/>
    <x v="0"/>
    <x v="0"/>
    <x v="0"/>
    <x v="0"/>
  </r>
  <r>
    <n v="53809"/>
    <x v="11"/>
    <x v="4"/>
    <x v="45"/>
    <x v="5"/>
    <x v="2187"/>
    <x v="3"/>
    <d v="2024-06-27T00:00:00"/>
    <d v="2024-07-27T00:00:00"/>
    <x v="1"/>
    <x v="2236"/>
    <x v="1"/>
    <x v="2"/>
    <x v="1"/>
    <x v="1"/>
    <x v="1"/>
    <x v="1"/>
  </r>
  <r>
    <n v="52967"/>
    <x v="6"/>
    <x v="3"/>
    <x v="181"/>
    <x v="5"/>
    <x v="2188"/>
    <x v="4"/>
    <d v="2024-07-21T00:00:00"/>
    <d v="2024-08-05T00:00:00"/>
    <x v="2"/>
    <x v="2237"/>
    <x v="0"/>
    <x v="0"/>
    <x v="0"/>
    <x v="0"/>
    <x v="0"/>
    <x v="1"/>
  </r>
  <r>
    <n v="39002"/>
    <x v="12"/>
    <x v="0"/>
    <x v="378"/>
    <x v="6"/>
    <x v="2189"/>
    <x v="2"/>
    <d v="2024-09-14T00:00:00"/>
    <d v="2024-10-22T00:00:00"/>
    <x v="1"/>
    <x v="2238"/>
    <x v="0"/>
    <x v="0"/>
    <x v="0"/>
    <x v="0"/>
    <x v="0"/>
    <x v="0"/>
  </r>
  <r>
    <n v="65020"/>
    <x v="2"/>
    <x v="1"/>
    <x v="361"/>
    <x v="3"/>
    <x v="2190"/>
    <x v="3"/>
    <d v="2024-12-17T00:00:00"/>
    <d v="2025-01-02T00:00:00"/>
    <x v="2"/>
    <x v="2239"/>
    <x v="0"/>
    <x v="0"/>
    <x v="0"/>
    <x v="0"/>
    <x v="0"/>
    <x v="1"/>
  </r>
  <r>
    <n v="19585"/>
    <x v="9"/>
    <x v="1"/>
    <x v="327"/>
    <x v="0"/>
    <x v="2191"/>
    <x v="4"/>
    <d v="2024-06-27T00:00:00"/>
    <d v="2024-07-31T00:00:00"/>
    <x v="1"/>
    <x v="2240"/>
    <x v="0"/>
    <x v="0"/>
    <x v="0"/>
    <x v="0"/>
    <x v="0"/>
    <x v="0"/>
  </r>
  <r>
    <n v="19017"/>
    <x v="8"/>
    <x v="1"/>
    <x v="45"/>
    <x v="6"/>
    <x v="2192"/>
    <x v="4"/>
    <d v="2024-10-30T00:00:00"/>
    <d v="2024-11-26T00:00:00"/>
    <x v="0"/>
    <x v="2241"/>
    <x v="1"/>
    <x v="3"/>
    <x v="1"/>
    <x v="1"/>
    <x v="1"/>
    <x v="1"/>
  </r>
  <r>
    <n v="34020"/>
    <x v="1"/>
    <x v="0"/>
    <x v="484"/>
    <x v="0"/>
    <x v="2193"/>
    <x v="4"/>
    <d v="2024-03-02T00:00:00"/>
    <d v="2024-04-05T00:00:00"/>
    <x v="2"/>
    <x v="2242"/>
    <x v="0"/>
    <x v="0"/>
    <x v="0"/>
    <x v="0"/>
    <x v="0"/>
    <x v="1"/>
  </r>
  <r>
    <n v="21552"/>
    <x v="10"/>
    <x v="2"/>
    <x v="475"/>
    <x v="6"/>
    <x v="2194"/>
    <x v="0"/>
    <d v="2024-02-05T00:00:00"/>
    <d v="2024-03-06T00:00:00"/>
    <x v="0"/>
    <x v="2243"/>
    <x v="1"/>
    <x v="104"/>
    <x v="1"/>
    <x v="1"/>
    <x v="1"/>
    <x v="1"/>
  </r>
  <r>
    <n v="75185"/>
    <x v="14"/>
    <x v="4"/>
    <x v="171"/>
    <x v="5"/>
    <x v="2195"/>
    <x v="0"/>
    <d v="2024-04-19T00:00:00"/>
    <d v="2024-05-14T00:00:00"/>
    <x v="0"/>
    <x v="2244"/>
    <x v="0"/>
    <x v="0"/>
    <x v="0"/>
    <x v="0"/>
    <x v="0"/>
    <x v="1"/>
  </r>
  <r>
    <n v="70047"/>
    <x v="14"/>
    <x v="4"/>
    <x v="482"/>
    <x v="4"/>
    <x v="2196"/>
    <x v="4"/>
    <d v="2024-03-08T00:00:00"/>
    <d v="2024-03-14T00:00:00"/>
    <x v="2"/>
    <x v="2245"/>
    <x v="0"/>
    <x v="0"/>
    <x v="0"/>
    <x v="0"/>
    <x v="0"/>
    <x v="0"/>
  </r>
  <r>
    <n v="81494"/>
    <x v="10"/>
    <x v="2"/>
    <x v="296"/>
    <x v="4"/>
    <x v="2197"/>
    <x v="1"/>
    <d v="2024-07-28T00:00:00"/>
    <d v="2024-08-18T00:00:00"/>
    <x v="0"/>
    <x v="2246"/>
    <x v="0"/>
    <x v="0"/>
    <x v="0"/>
    <x v="0"/>
    <x v="0"/>
    <x v="0"/>
  </r>
  <r>
    <n v="39663"/>
    <x v="1"/>
    <x v="0"/>
    <x v="132"/>
    <x v="3"/>
    <x v="2198"/>
    <x v="4"/>
    <d v="2024-05-09T00:00:00"/>
    <d v="2024-06-04T00:00:00"/>
    <x v="1"/>
    <x v="2247"/>
    <x v="0"/>
    <x v="0"/>
    <x v="0"/>
    <x v="0"/>
    <x v="0"/>
    <x v="0"/>
  </r>
  <r>
    <n v="88267"/>
    <x v="2"/>
    <x v="1"/>
    <x v="420"/>
    <x v="5"/>
    <x v="2199"/>
    <x v="3"/>
    <d v="2024-11-22T00:00:00"/>
    <d v="2024-12-03T00:00:00"/>
    <x v="2"/>
    <x v="2248"/>
    <x v="0"/>
    <x v="0"/>
    <x v="0"/>
    <x v="0"/>
    <x v="0"/>
    <x v="1"/>
  </r>
  <r>
    <n v="68570"/>
    <x v="0"/>
    <x v="0"/>
    <x v="242"/>
    <x v="3"/>
    <x v="2200"/>
    <x v="1"/>
    <d v="2024-05-09T00:00:00"/>
    <d v="2024-06-15T00:00:00"/>
    <x v="2"/>
    <x v="2249"/>
    <x v="0"/>
    <x v="0"/>
    <x v="0"/>
    <x v="0"/>
    <x v="0"/>
    <x v="0"/>
  </r>
  <r>
    <n v="33997"/>
    <x v="10"/>
    <x v="2"/>
    <x v="378"/>
    <x v="4"/>
    <x v="2201"/>
    <x v="4"/>
    <d v="2024-01-26T00:00:00"/>
    <d v="2024-03-03T00:00:00"/>
    <x v="2"/>
    <x v="2250"/>
    <x v="0"/>
    <x v="0"/>
    <x v="0"/>
    <x v="0"/>
    <x v="0"/>
    <x v="0"/>
  </r>
  <r>
    <n v="50894"/>
    <x v="13"/>
    <x v="3"/>
    <x v="87"/>
    <x v="2"/>
    <x v="2202"/>
    <x v="1"/>
    <d v="2024-02-10T00:00:00"/>
    <d v="2024-02-19T00:00:00"/>
    <x v="2"/>
    <x v="2251"/>
    <x v="0"/>
    <x v="0"/>
    <x v="0"/>
    <x v="0"/>
    <x v="0"/>
    <x v="0"/>
  </r>
  <r>
    <n v="17691"/>
    <x v="2"/>
    <x v="1"/>
    <x v="42"/>
    <x v="0"/>
    <x v="2203"/>
    <x v="0"/>
    <d v="2024-06-28T00:00:00"/>
    <d v="2024-07-04T00:00:00"/>
    <x v="1"/>
    <x v="2252"/>
    <x v="0"/>
    <x v="0"/>
    <x v="0"/>
    <x v="0"/>
    <x v="0"/>
    <x v="0"/>
  </r>
  <r>
    <n v="83396"/>
    <x v="2"/>
    <x v="1"/>
    <x v="273"/>
    <x v="5"/>
    <x v="2204"/>
    <x v="3"/>
    <d v="2024-01-31T00:00:00"/>
    <d v="2024-02-26T00:00:00"/>
    <x v="0"/>
    <x v="2253"/>
    <x v="0"/>
    <x v="0"/>
    <x v="0"/>
    <x v="0"/>
    <x v="0"/>
    <x v="0"/>
  </r>
  <r>
    <n v="15293"/>
    <x v="7"/>
    <x v="3"/>
    <x v="489"/>
    <x v="4"/>
    <x v="2205"/>
    <x v="2"/>
    <d v="2024-09-12T00:00:00"/>
    <d v="2024-10-08T00:00:00"/>
    <x v="2"/>
    <x v="2254"/>
    <x v="0"/>
    <x v="0"/>
    <x v="0"/>
    <x v="0"/>
    <x v="0"/>
    <x v="0"/>
  </r>
  <r>
    <n v="93127"/>
    <x v="7"/>
    <x v="3"/>
    <x v="34"/>
    <x v="0"/>
    <x v="2206"/>
    <x v="3"/>
    <d v="2024-08-19T00:00:00"/>
    <d v="2024-09-05T00:00:00"/>
    <x v="2"/>
    <x v="2255"/>
    <x v="0"/>
    <x v="0"/>
    <x v="0"/>
    <x v="0"/>
    <x v="0"/>
    <x v="1"/>
  </r>
  <r>
    <n v="98672"/>
    <x v="9"/>
    <x v="1"/>
    <x v="86"/>
    <x v="3"/>
    <x v="2207"/>
    <x v="1"/>
    <d v="2024-09-23T00:00:00"/>
    <d v="2024-10-10T00:00:00"/>
    <x v="0"/>
    <x v="2256"/>
    <x v="1"/>
    <x v="12"/>
    <x v="1"/>
    <x v="1"/>
    <x v="1"/>
    <x v="1"/>
  </r>
  <r>
    <n v="54016"/>
    <x v="9"/>
    <x v="1"/>
    <x v="398"/>
    <x v="4"/>
    <x v="2208"/>
    <x v="2"/>
    <d v="2024-01-31T00:00:00"/>
    <d v="2024-02-10T00:00:00"/>
    <x v="2"/>
    <x v="2257"/>
    <x v="1"/>
    <x v="69"/>
    <x v="1"/>
    <x v="1"/>
    <x v="1"/>
    <x v="1"/>
  </r>
  <r>
    <n v="35515"/>
    <x v="0"/>
    <x v="0"/>
    <x v="389"/>
    <x v="0"/>
    <x v="2209"/>
    <x v="3"/>
    <d v="2024-09-09T00:00:00"/>
    <d v="2024-09-14T00:00:00"/>
    <x v="0"/>
    <x v="2258"/>
    <x v="0"/>
    <x v="0"/>
    <x v="0"/>
    <x v="0"/>
    <x v="0"/>
    <x v="0"/>
  </r>
  <r>
    <n v="41212"/>
    <x v="6"/>
    <x v="3"/>
    <x v="168"/>
    <x v="2"/>
    <x v="2210"/>
    <x v="0"/>
    <d v="2024-07-23T00:00:00"/>
    <d v="2024-08-20T00:00:00"/>
    <x v="2"/>
    <x v="2259"/>
    <x v="0"/>
    <x v="0"/>
    <x v="0"/>
    <x v="0"/>
    <x v="0"/>
    <x v="0"/>
  </r>
  <r>
    <n v="26585"/>
    <x v="11"/>
    <x v="4"/>
    <x v="295"/>
    <x v="4"/>
    <x v="2211"/>
    <x v="1"/>
    <d v="2024-06-13T00:00:00"/>
    <d v="2024-07-07T00:00:00"/>
    <x v="0"/>
    <x v="2260"/>
    <x v="0"/>
    <x v="0"/>
    <x v="0"/>
    <x v="0"/>
    <x v="0"/>
    <x v="1"/>
  </r>
  <r>
    <n v="97091"/>
    <x v="7"/>
    <x v="3"/>
    <x v="269"/>
    <x v="1"/>
    <x v="2212"/>
    <x v="2"/>
    <d v="2024-07-06T00:00:00"/>
    <d v="2024-07-16T00:00:00"/>
    <x v="1"/>
    <x v="2261"/>
    <x v="0"/>
    <x v="0"/>
    <x v="0"/>
    <x v="0"/>
    <x v="0"/>
    <x v="1"/>
  </r>
  <r>
    <n v="37946"/>
    <x v="5"/>
    <x v="2"/>
    <x v="95"/>
    <x v="3"/>
    <x v="2213"/>
    <x v="1"/>
    <d v="2024-04-09T00:00:00"/>
    <d v="2024-04-18T00:00:00"/>
    <x v="0"/>
    <x v="2262"/>
    <x v="0"/>
    <x v="0"/>
    <x v="0"/>
    <x v="0"/>
    <x v="0"/>
    <x v="0"/>
  </r>
  <r>
    <n v="34935"/>
    <x v="11"/>
    <x v="4"/>
    <x v="423"/>
    <x v="5"/>
    <x v="2214"/>
    <x v="4"/>
    <d v="2024-02-29T00:00:00"/>
    <d v="2024-03-07T00:00:00"/>
    <x v="2"/>
    <x v="2263"/>
    <x v="0"/>
    <x v="0"/>
    <x v="0"/>
    <x v="0"/>
    <x v="0"/>
    <x v="1"/>
  </r>
  <r>
    <n v="44062"/>
    <x v="4"/>
    <x v="0"/>
    <x v="80"/>
    <x v="0"/>
    <x v="2215"/>
    <x v="0"/>
    <d v="2024-07-18T00:00:00"/>
    <d v="2024-08-03T00:00:00"/>
    <x v="1"/>
    <x v="2264"/>
    <x v="0"/>
    <x v="0"/>
    <x v="0"/>
    <x v="0"/>
    <x v="0"/>
    <x v="0"/>
  </r>
  <r>
    <n v="48585"/>
    <x v="12"/>
    <x v="0"/>
    <x v="115"/>
    <x v="6"/>
    <x v="2216"/>
    <x v="0"/>
    <d v="2024-03-28T00:00:00"/>
    <d v="2024-04-07T00:00:00"/>
    <x v="1"/>
    <x v="2265"/>
    <x v="0"/>
    <x v="0"/>
    <x v="0"/>
    <x v="0"/>
    <x v="0"/>
    <x v="1"/>
  </r>
  <r>
    <n v="30828"/>
    <x v="10"/>
    <x v="2"/>
    <x v="143"/>
    <x v="0"/>
    <x v="1165"/>
    <x v="2"/>
    <d v="2024-08-05T00:00:00"/>
    <d v="2024-08-20T00:00:00"/>
    <x v="2"/>
    <x v="2266"/>
    <x v="0"/>
    <x v="0"/>
    <x v="0"/>
    <x v="0"/>
    <x v="0"/>
    <x v="0"/>
  </r>
  <r>
    <n v="73828"/>
    <x v="15"/>
    <x v="4"/>
    <x v="163"/>
    <x v="5"/>
    <x v="2217"/>
    <x v="1"/>
    <d v="2024-01-12T00:00:00"/>
    <d v="2024-02-08T00:00:00"/>
    <x v="0"/>
    <x v="2267"/>
    <x v="0"/>
    <x v="0"/>
    <x v="0"/>
    <x v="0"/>
    <x v="0"/>
    <x v="0"/>
  </r>
  <r>
    <n v="31773"/>
    <x v="8"/>
    <x v="1"/>
    <x v="310"/>
    <x v="1"/>
    <x v="2218"/>
    <x v="1"/>
    <d v="2024-12-06T00:00:00"/>
    <d v="2024-12-18T00:00:00"/>
    <x v="1"/>
    <x v="2268"/>
    <x v="0"/>
    <x v="0"/>
    <x v="0"/>
    <x v="0"/>
    <x v="0"/>
    <x v="0"/>
  </r>
  <r>
    <n v="79086"/>
    <x v="15"/>
    <x v="4"/>
    <x v="254"/>
    <x v="5"/>
    <x v="2219"/>
    <x v="2"/>
    <d v="2024-06-22T00:00:00"/>
    <d v="2024-06-30T00:00:00"/>
    <x v="1"/>
    <x v="2269"/>
    <x v="1"/>
    <x v="61"/>
    <x v="1"/>
    <x v="1"/>
    <x v="1"/>
    <x v="1"/>
  </r>
  <r>
    <n v="99262"/>
    <x v="14"/>
    <x v="4"/>
    <x v="264"/>
    <x v="3"/>
    <x v="2220"/>
    <x v="0"/>
    <d v="2024-04-27T00:00:00"/>
    <d v="2024-05-19T00:00:00"/>
    <x v="1"/>
    <x v="2270"/>
    <x v="0"/>
    <x v="0"/>
    <x v="0"/>
    <x v="0"/>
    <x v="0"/>
    <x v="0"/>
  </r>
  <r>
    <n v="72395"/>
    <x v="2"/>
    <x v="1"/>
    <x v="86"/>
    <x v="6"/>
    <x v="2221"/>
    <x v="2"/>
    <d v="2024-04-18T00:00:00"/>
    <d v="2024-04-26T00:00:00"/>
    <x v="1"/>
    <x v="2271"/>
    <x v="1"/>
    <x v="120"/>
    <x v="1"/>
    <x v="1"/>
    <x v="1"/>
    <x v="1"/>
  </r>
  <r>
    <n v="22003"/>
    <x v="13"/>
    <x v="3"/>
    <x v="375"/>
    <x v="5"/>
    <x v="2222"/>
    <x v="4"/>
    <d v="2024-04-21T00:00:00"/>
    <d v="2024-05-26T00:00:00"/>
    <x v="0"/>
    <x v="2272"/>
    <x v="1"/>
    <x v="110"/>
    <x v="1"/>
    <x v="1"/>
    <x v="1"/>
    <x v="1"/>
  </r>
  <r>
    <n v="32098"/>
    <x v="5"/>
    <x v="2"/>
    <x v="288"/>
    <x v="2"/>
    <x v="2223"/>
    <x v="2"/>
    <d v="2024-06-06T00:00:00"/>
    <d v="2024-06-17T00:00:00"/>
    <x v="2"/>
    <x v="2273"/>
    <x v="0"/>
    <x v="0"/>
    <x v="0"/>
    <x v="0"/>
    <x v="0"/>
    <x v="0"/>
  </r>
  <r>
    <n v="69261"/>
    <x v="6"/>
    <x v="3"/>
    <x v="194"/>
    <x v="2"/>
    <x v="2224"/>
    <x v="4"/>
    <d v="2024-10-12T00:00:00"/>
    <d v="2024-11-05T00:00:00"/>
    <x v="2"/>
    <x v="2274"/>
    <x v="0"/>
    <x v="0"/>
    <x v="0"/>
    <x v="0"/>
    <x v="0"/>
    <x v="1"/>
  </r>
  <r>
    <n v="77561"/>
    <x v="9"/>
    <x v="1"/>
    <x v="197"/>
    <x v="3"/>
    <x v="2225"/>
    <x v="4"/>
    <d v="2024-08-27T00:00:00"/>
    <d v="2024-09-27T00:00:00"/>
    <x v="1"/>
    <x v="2275"/>
    <x v="0"/>
    <x v="0"/>
    <x v="0"/>
    <x v="0"/>
    <x v="0"/>
    <x v="0"/>
  </r>
  <r>
    <n v="30221"/>
    <x v="6"/>
    <x v="3"/>
    <x v="107"/>
    <x v="3"/>
    <x v="2226"/>
    <x v="2"/>
    <d v="2024-07-19T00:00:00"/>
    <d v="2024-08-03T00:00:00"/>
    <x v="2"/>
    <x v="2276"/>
    <x v="0"/>
    <x v="0"/>
    <x v="0"/>
    <x v="0"/>
    <x v="0"/>
    <x v="1"/>
  </r>
  <r>
    <n v="41232"/>
    <x v="15"/>
    <x v="4"/>
    <x v="238"/>
    <x v="0"/>
    <x v="2227"/>
    <x v="1"/>
    <d v="2024-04-15T00:00:00"/>
    <d v="2024-05-04T00:00:00"/>
    <x v="1"/>
    <x v="2277"/>
    <x v="0"/>
    <x v="0"/>
    <x v="0"/>
    <x v="0"/>
    <x v="0"/>
    <x v="0"/>
  </r>
  <r>
    <n v="99257"/>
    <x v="5"/>
    <x v="2"/>
    <x v="30"/>
    <x v="1"/>
    <x v="2228"/>
    <x v="3"/>
    <d v="2024-10-20T00:00:00"/>
    <d v="2024-11-26T00:00:00"/>
    <x v="1"/>
    <x v="2278"/>
    <x v="0"/>
    <x v="0"/>
    <x v="0"/>
    <x v="0"/>
    <x v="0"/>
    <x v="0"/>
  </r>
  <r>
    <n v="21439"/>
    <x v="2"/>
    <x v="1"/>
    <x v="438"/>
    <x v="5"/>
    <x v="2229"/>
    <x v="1"/>
    <d v="2024-02-26T00:00:00"/>
    <d v="2024-03-23T00:00:00"/>
    <x v="0"/>
    <x v="2279"/>
    <x v="0"/>
    <x v="0"/>
    <x v="0"/>
    <x v="0"/>
    <x v="0"/>
    <x v="1"/>
  </r>
  <r>
    <n v="72134"/>
    <x v="8"/>
    <x v="1"/>
    <x v="309"/>
    <x v="0"/>
    <x v="499"/>
    <x v="3"/>
    <d v="2024-01-27T00:00:00"/>
    <d v="2024-02-09T00:00:00"/>
    <x v="0"/>
    <x v="2280"/>
    <x v="0"/>
    <x v="0"/>
    <x v="0"/>
    <x v="0"/>
    <x v="0"/>
    <x v="0"/>
  </r>
  <r>
    <n v="52530"/>
    <x v="10"/>
    <x v="2"/>
    <x v="108"/>
    <x v="1"/>
    <x v="2230"/>
    <x v="2"/>
    <d v="2024-10-10T00:00:00"/>
    <d v="2024-10-30T00:00:00"/>
    <x v="1"/>
    <x v="2281"/>
    <x v="1"/>
    <x v="15"/>
    <x v="1"/>
    <x v="1"/>
    <x v="1"/>
    <x v="1"/>
  </r>
  <r>
    <n v="97519"/>
    <x v="6"/>
    <x v="3"/>
    <x v="61"/>
    <x v="1"/>
    <x v="2231"/>
    <x v="0"/>
    <d v="2024-01-23T00:00:00"/>
    <d v="2024-02-02T00:00:00"/>
    <x v="1"/>
    <x v="2282"/>
    <x v="0"/>
    <x v="0"/>
    <x v="0"/>
    <x v="0"/>
    <x v="0"/>
    <x v="0"/>
  </r>
  <r>
    <n v="74713"/>
    <x v="15"/>
    <x v="4"/>
    <x v="128"/>
    <x v="2"/>
    <x v="2232"/>
    <x v="3"/>
    <d v="2024-12-13T00:00:00"/>
    <d v="2024-12-28T00:00:00"/>
    <x v="0"/>
    <x v="2283"/>
    <x v="0"/>
    <x v="0"/>
    <x v="0"/>
    <x v="0"/>
    <x v="0"/>
    <x v="0"/>
  </r>
  <r>
    <n v="21955"/>
    <x v="9"/>
    <x v="1"/>
    <x v="180"/>
    <x v="3"/>
    <x v="2233"/>
    <x v="3"/>
    <d v="2024-02-14T00:00:00"/>
    <d v="2024-03-17T00:00:00"/>
    <x v="1"/>
    <x v="2284"/>
    <x v="0"/>
    <x v="0"/>
    <x v="0"/>
    <x v="0"/>
    <x v="0"/>
    <x v="1"/>
  </r>
  <r>
    <n v="77959"/>
    <x v="16"/>
    <x v="3"/>
    <x v="271"/>
    <x v="0"/>
    <x v="2234"/>
    <x v="3"/>
    <d v="2024-02-09T00:00:00"/>
    <d v="2024-03-09T00:00:00"/>
    <x v="2"/>
    <x v="2285"/>
    <x v="0"/>
    <x v="0"/>
    <x v="0"/>
    <x v="0"/>
    <x v="0"/>
    <x v="0"/>
  </r>
  <r>
    <n v="25164"/>
    <x v="1"/>
    <x v="0"/>
    <x v="141"/>
    <x v="4"/>
    <x v="2235"/>
    <x v="2"/>
    <d v="2024-01-30T00:00:00"/>
    <d v="2024-02-13T00:00:00"/>
    <x v="2"/>
    <x v="2286"/>
    <x v="0"/>
    <x v="0"/>
    <x v="0"/>
    <x v="0"/>
    <x v="0"/>
    <x v="0"/>
  </r>
  <r>
    <n v="53327"/>
    <x v="8"/>
    <x v="1"/>
    <x v="406"/>
    <x v="4"/>
    <x v="2236"/>
    <x v="2"/>
    <d v="2024-03-31T00:00:00"/>
    <d v="2024-04-29T00:00:00"/>
    <x v="0"/>
    <x v="2287"/>
    <x v="0"/>
    <x v="0"/>
    <x v="0"/>
    <x v="0"/>
    <x v="0"/>
    <x v="0"/>
  </r>
  <r>
    <n v="75167"/>
    <x v="14"/>
    <x v="4"/>
    <x v="102"/>
    <x v="0"/>
    <x v="2237"/>
    <x v="4"/>
    <d v="2024-02-13T00:00:00"/>
    <d v="2024-02-29T00:00:00"/>
    <x v="0"/>
    <x v="2288"/>
    <x v="0"/>
    <x v="0"/>
    <x v="0"/>
    <x v="0"/>
    <x v="0"/>
    <x v="0"/>
  </r>
  <r>
    <n v="46116"/>
    <x v="9"/>
    <x v="1"/>
    <x v="205"/>
    <x v="6"/>
    <x v="2238"/>
    <x v="1"/>
    <d v="2024-10-22T00:00:00"/>
    <d v="2024-11-22T00:00:00"/>
    <x v="2"/>
    <x v="2289"/>
    <x v="0"/>
    <x v="0"/>
    <x v="0"/>
    <x v="0"/>
    <x v="0"/>
    <x v="1"/>
  </r>
  <r>
    <n v="78345"/>
    <x v="14"/>
    <x v="4"/>
    <x v="207"/>
    <x v="0"/>
    <x v="2239"/>
    <x v="1"/>
    <d v="2024-08-14T00:00:00"/>
    <d v="2024-08-21T00:00:00"/>
    <x v="2"/>
    <x v="2290"/>
    <x v="0"/>
    <x v="0"/>
    <x v="0"/>
    <x v="0"/>
    <x v="0"/>
    <x v="0"/>
  </r>
  <r>
    <n v="92049"/>
    <x v="5"/>
    <x v="2"/>
    <x v="189"/>
    <x v="0"/>
    <x v="2240"/>
    <x v="1"/>
    <d v="2024-02-03T00:00:00"/>
    <d v="2024-02-09T00:00:00"/>
    <x v="1"/>
    <x v="2291"/>
    <x v="0"/>
    <x v="0"/>
    <x v="0"/>
    <x v="0"/>
    <x v="0"/>
    <x v="1"/>
  </r>
  <r>
    <n v="88027"/>
    <x v="1"/>
    <x v="0"/>
    <x v="240"/>
    <x v="2"/>
    <x v="2241"/>
    <x v="0"/>
    <d v="2024-03-21T00:00:00"/>
    <d v="2024-04-09T00:00:00"/>
    <x v="1"/>
    <x v="2292"/>
    <x v="0"/>
    <x v="0"/>
    <x v="0"/>
    <x v="0"/>
    <x v="0"/>
    <x v="0"/>
  </r>
  <r>
    <n v="71713"/>
    <x v="11"/>
    <x v="4"/>
    <x v="412"/>
    <x v="3"/>
    <x v="2242"/>
    <x v="2"/>
    <d v="2024-11-19T00:00:00"/>
    <d v="2024-11-30T00:00:00"/>
    <x v="0"/>
    <x v="2293"/>
    <x v="0"/>
    <x v="0"/>
    <x v="0"/>
    <x v="0"/>
    <x v="0"/>
    <x v="0"/>
  </r>
  <r>
    <n v="42481"/>
    <x v="6"/>
    <x v="3"/>
    <x v="452"/>
    <x v="0"/>
    <x v="2243"/>
    <x v="1"/>
    <d v="2024-07-10T00:00:00"/>
    <d v="2024-07-31T00:00:00"/>
    <x v="2"/>
    <x v="2294"/>
    <x v="0"/>
    <x v="0"/>
    <x v="0"/>
    <x v="0"/>
    <x v="0"/>
    <x v="0"/>
  </r>
  <r>
    <n v="50149"/>
    <x v="1"/>
    <x v="0"/>
    <x v="414"/>
    <x v="0"/>
    <x v="2244"/>
    <x v="3"/>
    <d v="2024-05-31T00:00:00"/>
    <d v="2024-06-06T00:00:00"/>
    <x v="0"/>
    <x v="2295"/>
    <x v="0"/>
    <x v="0"/>
    <x v="0"/>
    <x v="0"/>
    <x v="0"/>
    <x v="0"/>
  </r>
  <r>
    <n v="44409"/>
    <x v="8"/>
    <x v="1"/>
    <x v="401"/>
    <x v="1"/>
    <x v="2245"/>
    <x v="2"/>
    <d v="2024-01-19T00:00:00"/>
    <d v="2024-02-25T00:00:00"/>
    <x v="2"/>
    <x v="2296"/>
    <x v="0"/>
    <x v="0"/>
    <x v="0"/>
    <x v="0"/>
    <x v="0"/>
    <x v="1"/>
  </r>
  <r>
    <n v="27864"/>
    <x v="11"/>
    <x v="4"/>
    <x v="446"/>
    <x v="6"/>
    <x v="2246"/>
    <x v="1"/>
    <d v="2024-02-03T00:00:00"/>
    <d v="2024-03-08T00:00:00"/>
    <x v="1"/>
    <x v="2297"/>
    <x v="0"/>
    <x v="0"/>
    <x v="0"/>
    <x v="0"/>
    <x v="0"/>
    <x v="1"/>
  </r>
  <r>
    <n v="44851"/>
    <x v="4"/>
    <x v="0"/>
    <x v="458"/>
    <x v="2"/>
    <x v="2247"/>
    <x v="1"/>
    <d v="2024-03-15T00:00:00"/>
    <d v="2024-04-10T00:00:00"/>
    <x v="1"/>
    <x v="2298"/>
    <x v="0"/>
    <x v="0"/>
    <x v="0"/>
    <x v="0"/>
    <x v="0"/>
    <x v="0"/>
  </r>
  <r>
    <n v="65803"/>
    <x v="14"/>
    <x v="4"/>
    <x v="192"/>
    <x v="6"/>
    <x v="2248"/>
    <x v="1"/>
    <d v="2024-06-14T00:00:00"/>
    <d v="2024-07-13T00:00:00"/>
    <x v="2"/>
    <x v="2299"/>
    <x v="0"/>
    <x v="0"/>
    <x v="0"/>
    <x v="0"/>
    <x v="0"/>
    <x v="1"/>
  </r>
  <r>
    <n v="23068"/>
    <x v="8"/>
    <x v="1"/>
    <x v="443"/>
    <x v="1"/>
    <x v="2249"/>
    <x v="1"/>
    <d v="2024-09-02T00:00:00"/>
    <d v="2024-09-23T00:00:00"/>
    <x v="1"/>
    <x v="2300"/>
    <x v="0"/>
    <x v="0"/>
    <x v="0"/>
    <x v="0"/>
    <x v="0"/>
    <x v="1"/>
  </r>
  <r>
    <n v="17089"/>
    <x v="11"/>
    <x v="4"/>
    <x v="347"/>
    <x v="6"/>
    <x v="2250"/>
    <x v="1"/>
    <d v="2024-02-16T00:00:00"/>
    <d v="2024-03-16T00:00:00"/>
    <x v="0"/>
    <x v="2301"/>
    <x v="0"/>
    <x v="0"/>
    <x v="0"/>
    <x v="0"/>
    <x v="0"/>
    <x v="1"/>
  </r>
  <r>
    <n v="26150"/>
    <x v="9"/>
    <x v="1"/>
    <x v="93"/>
    <x v="5"/>
    <x v="2251"/>
    <x v="4"/>
    <d v="2024-08-30T00:00:00"/>
    <d v="2024-09-13T00:00:00"/>
    <x v="1"/>
    <x v="2302"/>
    <x v="0"/>
    <x v="0"/>
    <x v="0"/>
    <x v="0"/>
    <x v="0"/>
    <x v="1"/>
  </r>
  <r>
    <n v="33461"/>
    <x v="13"/>
    <x v="3"/>
    <x v="412"/>
    <x v="6"/>
    <x v="2252"/>
    <x v="4"/>
    <d v="2024-08-20T00:00:00"/>
    <d v="2024-09-25T00:00:00"/>
    <x v="0"/>
    <x v="2303"/>
    <x v="1"/>
    <x v="43"/>
    <x v="1"/>
    <x v="1"/>
    <x v="1"/>
    <x v="1"/>
  </r>
  <r>
    <n v="90865"/>
    <x v="2"/>
    <x v="1"/>
    <x v="340"/>
    <x v="1"/>
    <x v="2253"/>
    <x v="0"/>
    <d v="2024-09-13T00:00:00"/>
    <d v="2024-10-06T00:00:00"/>
    <x v="1"/>
    <x v="2304"/>
    <x v="0"/>
    <x v="0"/>
    <x v="0"/>
    <x v="0"/>
    <x v="0"/>
    <x v="0"/>
  </r>
  <r>
    <n v="87027"/>
    <x v="10"/>
    <x v="2"/>
    <x v="405"/>
    <x v="4"/>
    <x v="2254"/>
    <x v="3"/>
    <d v="2024-09-07T00:00:00"/>
    <d v="2024-09-30T00:00:00"/>
    <x v="1"/>
    <x v="2305"/>
    <x v="0"/>
    <x v="0"/>
    <x v="0"/>
    <x v="0"/>
    <x v="0"/>
    <x v="0"/>
  </r>
  <r>
    <n v="21356"/>
    <x v="3"/>
    <x v="2"/>
    <x v="322"/>
    <x v="6"/>
    <x v="2255"/>
    <x v="3"/>
    <d v="2024-05-25T00:00:00"/>
    <d v="2024-06-04T00:00:00"/>
    <x v="2"/>
    <x v="2306"/>
    <x v="1"/>
    <x v="48"/>
    <x v="1"/>
    <x v="1"/>
    <x v="1"/>
    <x v="1"/>
  </r>
  <r>
    <n v="70217"/>
    <x v="10"/>
    <x v="2"/>
    <x v="88"/>
    <x v="4"/>
    <x v="2256"/>
    <x v="4"/>
    <d v="2024-02-17T00:00:00"/>
    <d v="2024-03-16T00:00:00"/>
    <x v="1"/>
    <x v="2307"/>
    <x v="0"/>
    <x v="0"/>
    <x v="0"/>
    <x v="0"/>
    <x v="0"/>
    <x v="0"/>
  </r>
  <r>
    <n v="45402"/>
    <x v="15"/>
    <x v="4"/>
    <x v="469"/>
    <x v="4"/>
    <x v="2257"/>
    <x v="3"/>
    <d v="2024-04-27T00:00:00"/>
    <d v="2024-05-18T00:00:00"/>
    <x v="0"/>
    <x v="2308"/>
    <x v="0"/>
    <x v="0"/>
    <x v="0"/>
    <x v="0"/>
    <x v="0"/>
    <x v="1"/>
  </r>
  <r>
    <n v="50194"/>
    <x v="1"/>
    <x v="0"/>
    <x v="140"/>
    <x v="4"/>
    <x v="2258"/>
    <x v="0"/>
    <d v="2024-06-04T00:00:00"/>
    <d v="2024-07-11T00:00:00"/>
    <x v="2"/>
    <x v="2309"/>
    <x v="1"/>
    <x v="18"/>
    <x v="1"/>
    <x v="1"/>
    <x v="1"/>
    <x v="1"/>
  </r>
  <r>
    <n v="67872"/>
    <x v="10"/>
    <x v="2"/>
    <x v="59"/>
    <x v="5"/>
    <x v="2259"/>
    <x v="2"/>
    <d v="2024-05-16T00:00:00"/>
    <d v="2024-06-08T00:00:00"/>
    <x v="1"/>
    <x v="2310"/>
    <x v="1"/>
    <x v="94"/>
    <x v="1"/>
    <x v="1"/>
    <x v="1"/>
    <x v="1"/>
  </r>
  <r>
    <n v="54935"/>
    <x v="2"/>
    <x v="1"/>
    <x v="412"/>
    <x v="1"/>
    <x v="2260"/>
    <x v="2"/>
    <d v="2024-08-03T00:00:00"/>
    <d v="2024-09-10T00:00:00"/>
    <x v="0"/>
    <x v="2311"/>
    <x v="0"/>
    <x v="0"/>
    <x v="0"/>
    <x v="0"/>
    <x v="0"/>
    <x v="1"/>
  </r>
  <r>
    <n v="71407"/>
    <x v="1"/>
    <x v="0"/>
    <x v="288"/>
    <x v="4"/>
    <x v="2261"/>
    <x v="0"/>
    <d v="2024-12-11T00:00:00"/>
    <d v="2024-12-30T00:00:00"/>
    <x v="1"/>
    <x v="2312"/>
    <x v="0"/>
    <x v="0"/>
    <x v="0"/>
    <x v="0"/>
    <x v="0"/>
    <x v="0"/>
  </r>
  <r>
    <n v="14225"/>
    <x v="0"/>
    <x v="0"/>
    <x v="111"/>
    <x v="0"/>
    <x v="2262"/>
    <x v="0"/>
    <d v="2024-12-22T00:00:00"/>
    <d v="2025-01-04T00:00:00"/>
    <x v="2"/>
    <x v="2313"/>
    <x v="0"/>
    <x v="0"/>
    <x v="0"/>
    <x v="0"/>
    <x v="0"/>
    <x v="0"/>
  </r>
  <r>
    <n v="28989"/>
    <x v="7"/>
    <x v="3"/>
    <x v="417"/>
    <x v="1"/>
    <x v="2263"/>
    <x v="4"/>
    <d v="2024-11-30T00:00:00"/>
    <d v="2024-12-18T00:00:00"/>
    <x v="2"/>
    <x v="2314"/>
    <x v="0"/>
    <x v="0"/>
    <x v="0"/>
    <x v="0"/>
    <x v="0"/>
    <x v="0"/>
  </r>
  <r>
    <n v="21055"/>
    <x v="2"/>
    <x v="1"/>
    <x v="102"/>
    <x v="0"/>
    <x v="2264"/>
    <x v="3"/>
    <d v="2024-02-27T00:00:00"/>
    <d v="2024-03-26T00:00:00"/>
    <x v="0"/>
    <x v="2315"/>
    <x v="0"/>
    <x v="0"/>
    <x v="0"/>
    <x v="0"/>
    <x v="0"/>
    <x v="0"/>
  </r>
  <r>
    <n v="83541"/>
    <x v="14"/>
    <x v="4"/>
    <x v="468"/>
    <x v="6"/>
    <x v="2265"/>
    <x v="3"/>
    <d v="2024-05-24T00:00:00"/>
    <d v="2024-06-28T00:00:00"/>
    <x v="2"/>
    <x v="2316"/>
    <x v="1"/>
    <x v="121"/>
    <x v="1"/>
    <x v="1"/>
    <x v="1"/>
    <x v="1"/>
  </r>
  <r>
    <n v="29513"/>
    <x v="7"/>
    <x v="3"/>
    <x v="319"/>
    <x v="3"/>
    <x v="2266"/>
    <x v="0"/>
    <d v="2024-11-14T00:00:00"/>
    <d v="2024-12-15T00:00:00"/>
    <x v="1"/>
    <x v="2317"/>
    <x v="0"/>
    <x v="0"/>
    <x v="0"/>
    <x v="0"/>
    <x v="0"/>
    <x v="0"/>
  </r>
  <r>
    <n v="67194"/>
    <x v="6"/>
    <x v="3"/>
    <x v="38"/>
    <x v="6"/>
    <x v="2267"/>
    <x v="1"/>
    <d v="2024-04-17T00:00:00"/>
    <d v="2024-05-06T00:00:00"/>
    <x v="1"/>
    <x v="2318"/>
    <x v="0"/>
    <x v="0"/>
    <x v="0"/>
    <x v="0"/>
    <x v="0"/>
    <x v="0"/>
  </r>
  <r>
    <n v="72054"/>
    <x v="10"/>
    <x v="2"/>
    <x v="59"/>
    <x v="6"/>
    <x v="2268"/>
    <x v="0"/>
    <d v="2024-02-16T00:00:00"/>
    <d v="2024-03-03T00:00:00"/>
    <x v="0"/>
    <x v="2319"/>
    <x v="1"/>
    <x v="41"/>
    <x v="1"/>
    <x v="1"/>
    <x v="1"/>
    <x v="1"/>
  </r>
  <r>
    <n v="90635"/>
    <x v="10"/>
    <x v="2"/>
    <x v="149"/>
    <x v="1"/>
    <x v="2269"/>
    <x v="1"/>
    <d v="2024-03-27T00:00:00"/>
    <d v="2024-04-26T00:00:00"/>
    <x v="0"/>
    <x v="2320"/>
    <x v="0"/>
    <x v="0"/>
    <x v="0"/>
    <x v="0"/>
    <x v="0"/>
    <x v="0"/>
  </r>
  <r>
    <n v="39063"/>
    <x v="1"/>
    <x v="0"/>
    <x v="310"/>
    <x v="6"/>
    <x v="2270"/>
    <x v="1"/>
    <d v="2024-07-30T00:00:00"/>
    <d v="2024-08-23T00:00:00"/>
    <x v="0"/>
    <x v="2321"/>
    <x v="0"/>
    <x v="0"/>
    <x v="0"/>
    <x v="0"/>
    <x v="0"/>
    <x v="1"/>
  </r>
  <r>
    <n v="25921"/>
    <x v="7"/>
    <x v="3"/>
    <x v="474"/>
    <x v="1"/>
    <x v="2271"/>
    <x v="3"/>
    <d v="2024-06-21T00:00:00"/>
    <d v="2024-07-13T00:00:00"/>
    <x v="0"/>
    <x v="2322"/>
    <x v="1"/>
    <x v="64"/>
    <x v="1"/>
    <x v="1"/>
    <x v="1"/>
    <x v="1"/>
  </r>
  <r>
    <n v="21683"/>
    <x v="16"/>
    <x v="3"/>
    <x v="258"/>
    <x v="6"/>
    <x v="2272"/>
    <x v="0"/>
    <d v="2024-07-17T00:00:00"/>
    <d v="2024-08-02T00:00:00"/>
    <x v="1"/>
    <x v="2323"/>
    <x v="0"/>
    <x v="0"/>
    <x v="0"/>
    <x v="0"/>
    <x v="0"/>
    <x v="1"/>
  </r>
  <r>
    <n v="58266"/>
    <x v="15"/>
    <x v="4"/>
    <x v="105"/>
    <x v="3"/>
    <x v="2273"/>
    <x v="0"/>
    <d v="2024-05-12T00:00:00"/>
    <d v="2024-06-01T00:00:00"/>
    <x v="1"/>
    <x v="2324"/>
    <x v="0"/>
    <x v="0"/>
    <x v="0"/>
    <x v="0"/>
    <x v="0"/>
    <x v="0"/>
  </r>
  <r>
    <n v="60411"/>
    <x v="15"/>
    <x v="4"/>
    <x v="199"/>
    <x v="3"/>
    <x v="2274"/>
    <x v="0"/>
    <d v="2024-05-17T00:00:00"/>
    <d v="2024-06-08T00:00:00"/>
    <x v="2"/>
    <x v="2325"/>
    <x v="0"/>
    <x v="0"/>
    <x v="0"/>
    <x v="0"/>
    <x v="0"/>
    <x v="0"/>
  </r>
  <r>
    <n v="83694"/>
    <x v="3"/>
    <x v="2"/>
    <x v="423"/>
    <x v="0"/>
    <x v="2275"/>
    <x v="1"/>
    <d v="2024-07-19T00:00:00"/>
    <d v="2024-08-14T00:00:00"/>
    <x v="0"/>
    <x v="2326"/>
    <x v="0"/>
    <x v="0"/>
    <x v="0"/>
    <x v="0"/>
    <x v="0"/>
    <x v="1"/>
  </r>
  <r>
    <n v="27301"/>
    <x v="15"/>
    <x v="4"/>
    <x v="185"/>
    <x v="1"/>
    <x v="2276"/>
    <x v="2"/>
    <d v="2024-06-13T00:00:00"/>
    <d v="2024-06-24T00:00:00"/>
    <x v="2"/>
    <x v="2327"/>
    <x v="0"/>
    <x v="0"/>
    <x v="0"/>
    <x v="0"/>
    <x v="0"/>
    <x v="1"/>
  </r>
  <r>
    <n v="48751"/>
    <x v="15"/>
    <x v="4"/>
    <x v="256"/>
    <x v="3"/>
    <x v="2277"/>
    <x v="3"/>
    <d v="2024-09-03T00:00:00"/>
    <d v="2024-09-22T00:00:00"/>
    <x v="0"/>
    <x v="2328"/>
    <x v="0"/>
    <x v="0"/>
    <x v="0"/>
    <x v="0"/>
    <x v="0"/>
    <x v="0"/>
  </r>
  <r>
    <n v="66782"/>
    <x v="6"/>
    <x v="3"/>
    <x v="37"/>
    <x v="3"/>
    <x v="2278"/>
    <x v="3"/>
    <d v="2024-03-25T00:00:00"/>
    <d v="2024-04-10T00:00:00"/>
    <x v="2"/>
    <x v="2329"/>
    <x v="0"/>
    <x v="0"/>
    <x v="0"/>
    <x v="0"/>
    <x v="0"/>
    <x v="0"/>
  </r>
  <r>
    <n v="10029"/>
    <x v="12"/>
    <x v="0"/>
    <x v="139"/>
    <x v="5"/>
    <x v="2279"/>
    <x v="2"/>
    <d v="2024-07-05T00:00:00"/>
    <d v="2024-07-14T00:00:00"/>
    <x v="1"/>
    <x v="2330"/>
    <x v="1"/>
    <x v="57"/>
    <x v="1"/>
    <x v="1"/>
    <x v="1"/>
    <x v="1"/>
  </r>
  <r>
    <n v="46827"/>
    <x v="10"/>
    <x v="2"/>
    <x v="442"/>
    <x v="6"/>
    <x v="1175"/>
    <x v="2"/>
    <d v="2024-02-29T00:00:00"/>
    <d v="2024-03-28T00:00:00"/>
    <x v="1"/>
    <x v="2331"/>
    <x v="1"/>
    <x v="87"/>
    <x v="1"/>
    <x v="1"/>
    <x v="1"/>
    <x v="1"/>
  </r>
  <r>
    <n v="53884"/>
    <x v="3"/>
    <x v="2"/>
    <x v="378"/>
    <x v="0"/>
    <x v="1728"/>
    <x v="0"/>
    <d v="2024-06-08T00:00:00"/>
    <d v="2024-06-14T00:00:00"/>
    <x v="1"/>
    <x v="2332"/>
    <x v="0"/>
    <x v="0"/>
    <x v="0"/>
    <x v="0"/>
    <x v="0"/>
    <x v="0"/>
  </r>
  <r>
    <n v="87391"/>
    <x v="8"/>
    <x v="1"/>
    <x v="447"/>
    <x v="6"/>
    <x v="2280"/>
    <x v="1"/>
    <d v="2024-05-18T00:00:00"/>
    <d v="2024-06-05T00:00:00"/>
    <x v="2"/>
    <x v="2333"/>
    <x v="0"/>
    <x v="0"/>
    <x v="0"/>
    <x v="0"/>
    <x v="0"/>
    <x v="1"/>
  </r>
  <r>
    <n v="10357"/>
    <x v="14"/>
    <x v="4"/>
    <x v="463"/>
    <x v="5"/>
    <x v="2281"/>
    <x v="4"/>
    <d v="2024-09-30T00:00:00"/>
    <d v="2024-10-30T00:00:00"/>
    <x v="2"/>
    <x v="2334"/>
    <x v="1"/>
    <x v="28"/>
    <x v="1"/>
    <x v="1"/>
    <x v="1"/>
    <x v="1"/>
  </r>
  <r>
    <n v="14447"/>
    <x v="8"/>
    <x v="1"/>
    <x v="487"/>
    <x v="2"/>
    <x v="2282"/>
    <x v="2"/>
    <d v="2024-04-23T00:00:00"/>
    <d v="2024-05-18T00:00:00"/>
    <x v="2"/>
    <x v="2335"/>
    <x v="0"/>
    <x v="0"/>
    <x v="0"/>
    <x v="0"/>
    <x v="0"/>
    <x v="0"/>
  </r>
  <r>
    <n v="40262"/>
    <x v="4"/>
    <x v="0"/>
    <x v="449"/>
    <x v="6"/>
    <x v="2283"/>
    <x v="2"/>
    <d v="2024-09-18T00:00:00"/>
    <d v="2024-10-25T00:00:00"/>
    <x v="1"/>
    <x v="2336"/>
    <x v="1"/>
    <x v="44"/>
    <x v="1"/>
    <x v="1"/>
    <x v="1"/>
    <x v="1"/>
  </r>
  <r>
    <n v="45330"/>
    <x v="14"/>
    <x v="4"/>
    <x v="413"/>
    <x v="2"/>
    <x v="2284"/>
    <x v="3"/>
    <d v="2024-07-03T00:00:00"/>
    <d v="2024-07-21T00:00:00"/>
    <x v="0"/>
    <x v="2337"/>
    <x v="0"/>
    <x v="0"/>
    <x v="0"/>
    <x v="0"/>
    <x v="0"/>
    <x v="0"/>
  </r>
  <r>
    <n v="11027"/>
    <x v="12"/>
    <x v="0"/>
    <x v="435"/>
    <x v="5"/>
    <x v="2285"/>
    <x v="2"/>
    <d v="2024-06-14T00:00:00"/>
    <d v="2024-06-22T00:00:00"/>
    <x v="1"/>
    <x v="2338"/>
    <x v="1"/>
    <x v="97"/>
    <x v="1"/>
    <x v="1"/>
    <x v="1"/>
    <x v="1"/>
  </r>
  <r>
    <n v="31873"/>
    <x v="8"/>
    <x v="1"/>
    <x v="309"/>
    <x v="4"/>
    <x v="2286"/>
    <x v="4"/>
    <d v="2024-12-18T00:00:00"/>
    <d v="2024-12-30T00:00:00"/>
    <x v="0"/>
    <x v="2339"/>
    <x v="0"/>
    <x v="0"/>
    <x v="0"/>
    <x v="0"/>
    <x v="0"/>
    <x v="0"/>
  </r>
  <r>
    <n v="31643"/>
    <x v="0"/>
    <x v="0"/>
    <x v="67"/>
    <x v="6"/>
    <x v="2287"/>
    <x v="3"/>
    <d v="2024-05-01T00:00:00"/>
    <d v="2024-05-12T00:00:00"/>
    <x v="1"/>
    <x v="2340"/>
    <x v="0"/>
    <x v="0"/>
    <x v="0"/>
    <x v="0"/>
    <x v="0"/>
    <x v="1"/>
  </r>
  <r>
    <n v="39404"/>
    <x v="6"/>
    <x v="3"/>
    <x v="374"/>
    <x v="5"/>
    <x v="2288"/>
    <x v="1"/>
    <d v="2024-01-27T00:00:00"/>
    <d v="2024-02-08T00:00:00"/>
    <x v="0"/>
    <x v="2341"/>
    <x v="1"/>
    <x v="30"/>
    <x v="1"/>
    <x v="1"/>
    <x v="1"/>
    <x v="1"/>
  </r>
  <r>
    <n v="98018"/>
    <x v="14"/>
    <x v="4"/>
    <x v="365"/>
    <x v="5"/>
    <x v="2289"/>
    <x v="4"/>
    <d v="2024-09-02T00:00:00"/>
    <d v="2024-09-10T00:00:00"/>
    <x v="0"/>
    <x v="2342"/>
    <x v="1"/>
    <x v="68"/>
    <x v="1"/>
    <x v="1"/>
    <x v="1"/>
    <x v="1"/>
  </r>
  <r>
    <n v="91823"/>
    <x v="2"/>
    <x v="1"/>
    <x v="289"/>
    <x v="2"/>
    <x v="2290"/>
    <x v="2"/>
    <d v="2024-10-23T00:00:00"/>
    <d v="2024-11-04T00:00:00"/>
    <x v="0"/>
    <x v="2343"/>
    <x v="0"/>
    <x v="0"/>
    <x v="0"/>
    <x v="0"/>
    <x v="0"/>
    <x v="0"/>
  </r>
  <r>
    <n v="62282"/>
    <x v="1"/>
    <x v="0"/>
    <x v="364"/>
    <x v="3"/>
    <x v="2291"/>
    <x v="3"/>
    <d v="2024-03-29T00:00:00"/>
    <d v="2024-04-12T00:00:00"/>
    <x v="1"/>
    <x v="2344"/>
    <x v="0"/>
    <x v="0"/>
    <x v="0"/>
    <x v="0"/>
    <x v="0"/>
    <x v="0"/>
  </r>
  <r>
    <n v="35594"/>
    <x v="12"/>
    <x v="0"/>
    <x v="206"/>
    <x v="1"/>
    <x v="2292"/>
    <x v="2"/>
    <d v="2024-11-05T00:00:00"/>
    <d v="2024-12-13T00:00:00"/>
    <x v="1"/>
    <x v="2345"/>
    <x v="0"/>
    <x v="0"/>
    <x v="0"/>
    <x v="0"/>
    <x v="0"/>
    <x v="0"/>
  </r>
  <r>
    <n v="27540"/>
    <x v="2"/>
    <x v="1"/>
    <x v="241"/>
    <x v="0"/>
    <x v="2293"/>
    <x v="2"/>
    <d v="2024-04-25T00:00:00"/>
    <d v="2024-05-11T00:00:00"/>
    <x v="0"/>
    <x v="2346"/>
    <x v="0"/>
    <x v="0"/>
    <x v="0"/>
    <x v="0"/>
    <x v="0"/>
    <x v="0"/>
  </r>
  <r>
    <n v="71388"/>
    <x v="10"/>
    <x v="2"/>
    <x v="357"/>
    <x v="2"/>
    <x v="2294"/>
    <x v="2"/>
    <d v="2024-10-24T00:00:00"/>
    <d v="2024-11-07T00:00:00"/>
    <x v="0"/>
    <x v="2347"/>
    <x v="0"/>
    <x v="0"/>
    <x v="0"/>
    <x v="0"/>
    <x v="0"/>
    <x v="0"/>
  </r>
  <r>
    <n v="93492"/>
    <x v="2"/>
    <x v="1"/>
    <x v="244"/>
    <x v="4"/>
    <x v="2295"/>
    <x v="0"/>
    <d v="2024-04-30T00:00:00"/>
    <d v="2024-05-07T00:00:00"/>
    <x v="1"/>
    <x v="2348"/>
    <x v="0"/>
    <x v="0"/>
    <x v="0"/>
    <x v="0"/>
    <x v="0"/>
    <x v="0"/>
  </r>
  <r>
    <n v="31788"/>
    <x v="2"/>
    <x v="1"/>
    <x v="406"/>
    <x v="2"/>
    <x v="2296"/>
    <x v="0"/>
    <d v="2024-06-26T00:00:00"/>
    <d v="2024-07-09T00:00:00"/>
    <x v="2"/>
    <x v="2349"/>
    <x v="0"/>
    <x v="0"/>
    <x v="0"/>
    <x v="0"/>
    <x v="0"/>
    <x v="0"/>
  </r>
  <r>
    <n v="55147"/>
    <x v="13"/>
    <x v="3"/>
    <x v="20"/>
    <x v="2"/>
    <x v="2297"/>
    <x v="0"/>
    <d v="2024-04-18T00:00:00"/>
    <d v="2024-05-23T00:00:00"/>
    <x v="1"/>
    <x v="2350"/>
    <x v="0"/>
    <x v="0"/>
    <x v="0"/>
    <x v="0"/>
    <x v="0"/>
    <x v="0"/>
  </r>
  <r>
    <n v="67811"/>
    <x v="4"/>
    <x v="0"/>
    <x v="258"/>
    <x v="0"/>
    <x v="151"/>
    <x v="1"/>
    <d v="2024-04-07T00:00:00"/>
    <d v="2024-04-25T00:00:00"/>
    <x v="1"/>
    <x v="2351"/>
    <x v="0"/>
    <x v="0"/>
    <x v="0"/>
    <x v="0"/>
    <x v="0"/>
    <x v="0"/>
  </r>
  <r>
    <n v="43945"/>
    <x v="5"/>
    <x v="2"/>
    <x v="64"/>
    <x v="0"/>
    <x v="2298"/>
    <x v="0"/>
    <d v="2024-12-05T00:00:00"/>
    <d v="2025-01-08T00:00:00"/>
    <x v="1"/>
    <x v="2352"/>
    <x v="0"/>
    <x v="0"/>
    <x v="0"/>
    <x v="0"/>
    <x v="0"/>
    <x v="0"/>
  </r>
  <r>
    <n v="69643"/>
    <x v="16"/>
    <x v="3"/>
    <x v="94"/>
    <x v="4"/>
    <x v="2299"/>
    <x v="0"/>
    <d v="2024-10-06T00:00:00"/>
    <d v="2024-11-13T00:00:00"/>
    <x v="1"/>
    <x v="2353"/>
    <x v="0"/>
    <x v="0"/>
    <x v="0"/>
    <x v="0"/>
    <x v="0"/>
    <x v="1"/>
  </r>
  <r>
    <n v="85768"/>
    <x v="1"/>
    <x v="0"/>
    <x v="98"/>
    <x v="6"/>
    <x v="2300"/>
    <x v="4"/>
    <d v="2024-01-30T00:00:00"/>
    <d v="2024-03-04T00:00:00"/>
    <x v="0"/>
    <x v="2354"/>
    <x v="0"/>
    <x v="0"/>
    <x v="0"/>
    <x v="0"/>
    <x v="0"/>
    <x v="1"/>
  </r>
  <r>
    <n v="78197"/>
    <x v="4"/>
    <x v="0"/>
    <x v="178"/>
    <x v="2"/>
    <x v="2301"/>
    <x v="0"/>
    <d v="2024-01-21T00:00:00"/>
    <d v="2024-02-21T00:00:00"/>
    <x v="2"/>
    <x v="2355"/>
    <x v="0"/>
    <x v="0"/>
    <x v="0"/>
    <x v="0"/>
    <x v="0"/>
    <x v="0"/>
  </r>
  <r>
    <n v="41408"/>
    <x v="4"/>
    <x v="0"/>
    <x v="183"/>
    <x v="4"/>
    <x v="2302"/>
    <x v="4"/>
    <d v="2024-09-01T00:00:00"/>
    <d v="2024-09-08T00:00:00"/>
    <x v="2"/>
    <x v="2356"/>
    <x v="0"/>
    <x v="0"/>
    <x v="0"/>
    <x v="0"/>
    <x v="0"/>
    <x v="0"/>
  </r>
  <r>
    <n v="43132"/>
    <x v="3"/>
    <x v="2"/>
    <x v="360"/>
    <x v="6"/>
    <x v="2303"/>
    <x v="0"/>
    <d v="2024-02-09T00:00:00"/>
    <d v="2024-03-11T00:00:00"/>
    <x v="1"/>
    <x v="2357"/>
    <x v="0"/>
    <x v="0"/>
    <x v="0"/>
    <x v="0"/>
    <x v="0"/>
    <x v="1"/>
  </r>
  <r>
    <n v="96665"/>
    <x v="12"/>
    <x v="0"/>
    <x v="78"/>
    <x v="6"/>
    <x v="2304"/>
    <x v="0"/>
    <d v="2024-08-16T00:00:00"/>
    <d v="2024-09-09T00:00:00"/>
    <x v="2"/>
    <x v="2358"/>
    <x v="1"/>
    <x v="92"/>
    <x v="1"/>
    <x v="1"/>
    <x v="1"/>
    <x v="1"/>
  </r>
  <r>
    <n v="37802"/>
    <x v="2"/>
    <x v="1"/>
    <x v="483"/>
    <x v="3"/>
    <x v="2305"/>
    <x v="1"/>
    <d v="2024-06-11T00:00:00"/>
    <d v="2024-06-22T00:00:00"/>
    <x v="0"/>
    <x v="2359"/>
    <x v="0"/>
    <x v="0"/>
    <x v="0"/>
    <x v="0"/>
    <x v="0"/>
    <x v="0"/>
  </r>
  <r>
    <n v="68812"/>
    <x v="3"/>
    <x v="2"/>
    <x v="459"/>
    <x v="5"/>
    <x v="2306"/>
    <x v="0"/>
    <d v="2024-11-28T00:00:00"/>
    <d v="2024-12-04T00:00:00"/>
    <x v="2"/>
    <x v="2360"/>
    <x v="0"/>
    <x v="0"/>
    <x v="0"/>
    <x v="0"/>
    <x v="0"/>
    <x v="0"/>
  </r>
  <r>
    <n v="33950"/>
    <x v="2"/>
    <x v="1"/>
    <x v="347"/>
    <x v="0"/>
    <x v="2307"/>
    <x v="2"/>
    <d v="2024-10-02T00:00:00"/>
    <d v="2024-10-29T00:00:00"/>
    <x v="1"/>
    <x v="2361"/>
    <x v="0"/>
    <x v="0"/>
    <x v="0"/>
    <x v="0"/>
    <x v="0"/>
    <x v="0"/>
  </r>
  <r>
    <n v="97108"/>
    <x v="10"/>
    <x v="2"/>
    <x v="74"/>
    <x v="2"/>
    <x v="2308"/>
    <x v="1"/>
    <d v="2024-05-28T00:00:00"/>
    <d v="2024-06-08T00:00:00"/>
    <x v="1"/>
    <x v="2362"/>
    <x v="0"/>
    <x v="0"/>
    <x v="0"/>
    <x v="0"/>
    <x v="0"/>
    <x v="0"/>
  </r>
  <r>
    <n v="59630"/>
    <x v="7"/>
    <x v="3"/>
    <x v="187"/>
    <x v="5"/>
    <x v="2309"/>
    <x v="1"/>
    <d v="2024-09-14T00:00:00"/>
    <d v="2024-10-13T00:00:00"/>
    <x v="2"/>
    <x v="2363"/>
    <x v="0"/>
    <x v="0"/>
    <x v="0"/>
    <x v="0"/>
    <x v="0"/>
    <x v="0"/>
  </r>
  <r>
    <n v="37133"/>
    <x v="7"/>
    <x v="3"/>
    <x v="176"/>
    <x v="2"/>
    <x v="2310"/>
    <x v="4"/>
    <d v="2024-03-26T00:00:00"/>
    <d v="2024-03-31T00:00:00"/>
    <x v="0"/>
    <x v="2364"/>
    <x v="0"/>
    <x v="0"/>
    <x v="0"/>
    <x v="0"/>
    <x v="0"/>
    <x v="0"/>
  </r>
  <r>
    <n v="41742"/>
    <x v="2"/>
    <x v="1"/>
    <x v="434"/>
    <x v="1"/>
    <x v="2311"/>
    <x v="0"/>
    <d v="2024-07-27T00:00:00"/>
    <d v="2024-08-12T00:00:00"/>
    <x v="1"/>
    <x v="2365"/>
    <x v="0"/>
    <x v="0"/>
    <x v="0"/>
    <x v="0"/>
    <x v="0"/>
    <x v="0"/>
  </r>
  <r>
    <n v="92283"/>
    <x v="5"/>
    <x v="2"/>
    <x v="353"/>
    <x v="6"/>
    <x v="2312"/>
    <x v="2"/>
    <d v="2024-06-02T00:00:00"/>
    <d v="2024-06-09T00:00:00"/>
    <x v="0"/>
    <x v="2366"/>
    <x v="0"/>
    <x v="0"/>
    <x v="0"/>
    <x v="0"/>
    <x v="0"/>
    <x v="1"/>
  </r>
  <r>
    <n v="61134"/>
    <x v="11"/>
    <x v="4"/>
    <x v="424"/>
    <x v="0"/>
    <x v="2313"/>
    <x v="1"/>
    <d v="2024-11-13T00:00:00"/>
    <d v="2024-11-28T00:00:00"/>
    <x v="0"/>
    <x v="2367"/>
    <x v="0"/>
    <x v="0"/>
    <x v="0"/>
    <x v="0"/>
    <x v="0"/>
    <x v="0"/>
  </r>
  <r>
    <n v="50739"/>
    <x v="10"/>
    <x v="2"/>
    <x v="299"/>
    <x v="2"/>
    <x v="2314"/>
    <x v="0"/>
    <d v="2024-09-28T00:00:00"/>
    <d v="2024-10-15T00:00:00"/>
    <x v="2"/>
    <x v="2368"/>
    <x v="0"/>
    <x v="0"/>
    <x v="0"/>
    <x v="0"/>
    <x v="0"/>
    <x v="0"/>
  </r>
  <r>
    <n v="63001"/>
    <x v="11"/>
    <x v="4"/>
    <x v="5"/>
    <x v="5"/>
    <x v="723"/>
    <x v="0"/>
    <d v="2024-01-30T00:00:00"/>
    <d v="2024-02-10T00:00:00"/>
    <x v="2"/>
    <x v="2369"/>
    <x v="1"/>
    <x v="53"/>
    <x v="1"/>
    <x v="1"/>
    <x v="1"/>
    <x v="1"/>
  </r>
  <r>
    <n v="76981"/>
    <x v="3"/>
    <x v="2"/>
    <x v="494"/>
    <x v="4"/>
    <x v="2315"/>
    <x v="1"/>
    <d v="2024-09-11T00:00:00"/>
    <d v="2024-10-07T00:00:00"/>
    <x v="1"/>
    <x v="2370"/>
    <x v="1"/>
    <x v="46"/>
    <x v="1"/>
    <x v="1"/>
    <x v="1"/>
    <x v="1"/>
  </r>
  <r>
    <n v="23403"/>
    <x v="6"/>
    <x v="3"/>
    <x v="479"/>
    <x v="3"/>
    <x v="2316"/>
    <x v="1"/>
    <d v="2024-11-16T00:00:00"/>
    <d v="2024-12-05T00:00:00"/>
    <x v="1"/>
    <x v="2371"/>
    <x v="0"/>
    <x v="0"/>
    <x v="0"/>
    <x v="0"/>
    <x v="0"/>
    <x v="0"/>
  </r>
  <r>
    <n v="52517"/>
    <x v="15"/>
    <x v="4"/>
    <x v="452"/>
    <x v="6"/>
    <x v="2317"/>
    <x v="2"/>
    <d v="2024-04-12T00:00:00"/>
    <d v="2024-05-03T00:00:00"/>
    <x v="1"/>
    <x v="2372"/>
    <x v="0"/>
    <x v="0"/>
    <x v="0"/>
    <x v="0"/>
    <x v="0"/>
    <x v="1"/>
  </r>
  <r>
    <n v="82454"/>
    <x v="3"/>
    <x v="2"/>
    <x v="63"/>
    <x v="3"/>
    <x v="2318"/>
    <x v="4"/>
    <d v="2024-10-28T00:00:00"/>
    <d v="2024-11-28T00:00:00"/>
    <x v="0"/>
    <x v="2373"/>
    <x v="0"/>
    <x v="0"/>
    <x v="0"/>
    <x v="0"/>
    <x v="0"/>
    <x v="0"/>
  </r>
  <r>
    <n v="23750"/>
    <x v="14"/>
    <x v="4"/>
    <x v="49"/>
    <x v="5"/>
    <x v="2319"/>
    <x v="2"/>
    <d v="2024-03-16T00:00:00"/>
    <d v="2024-04-19T00:00:00"/>
    <x v="2"/>
    <x v="2374"/>
    <x v="0"/>
    <x v="0"/>
    <x v="0"/>
    <x v="0"/>
    <x v="0"/>
    <x v="0"/>
  </r>
  <r>
    <n v="69207"/>
    <x v="4"/>
    <x v="0"/>
    <x v="105"/>
    <x v="0"/>
    <x v="2320"/>
    <x v="1"/>
    <d v="2024-09-19T00:00:00"/>
    <d v="2024-10-23T00:00:00"/>
    <x v="2"/>
    <x v="2375"/>
    <x v="0"/>
    <x v="0"/>
    <x v="0"/>
    <x v="0"/>
    <x v="0"/>
    <x v="0"/>
  </r>
  <r>
    <n v="75430"/>
    <x v="11"/>
    <x v="4"/>
    <x v="176"/>
    <x v="3"/>
    <x v="2321"/>
    <x v="1"/>
    <d v="2024-06-07T00:00:00"/>
    <d v="2024-07-01T00:00:00"/>
    <x v="0"/>
    <x v="2376"/>
    <x v="0"/>
    <x v="0"/>
    <x v="0"/>
    <x v="0"/>
    <x v="0"/>
    <x v="0"/>
  </r>
  <r>
    <n v="70843"/>
    <x v="16"/>
    <x v="3"/>
    <x v="495"/>
    <x v="1"/>
    <x v="2322"/>
    <x v="2"/>
    <d v="2024-01-15T00:00:00"/>
    <d v="2024-02-14T00:00:00"/>
    <x v="2"/>
    <x v="2377"/>
    <x v="0"/>
    <x v="0"/>
    <x v="0"/>
    <x v="0"/>
    <x v="0"/>
    <x v="1"/>
  </r>
  <r>
    <n v="38869"/>
    <x v="13"/>
    <x v="3"/>
    <x v="299"/>
    <x v="0"/>
    <x v="2323"/>
    <x v="4"/>
    <d v="2024-02-07T00:00:00"/>
    <d v="2024-03-15T00:00:00"/>
    <x v="1"/>
    <x v="2378"/>
    <x v="0"/>
    <x v="0"/>
    <x v="0"/>
    <x v="0"/>
    <x v="0"/>
    <x v="1"/>
  </r>
  <r>
    <n v="60193"/>
    <x v="1"/>
    <x v="0"/>
    <x v="54"/>
    <x v="3"/>
    <x v="2324"/>
    <x v="2"/>
    <d v="2024-03-02T00:00:00"/>
    <d v="2024-03-29T00:00:00"/>
    <x v="1"/>
    <x v="2379"/>
    <x v="1"/>
    <x v="69"/>
    <x v="1"/>
    <x v="1"/>
    <x v="1"/>
    <x v="1"/>
  </r>
  <r>
    <n v="84174"/>
    <x v="5"/>
    <x v="2"/>
    <x v="81"/>
    <x v="1"/>
    <x v="2325"/>
    <x v="1"/>
    <d v="2024-02-28T00:00:00"/>
    <d v="2024-03-08T00:00:00"/>
    <x v="2"/>
    <x v="2380"/>
    <x v="1"/>
    <x v="46"/>
    <x v="1"/>
    <x v="1"/>
    <x v="1"/>
    <x v="1"/>
  </r>
  <r>
    <n v="67487"/>
    <x v="8"/>
    <x v="1"/>
    <x v="456"/>
    <x v="0"/>
    <x v="2326"/>
    <x v="4"/>
    <d v="2024-05-17T00:00:00"/>
    <d v="2024-06-13T00:00:00"/>
    <x v="1"/>
    <x v="2381"/>
    <x v="0"/>
    <x v="0"/>
    <x v="0"/>
    <x v="0"/>
    <x v="0"/>
    <x v="0"/>
  </r>
  <r>
    <n v="33138"/>
    <x v="16"/>
    <x v="3"/>
    <x v="402"/>
    <x v="3"/>
    <x v="2327"/>
    <x v="4"/>
    <d v="2024-10-28T00:00:00"/>
    <d v="2024-11-22T00:00:00"/>
    <x v="1"/>
    <x v="2382"/>
    <x v="0"/>
    <x v="0"/>
    <x v="0"/>
    <x v="0"/>
    <x v="0"/>
    <x v="0"/>
  </r>
  <r>
    <n v="91122"/>
    <x v="2"/>
    <x v="1"/>
    <x v="314"/>
    <x v="1"/>
    <x v="2328"/>
    <x v="3"/>
    <d v="2024-10-26T00:00:00"/>
    <d v="2024-11-08T00:00:00"/>
    <x v="2"/>
    <x v="2383"/>
    <x v="0"/>
    <x v="0"/>
    <x v="0"/>
    <x v="0"/>
    <x v="0"/>
    <x v="0"/>
  </r>
  <r>
    <n v="91919"/>
    <x v="11"/>
    <x v="4"/>
    <x v="15"/>
    <x v="4"/>
    <x v="2329"/>
    <x v="1"/>
    <d v="2024-02-21T00:00:00"/>
    <d v="2024-03-31T00:00:00"/>
    <x v="0"/>
    <x v="2384"/>
    <x v="0"/>
    <x v="0"/>
    <x v="0"/>
    <x v="0"/>
    <x v="0"/>
    <x v="0"/>
  </r>
  <r>
    <n v="99897"/>
    <x v="10"/>
    <x v="2"/>
    <x v="197"/>
    <x v="5"/>
    <x v="2330"/>
    <x v="3"/>
    <d v="2024-08-09T00:00:00"/>
    <d v="2024-09-03T00:00:00"/>
    <x v="1"/>
    <x v="2385"/>
    <x v="0"/>
    <x v="0"/>
    <x v="0"/>
    <x v="0"/>
    <x v="0"/>
    <x v="1"/>
  </r>
  <r>
    <n v="52240"/>
    <x v="10"/>
    <x v="2"/>
    <x v="198"/>
    <x v="1"/>
    <x v="2331"/>
    <x v="0"/>
    <d v="2024-10-16T00:00:00"/>
    <d v="2024-10-21T00:00:00"/>
    <x v="2"/>
    <x v="2386"/>
    <x v="0"/>
    <x v="0"/>
    <x v="0"/>
    <x v="0"/>
    <x v="0"/>
    <x v="0"/>
  </r>
  <r>
    <n v="38111"/>
    <x v="12"/>
    <x v="0"/>
    <x v="349"/>
    <x v="5"/>
    <x v="2332"/>
    <x v="4"/>
    <d v="2024-09-13T00:00:00"/>
    <d v="2024-10-09T00:00:00"/>
    <x v="2"/>
    <x v="2387"/>
    <x v="0"/>
    <x v="0"/>
    <x v="0"/>
    <x v="0"/>
    <x v="0"/>
    <x v="0"/>
  </r>
  <r>
    <n v="89220"/>
    <x v="15"/>
    <x v="4"/>
    <x v="120"/>
    <x v="5"/>
    <x v="2333"/>
    <x v="3"/>
    <d v="2024-07-12T00:00:00"/>
    <d v="2024-07-23T00:00:00"/>
    <x v="1"/>
    <x v="2388"/>
    <x v="1"/>
    <x v="119"/>
    <x v="1"/>
    <x v="1"/>
    <x v="1"/>
    <x v="1"/>
  </r>
  <r>
    <n v="86749"/>
    <x v="1"/>
    <x v="0"/>
    <x v="185"/>
    <x v="6"/>
    <x v="2334"/>
    <x v="1"/>
    <d v="2024-09-21T00:00:00"/>
    <d v="2024-10-22T00:00:00"/>
    <x v="0"/>
    <x v="2389"/>
    <x v="1"/>
    <x v="28"/>
    <x v="1"/>
    <x v="1"/>
    <x v="1"/>
    <x v="1"/>
  </r>
  <r>
    <n v="80288"/>
    <x v="1"/>
    <x v="0"/>
    <x v="157"/>
    <x v="1"/>
    <x v="2335"/>
    <x v="0"/>
    <d v="2024-06-25T00:00:00"/>
    <d v="2024-07-01T00:00:00"/>
    <x v="2"/>
    <x v="2390"/>
    <x v="0"/>
    <x v="0"/>
    <x v="0"/>
    <x v="0"/>
    <x v="0"/>
    <x v="0"/>
  </r>
  <r>
    <n v="28007"/>
    <x v="0"/>
    <x v="0"/>
    <x v="18"/>
    <x v="6"/>
    <x v="2336"/>
    <x v="1"/>
    <d v="2024-12-19T00:00:00"/>
    <d v="2025-01-24T00:00:00"/>
    <x v="1"/>
    <x v="2391"/>
    <x v="1"/>
    <x v="11"/>
    <x v="1"/>
    <x v="1"/>
    <x v="1"/>
    <x v="1"/>
  </r>
  <r>
    <n v="68543"/>
    <x v="8"/>
    <x v="1"/>
    <x v="351"/>
    <x v="0"/>
    <x v="2337"/>
    <x v="2"/>
    <d v="2024-11-27T00:00:00"/>
    <d v="2024-12-27T00:00:00"/>
    <x v="0"/>
    <x v="2392"/>
    <x v="0"/>
    <x v="0"/>
    <x v="0"/>
    <x v="0"/>
    <x v="0"/>
    <x v="0"/>
  </r>
  <r>
    <n v="75199"/>
    <x v="5"/>
    <x v="2"/>
    <x v="328"/>
    <x v="0"/>
    <x v="2338"/>
    <x v="4"/>
    <d v="2024-04-17T00:00:00"/>
    <d v="2024-05-10T00:00:00"/>
    <x v="1"/>
    <x v="2393"/>
    <x v="0"/>
    <x v="0"/>
    <x v="0"/>
    <x v="0"/>
    <x v="0"/>
    <x v="0"/>
  </r>
  <r>
    <n v="97057"/>
    <x v="7"/>
    <x v="3"/>
    <x v="389"/>
    <x v="4"/>
    <x v="2339"/>
    <x v="2"/>
    <d v="2024-03-14T00:00:00"/>
    <d v="2024-04-19T00:00:00"/>
    <x v="1"/>
    <x v="2394"/>
    <x v="0"/>
    <x v="0"/>
    <x v="0"/>
    <x v="0"/>
    <x v="0"/>
    <x v="0"/>
  </r>
  <r>
    <n v="15217"/>
    <x v="2"/>
    <x v="1"/>
    <x v="493"/>
    <x v="5"/>
    <x v="2340"/>
    <x v="0"/>
    <d v="2024-01-09T00:00:00"/>
    <d v="2024-01-18T00:00:00"/>
    <x v="1"/>
    <x v="2395"/>
    <x v="0"/>
    <x v="0"/>
    <x v="0"/>
    <x v="0"/>
    <x v="0"/>
    <x v="0"/>
  </r>
  <r>
    <n v="19669"/>
    <x v="14"/>
    <x v="4"/>
    <x v="373"/>
    <x v="3"/>
    <x v="2050"/>
    <x v="0"/>
    <d v="2024-04-16T00:00:00"/>
    <d v="2024-05-18T00:00:00"/>
    <x v="2"/>
    <x v="2396"/>
    <x v="0"/>
    <x v="0"/>
    <x v="0"/>
    <x v="0"/>
    <x v="0"/>
    <x v="0"/>
  </r>
  <r>
    <n v="22735"/>
    <x v="10"/>
    <x v="2"/>
    <x v="385"/>
    <x v="3"/>
    <x v="2341"/>
    <x v="2"/>
    <d v="2024-12-08T00:00:00"/>
    <d v="2024-12-30T00:00:00"/>
    <x v="1"/>
    <x v="2397"/>
    <x v="0"/>
    <x v="0"/>
    <x v="0"/>
    <x v="0"/>
    <x v="0"/>
    <x v="0"/>
  </r>
  <r>
    <n v="40036"/>
    <x v="8"/>
    <x v="1"/>
    <x v="267"/>
    <x v="1"/>
    <x v="2342"/>
    <x v="3"/>
    <d v="2024-06-16T00:00:00"/>
    <d v="2024-06-28T00:00:00"/>
    <x v="0"/>
    <x v="2398"/>
    <x v="0"/>
    <x v="0"/>
    <x v="0"/>
    <x v="0"/>
    <x v="0"/>
    <x v="0"/>
  </r>
  <r>
    <n v="55267"/>
    <x v="13"/>
    <x v="3"/>
    <x v="228"/>
    <x v="3"/>
    <x v="2343"/>
    <x v="2"/>
    <d v="2024-09-09T00:00:00"/>
    <d v="2024-09-22T00:00:00"/>
    <x v="1"/>
    <x v="2399"/>
    <x v="0"/>
    <x v="0"/>
    <x v="0"/>
    <x v="0"/>
    <x v="0"/>
    <x v="0"/>
  </r>
  <r>
    <n v="64716"/>
    <x v="10"/>
    <x v="2"/>
    <x v="181"/>
    <x v="6"/>
    <x v="2344"/>
    <x v="1"/>
    <d v="2024-05-22T00:00:00"/>
    <d v="2024-06-01T00:00:00"/>
    <x v="2"/>
    <x v="2400"/>
    <x v="0"/>
    <x v="0"/>
    <x v="0"/>
    <x v="0"/>
    <x v="0"/>
    <x v="1"/>
  </r>
  <r>
    <n v="86493"/>
    <x v="6"/>
    <x v="3"/>
    <x v="39"/>
    <x v="0"/>
    <x v="2345"/>
    <x v="2"/>
    <d v="2024-09-15T00:00:00"/>
    <d v="2024-09-21T00:00:00"/>
    <x v="0"/>
    <x v="2401"/>
    <x v="0"/>
    <x v="0"/>
    <x v="0"/>
    <x v="0"/>
    <x v="0"/>
    <x v="0"/>
  </r>
  <r>
    <n v="21809"/>
    <x v="13"/>
    <x v="3"/>
    <x v="461"/>
    <x v="0"/>
    <x v="2346"/>
    <x v="1"/>
    <d v="2024-03-24T00:00:00"/>
    <d v="2024-04-19T00:00:00"/>
    <x v="0"/>
    <x v="2402"/>
    <x v="0"/>
    <x v="0"/>
    <x v="0"/>
    <x v="0"/>
    <x v="0"/>
    <x v="0"/>
  </r>
  <r>
    <n v="66632"/>
    <x v="9"/>
    <x v="1"/>
    <x v="347"/>
    <x v="4"/>
    <x v="2347"/>
    <x v="2"/>
    <d v="2024-02-02T00:00:00"/>
    <d v="2024-02-15T00:00:00"/>
    <x v="2"/>
    <x v="2403"/>
    <x v="0"/>
    <x v="0"/>
    <x v="0"/>
    <x v="0"/>
    <x v="0"/>
    <x v="0"/>
  </r>
  <r>
    <n v="27105"/>
    <x v="4"/>
    <x v="0"/>
    <x v="60"/>
    <x v="0"/>
    <x v="2348"/>
    <x v="0"/>
    <d v="2024-09-11T00:00:00"/>
    <d v="2024-10-18T00:00:00"/>
    <x v="1"/>
    <x v="2404"/>
    <x v="0"/>
    <x v="0"/>
    <x v="0"/>
    <x v="0"/>
    <x v="0"/>
    <x v="0"/>
  </r>
  <r>
    <n v="27830"/>
    <x v="7"/>
    <x v="3"/>
    <x v="285"/>
    <x v="3"/>
    <x v="2349"/>
    <x v="1"/>
    <d v="2024-07-03T00:00:00"/>
    <d v="2024-07-14T00:00:00"/>
    <x v="1"/>
    <x v="2405"/>
    <x v="1"/>
    <x v="46"/>
    <x v="1"/>
    <x v="1"/>
    <x v="1"/>
    <x v="1"/>
  </r>
  <r>
    <n v="15391"/>
    <x v="1"/>
    <x v="0"/>
    <x v="148"/>
    <x v="2"/>
    <x v="2350"/>
    <x v="4"/>
    <d v="2024-08-03T00:00:00"/>
    <d v="2024-09-05T00:00:00"/>
    <x v="0"/>
    <x v="2406"/>
    <x v="1"/>
    <x v="37"/>
    <x v="1"/>
    <x v="1"/>
    <x v="1"/>
    <x v="1"/>
  </r>
  <r>
    <n v="59634"/>
    <x v="4"/>
    <x v="0"/>
    <x v="99"/>
    <x v="3"/>
    <x v="2351"/>
    <x v="3"/>
    <d v="2024-08-22T00:00:00"/>
    <d v="2024-09-08T00:00:00"/>
    <x v="0"/>
    <x v="2407"/>
    <x v="0"/>
    <x v="0"/>
    <x v="0"/>
    <x v="0"/>
    <x v="0"/>
    <x v="0"/>
  </r>
  <r>
    <n v="62513"/>
    <x v="11"/>
    <x v="4"/>
    <x v="117"/>
    <x v="5"/>
    <x v="2352"/>
    <x v="2"/>
    <d v="2024-05-05T00:00:00"/>
    <d v="2024-05-29T00:00:00"/>
    <x v="2"/>
    <x v="2408"/>
    <x v="0"/>
    <x v="0"/>
    <x v="0"/>
    <x v="0"/>
    <x v="0"/>
    <x v="1"/>
  </r>
  <r>
    <n v="78264"/>
    <x v="9"/>
    <x v="1"/>
    <x v="216"/>
    <x v="0"/>
    <x v="2353"/>
    <x v="0"/>
    <d v="2024-09-05T00:00:00"/>
    <d v="2024-09-13T00:00:00"/>
    <x v="0"/>
    <x v="2409"/>
    <x v="0"/>
    <x v="0"/>
    <x v="0"/>
    <x v="0"/>
    <x v="0"/>
    <x v="0"/>
  </r>
  <r>
    <n v="87838"/>
    <x v="8"/>
    <x v="1"/>
    <x v="351"/>
    <x v="4"/>
    <x v="1345"/>
    <x v="3"/>
    <d v="2024-10-15T00:00:00"/>
    <d v="2024-11-07T00:00:00"/>
    <x v="0"/>
    <x v="2410"/>
    <x v="0"/>
    <x v="0"/>
    <x v="0"/>
    <x v="0"/>
    <x v="0"/>
    <x v="0"/>
  </r>
  <r>
    <n v="56212"/>
    <x v="0"/>
    <x v="0"/>
    <x v="407"/>
    <x v="5"/>
    <x v="2354"/>
    <x v="4"/>
    <d v="2024-10-08T00:00:00"/>
    <d v="2024-10-29T00:00:00"/>
    <x v="0"/>
    <x v="2411"/>
    <x v="0"/>
    <x v="0"/>
    <x v="0"/>
    <x v="0"/>
    <x v="0"/>
    <x v="1"/>
  </r>
  <r>
    <n v="59285"/>
    <x v="9"/>
    <x v="1"/>
    <x v="283"/>
    <x v="1"/>
    <x v="413"/>
    <x v="1"/>
    <d v="2024-09-30T00:00:00"/>
    <d v="2024-11-04T00:00:00"/>
    <x v="1"/>
    <x v="413"/>
    <x v="0"/>
    <x v="0"/>
    <x v="0"/>
    <x v="0"/>
    <x v="0"/>
    <x v="0"/>
  </r>
  <r>
    <n v="19895"/>
    <x v="13"/>
    <x v="3"/>
    <x v="99"/>
    <x v="4"/>
    <x v="2355"/>
    <x v="0"/>
    <d v="2024-05-28T00:00:00"/>
    <d v="2024-06-03T00:00:00"/>
    <x v="0"/>
    <x v="2412"/>
    <x v="0"/>
    <x v="0"/>
    <x v="0"/>
    <x v="0"/>
    <x v="0"/>
    <x v="1"/>
  </r>
  <r>
    <n v="45502"/>
    <x v="2"/>
    <x v="1"/>
    <x v="130"/>
    <x v="5"/>
    <x v="2356"/>
    <x v="2"/>
    <d v="2024-11-19T00:00:00"/>
    <d v="2024-12-17T00:00:00"/>
    <x v="0"/>
    <x v="2413"/>
    <x v="1"/>
    <x v="108"/>
    <x v="1"/>
    <x v="1"/>
    <x v="1"/>
    <x v="1"/>
  </r>
  <r>
    <n v="71920"/>
    <x v="3"/>
    <x v="2"/>
    <x v="317"/>
    <x v="3"/>
    <x v="2357"/>
    <x v="3"/>
    <d v="2024-10-06T00:00:00"/>
    <d v="2024-10-14T00:00:00"/>
    <x v="1"/>
    <x v="2414"/>
    <x v="0"/>
    <x v="0"/>
    <x v="0"/>
    <x v="0"/>
    <x v="0"/>
    <x v="0"/>
  </r>
  <r>
    <n v="92071"/>
    <x v="5"/>
    <x v="2"/>
    <x v="409"/>
    <x v="3"/>
    <x v="2358"/>
    <x v="3"/>
    <d v="2024-07-20T00:00:00"/>
    <d v="2024-08-11T00:00:00"/>
    <x v="2"/>
    <x v="2415"/>
    <x v="0"/>
    <x v="0"/>
    <x v="0"/>
    <x v="0"/>
    <x v="0"/>
    <x v="0"/>
  </r>
  <r>
    <n v="28220"/>
    <x v="15"/>
    <x v="4"/>
    <x v="406"/>
    <x v="2"/>
    <x v="2359"/>
    <x v="2"/>
    <d v="2024-05-22T00:00:00"/>
    <d v="2024-05-31T00:00:00"/>
    <x v="1"/>
    <x v="2416"/>
    <x v="0"/>
    <x v="0"/>
    <x v="0"/>
    <x v="0"/>
    <x v="0"/>
    <x v="0"/>
  </r>
  <r>
    <n v="89833"/>
    <x v="10"/>
    <x v="2"/>
    <x v="382"/>
    <x v="1"/>
    <x v="2360"/>
    <x v="3"/>
    <d v="2024-02-13T00:00:00"/>
    <d v="2024-03-01T00:00:00"/>
    <x v="0"/>
    <x v="2417"/>
    <x v="0"/>
    <x v="0"/>
    <x v="0"/>
    <x v="0"/>
    <x v="0"/>
    <x v="0"/>
  </r>
  <r>
    <n v="74583"/>
    <x v="2"/>
    <x v="1"/>
    <x v="177"/>
    <x v="1"/>
    <x v="2361"/>
    <x v="3"/>
    <d v="2024-04-11T00:00:00"/>
    <d v="2024-05-20T00:00:00"/>
    <x v="0"/>
    <x v="2418"/>
    <x v="1"/>
    <x v="37"/>
    <x v="1"/>
    <x v="1"/>
    <x v="1"/>
    <x v="1"/>
  </r>
  <r>
    <n v="91622"/>
    <x v="11"/>
    <x v="4"/>
    <x v="59"/>
    <x v="2"/>
    <x v="2362"/>
    <x v="2"/>
    <d v="2024-02-26T00:00:00"/>
    <d v="2024-04-03T00:00:00"/>
    <x v="1"/>
    <x v="2419"/>
    <x v="0"/>
    <x v="0"/>
    <x v="0"/>
    <x v="0"/>
    <x v="0"/>
    <x v="1"/>
  </r>
  <r>
    <n v="86844"/>
    <x v="6"/>
    <x v="3"/>
    <x v="486"/>
    <x v="2"/>
    <x v="2363"/>
    <x v="1"/>
    <d v="2024-08-28T00:00:00"/>
    <d v="2024-09-26T00:00:00"/>
    <x v="0"/>
    <x v="2420"/>
    <x v="0"/>
    <x v="0"/>
    <x v="0"/>
    <x v="0"/>
    <x v="0"/>
    <x v="0"/>
  </r>
  <r>
    <n v="28223"/>
    <x v="10"/>
    <x v="2"/>
    <x v="440"/>
    <x v="5"/>
    <x v="2364"/>
    <x v="1"/>
    <d v="2024-02-11T00:00:00"/>
    <d v="2024-03-06T00:00:00"/>
    <x v="0"/>
    <x v="2421"/>
    <x v="0"/>
    <x v="0"/>
    <x v="0"/>
    <x v="0"/>
    <x v="0"/>
    <x v="0"/>
  </r>
  <r>
    <n v="22911"/>
    <x v="11"/>
    <x v="4"/>
    <x v="290"/>
    <x v="1"/>
    <x v="2365"/>
    <x v="3"/>
    <d v="2024-02-08T00:00:00"/>
    <d v="2024-02-23T00:00:00"/>
    <x v="2"/>
    <x v="2422"/>
    <x v="0"/>
    <x v="0"/>
    <x v="0"/>
    <x v="0"/>
    <x v="0"/>
    <x v="1"/>
  </r>
  <r>
    <n v="92888"/>
    <x v="4"/>
    <x v="0"/>
    <x v="122"/>
    <x v="6"/>
    <x v="2366"/>
    <x v="4"/>
    <d v="2024-04-02T00:00:00"/>
    <d v="2024-05-08T00:00:00"/>
    <x v="0"/>
    <x v="2423"/>
    <x v="0"/>
    <x v="0"/>
    <x v="0"/>
    <x v="0"/>
    <x v="0"/>
    <x v="1"/>
  </r>
  <r>
    <n v="24866"/>
    <x v="15"/>
    <x v="4"/>
    <x v="256"/>
    <x v="3"/>
    <x v="2367"/>
    <x v="4"/>
    <d v="2024-07-22T00:00:00"/>
    <d v="2024-08-13T00:00:00"/>
    <x v="1"/>
    <x v="2424"/>
    <x v="0"/>
    <x v="0"/>
    <x v="0"/>
    <x v="0"/>
    <x v="0"/>
    <x v="0"/>
  </r>
  <r>
    <n v="75327"/>
    <x v="16"/>
    <x v="3"/>
    <x v="370"/>
    <x v="3"/>
    <x v="2368"/>
    <x v="0"/>
    <d v="2024-03-23T00:00:00"/>
    <d v="2024-04-23T00:00:00"/>
    <x v="0"/>
    <x v="2425"/>
    <x v="0"/>
    <x v="0"/>
    <x v="0"/>
    <x v="0"/>
    <x v="0"/>
    <x v="0"/>
  </r>
  <r>
    <n v="92341"/>
    <x v="2"/>
    <x v="1"/>
    <x v="496"/>
    <x v="2"/>
    <x v="2369"/>
    <x v="2"/>
    <d v="2024-10-07T00:00:00"/>
    <d v="2024-10-25T00:00:00"/>
    <x v="2"/>
    <x v="2426"/>
    <x v="1"/>
    <x v="47"/>
    <x v="1"/>
    <x v="1"/>
    <x v="1"/>
    <x v="1"/>
  </r>
  <r>
    <n v="43617"/>
    <x v="11"/>
    <x v="4"/>
    <x v="368"/>
    <x v="0"/>
    <x v="2370"/>
    <x v="3"/>
    <d v="2024-10-05T00:00:00"/>
    <d v="2024-11-03T00:00:00"/>
    <x v="0"/>
    <x v="2427"/>
    <x v="0"/>
    <x v="0"/>
    <x v="0"/>
    <x v="0"/>
    <x v="0"/>
    <x v="0"/>
  </r>
  <r>
    <n v="19651"/>
    <x v="0"/>
    <x v="0"/>
    <x v="61"/>
    <x v="0"/>
    <x v="2371"/>
    <x v="2"/>
    <d v="2024-06-01T00:00:00"/>
    <d v="2024-07-06T00:00:00"/>
    <x v="0"/>
    <x v="2428"/>
    <x v="0"/>
    <x v="0"/>
    <x v="0"/>
    <x v="0"/>
    <x v="0"/>
    <x v="0"/>
  </r>
  <r>
    <n v="44890"/>
    <x v="3"/>
    <x v="2"/>
    <x v="359"/>
    <x v="5"/>
    <x v="2372"/>
    <x v="4"/>
    <d v="2024-09-15T00:00:00"/>
    <d v="2024-10-22T00:00:00"/>
    <x v="0"/>
    <x v="2429"/>
    <x v="0"/>
    <x v="0"/>
    <x v="0"/>
    <x v="0"/>
    <x v="0"/>
    <x v="0"/>
  </r>
  <r>
    <n v="37609"/>
    <x v="15"/>
    <x v="4"/>
    <x v="123"/>
    <x v="6"/>
    <x v="2373"/>
    <x v="3"/>
    <d v="2024-07-10T00:00:00"/>
    <d v="2024-08-11T00:00:00"/>
    <x v="2"/>
    <x v="2430"/>
    <x v="0"/>
    <x v="0"/>
    <x v="0"/>
    <x v="0"/>
    <x v="0"/>
    <x v="1"/>
  </r>
  <r>
    <n v="13302"/>
    <x v="13"/>
    <x v="3"/>
    <x v="373"/>
    <x v="5"/>
    <x v="2374"/>
    <x v="0"/>
    <d v="2024-06-02T00:00:00"/>
    <d v="2024-07-08T00:00:00"/>
    <x v="0"/>
    <x v="2431"/>
    <x v="0"/>
    <x v="0"/>
    <x v="0"/>
    <x v="0"/>
    <x v="0"/>
    <x v="0"/>
  </r>
  <r>
    <n v="68398"/>
    <x v="7"/>
    <x v="3"/>
    <x v="362"/>
    <x v="4"/>
    <x v="2375"/>
    <x v="0"/>
    <d v="2024-09-22T00:00:00"/>
    <d v="2024-10-02T00:00:00"/>
    <x v="1"/>
    <x v="2432"/>
    <x v="0"/>
    <x v="0"/>
    <x v="0"/>
    <x v="0"/>
    <x v="0"/>
    <x v="0"/>
  </r>
  <r>
    <n v="47976"/>
    <x v="16"/>
    <x v="3"/>
    <x v="384"/>
    <x v="5"/>
    <x v="2376"/>
    <x v="0"/>
    <d v="2024-05-14T00:00:00"/>
    <d v="2024-06-02T00:00:00"/>
    <x v="2"/>
    <x v="2433"/>
    <x v="0"/>
    <x v="0"/>
    <x v="0"/>
    <x v="0"/>
    <x v="0"/>
    <x v="0"/>
  </r>
  <r>
    <n v="74990"/>
    <x v="11"/>
    <x v="4"/>
    <x v="423"/>
    <x v="4"/>
    <x v="2377"/>
    <x v="0"/>
    <d v="2024-05-12T00:00:00"/>
    <d v="2024-06-10T00:00:00"/>
    <x v="2"/>
    <x v="2434"/>
    <x v="0"/>
    <x v="0"/>
    <x v="0"/>
    <x v="0"/>
    <x v="0"/>
    <x v="1"/>
  </r>
  <r>
    <n v="13877"/>
    <x v="14"/>
    <x v="4"/>
    <x v="34"/>
    <x v="3"/>
    <x v="2378"/>
    <x v="3"/>
    <d v="2024-06-13T00:00:00"/>
    <d v="2024-07-08T00:00:00"/>
    <x v="0"/>
    <x v="2435"/>
    <x v="0"/>
    <x v="0"/>
    <x v="0"/>
    <x v="0"/>
    <x v="0"/>
    <x v="1"/>
  </r>
  <r>
    <n v="59421"/>
    <x v="10"/>
    <x v="2"/>
    <x v="256"/>
    <x v="2"/>
    <x v="2379"/>
    <x v="4"/>
    <d v="2024-06-09T00:00:00"/>
    <d v="2024-06-16T00:00:00"/>
    <x v="1"/>
    <x v="2436"/>
    <x v="0"/>
    <x v="0"/>
    <x v="0"/>
    <x v="0"/>
    <x v="0"/>
    <x v="0"/>
  </r>
  <r>
    <n v="88747"/>
    <x v="4"/>
    <x v="0"/>
    <x v="127"/>
    <x v="5"/>
    <x v="2380"/>
    <x v="1"/>
    <d v="2024-05-13T00:00:00"/>
    <d v="2024-06-19T00:00:00"/>
    <x v="2"/>
    <x v="2437"/>
    <x v="0"/>
    <x v="0"/>
    <x v="0"/>
    <x v="0"/>
    <x v="0"/>
    <x v="0"/>
  </r>
  <r>
    <n v="25847"/>
    <x v="10"/>
    <x v="2"/>
    <x v="259"/>
    <x v="4"/>
    <x v="2381"/>
    <x v="2"/>
    <d v="2024-02-15T00:00:00"/>
    <d v="2024-03-18T00:00:00"/>
    <x v="0"/>
    <x v="2438"/>
    <x v="0"/>
    <x v="0"/>
    <x v="0"/>
    <x v="0"/>
    <x v="0"/>
    <x v="0"/>
  </r>
  <r>
    <n v="28837"/>
    <x v="13"/>
    <x v="3"/>
    <x v="135"/>
    <x v="6"/>
    <x v="2382"/>
    <x v="4"/>
    <d v="2024-05-24T00:00:00"/>
    <d v="2024-06-06T00:00:00"/>
    <x v="0"/>
    <x v="2439"/>
    <x v="0"/>
    <x v="0"/>
    <x v="0"/>
    <x v="0"/>
    <x v="0"/>
    <x v="0"/>
  </r>
  <r>
    <n v="95083"/>
    <x v="5"/>
    <x v="2"/>
    <x v="7"/>
    <x v="1"/>
    <x v="2383"/>
    <x v="0"/>
    <d v="2024-09-22T00:00:00"/>
    <d v="2024-10-12T00:00:00"/>
    <x v="2"/>
    <x v="2440"/>
    <x v="0"/>
    <x v="0"/>
    <x v="0"/>
    <x v="0"/>
    <x v="0"/>
    <x v="1"/>
  </r>
  <r>
    <n v="85324"/>
    <x v="4"/>
    <x v="0"/>
    <x v="295"/>
    <x v="6"/>
    <x v="2384"/>
    <x v="0"/>
    <d v="2024-07-31T00:00:00"/>
    <d v="2024-08-13T00:00:00"/>
    <x v="2"/>
    <x v="2441"/>
    <x v="1"/>
    <x v="39"/>
    <x v="1"/>
    <x v="1"/>
    <x v="1"/>
    <x v="1"/>
  </r>
  <r>
    <n v="87988"/>
    <x v="0"/>
    <x v="0"/>
    <x v="19"/>
    <x v="6"/>
    <x v="2385"/>
    <x v="4"/>
    <d v="2024-01-06T00:00:00"/>
    <d v="2024-02-14T00:00:00"/>
    <x v="0"/>
    <x v="2442"/>
    <x v="0"/>
    <x v="0"/>
    <x v="0"/>
    <x v="0"/>
    <x v="0"/>
    <x v="1"/>
  </r>
  <r>
    <n v="65911"/>
    <x v="10"/>
    <x v="2"/>
    <x v="118"/>
    <x v="3"/>
    <x v="2386"/>
    <x v="0"/>
    <d v="2024-03-23T00:00:00"/>
    <d v="2024-04-08T00:00:00"/>
    <x v="0"/>
    <x v="2443"/>
    <x v="0"/>
    <x v="0"/>
    <x v="0"/>
    <x v="0"/>
    <x v="0"/>
    <x v="0"/>
  </r>
  <r>
    <n v="45687"/>
    <x v="7"/>
    <x v="3"/>
    <x v="345"/>
    <x v="5"/>
    <x v="2387"/>
    <x v="0"/>
    <d v="2024-05-28T00:00:00"/>
    <d v="2024-06-23T00:00:00"/>
    <x v="0"/>
    <x v="2444"/>
    <x v="0"/>
    <x v="0"/>
    <x v="0"/>
    <x v="0"/>
    <x v="0"/>
    <x v="1"/>
  </r>
  <r>
    <n v="39865"/>
    <x v="10"/>
    <x v="2"/>
    <x v="395"/>
    <x v="0"/>
    <x v="2388"/>
    <x v="1"/>
    <d v="2024-10-30T00:00:00"/>
    <d v="2024-11-30T00:00:00"/>
    <x v="2"/>
    <x v="2445"/>
    <x v="0"/>
    <x v="0"/>
    <x v="0"/>
    <x v="0"/>
    <x v="0"/>
    <x v="0"/>
  </r>
  <r>
    <n v="28409"/>
    <x v="11"/>
    <x v="4"/>
    <x v="266"/>
    <x v="3"/>
    <x v="2389"/>
    <x v="2"/>
    <d v="2024-07-20T00:00:00"/>
    <d v="2024-08-26T00:00:00"/>
    <x v="2"/>
    <x v="2446"/>
    <x v="0"/>
    <x v="0"/>
    <x v="0"/>
    <x v="0"/>
    <x v="0"/>
    <x v="0"/>
  </r>
  <r>
    <n v="50696"/>
    <x v="2"/>
    <x v="1"/>
    <x v="197"/>
    <x v="0"/>
    <x v="2390"/>
    <x v="3"/>
    <d v="2024-02-29T00:00:00"/>
    <d v="2024-03-08T00:00:00"/>
    <x v="0"/>
    <x v="2447"/>
    <x v="0"/>
    <x v="0"/>
    <x v="0"/>
    <x v="0"/>
    <x v="0"/>
    <x v="0"/>
  </r>
  <r>
    <n v="94597"/>
    <x v="10"/>
    <x v="2"/>
    <x v="306"/>
    <x v="4"/>
    <x v="2391"/>
    <x v="2"/>
    <d v="2024-04-22T00:00:00"/>
    <d v="2024-05-29T00:00:00"/>
    <x v="0"/>
    <x v="2448"/>
    <x v="0"/>
    <x v="0"/>
    <x v="0"/>
    <x v="0"/>
    <x v="0"/>
    <x v="0"/>
  </r>
  <r>
    <n v="78237"/>
    <x v="14"/>
    <x v="4"/>
    <x v="27"/>
    <x v="6"/>
    <x v="2392"/>
    <x v="0"/>
    <d v="2024-02-09T00:00:00"/>
    <d v="2024-02-26T00:00:00"/>
    <x v="2"/>
    <x v="2449"/>
    <x v="0"/>
    <x v="0"/>
    <x v="0"/>
    <x v="0"/>
    <x v="0"/>
    <x v="1"/>
  </r>
  <r>
    <n v="92305"/>
    <x v="2"/>
    <x v="1"/>
    <x v="472"/>
    <x v="1"/>
    <x v="2393"/>
    <x v="1"/>
    <d v="2024-10-11T00:00:00"/>
    <d v="2024-11-02T00:00:00"/>
    <x v="1"/>
    <x v="2450"/>
    <x v="0"/>
    <x v="0"/>
    <x v="0"/>
    <x v="0"/>
    <x v="0"/>
    <x v="0"/>
  </r>
  <r>
    <n v="84327"/>
    <x v="7"/>
    <x v="3"/>
    <x v="432"/>
    <x v="0"/>
    <x v="2394"/>
    <x v="3"/>
    <d v="2024-09-16T00:00:00"/>
    <d v="2024-09-29T00:00:00"/>
    <x v="0"/>
    <x v="2451"/>
    <x v="0"/>
    <x v="0"/>
    <x v="0"/>
    <x v="0"/>
    <x v="0"/>
    <x v="0"/>
  </r>
  <r>
    <n v="52559"/>
    <x v="4"/>
    <x v="0"/>
    <x v="120"/>
    <x v="6"/>
    <x v="2395"/>
    <x v="3"/>
    <d v="2024-06-12T00:00:00"/>
    <d v="2024-07-10T00:00:00"/>
    <x v="2"/>
    <x v="2452"/>
    <x v="1"/>
    <x v="106"/>
    <x v="1"/>
    <x v="1"/>
    <x v="1"/>
    <x v="1"/>
  </r>
  <r>
    <n v="53346"/>
    <x v="4"/>
    <x v="0"/>
    <x v="284"/>
    <x v="6"/>
    <x v="2396"/>
    <x v="0"/>
    <d v="2024-08-24T00:00:00"/>
    <d v="2024-09-09T00:00:00"/>
    <x v="2"/>
    <x v="2453"/>
    <x v="1"/>
    <x v="45"/>
    <x v="1"/>
    <x v="1"/>
    <x v="1"/>
    <x v="1"/>
  </r>
  <r>
    <n v="20920"/>
    <x v="16"/>
    <x v="3"/>
    <x v="451"/>
    <x v="0"/>
    <x v="2397"/>
    <x v="1"/>
    <d v="2024-03-16T00:00:00"/>
    <d v="2024-03-27T00:00:00"/>
    <x v="0"/>
    <x v="2454"/>
    <x v="0"/>
    <x v="0"/>
    <x v="0"/>
    <x v="0"/>
    <x v="0"/>
    <x v="1"/>
  </r>
  <r>
    <n v="24052"/>
    <x v="11"/>
    <x v="4"/>
    <x v="330"/>
    <x v="5"/>
    <x v="2398"/>
    <x v="0"/>
    <d v="2024-11-13T00:00:00"/>
    <d v="2024-11-27T00:00:00"/>
    <x v="0"/>
    <x v="2455"/>
    <x v="0"/>
    <x v="0"/>
    <x v="0"/>
    <x v="0"/>
    <x v="0"/>
    <x v="1"/>
  </r>
  <r>
    <n v="23225"/>
    <x v="9"/>
    <x v="1"/>
    <x v="318"/>
    <x v="4"/>
    <x v="2399"/>
    <x v="3"/>
    <d v="2024-08-07T00:00:00"/>
    <d v="2024-08-22T00:00:00"/>
    <x v="1"/>
    <x v="2456"/>
    <x v="0"/>
    <x v="0"/>
    <x v="0"/>
    <x v="0"/>
    <x v="0"/>
    <x v="0"/>
  </r>
  <r>
    <n v="37134"/>
    <x v="1"/>
    <x v="0"/>
    <x v="72"/>
    <x v="6"/>
    <x v="2400"/>
    <x v="4"/>
    <d v="2024-10-29T00:00:00"/>
    <d v="2024-12-06T00:00:00"/>
    <x v="2"/>
    <x v="2457"/>
    <x v="0"/>
    <x v="0"/>
    <x v="0"/>
    <x v="0"/>
    <x v="0"/>
    <x v="1"/>
  </r>
  <r>
    <n v="84826"/>
    <x v="15"/>
    <x v="4"/>
    <x v="217"/>
    <x v="0"/>
    <x v="2401"/>
    <x v="1"/>
    <d v="2024-09-08T00:00:00"/>
    <d v="2024-10-12T00:00:00"/>
    <x v="0"/>
    <x v="2458"/>
    <x v="0"/>
    <x v="0"/>
    <x v="0"/>
    <x v="0"/>
    <x v="0"/>
    <x v="0"/>
  </r>
  <r>
    <n v="79561"/>
    <x v="10"/>
    <x v="2"/>
    <x v="489"/>
    <x v="2"/>
    <x v="2402"/>
    <x v="4"/>
    <d v="2024-10-03T00:00:00"/>
    <d v="2024-10-08T00:00:00"/>
    <x v="0"/>
    <x v="2459"/>
    <x v="0"/>
    <x v="0"/>
    <x v="0"/>
    <x v="0"/>
    <x v="0"/>
    <x v="0"/>
  </r>
  <r>
    <n v="72119"/>
    <x v="16"/>
    <x v="3"/>
    <x v="381"/>
    <x v="6"/>
    <x v="2403"/>
    <x v="3"/>
    <d v="2024-05-27T00:00:00"/>
    <d v="2024-06-12T00:00:00"/>
    <x v="2"/>
    <x v="2460"/>
    <x v="0"/>
    <x v="0"/>
    <x v="0"/>
    <x v="0"/>
    <x v="0"/>
    <x v="1"/>
  </r>
  <r>
    <n v="83424"/>
    <x v="12"/>
    <x v="0"/>
    <x v="423"/>
    <x v="0"/>
    <x v="2404"/>
    <x v="3"/>
    <d v="2024-07-25T00:00:00"/>
    <d v="2024-09-02T00:00:00"/>
    <x v="0"/>
    <x v="2461"/>
    <x v="0"/>
    <x v="0"/>
    <x v="0"/>
    <x v="0"/>
    <x v="0"/>
    <x v="1"/>
  </r>
  <r>
    <n v="49214"/>
    <x v="3"/>
    <x v="2"/>
    <x v="170"/>
    <x v="6"/>
    <x v="2405"/>
    <x v="3"/>
    <d v="2024-02-19T00:00:00"/>
    <d v="2024-03-17T00:00:00"/>
    <x v="0"/>
    <x v="2462"/>
    <x v="0"/>
    <x v="0"/>
    <x v="0"/>
    <x v="0"/>
    <x v="0"/>
    <x v="0"/>
  </r>
  <r>
    <n v="99037"/>
    <x v="11"/>
    <x v="4"/>
    <x v="62"/>
    <x v="3"/>
    <x v="2406"/>
    <x v="0"/>
    <d v="2024-06-10T00:00:00"/>
    <d v="2024-07-03T00:00:00"/>
    <x v="0"/>
    <x v="2463"/>
    <x v="0"/>
    <x v="0"/>
    <x v="0"/>
    <x v="0"/>
    <x v="0"/>
    <x v="0"/>
  </r>
  <r>
    <n v="16309"/>
    <x v="9"/>
    <x v="1"/>
    <x v="421"/>
    <x v="5"/>
    <x v="2407"/>
    <x v="2"/>
    <d v="2024-05-24T00:00:00"/>
    <d v="2024-06-02T00:00:00"/>
    <x v="1"/>
    <x v="2464"/>
    <x v="1"/>
    <x v="14"/>
    <x v="1"/>
    <x v="1"/>
    <x v="1"/>
    <x v="1"/>
  </r>
  <r>
    <n v="99344"/>
    <x v="3"/>
    <x v="2"/>
    <x v="425"/>
    <x v="2"/>
    <x v="2408"/>
    <x v="1"/>
    <d v="2024-01-13T00:00:00"/>
    <d v="2024-02-13T00:00:00"/>
    <x v="2"/>
    <x v="2465"/>
    <x v="0"/>
    <x v="0"/>
    <x v="0"/>
    <x v="0"/>
    <x v="0"/>
    <x v="0"/>
  </r>
  <r>
    <n v="87424"/>
    <x v="0"/>
    <x v="0"/>
    <x v="226"/>
    <x v="4"/>
    <x v="2409"/>
    <x v="4"/>
    <d v="2024-09-16T00:00:00"/>
    <d v="2024-09-29T00:00:00"/>
    <x v="1"/>
    <x v="2466"/>
    <x v="0"/>
    <x v="0"/>
    <x v="0"/>
    <x v="0"/>
    <x v="0"/>
    <x v="0"/>
  </r>
  <r>
    <n v="69327"/>
    <x v="1"/>
    <x v="0"/>
    <x v="99"/>
    <x v="3"/>
    <x v="2410"/>
    <x v="2"/>
    <d v="2024-09-19T00:00:00"/>
    <d v="2024-10-26T00:00:00"/>
    <x v="2"/>
    <x v="2467"/>
    <x v="0"/>
    <x v="0"/>
    <x v="0"/>
    <x v="0"/>
    <x v="0"/>
    <x v="0"/>
  </r>
  <r>
    <n v="74501"/>
    <x v="8"/>
    <x v="1"/>
    <x v="371"/>
    <x v="4"/>
    <x v="2411"/>
    <x v="3"/>
    <d v="2024-06-03T00:00:00"/>
    <d v="2024-06-22T00:00:00"/>
    <x v="1"/>
    <x v="2468"/>
    <x v="0"/>
    <x v="0"/>
    <x v="0"/>
    <x v="0"/>
    <x v="0"/>
    <x v="1"/>
  </r>
  <r>
    <n v="80904"/>
    <x v="10"/>
    <x v="2"/>
    <x v="463"/>
    <x v="6"/>
    <x v="2412"/>
    <x v="1"/>
    <d v="2024-09-21T00:00:00"/>
    <d v="2024-10-28T00:00:00"/>
    <x v="2"/>
    <x v="2469"/>
    <x v="1"/>
    <x v="109"/>
    <x v="1"/>
    <x v="1"/>
    <x v="1"/>
    <x v="1"/>
  </r>
  <r>
    <n v="37546"/>
    <x v="3"/>
    <x v="2"/>
    <x v="205"/>
    <x v="2"/>
    <x v="2413"/>
    <x v="0"/>
    <d v="2024-08-17T00:00:00"/>
    <d v="2024-09-15T00:00:00"/>
    <x v="0"/>
    <x v="2470"/>
    <x v="0"/>
    <x v="0"/>
    <x v="0"/>
    <x v="0"/>
    <x v="0"/>
    <x v="0"/>
  </r>
  <r>
    <n v="77082"/>
    <x v="0"/>
    <x v="0"/>
    <x v="356"/>
    <x v="0"/>
    <x v="2414"/>
    <x v="0"/>
    <d v="2024-01-16T00:00:00"/>
    <d v="2024-02-24T00:00:00"/>
    <x v="2"/>
    <x v="2471"/>
    <x v="0"/>
    <x v="0"/>
    <x v="0"/>
    <x v="0"/>
    <x v="0"/>
    <x v="0"/>
  </r>
  <r>
    <n v="70526"/>
    <x v="14"/>
    <x v="4"/>
    <x v="464"/>
    <x v="6"/>
    <x v="2415"/>
    <x v="1"/>
    <d v="2024-08-19T00:00:00"/>
    <d v="2024-09-05T00:00:00"/>
    <x v="0"/>
    <x v="2472"/>
    <x v="0"/>
    <x v="0"/>
    <x v="0"/>
    <x v="0"/>
    <x v="0"/>
    <x v="0"/>
  </r>
  <r>
    <n v="36564"/>
    <x v="6"/>
    <x v="3"/>
    <x v="430"/>
    <x v="4"/>
    <x v="1820"/>
    <x v="3"/>
    <d v="2024-06-18T00:00:00"/>
    <d v="2024-07-05T00:00:00"/>
    <x v="2"/>
    <x v="2473"/>
    <x v="0"/>
    <x v="0"/>
    <x v="0"/>
    <x v="0"/>
    <x v="0"/>
    <x v="1"/>
  </r>
  <r>
    <n v="43488"/>
    <x v="5"/>
    <x v="2"/>
    <x v="81"/>
    <x v="1"/>
    <x v="2416"/>
    <x v="2"/>
    <d v="2024-04-03T00:00:00"/>
    <d v="2024-04-14T00:00:00"/>
    <x v="2"/>
    <x v="2474"/>
    <x v="1"/>
    <x v="46"/>
    <x v="1"/>
    <x v="1"/>
    <x v="1"/>
    <x v="1"/>
  </r>
  <r>
    <n v="42740"/>
    <x v="10"/>
    <x v="2"/>
    <x v="230"/>
    <x v="3"/>
    <x v="2417"/>
    <x v="0"/>
    <d v="2024-07-04T00:00:00"/>
    <d v="2024-08-06T00:00:00"/>
    <x v="1"/>
    <x v="2475"/>
    <x v="0"/>
    <x v="0"/>
    <x v="0"/>
    <x v="0"/>
    <x v="0"/>
    <x v="0"/>
  </r>
  <r>
    <n v="23987"/>
    <x v="3"/>
    <x v="2"/>
    <x v="378"/>
    <x v="3"/>
    <x v="2418"/>
    <x v="2"/>
    <d v="2024-09-23T00:00:00"/>
    <d v="2024-10-11T00:00:00"/>
    <x v="0"/>
    <x v="2476"/>
    <x v="0"/>
    <x v="0"/>
    <x v="0"/>
    <x v="0"/>
    <x v="0"/>
    <x v="0"/>
  </r>
  <r>
    <n v="79741"/>
    <x v="14"/>
    <x v="4"/>
    <x v="411"/>
    <x v="4"/>
    <x v="2419"/>
    <x v="1"/>
    <d v="2024-05-05T00:00:00"/>
    <d v="2024-05-13T00:00:00"/>
    <x v="0"/>
    <x v="2477"/>
    <x v="0"/>
    <x v="0"/>
    <x v="0"/>
    <x v="0"/>
    <x v="0"/>
    <x v="0"/>
  </r>
  <r>
    <n v="45411"/>
    <x v="11"/>
    <x v="4"/>
    <x v="231"/>
    <x v="0"/>
    <x v="2420"/>
    <x v="2"/>
    <d v="2024-07-08T00:00:00"/>
    <d v="2024-07-16T00:00:00"/>
    <x v="2"/>
    <x v="2478"/>
    <x v="0"/>
    <x v="0"/>
    <x v="0"/>
    <x v="0"/>
    <x v="0"/>
    <x v="1"/>
  </r>
  <r>
    <n v="25772"/>
    <x v="16"/>
    <x v="3"/>
    <x v="377"/>
    <x v="5"/>
    <x v="2421"/>
    <x v="1"/>
    <d v="2024-02-24T00:00:00"/>
    <d v="2024-03-02T00:00:00"/>
    <x v="0"/>
    <x v="2479"/>
    <x v="1"/>
    <x v="122"/>
    <x v="1"/>
    <x v="1"/>
    <x v="1"/>
    <x v="1"/>
  </r>
  <r>
    <n v="16228"/>
    <x v="10"/>
    <x v="2"/>
    <x v="158"/>
    <x v="0"/>
    <x v="2422"/>
    <x v="4"/>
    <d v="2024-09-10T00:00:00"/>
    <d v="2024-09-26T00:00:00"/>
    <x v="1"/>
    <x v="2480"/>
    <x v="0"/>
    <x v="0"/>
    <x v="0"/>
    <x v="0"/>
    <x v="0"/>
    <x v="0"/>
  </r>
  <r>
    <n v="98770"/>
    <x v="10"/>
    <x v="2"/>
    <x v="393"/>
    <x v="1"/>
    <x v="2423"/>
    <x v="3"/>
    <d v="2024-08-31T00:00:00"/>
    <d v="2024-09-24T00:00:00"/>
    <x v="1"/>
    <x v="2481"/>
    <x v="0"/>
    <x v="0"/>
    <x v="0"/>
    <x v="0"/>
    <x v="0"/>
    <x v="1"/>
  </r>
  <r>
    <n v="47488"/>
    <x v="14"/>
    <x v="4"/>
    <x v="165"/>
    <x v="1"/>
    <x v="2424"/>
    <x v="1"/>
    <d v="2024-06-21T00:00:00"/>
    <d v="2024-07-12T00:00:00"/>
    <x v="0"/>
    <x v="2482"/>
    <x v="0"/>
    <x v="0"/>
    <x v="0"/>
    <x v="0"/>
    <x v="0"/>
    <x v="0"/>
  </r>
  <r>
    <n v="84215"/>
    <x v="12"/>
    <x v="0"/>
    <x v="98"/>
    <x v="2"/>
    <x v="1494"/>
    <x v="0"/>
    <d v="2024-12-16T00:00:00"/>
    <d v="2024-12-23T00:00:00"/>
    <x v="0"/>
    <x v="2483"/>
    <x v="0"/>
    <x v="0"/>
    <x v="0"/>
    <x v="0"/>
    <x v="0"/>
    <x v="0"/>
  </r>
  <r>
    <n v="26631"/>
    <x v="12"/>
    <x v="0"/>
    <x v="86"/>
    <x v="1"/>
    <x v="2425"/>
    <x v="2"/>
    <d v="2024-07-26T00:00:00"/>
    <d v="2024-08-20T00:00:00"/>
    <x v="0"/>
    <x v="2484"/>
    <x v="1"/>
    <x v="26"/>
    <x v="1"/>
    <x v="1"/>
    <x v="1"/>
    <x v="1"/>
  </r>
  <r>
    <n v="76904"/>
    <x v="12"/>
    <x v="0"/>
    <x v="111"/>
    <x v="2"/>
    <x v="2426"/>
    <x v="0"/>
    <d v="2024-12-22T00:00:00"/>
    <d v="2025-01-19T00:00:00"/>
    <x v="0"/>
    <x v="2485"/>
    <x v="0"/>
    <x v="0"/>
    <x v="0"/>
    <x v="0"/>
    <x v="0"/>
    <x v="0"/>
  </r>
  <r>
    <n v="88651"/>
    <x v="6"/>
    <x v="3"/>
    <x v="35"/>
    <x v="0"/>
    <x v="1241"/>
    <x v="1"/>
    <d v="2024-02-05T00:00:00"/>
    <d v="2024-02-24T00:00:00"/>
    <x v="0"/>
    <x v="2486"/>
    <x v="0"/>
    <x v="0"/>
    <x v="0"/>
    <x v="0"/>
    <x v="0"/>
    <x v="0"/>
  </r>
  <r>
    <n v="51682"/>
    <x v="14"/>
    <x v="4"/>
    <x v="252"/>
    <x v="6"/>
    <x v="2427"/>
    <x v="1"/>
    <d v="2024-10-11T00:00:00"/>
    <d v="2024-11-18T00:00:00"/>
    <x v="2"/>
    <x v="2487"/>
    <x v="0"/>
    <x v="0"/>
    <x v="0"/>
    <x v="0"/>
    <x v="0"/>
    <x v="1"/>
  </r>
  <r>
    <n v="23416"/>
    <x v="12"/>
    <x v="0"/>
    <x v="136"/>
    <x v="6"/>
    <x v="2428"/>
    <x v="4"/>
    <d v="2024-09-18T00:00:00"/>
    <d v="2024-10-23T00:00:00"/>
    <x v="0"/>
    <x v="2488"/>
    <x v="0"/>
    <x v="0"/>
    <x v="0"/>
    <x v="0"/>
    <x v="0"/>
    <x v="1"/>
  </r>
  <r>
    <n v="54550"/>
    <x v="4"/>
    <x v="0"/>
    <x v="237"/>
    <x v="5"/>
    <x v="2429"/>
    <x v="1"/>
    <d v="2024-06-12T00:00:00"/>
    <d v="2024-07-11T00:00:00"/>
    <x v="0"/>
    <x v="2489"/>
    <x v="0"/>
    <x v="0"/>
    <x v="0"/>
    <x v="0"/>
    <x v="0"/>
    <x v="0"/>
  </r>
  <r>
    <n v="84861"/>
    <x v="0"/>
    <x v="0"/>
    <x v="79"/>
    <x v="3"/>
    <x v="2430"/>
    <x v="3"/>
    <d v="2024-03-19T00:00:00"/>
    <d v="2024-04-27T00:00:00"/>
    <x v="1"/>
    <x v="2490"/>
    <x v="0"/>
    <x v="0"/>
    <x v="0"/>
    <x v="0"/>
    <x v="0"/>
    <x v="0"/>
  </r>
  <r>
    <n v="29749"/>
    <x v="7"/>
    <x v="3"/>
    <x v="459"/>
    <x v="2"/>
    <x v="2431"/>
    <x v="0"/>
    <d v="2024-12-29T00:00:00"/>
    <d v="2025-02-01T00:00:00"/>
    <x v="2"/>
    <x v="2491"/>
    <x v="0"/>
    <x v="0"/>
    <x v="0"/>
    <x v="0"/>
    <x v="0"/>
    <x v="0"/>
  </r>
  <r>
    <n v="52635"/>
    <x v="0"/>
    <x v="0"/>
    <x v="451"/>
    <x v="1"/>
    <x v="2432"/>
    <x v="1"/>
    <d v="2024-01-29T00:00:00"/>
    <d v="2024-02-26T00:00:00"/>
    <x v="2"/>
    <x v="2492"/>
    <x v="0"/>
    <x v="0"/>
    <x v="0"/>
    <x v="0"/>
    <x v="0"/>
    <x v="1"/>
  </r>
  <r>
    <n v="84548"/>
    <x v="5"/>
    <x v="2"/>
    <x v="73"/>
    <x v="1"/>
    <x v="2433"/>
    <x v="3"/>
    <d v="2024-07-08T00:00:00"/>
    <d v="2024-08-12T00:00:00"/>
    <x v="0"/>
    <x v="2493"/>
    <x v="0"/>
    <x v="0"/>
    <x v="0"/>
    <x v="0"/>
    <x v="0"/>
    <x v="0"/>
  </r>
  <r>
    <n v="95916"/>
    <x v="9"/>
    <x v="1"/>
    <x v="353"/>
    <x v="1"/>
    <x v="2434"/>
    <x v="4"/>
    <d v="2024-05-29T00:00:00"/>
    <d v="2024-06-23T00:00:00"/>
    <x v="2"/>
    <x v="2494"/>
    <x v="0"/>
    <x v="0"/>
    <x v="0"/>
    <x v="0"/>
    <x v="0"/>
    <x v="0"/>
  </r>
  <r>
    <n v="95799"/>
    <x v="13"/>
    <x v="3"/>
    <x v="298"/>
    <x v="4"/>
    <x v="2435"/>
    <x v="3"/>
    <d v="2024-03-17T00:00:00"/>
    <d v="2024-03-25T00:00:00"/>
    <x v="0"/>
    <x v="2495"/>
    <x v="0"/>
    <x v="0"/>
    <x v="0"/>
    <x v="0"/>
    <x v="0"/>
    <x v="1"/>
  </r>
  <r>
    <n v="46326"/>
    <x v="4"/>
    <x v="0"/>
    <x v="221"/>
    <x v="5"/>
    <x v="2436"/>
    <x v="0"/>
    <d v="2024-03-10T00:00:00"/>
    <d v="2024-03-23T00:00:00"/>
    <x v="2"/>
    <x v="2496"/>
    <x v="0"/>
    <x v="0"/>
    <x v="0"/>
    <x v="0"/>
    <x v="0"/>
    <x v="1"/>
  </r>
  <r>
    <n v="78718"/>
    <x v="2"/>
    <x v="1"/>
    <x v="431"/>
    <x v="5"/>
    <x v="2437"/>
    <x v="0"/>
    <d v="2024-01-01T00:00:00"/>
    <d v="2024-01-20T00:00:00"/>
    <x v="0"/>
    <x v="2497"/>
    <x v="1"/>
    <x v="123"/>
    <x v="1"/>
    <x v="1"/>
    <x v="1"/>
    <x v="1"/>
  </r>
  <r>
    <n v="43083"/>
    <x v="8"/>
    <x v="1"/>
    <x v="300"/>
    <x v="4"/>
    <x v="2438"/>
    <x v="1"/>
    <d v="2024-02-08T00:00:00"/>
    <d v="2024-03-14T00:00:00"/>
    <x v="0"/>
    <x v="2498"/>
    <x v="0"/>
    <x v="0"/>
    <x v="0"/>
    <x v="0"/>
    <x v="0"/>
    <x v="0"/>
  </r>
  <r>
    <n v="22651"/>
    <x v="9"/>
    <x v="1"/>
    <x v="24"/>
    <x v="0"/>
    <x v="2439"/>
    <x v="0"/>
    <d v="2024-03-29T00:00:00"/>
    <d v="2024-04-15T00:00:00"/>
    <x v="2"/>
    <x v="2499"/>
    <x v="0"/>
    <x v="0"/>
    <x v="0"/>
    <x v="0"/>
    <x v="0"/>
    <x v="1"/>
  </r>
  <r>
    <n v="62136"/>
    <x v="1"/>
    <x v="0"/>
    <x v="282"/>
    <x v="0"/>
    <x v="2440"/>
    <x v="0"/>
    <d v="2024-04-10T00:00:00"/>
    <d v="2024-05-09T00:00:00"/>
    <x v="0"/>
    <x v="2500"/>
    <x v="0"/>
    <x v="0"/>
    <x v="0"/>
    <x v="0"/>
    <x v="0"/>
    <x v="0"/>
  </r>
  <r>
    <n v="55213"/>
    <x v="8"/>
    <x v="1"/>
    <x v="231"/>
    <x v="0"/>
    <x v="2441"/>
    <x v="3"/>
    <d v="2024-03-16T00:00:00"/>
    <d v="2024-03-30T00:00:00"/>
    <x v="1"/>
    <x v="2501"/>
    <x v="0"/>
    <x v="0"/>
    <x v="0"/>
    <x v="0"/>
    <x v="0"/>
    <x v="1"/>
  </r>
  <r>
    <n v="89211"/>
    <x v="6"/>
    <x v="3"/>
    <x v="430"/>
    <x v="5"/>
    <x v="2442"/>
    <x v="4"/>
    <d v="2024-12-06T00:00:00"/>
    <d v="2025-01-07T00:00:00"/>
    <x v="0"/>
    <x v="2502"/>
    <x v="0"/>
    <x v="0"/>
    <x v="0"/>
    <x v="0"/>
    <x v="0"/>
    <x v="1"/>
  </r>
  <r>
    <n v="86964"/>
    <x v="3"/>
    <x v="2"/>
    <x v="474"/>
    <x v="3"/>
    <x v="2443"/>
    <x v="4"/>
    <d v="2024-02-26T00:00:00"/>
    <d v="2024-03-29T00:00:00"/>
    <x v="2"/>
    <x v="2503"/>
    <x v="0"/>
    <x v="0"/>
    <x v="0"/>
    <x v="0"/>
    <x v="0"/>
    <x v="1"/>
  </r>
  <r>
    <n v="44563"/>
    <x v="4"/>
    <x v="0"/>
    <x v="269"/>
    <x v="6"/>
    <x v="957"/>
    <x v="3"/>
    <d v="2024-09-12T00:00:00"/>
    <d v="2024-10-18T00:00:00"/>
    <x v="0"/>
    <x v="2504"/>
    <x v="0"/>
    <x v="0"/>
    <x v="0"/>
    <x v="0"/>
    <x v="0"/>
    <x v="1"/>
  </r>
  <r>
    <n v="45377"/>
    <x v="15"/>
    <x v="4"/>
    <x v="249"/>
    <x v="2"/>
    <x v="2444"/>
    <x v="1"/>
    <d v="2024-01-02T00:00:00"/>
    <d v="2024-02-08T00:00:00"/>
    <x v="1"/>
    <x v="2505"/>
    <x v="0"/>
    <x v="0"/>
    <x v="0"/>
    <x v="0"/>
    <x v="0"/>
    <x v="0"/>
  </r>
  <r>
    <n v="33434"/>
    <x v="12"/>
    <x v="0"/>
    <x v="490"/>
    <x v="5"/>
    <x v="2445"/>
    <x v="0"/>
    <d v="2024-11-19T00:00:00"/>
    <d v="2024-12-10T00:00:00"/>
    <x v="2"/>
    <x v="2506"/>
    <x v="0"/>
    <x v="0"/>
    <x v="0"/>
    <x v="0"/>
    <x v="0"/>
    <x v="1"/>
  </r>
  <r>
    <n v="34409"/>
    <x v="11"/>
    <x v="4"/>
    <x v="236"/>
    <x v="3"/>
    <x v="488"/>
    <x v="4"/>
    <d v="2024-09-21T00:00:00"/>
    <d v="2024-09-30T00:00:00"/>
    <x v="0"/>
    <x v="2507"/>
    <x v="0"/>
    <x v="0"/>
    <x v="0"/>
    <x v="0"/>
    <x v="0"/>
    <x v="0"/>
  </r>
  <r>
    <n v="21027"/>
    <x v="9"/>
    <x v="1"/>
    <x v="173"/>
    <x v="1"/>
    <x v="2446"/>
    <x v="1"/>
    <d v="2024-06-08T00:00:00"/>
    <d v="2024-06-20T00:00:00"/>
    <x v="1"/>
    <x v="2508"/>
    <x v="0"/>
    <x v="0"/>
    <x v="0"/>
    <x v="0"/>
    <x v="0"/>
    <x v="1"/>
  </r>
  <r>
    <n v="83450"/>
    <x v="11"/>
    <x v="4"/>
    <x v="329"/>
    <x v="6"/>
    <x v="2447"/>
    <x v="0"/>
    <d v="2024-09-17T00:00:00"/>
    <d v="2024-09-24T00:00:00"/>
    <x v="1"/>
    <x v="2509"/>
    <x v="1"/>
    <x v="99"/>
    <x v="1"/>
    <x v="1"/>
    <x v="1"/>
    <x v="1"/>
  </r>
  <r>
    <n v="54233"/>
    <x v="9"/>
    <x v="1"/>
    <x v="303"/>
    <x v="0"/>
    <x v="2448"/>
    <x v="2"/>
    <d v="2024-10-21T00:00:00"/>
    <d v="2024-11-04T00:00:00"/>
    <x v="0"/>
    <x v="2510"/>
    <x v="0"/>
    <x v="0"/>
    <x v="0"/>
    <x v="0"/>
    <x v="0"/>
    <x v="0"/>
  </r>
  <r>
    <n v="12082"/>
    <x v="13"/>
    <x v="3"/>
    <x v="184"/>
    <x v="5"/>
    <x v="846"/>
    <x v="4"/>
    <d v="2024-04-09T00:00:00"/>
    <d v="2024-04-26T00:00:00"/>
    <x v="2"/>
    <x v="2511"/>
    <x v="1"/>
    <x v="40"/>
    <x v="1"/>
    <x v="1"/>
    <x v="1"/>
    <x v="1"/>
  </r>
  <r>
    <n v="43268"/>
    <x v="5"/>
    <x v="2"/>
    <x v="285"/>
    <x v="1"/>
    <x v="2449"/>
    <x v="1"/>
    <d v="2024-09-12T00:00:00"/>
    <d v="2024-10-10T00:00:00"/>
    <x v="1"/>
    <x v="2512"/>
    <x v="1"/>
    <x v="90"/>
    <x v="1"/>
    <x v="1"/>
    <x v="1"/>
    <x v="1"/>
  </r>
  <r>
    <n v="70361"/>
    <x v="9"/>
    <x v="1"/>
    <x v="270"/>
    <x v="0"/>
    <x v="2450"/>
    <x v="4"/>
    <d v="2024-05-29T00:00:00"/>
    <d v="2024-06-29T00:00:00"/>
    <x v="1"/>
    <x v="2513"/>
    <x v="0"/>
    <x v="0"/>
    <x v="0"/>
    <x v="0"/>
    <x v="0"/>
    <x v="1"/>
  </r>
  <r>
    <n v="25201"/>
    <x v="2"/>
    <x v="1"/>
    <x v="377"/>
    <x v="3"/>
    <x v="2451"/>
    <x v="1"/>
    <d v="2024-08-01T00:00:00"/>
    <d v="2024-08-09T00:00:00"/>
    <x v="0"/>
    <x v="2514"/>
    <x v="1"/>
    <x v="28"/>
    <x v="1"/>
    <x v="1"/>
    <x v="1"/>
    <x v="1"/>
  </r>
  <r>
    <n v="50916"/>
    <x v="10"/>
    <x v="2"/>
    <x v="379"/>
    <x v="4"/>
    <x v="2452"/>
    <x v="2"/>
    <d v="2024-08-12T00:00:00"/>
    <d v="2024-09-10T00:00:00"/>
    <x v="1"/>
    <x v="2515"/>
    <x v="0"/>
    <x v="0"/>
    <x v="0"/>
    <x v="0"/>
    <x v="0"/>
    <x v="0"/>
  </r>
  <r>
    <n v="56576"/>
    <x v="14"/>
    <x v="4"/>
    <x v="342"/>
    <x v="0"/>
    <x v="2453"/>
    <x v="0"/>
    <d v="2024-12-30T00:00:00"/>
    <d v="2025-02-01T00:00:00"/>
    <x v="1"/>
    <x v="2516"/>
    <x v="0"/>
    <x v="0"/>
    <x v="0"/>
    <x v="0"/>
    <x v="0"/>
    <x v="0"/>
  </r>
  <r>
    <n v="64626"/>
    <x v="4"/>
    <x v="0"/>
    <x v="60"/>
    <x v="4"/>
    <x v="2454"/>
    <x v="3"/>
    <d v="2024-04-26T00:00:00"/>
    <d v="2024-05-12T00:00:00"/>
    <x v="2"/>
    <x v="2517"/>
    <x v="0"/>
    <x v="0"/>
    <x v="0"/>
    <x v="0"/>
    <x v="0"/>
    <x v="0"/>
  </r>
  <r>
    <n v="24450"/>
    <x v="9"/>
    <x v="1"/>
    <x v="285"/>
    <x v="6"/>
    <x v="2455"/>
    <x v="1"/>
    <d v="2024-02-08T00:00:00"/>
    <d v="2024-02-14T00:00:00"/>
    <x v="2"/>
    <x v="2518"/>
    <x v="1"/>
    <x v="101"/>
    <x v="1"/>
    <x v="1"/>
    <x v="1"/>
    <x v="1"/>
  </r>
  <r>
    <n v="31943"/>
    <x v="16"/>
    <x v="3"/>
    <x v="92"/>
    <x v="6"/>
    <x v="2456"/>
    <x v="3"/>
    <d v="2024-09-21T00:00:00"/>
    <d v="2024-10-22T00:00:00"/>
    <x v="0"/>
    <x v="2519"/>
    <x v="0"/>
    <x v="0"/>
    <x v="0"/>
    <x v="0"/>
    <x v="0"/>
    <x v="1"/>
  </r>
  <r>
    <n v="34601"/>
    <x v="16"/>
    <x v="3"/>
    <x v="12"/>
    <x v="4"/>
    <x v="2457"/>
    <x v="0"/>
    <d v="2024-06-09T00:00:00"/>
    <d v="2024-07-10T00:00:00"/>
    <x v="0"/>
    <x v="2520"/>
    <x v="0"/>
    <x v="0"/>
    <x v="0"/>
    <x v="0"/>
    <x v="0"/>
    <x v="0"/>
  </r>
  <r>
    <n v="77581"/>
    <x v="13"/>
    <x v="3"/>
    <x v="180"/>
    <x v="0"/>
    <x v="2458"/>
    <x v="3"/>
    <d v="2024-07-13T00:00:00"/>
    <d v="2024-07-30T00:00:00"/>
    <x v="0"/>
    <x v="2521"/>
    <x v="0"/>
    <x v="0"/>
    <x v="0"/>
    <x v="0"/>
    <x v="0"/>
    <x v="1"/>
  </r>
  <r>
    <n v="46516"/>
    <x v="8"/>
    <x v="1"/>
    <x v="134"/>
    <x v="1"/>
    <x v="2459"/>
    <x v="0"/>
    <d v="2024-01-17T00:00:00"/>
    <d v="2024-01-30T00:00:00"/>
    <x v="0"/>
    <x v="2522"/>
    <x v="1"/>
    <x v="113"/>
    <x v="1"/>
    <x v="1"/>
    <x v="1"/>
    <x v="1"/>
  </r>
  <r>
    <n v="13051"/>
    <x v="11"/>
    <x v="4"/>
    <x v="241"/>
    <x v="6"/>
    <x v="2460"/>
    <x v="1"/>
    <d v="2024-04-09T00:00:00"/>
    <d v="2024-04-16T00:00:00"/>
    <x v="1"/>
    <x v="2523"/>
    <x v="0"/>
    <x v="0"/>
    <x v="0"/>
    <x v="0"/>
    <x v="0"/>
    <x v="1"/>
  </r>
  <r>
    <n v="17017"/>
    <x v="14"/>
    <x v="4"/>
    <x v="324"/>
    <x v="0"/>
    <x v="2461"/>
    <x v="1"/>
    <d v="2024-01-12T00:00:00"/>
    <d v="2024-01-19T00:00:00"/>
    <x v="0"/>
    <x v="2524"/>
    <x v="0"/>
    <x v="0"/>
    <x v="0"/>
    <x v="0"/>
    <x v="0"/>
    <x v="0"/>
  </r>
  <r>
    <n v="87568"/>
    <x v="11"/>
    <x v="4"/>
    <x v="70"/>
    <x v="4"/>
    <x v="2462"/>
    <x v="4"/>
    <d v="2024-10-19T00:00:00"/>
    <d v="2024-11-10T00:00:00"/>
    <x v="0"/>
    <x v="2525"/>
    <x v="0"/>
    <x v="0"/>
    <x v="0"/>
    <x v="0"/>
    <x v="0"/>
    <x v="0"/>
  </r>
  <r>
    <n v="59577"/>
    <x v="1"/>
    <x v="0"/>
    <x v="450"/>
    <x v="4"/>
    <x v="2463"/>
    <x v="1"/>
    <d v="2024-05-08T00:00:00"/>
    <d v="2024-06-12T00:00:00"/>
    <x v="2"/>
    <x v="2526"/>
    <x v="1"/>
    <x v="40"/>
    <x v="1"/>
    <x v="1"/>
    <x v="1"/>
    <x v="1"/>
  </r>
  <r>
    <n v="82607"/>
    <x v="12"/>
    <x v="0"/>
    <x v="242"/>
    <x v="2"/>
    <x v="2464"/>
    <x v="0"/>
    <d v="2024-01-24T00:00:00"/>
    <d v="2024-02-17T00:00:00"/>
    <x v="0"/>
    <x v="2527"/>
    <x v="0"/>
    <x v="0"/>
    <x v="0"/>
    <x v="0"/>
    <x v="0"/>
    <x v="0"/>
  </r>
  <r>
    <n v="51787"/>
    <x v="3"/>
    <x v="2"/>
    <x v="441"/>
    <x v="6"/>
    <x v="2465"/>
    <x v="3"/>
    <d v="2024-03-08T00:00:00"/>
    <d v="2024-04-08T00:00:00"/>
    <x v="0"/>
    <x v="2528"/>
    <x v="1"/>
    <x v="27"/>
    <x v="1"/>
    <x v="1"/>
    <x v="1"/>
    <x v="1"/>
  </r>
  <r>
    <n v="87093"/>
    <x v="8"/>
    <x v="1"/>
    <x v="103"/>
    <x v="1"/>
    <x v="2466"/>
    <x v="3"/>
    <d v="2024-08-17T00:00:00"/>
    <d v="2024-09-22T00:00:00"/>
    <x v="0"/>
    <x v="2529"/>
    <x v="0"/>
    <x v="0"/>
    <x v="0"/>
    <x v="0"/>
    <x v="0"/>
    <x v="0"/>
  </r>
  <r>
    <n v="47595"/>
    <x v="11"/>
    <x v="4"/>
    <x v="248"/>
    <x v="4"/>
    <x v="2467"/>
    <x v="3"/>
    <d v="2024-12-16T00:00:00"/>
    <d v="2025-01-08T00:00:00"/>
    <x v="0"/>
    <x v="2530"/>
    <x v="0"/>
    <x v="0"/>
    <x v="0"/>
    <x v="0"/>
    <x v="0"/>
    <x v="0"/>
  </r>
  <r>
    <n v="35406"/>
    <x v="13"/>
    <x v="3"/>
    <x v="34"/>
    <x v="3"/>
    <x v="2468"/>
    <x v="3"/>
    <d v="2024-06-29T00:00:00"/>
    <d v="2024-07-19T00:00:00"/>
    <x v="0"/>
    <x v="2531"/>
    <x v="0"/>
    <x v="0"/>
    <x v="0"/>
    <x v="0"/>
    <x v="0"/>
    <x v="1"/>
  </r>
  <r>
    <n v="31803"/>
    <x v="2"/>
    <x v="1"/>
    <x v="66"/>
    <x v="5"/>
    <x v="2469"/>
    <x v="3"/>
    <d v="2024-12-10T00:00:00"/>
    <d v="2025-01-13T00:00:00"/>
    <x v="1"/>
    <x v="2532"/>
    <x v="0"/>
    <x v="0"/>
    <x v="0"/>
    <x v="0"/>
    <x v="0"/>
    <x v="0"/>
  </r>
  <r>
    <n v="25941"/>
    <x v="3"/>
    <x v="2"/>
    <x v="395"/>
    <x v="1"/>
    <x v="2470"/>
    <x v="2"/>
    <d v="2024-09-25T00:00:00"/>
    <d v="2024-11-02T00:00:00"/>
    <x v="0"/>
    <x v="2533"/>
    <x v="0"/>
    <x v="0"/>
    <x v="0"/>
    <x v="0"/>
    <x v="0"/>
    <x v="1"/>
  </r>
  <r>
    <n v="60139"/>
    <x v="7"/>
    <x v="3"/>
    <x v="149"/>
    <x v="6"/>
    <x v="2471"/>
    <x v="2"/>
    <d v="2024-02-19T00:00:00"/>
    <d v="2024-03-04T00:00:00"/>
    <x v="0"/>
    <x v="2534"/>
    <x v="0"/>
    <x v="0"/>
    <x v="0"/>
    <x v="0"/>
    <x v="0"/>
    <x v="1"/>
  </r>
  <r>
    <n v="48568"/>
    <x v="10"/>
    <x v="2"/>
    <x v="470"/>
    <x v="0"/>
    <x v="2472"/>
    <x v="3"/>
    <d v="2024-09-21T00:00:00"/>
    <d v="2024-09-29T00:00:00"/>
    <x v="2"/>
    <x v="2535"/>
    <x v="0"/>
    <x v="0"/>
    <x v="0"/>
    <x v="0"/>
    <x v="0"/>
    <x v="0"/>
  </r>
  <r>
    <n v="80561"/>
    <x v="8"/>
    <x v="1"/>
    <x v="22"/>
    <x v="0"/>
    <x v="2473"/>
    <x v="3"/>
    <d v="2024-07-26T00:00:00"/>
    <d v="2024-08-03T00:00:00"/>
    <x v="2"/>
    <x v="2536"/>
    <x v="0"/>
    <x v="0"/>
    <x v="0"/>
    <x v="0"/>
    <x v="0"/>
    <x v="0"/>
  </r>
  <r>
    <n v="24698"/>
    <x v="3"/>
    <x v="2"/>
    <x v="70"/>
    <x v="4"/>
    <x v="2474"/>
    <x v="4"/>
    <d v="2024-07-29T00:00:00"/>
    <d v="2024-08-09T00:00:00"/>
    <x v="1"/>
    <x v="2537"/>
    <x v="0"/>
    <x v="0"/>
    <x v="0"/>
    <x v="0"/>
    <x v="0"/>
    <x v="0"/>
  </r>
  <r>
    <n v="89908"/>
    <x v="14"/>
    <x v="4"/>
    <x v="340"/>
    <x v="0"/>
    <x v="2475"/>
    <x v="4"/>
    <d v="2024-10-11T00:00:00"/>
    <d v="2024-11-02T00:00:00"/>
    <x v="0"/>
    <x v="2538"/>
    <x v="0"/>
    <x v="0"/>
    <x v="0"/>
    <x v="0"/>
    <x v="0"/>
    <x v="0"/>
  </r>
  <r>
    <n v="34502"/>
    <x v="0"/>
    <x v="0"/>
    <x v="477"/>
    <x v="3"/>
    <x v="2476"/>
    <x v="4"/>
    <d v="2024-10-05T00:00:00"/>
    <d v="2024-10-19T00:00:00"/>
    <x v="2"/>
    <x v="2539"/>
    <x v="0"/>
    <x v="0"/>
    <x v="0"/>
    <x v="0"/>
    <x v="0"/>
    <x v="0"/>
  </r>
  <r>
    <n v="64664"/>
    <x v="4"/>
    <x v="0"/>
    <x v="245"/>
    <x v="6"/>
    <x v="2477"/>
    <x v="3"/>
    <d v="2024-04-09T00:00:00"/>
    <d v="2024-04-17T00:00:00"/>
    <x v="0"/>
    <x v="2540"/>
    <x v="0"/>
    <x v="0"/>
    <x v="0"/>
    <x v="0"/>
    <x v="0"/>
    <x v="1"/>
  </r>
  <r>
    <n v="23102"/>
    <x v="4"/>
    <x v="0"/>
    <x v="140"/>
    <x v="1"/>
    <x v="2478"/>
    <x v="1"/>
    <d v="2024-08-15T00:00:00"/>
    <d v="2024-09-05T00:00:00"/>
    <x v="1"/>
    <x v="2541"/>
    <x v="1"/>
    <x v="40"/>
    <x v="1"/>
    <x v="1"/>
    <x v="1"/>
    <x v="1"/>
  </r>
  <r>
    <n v="92203"/>
    <x v="1"/>
    <x v="0"/>
    <x v="84"/>
    <x v="0"/>
    <x v="2479"/>
    <x v="4"/>
    <d v="2024-04-18T00:00:00"/>
    <d v="2024-04-30T00:00:00"/>
    <x v="0"/>
    <x v="2542"/>
    <x v="0"/>
    <x v="0"/>
    <x v="0"/>
    <x v="0"/>
    <x v="0"/>
    <x v="0"/>
  </r>
  <r>
    <n v="46843"/>
    <x v="8"/>
    <x v="1"/>
    <x v="37"/>
    <x v="5"/>
    <x v="2480"/>
    <x v="0"/>
    <d v="2024-12-05T00:00:00"/>
    <d v="2025-01-11T00:00:00"/>
    <x v="1"/>
    <x v="2543"/>
    <x v="0"/>
    <x v="0"/>
    <x v="0"/>
    <x v="0"/>
    <x v="0"/>
    <x v="1"/>
  </r>
  <r>
    <n v="22992"/>
    <x v="13"/>
    <x v="3"/>
    <x v="65"/>
    <x v="0"/>
    <x v="2481"/>
    <x v="0"/>
    <d v="2024-10-24T00:00:00"/>
    <d v="2024-11-19T00:00:00"/>
    <x v="0"/>
    <x v="2544"/>
    <x v="0"/>
    <x v="0"/>
    <x v="0"/>
    <x v="0"/>
    <x v="0"/>
    <x v="0"/>
  </r>
  <r>
    <n v="29703"/>
    <x v="1"/>
    <x v="0"/>
    <x v="493"/>
    <x v="5"/>
    <x v="2058"/>
    <x v="1"/>
    <d v="2024-07-26T00:00:00"/>
    <d v="2024-08-07T00:00:00"/>
    <x v="1"/>
    <x v="2545"/>
    <x v="0"/>
    <x v="0"/>
    <x v="0"/>
    <x v="0"/>
    <x v="0"/>
    <x v="0"/>
  </r>
  <r>
    <n v="85653"/>
    <x v="2"/>
    <x v="1"/>
    <x v="250"/>
    <x v="4"/>
    <x v="2482"/>
    <x v="4"/>
    <d v="2024-07-06T00:00:00"/>
    <d v="2024-07-17T00:00:00"/>
    <x v="1"/>
    <x v="2546"/>
    <x v="0"/>
    <x v="0"/>
    <x v="0"/>
    <x v="0"/>
    <x v="0"/>
    <x v="0"/>
  </r>
  <r>
    <n v="37328"/>
    <x v="15"/>
    <x v="4"/>
    <x v="401"/>
    <x v="2"/>
    <x v="2483"/>
    <x v="3"/>
    <d v="2024-10-28T00:00:00"/>
    <d v="2024-11-23T00:00:00"/>
    <x v="1"/>
    <x v="2547"/>
    <x v="0"/>
    <x v="0"/>
    <x v="0"/>
    <x v="0"/>
    <x v="0"/>
    <x v="0"/>
  </r>
  <r>
    <n v="12703"/>
    <x v="4"/>
    <x v="0"/>
    <x v="348"/>
    <x v="2"/>
    <x v="2484"/>
    <x v="0"/>
    <d v="2024-03-28T00:00:00"/>
    <d v="2024-04-13T00:00:00"/>
    <x v="1"/>
    <x v="2548"/>
    <x v="0"/>
    <x v="0"/>
    <x v="0"/>
    <x v="0"/>
    <x v="0"/>
    <x v="0"/>
  </r>
  <r>
    <n v="66195"/>
    <x v="0"/>
    <x v="0"/>
    <x v="84"/>
    <x v="2"/>
    <x v="2485"/>
    <x v="4"/>
    <d v="2024-02-08T00:00:00"/>
    <d v="2024-02-25T00:00:00"/>
    <x v="2"/>
    <x v="2549"/>
    <x v="0"/>
    <x v="0"/>
    <x v="0"/>
    <x v="0"/>
    <x v="0"/>
    <x v="0"/>
  </r>
  <r>
    <n v="15723"/>
    <x v="10"/>
    <x v="2"/>
    <x v="386"/>
    <x v="1"/>
    <x v="2486"/>
    <x v="4"/>
    <d v="2024-05-05T00:00:00"/>
    <d v="2024-05-31T00:00:00"/>
    <x v="0"/>
    <x v="2550"/>
    <x v="0"/>
    <x v="0"/>
    <x v="0"/>
    <x v="0"/>
    <x v="0"/>
    <x v="1"/>
  </r>
  <r>
    <n v="31162"/>
    <x v="9"/>
    <x v="1"/>
    <x v="430"/>
    <x v="1"/>
    <x v="2487"/>
    <x v="1"/>
    <d v="2024-12-26T00:00:00"/>
    <d v="2025-01-17T00:00:00"/>
    <x v="0"/>
    <x v="2551"/>
    <x v="0"/>
    <x v="0"/>
    <x v="0"/>
    <x v="0"/>
    <x v="0"/>
    <x v="1"/>
  </r>
  <r>
    <n v="87195"/>
    <x v="0"/>
    <x v="0"/>
    <x v="108"/>
    <x v="5"/>
    <x v="2488"/>
    <x v="2"/>
    <d v="2024-09-04T00:00:00"/>
    <d v="2024-09-27T00:00:00"/>
    <x v="1"/>
    <x v="2552"/>
    <x v="1"/>
    <x v="106"/>
    <x v="1"/>
    <x v="1"/>
    <x v="1"/>
    <x v="1"/>
  </r>
  <r>
    <n v="35931"/>
    <x v="7"/>
    <x v="3"/>
    <x v="23"/>
    <x v="4"/>
    <x v="887"/>
    <x v="3"/>
    <d v="2024-07-17T00:00:00"/>
    <d v="2024-07-24T00:00:00"/>
    <x v="0"/>
    <x v="2553"/>
    <x v="0"/>
    <x v="0"/>
    <x v="0"/>
    <x v="0"/>
    <x v="0"/>
    <x v="1"/>
  </r>
  <r>
    <n v="20605"/>
    <x v="4"/>
    <x v="0"/>
    <x v="368"/>
    <x v="4"/>
    <x v="2489"/>
    <x v="2"/>
    <d v="2024-07-12T00:00:00"/>
    <d v="2024-07-30T00:00:00"/>
    <x v="0"/>
    <x v="2554"/>
    <x v="0"/>
    <x v="0"/>
    <x v="0"/>
    <x v="0"/>
    <x v="0"/>
    <x v="0"/>
  </r>
  <r>
    <n v="87195"/>
    <x v="7"/>
    <x v="3"/>
    <x v="374"/>
    <x v="6"/>
    <x v="2490"/>
    <x v="0"/>
    <d v="2024-08-26T00:00:00"/>
    <d v="2024-09-16T00:00:00"/>
    <x v="1"/>
    <x v="2555"/>
    <x v="1"/>
    <x v="124"/>
    <x v="1"/>
    <x v="1"/>
    <x v="1"/>
    <x v="1"/>
  </r>
  <r>
    <n v="58745"/>
    <x v="5"/>
    <x v="2"/>
    <x v="483"/>
    <x v="6"/>
    <x v="2491"/>
    <x v="1"/>
    <d v="2024-10-11T00:00:00"/>
    <d v="2024-11-11T00:00:00"/>
    <x v="1"/>
    <x v="2556"/>
    <x v="0"/>
    <x v="0"/>
    <x v="0"/>
    <x v="0"/>
    <x v="0"/>
    <x v="1"/>
  </r>
  <r>
    <n v="94482"/>
    <x v="0"/>
    <x v="0"/>
    <x v="335"/>
    <x v="5"/>
    <x v="179"/>
    <x v="3"/>
    <d v="2024-09-05T00:00:00"/>
    <d v="2024-09-21T00:00:00"/>
    <x v="0"/>
    <x v="2557"/>
    <x v="0"/>
    <x v="0"/>
    <x v="0"/>
    <x v="0"/>
    <x v="0"/>
    <x v="1"/>
  </r>
  <r>
    <n v="29564"/>
    <x v="15"/>
    <x v="4"/>
    <x v="133"/>
    <x v="2"/>
    <x v="2492"/>
    <x v="0"/>
    <d v="2024-06-06T00:00:00"/>
    <d v="2024-07-06T00:00:00"/>
    <x v="2"/>
    <x v="2558"/>
    <x v="0"/>
    <x v="0"/>
    <x v="0"/>
    <x v="0"/>
    <x v="0"/>
    <x v="0"/>
  </r>
  <r>
    <n v="78071"/>
    <x v="13"/>
    <x v="3"/>
    <x v="362"/>
    <x v="5"/>
    <x v="2493"/>
    <x v="0"/>
    <d v="2024-11-25T00:00:00"/>
    <d v="2024-12-08T00:00:00"/>
    <x v="2"/>
    <x v="2559"/>
    <x v="0"/>
    <x v="0"/>
    <x v="0"/>
    <x v="0"/>
    <x v="0"/>
    <x v="0"/>
  </r>
  <r>
    <n v="99694"/>
    <x v="11"/>
    <x v="4"/>
    <x v="383"/>
    <x v="0"/>
    <x v="2494"/>
    <x v="4"/>
    <d v="2024-10-13T00:00:00"/>
    <d v="2024-10-18T00:00:00"/>
    <x v="0"/>
    <x v="2560"/>
    <x v="0"/>
    <x v="0"/>
    <x v="0"/>
    <x v="0"/>
    <x v="0"/>
    <x v="1"/>
  </r>
  <r>
    <n v="29715"/>
    <x v="10"/>
    <x v="2"/>
    <x v="368"/>
    <x v="6"/>
    <x v="2495"/>
    <x v="4"/>
    <d v="2024-12-04T00:00:00"/>
    <d v="2025-01-05T00:00:00"/>
    <x v="0"/>
    <x v="2561"/>
    <x v="0"/>
    <x v="0"/>
    <x v="0"/>
    <x v="0"/>
    <x v="0"/>
    <x v="1"/>
  </r>
  <r>
    <n v="85761"/>
    <x v="3"/>
    <x v="2"/>
    <x v="336"/>
    <x v="0"/>
    <x v="2496"/>
    <x v="3"/>
    <d v="2024-07-30T00:00:00"/>
    <d v="2024-08-05T00:00:00"/>
    <x v="1"/>
    <x v="2562"/>
    <x v="0"/>
    <x v="0"/>
    <x v="0"/>
    <x v="0"/>
    <x v="0"/>
    <x v="0"/>
  </r>
  <r>
    <n v="24155"/>
    <x v="8"/>
    <x v="1"/>
    <x v="417"/>
    <x v="3"/>
    <x v="2497"/>
    <x v="0"/>
    <d v="2024-01-19T00:00:00"/>
    <d v="2024-02-26T00:00:00"/>
    <x v="1"/>
    <x v="2563"/>
    <x v="0"/>
    <x v="0"/>
    <x v="0"/>
    <x v="0"/>
    <x v="0"/>
    <x v="0"/>
  </r>
  <r>
    <n v="91855"/>
    <x v="9"/>
    <x v="1"/>
    <x v="94"/>
    <x v="0"/>
    <x v="2498"/>
    <x v="4"/>
    <d v="2024-03-26T00:00:00"/>
    <d v="2024-04-10T00:00:00"/>
    <x v="0"/>
    <x v="2564"/>
    <x v="0"/>
    <x v="0"/>
    <x v="0"/>
    <x v="0"/>
    <x v="0"/>
    <x v="0"/>
  </r>
  <r>
    <n v="72970"/>
    <x v="16"/>
    <x v="3"/>
    <x v="210"/>
    <x v="0"/>
    <x v="2499"/>
    <x v="4"/>
    <d v="2024-10-29T00:00:00"/>
    <d v="2024-12-01T00:00:00"/>
    <x v="0"/>
    <x v="2565"/>
    <x v="0"/>
    <x v="0"/>
    <x v="0"/>
    <x v="0"/>
    <x v="0"/>
    <x v="0"/>
  </r>
  <r>
    <n v="52605"/>
    <x v="9"/>
    <x v="1"/>
    <x v="51"/>
    <x v="0"/>
    <x v="2500"/>
    <x v="3"/>
    <d v="2024-08-24T00:00:00"/>
    <d v="2024-09-19T00:00:00"/>
    <x v="1"/>
    <x v="2566"/>
    <x v="0"/>
    <x v="0"/>
    <x v="0"/>
    <x v="0"/>
    <x v="0"/>
    <x v="0"/>
  </r>
  <r>
    <n v="68989"/>
    <x v="7"/>
    <x v="3"/>
    <x v="375"/>
    <x v="6"/>
    <x v="2501"/>
    <x v="2"/>
    <d v="2024-05-09T00:00:00"/>
    <d v="2024-05-30T00:00:00"/>
    <x v="0"/>
    <x v="2567"/>
    <x v="1"/>
    <x v="125"/>
    <x v="1"/>
    <x v="1"/>
    <x v="1"/>
    <x v="1"/>
  </r>
  <r>
    <n v="30661"/>
    <x v="2"/>
    <x v="1"/>
    <x v="414"/>
    <x v="6"/>
    <x v="2502"/>
    <x v="0"/>
    <d v="2024-12-26T00:00:00"/>
    <d v="2025-01-30T00:00:00"/>
    <x v="0"/>
    <x v="2568"/>
    <x v="0"/>
    <x v="0"/>
    <x v="0"/>
    <x v="0"/>
    <x v="0"/>
    <x v="1"/>
  </r>
  <r>
    <n v="68491"/>
    <x v="5"/>
    <x v="2"/>
    <x v="361"/>
    <x v="0"/>
    <x v="2503"/>
    <x v="4"/>
    <d v="2024-10-19T00:00:00"/>
    <d v="2024-11-11T00:00:00"/>
    <x v="1"/>
    <x v="2569"/>
    <x v="1"/>
    <x v="43"/>
    <x v="1"/>
    <x v="1"/>
    <x v="1"/>
    <x v="1"/>
  </r>
  <r>
    <n v="20002"/>
    <x v="13"/>
    <x v="3"/>
    <x v="476"/>
    <x v="1"/>
    <x v="2504"/>
    <x v="0"/>
    <d v="2024-12-25T00:00:00"/>
    <d v="2025-01-06T00:00:00"/>
    <x v="2"/>
    <x v="2570"/>
    <x v="0"/>
    <x v="0"/>
    <x v="0"/>
    <x v="0"/>
    <x v="0"/>
    <x v="0"/>
  </r>
  <r>
    <n v="84232"/>
    <x v="2"/>
    <x v="1"/>
    <x v="497"/>
    <x v="2"/>
    <x v="2505"/>
    <x v="2"/>
    <d v="2024-11-13T00:00:00"/>
    <d v="2024-12-17T00:00:00"/>
    <x v="1"/>
    <x v="2571"/>
    <x v="0"/>
    <x v="0"/>
    <x v="0"/>
    <x v="0"/>
    <x v="0"/>
    <x v="0"/>
  </r>
  <r>
    <n v="87365"/>
    <x v="11"/>
    <x v="4"/>
    <x v="428"/>
    <x v="2"/>
    <x v="2506"/>
    <x v="4"/>
    <d v="2024-09-07T00:00:00"/>
    <d v="2024-09-27T00:00:00"/>
    <x v="0"/>
    <x v="2572"/>
    <x v="0"/>
    <x v="0"/>
    <x v="0"/>
    <x v="0"/>
    <x v="0"/>
    <x v="1"/>
  </r>
  <r>
    <n v="53739"/>
    <x v="11"/>
    <x v="4"/>
    <x v="114"/>
    <x v="6"/>
    <x v="724"/>
    <x v="4"/>
    <d v="2024-03-21T00:00:00"/>
    <d v="2024-04-14T00:00:00"/>
    <x v="0"/>
    <x v="2573"/>
    <x v="0"/>
    <x v="0"/>
    <x v="0"/>
    <x v="0"/>
    <x v="0"/>
    <x v="1"/>
  </r>
  <r>
    <n v="85440"/>
    <x v="3"/>
    <x v="2"/>
    <x v="81"/>
    <x v="5"/>
    <x v="2507"/>
    <x v="1"/>
    <d v="2024-07-16T00:00:00"/>
    <d v="2024-07-23T00:00:00"/>
    <x v="0"/>
    <x v="2574"/>
    <x v="1"/>
    <x v="38"/>
    <x v="1"/>
    <x v="1"/>
    <x v="1"/>
    <x v="1"/>
  </r>
  <r>
    <n v="98022"/>
    <x v="15"/>
    <x v="4"/>
    <x v="26"/>
    <x v="4"/>
    <x v="2508"/>
    <x v="4"/>
    <d v="2024-10-20T00:00:00"/>
    <d v="2024-11-11T00:00:00"/>
    <x v="1"/>
    <x v="2575"/>
    <x v="0"/>
    <x v="0"/>
    <x v="0"/>
    <x v="0"/>
    <x v="0"/>
    <x v="0"/>
  </r>
  <r>
    <n v="95346"/>
    <x v="2"/>
    <x v="1"/>
    <x v="211"/>
    <x v="1"/>
    <x v="2509"/>
    <x v="3"/>
    <d v="2024-08-12T00:00:00"/>
    <d v="2024-09-07T00:00:00"/>
    <x v="2"/>
    <x v="2576"/>
    <x v="0"/>
    <x v="0"/>
    <x v="0"/>
    <x v="0"/>
    <x v="0"/>
    <x v="1"/>
  </r>
  <r>
    <n v="53322"/>
    <x v="16"/>
    <x v="3"/>
    <x v="137"/>
    <x v="5"/>
    <x v="2510"/>
    <x v="3"/>
    <d v="2024-12-16T00:00:00"/>
    <d v="2025-01-06T00:00:00"/>
    <x v="1"/>
    <x v="2577"/>
    <x v="0"/>
    <x v="0"/>
    <x v="0"/>
    <x v="0"/>
    <x v="0"/>
    <x v="0"/>
  </r>
  <r>
    <n v="49767"/>
    <x v="7"/>
    <x v="3"/>
    <x v="177"/>
    <x v="0"/>
    <x v="2511"/>
    <x v="0"/>
    <d v="2024-03-17T00:00:00"/>
    <d v="2024-04-17T00:00:00"/>
    <x v="0"/>
    <x v="2578"/>
    <x v="0"/>
    <x v="0"/>
    <x v="0"/>
    <x v="0"/>
    <x v="0"/>
    <x v="1"/>
  </r>
  <r>
    <n v="70510"/>
    <x v="12"/>
    <x v="0"/>
    <x v="4"/>
    <x v="6"/>
    <x v="2512"/>
    <x v="0"/>
    <d v="2024-11-08T00:00:00"/>
    <d v="2024-11-23T00:00:00"/>
    <x v="2"/>
    <x v="2579"/>
    <x v="0"/>
    <x v="0"/>
    <x v="0"/>
    <x v="0"/>
    <x v="0"/>
    <x v="1"/>
  </r>
  <r>
    <n v="39402"/>
    <x v="10"/>
    <x v="2"/>
    <x v="480"/>
    <x v="0"/>
    <x v="2513"/>
    <x v="3"/>
    <d v="2024-10-18T00:00:00"/>
    <d v="2024-10-24T00:00:00"/>
    <x v="0"/>
    <x v="2580"/>
    <x v="0"/>
    <x v="0"/>
    <x v="0"/>
    <x v="0"/>
    <x v="0"/>
    <x v="0"/>
  </r>
  <r>
    <n v="22767"/>
    <x v="11"/>
    <x v="4"/>
    <x v="47"/>
    <x v="3"/>
    <x v="2514"/>
    <x v="1"/>
    <d v="2024-01-02T00:00:00"/>
    <d v="2024-01-18T00:00:00"/>
    <x v="1"/>
    <x v="2581"/>
    <x v="0"/>
    <x v="0"/>
    <x v="0"/>
    <x v="0"/>
    <x v="0"/>
    <x v="0"/>
  </r>
  <r>
    <n v="34806"/>
    <x v="15"/>
    <x v="4"/>
    <x v="349"/>
    <x v="3"/>
    <x v="2515"/>
    <x v="0"/>
    <d v="2024-02-25T00:00:00"/>
    <d v="2024-03-04T00:00:00"/>
    <x v="2"/>
    <x v="2582"/>
    <x v="0"/>
    <x v="0"/>
    <x v="0"/>
    <x v="0"/>
    <x v="0"/>
    <x v="0"/>
  </r>
  <r>
    <n v="21612"/>
    <x v="10"/>
    <x v="2"/>
    <x v="30"/>
    <x v="4"/>
    <x v="2516"/>
    <x v="2"/>
    <d v="2024-03-08T00:00:00"/>
    <d v="2024-04-03T00:00:00"/>
    <x v="0"/>
    <x v="2583"/>
    <x v="0"/>
    <x v="0"/>
    <x v="0"/>
    <x v="0"/>
    <x v="0"/>
    <x v="0"/>
  </r>
  <r>
    <n v="72093"/>
    <x v="14"/>
    <x v="4"/>
    <x v="320"/>
    <x v="2"/>
    <x v="2517"/>
    <x v="4"/>
    <d v="2024-04-24T00:00:00"/>
    <d v="2024-05-02T00:00:00"/>
    <x v="2"/>
    <x v="2584"/>
    <x v="0"/>
    <x v="0"/>
    <x v="0"/>
    <x v="0"/>
    <x v="0"/>
    <x v="0"/>
  </r>
  <r>
    <n v="59851"/>
    <x v="8"/>
    <x v="1"/>
    <x v="77"/>
    <x v="2"/>
    <x v="2518"/>
    <x v="4"/>
    <d v="2024-05-24T00:00:00"/>
    <d v="2024-06-01T00:00:00"/>
    <x v="2"/>
    <x v="2585"/>
    <x v="0"/>
    <x v="0"/>
    <x v="0"/>
    <x v="0"/>
    <x v="0"/>
    <x v="1"/>
  </r>
  <r>
    <n v="13756"/>
    <x v="10"/>
    <x v="2"/>
    <x v="206"/>
    <x v="1"/>
    <x v="2519"/>
    <x v="1"/>
    <d v="2024-01-01T00:00:00"/>
    <d v="2024-01-06T00:00:00"/>
    <x v="1"/>
    <x v="2586"/>
    <x v="0"/>
    <x v="0"/>
    <x v="0"/>
    <x v="0"/>
    <x v="0"/>
    <x v="0"/>
  </r>
  <r>
    <n v="89921"/>
    <x v="5"/>
    <x v="2"/>
    <x v="138"/>
    <x v="6"/>
    <x v="2520"/>
    <x v="4"/>
    <d v="2024-08-20T00:00:00"/>
    <d v="2024-09-10T00:00:00"/>
    <x v="1"/>
    <x v="2587"/>
    <x v="1"/>
    <x v="126"/>
    <x v="1"/>
    <x v="1"/>
    <x v="1"/>
    <x v="1"/>
  </r>
  <r>
    <n v="95783"/>
    <x v="7"/>
    <x v="3"/>
    <x v="497"/>
    <x v="1"/>
    <x v="2521"/>
    <x v="0"/>
    <d v="2024-01-31T00:00:00"/>
    <d v="2024-02-12T00:00:00"/>
    <x v="1"/>
    <x v="2588"/>
    <x v="0"/>
    <x v="0"/>
    <x v="0"/>
    <x v="0"/>
    <x v="0"/>
    <x v="1"/>
  </r>
  <r>
    <n v="20273"/>
    <x v="2"/>
    <x v="1"/>
    <x v="449"/>
    <x v="4"/>
    <x v="2522"/>
    <x v="2"/>
    <d v="2024-12-15T00:00:00"/>
    <d v="2025-01-07T00:00:00"/>
    <x v="0"/>
    <x v="2589"/>
    <x v="0"/>
    <x v="0"/>
    <x v="0"/>
    <x v="0"/>
    <x v="0"/>
    <x v="1"/>
  </r>
  <r>
    <n v="57025"/>
    <x v="0"/>
    <x v="0"/>
    <x v="409"/>
    <x v="5"/>
    <x v="2523"/>
    <x v="2"/>
    <d v="2024-12-26T00:00:00"/>
    <d v="2025-01-23T00:00:00"/>
    <x v="1"/>
    <x v="2590"/>
    <x v="0"/>
    <x v="0"/>
    <x v="0"/>
    <x v="0"/>
    <x v="0"/>
    <x v="1"/>
  </r>
  <r>
    <n v="70910"/>
    <x v="9"/>
    <x v="1"/>
    <x v="115"/>
    <x v="5"/>
    <x v="2524"/>
    <x v="3"/>
    <d v="2024-03-10T00:00:00"/>
    <d v="2024-03-27T00:00:00"/>
    <x v="1"/>
    <x v="2591"/>
    <x v="0"/>
    <x v="0"/>
    <x v="0"/>
    <x v="0"/>
    <x v="0"/>
    <x v="1"/>
  </r>
  <r>
    <n v="72678"/>
    <x v="11"/>
    <x v="4"/>
    <x v="6"/>
    <x v="5"/>
    <x v="2525"/>
    <x v="4"/>
    <d v="2024-02-01T00:00:00"/>
    <d v="2024-02-12T00:00:00"/>
    <x v="2"/>
    <x v="2592"/>
    <x v="0"/>
    <x v="0"/>
    <x v="0"/>
    <x v="0"/>
    <x v="0"/>
    <x v="0"/>
  </r>
  <r>
    <n v="64345"/>
    <x v="11"/>
    <x v="4"/>
    <x v="74"/>
    <x v="1"/>
    <x v="2526"/>
    <x v="1"/>
    <d v="2024-12-07T00:00:00"/>
    <d v="2025-01-02T00:00:00"/>
    <x v="1"/>
    <x v="2593"/>
    <x v="0"/>
    <x v="0"/>
    <x v="0"/>
    <x v="0"/>
    <x v="0"/>
    <x v="0"/>
  </r>
  <r>
    <n v="26923"/>
    <x v="2"/>
    <x v="1"/>
    <x v="396"/>
    <x v="2"/>
    <x v="2527"/>
    <x v="1"/>
    <d v="2024-10-18T00:00:00"/>
    <d v="2024-11-22T00:00:00"/>
    <x v="1"/>
    <x v="2594"/>
    <x v="0"/>
    <x v="0"/>
    <x v="0"/>
    <x v="0"/>
    <x v="0"/>
    <x v="0"/>
  </r>
  <r>
    <n v="16716"/>
    <x v="12"/>
    <x v="0"/>
    <x v="83"/>
    <x v="6"/>
    <x v="2528"/>
    <x v="3"/>
    <d v="2024-05-04T00:00:00"/>
    <d v="2024-05-26T00:00:00"/>
    <x v="0"/>
    <x v="2595"/>
    <x v="0"/>
    <x v="0"/>
    <x v="0"/>
    <x v="0"/>
    <x v="0"/>
    <x v="1"/>
  </r>
  <r>
    <n v="22170"/>
    <x v="15"/>
    <x v="4"/>
    <x v="453"/>
    <x v="6"/>
    <x v="2529"/>
    <x v="4"/>
    <d v="2024-02-11T00:00:00"/>
    <d v="2024-02-16T00:00:00"/>
    <x v="1"/>
    <x v="2596"/>
    <x v="1"/>
    <x v="8"/>
    <x v="1"/>
    <x v="1"/>
    <x v="1"/>
    <x v="1"/>
  </r>
  <r>
    <n v="66153"/>
    <x v="15"/>
    <x v="4"/>
    <x v="273"/>
    <x v="3"/>
    <x v="2530"/>
    <x v="2"/>
    <d v="2024-05-15T00:00:00"/>
    <d v="2024-06-11T00:00:00"/>
    <x v="1"/>
    <x v="2597"/>
    <x v="0"/>
    <x v="0"/>
    <x v="0"/>
    <x v="0"/>
    <x v="0"/>
    <x v="0"/>
  </r>
  <r>
    <n v="62169"/>
    <x v="10"/>
    <x v="2"/>
    <x v="251"/>
    <x v="5"/>
    <x v="2531"/>
    <x v="3"/>
    <d v="2024-09-19T00:00:00"/>
    <d v="2024-10-04T00:00:00"/>
    <x v="1"/>
    <x v="2598"/>
    <x v="0"/>
    <x v="0"/>
    <x v="0"/>
    <x v="0"/>
    <x v="0"/>
    <x v="0"/>
  </r>
  <r>
    <n v="57631"/>
    <x v="15"/>
    <x v="4"/>
    <x v="81"/>
    <x v="2"/>
    <x v="2532"/>
    <x v="2"/>
    <d v="2024-07-02T00:00:00"/>
    <d v="2024-07-22T00:00:00"/>
    <x v="2"/>
    <x v="2599"/>
    <x v="0"/>
    <x v="0"/>
    <x v="0"/>
    <x v="0"/>
    <x v="0"/>
    <x v="0"/>
  </r>
  <r>
    <n v="45059"/>
    <x v="10"/>
    <x v="2"/>
    <x v="459"/>
    <x v="6"/>
    <x v="28"/>
    <x v="0"/>
    <d v="2024-01-18T00:00:00"/>
    <d v="2024-02-10T00:00:00"/>
    <x v="2"/>
    <x v="2600"/>
    <x v="0"/>
    <x v="0"/>
    <x v="0"/>
    <x v="0"/>
    <x v="0"/>
    <x v="0"/>
  </r>
  <r>
    <n v="91951"/>
    <x v="5"/>
    <x v="2"/>
    <x v="41"/>
    <x v="2"/>
    <x v="2533"/>
    <x v="0"/>
    <d v="2024-02-18T00:00:00"/>
    <d v="2024-03-21T00:00:00"/>
    <x v="0"/>
    <x v="2601"/>
    <x v="0"/>
    <x v="0"/>
    <x v="0"/>
    <x v="0"/>
    <x v="0"/>
    <x v="0"/>
  </r>
  <r>
    <n v="79445"/>
    <x v="12"/>
    <x v="0"/>
    <x v="114"/>
    <x v="0"/>
    <x v="455"/>
    <x v="4"/>
    <d v="2024-03-27T00:00:00"/>
    <d v="2024-04-02T00:00:00"/>
    <x v="0"/>
    <x v="2602"/>
    <x v="0"/>
    <x v="0"/>
    <x v="0"/>
    <x v="0"/>
    <x v="0"/>
    <x v="0"/>
  </r>
  <r>
    <n v="49502"/>
    <x v="4"/>
    <x v="0"/>
    <x v="359"/>
    <x v="4"/>
    <x v="1700"/>
    <x v="4"/>
    <d v="2024-03-30T00:00:00"/>
    <d v="2024-04-13T00:00:00"/>
    <x v="1"/>
    <x v="2603"/>
    <x v="0"/>
    <x v="0"/>
    <x v="0"/>
    <x v="0"/>
    <x v="0"/>
    <x v="0"/>
  </r>
  <r>
    <n v="22842"/>
    <x v="3"/>
    <x v="2"/>
    <x v="219"/>
    <x v="5"/>
    <x v="2534"/>
    <x v="2"/>
    <d v="2024-02-06T00:00:00"/>
    <d v="2024-02-24T00:00:00"/>
    <x v="0"/>
    <x v="2604"/>
    <x v="0"/>
    <x v="0"/>
    <x v="0"/>
    <x v="0"/>
    <x v="0"/>
    <x v="1"/>
  </r>
  <r>
    <n v="32623"/>
    <x v="1"/>
    <x v="0"/>
    <x v="63"/>
    <x v="0"/>
    <x v="2535"/>
    <x v="0"/>
    <d v="2024-12-08T00:00:00"/>
    <d v="2025-01-08T00:00:00"/>
    <x v="2"/>
    <x v="2605"/>
    <x v="0"/>
    <x v="0"/>
    <x v="0"/>
    <x v="0"/>
    <x v="0"/>
    <x v="0"/>
  </r>
  <r>
    <n v="58296"/>
    <x v="15"/>
    <x v="4"/>
    <x v="43"/>
    <x v="6"/>
    <x v="2536"/>
    <x v="4"/>
    <d v="2024-05-03T00:00:00"/>
    <d v="2024-05-11T00:00:00"/>
    <x v="0"/>
    <x v="2606"/>
    <x v="0"/>
    <x v="0"/>
    <x v="0"/>
    <x v="0"/>
    <x v="0"/>
    <x v="1"/>
  </r>
  <r>
    <n v="52012"/>
    <x v="15"/>
    <x v="4"/>
    <x v="86"/>
    <x v="6"/>
    <x v="2537"/>
    <x v="4"/>
    <d v="2024-07-18T00:00:00"/>
    <d v="2024-08-25T00:00:00"/>
    <x v="1"/>
    <x v="2607"/>
    <x v="1"/>
    <x v="120"/>
    <x v="1"/>
    <x v="1"/>
    <x v="1"/>
    <x v="1"/>
  </r>
  <r>
    <n v="84992"/>
    <x v="6"/>
    <x v="3"/>
    <x v="375"/>
    <x v="1"/>
    <x v="2538"/>
    <x v="1"/>
    <d v="2024-05-18T00:00:00"/>
    <d v="2024-06-05T00:00:00"/>
    <x v="2"/>
    <x v="2608"/>
    <x v="1"/>
    <x v="65"/>
    <x v="1"/>
    <x v="1"/>
    <x v="1"/>
    <x v="1"/>
  </r>
  <r>
    <n v="34172"/>
    <x v="10"/>
    <x v="2"/>
    <x v="374"/>
    <x v="0"/>
    <x v="2539"/>
    <x v="4"/>
    <d v="2024-11-23T00:00:00"/>
    <d v="2024-12-29T00:00:00"/>
    <x v="1"/>
    <x v="2609"/>
    <x v="0"/>
    <x v="0"/>
    <x v="0"/>
    <x v="0"/>
    <x v="0"/>
    <x v="1"/>
  </r>
  <r>
    <n v="66068"/>
    <x v="10"/>
    <x v="2"/>
    <x v="192"/>
    <x v="2"/>
    <x v="2540"/>
    <x v="1"/>
    <d v="2024-01-23T00:00:00"/>
    <d v="2024-02-10T00:00:00"/>
    <x v="2"/>
    <x v="2610"/>
    <x v="0"/>
    <x v="0"/>
    <x v="0"/>
    <x v="0"/>
    <x v="0"/>
    <x v="0"/>
  </r>
  <r>
    <n v="99376"/>
    <x v="15"/>
    <x v="4"/>
    <x v="274"/>
    <x v="1"/>
    <x v="2541"/>
    <x v="2"/>
    <d v="2024-05-25T00:00:00"/>
    <d v="2024-06-02T00:00:00"/>
    <x v="2"/>
    <x v="2611"/>
    <x v="1"/>
    <x v="110"/>
    <x v="1"/>
    <x v="1"/>
    <x v="1"/>
    <x v="1"/>
  </r>
  <r>
    <n v="89951"/>
    <x v="12"/>
    <x v="0"/>
    <x v="268"/>
    <x v="4"/>
    <x v="2542"/>
    <x v="0"/>
    <d v="2024-11-19T00:00:00"/>
    <d v="2024-12-04T00:00:00"/>
    <x v="2"/>
    <x v="2612"/>
    <x v="0"/>
    <x v="0"/>
    <x v="0"/>
    <x v="0"/>
    <x v="0"/>
    <x v="1"/>
  </r>
  <r>
    <n v="94860"/>
    <x v="6"/>
    <x v="3"/>
    <x v="394"/>
    <x v="4"/>
    <x v="2543"/>
    <x v="1"/>
    <d v="2024-10-26T00:00:00"/>
    <d v="2024-12-02T00:00:00"/>
    <x v="0"/>
    <x v="2613"/>
    <x v="0"/>
    <x v="0"/>
    <x v="0"/>
    <x v="0"/>
    <x v="0"/>
    <x v="0"/>
  </r>
  <r>
    <n v="85652"/>
    <x v="6"/>
    <x v="3"/>
    <x v="157"/>
    <x v="4"/>
    <x v="2544"/>
    <x v="3"/>
    <d v="2024-02-24T00:00:00"/>
    <d v="2024-03-15T00:00:00"/>
    <x v="2"/>
    <x v="2614"/>
    <x v="0"/>
    <x v="0"/>
    <x v="0"/>
    <x v="0"/>
    <x v="0"/>
    <x v="0"/>
  </r>
  <r>
    <n v="51534"/>
    <x v="0"/>
    <x v="0"/>
    <x v="219"/>
    <x v="5"/>
    <x v="2545"/>
    <x v="4"/>
    <d v="2024-01-30T00:00:00"/>
    <d v="2024-02-26T00:00:00"/>
    <x v="1"/>
    <x v="2615"/>
    <x v="0"/>
    <x v="0"/>
    <x v="0"/>
    <x v="0"/>
    <x v="0"/>
    <x v="1"/>
  </r>
  <r>
    <n v="17938"/>
    <x v="11"/>
    <x v="4"/>
    <x v="4"/>
    <x v="1"/>
    <x v="2546"/>
    <x v="1"/>
    <d v="2024-02-08T00:00:00"/>
    <d v="2024-02-29T00:00:00"/>
    <x v="1"/>
    <x v="2616"/>
    <x v="0"/>
    <x v="0"/>
    <x v="0"/>
    <x v="0"/>
    <x v="0"/>
    <x v="0"/>
  </r>
  <r>
    <n v="84755"/>
    <x v="5"/>
    <x v="2"/>
    <x v="242"/>
    <x v="6"/>
    <x v="2547"/>
    <x v="0"/>
    <d v="2024-03-12T00:00:00"/>
    <d v="2024-03-22T00:00:00"/>
    <x v="0"/>
    <x v="2617"/>
    <x v="0"/>
    <x v="0"/>
    <x v="0"/>
    <x v="0"/>
    <x v="0"/>
    <x v="0"/>
  </r>
  <r>
    <n v="77719"/>
    <x v="11"/>
    <x v="4"/>
    <x v="114"/>
    <x v="0"/>
    <x v="2548"/>
    <x v="0"/>
    <d v="2024-03-20T00:00:00"/>
    <d v="2024-03-26T00:00:00"/>
    <x v="0"/>
    <x v="2618"/>
    <x v="0"/>
    <x v="0"/>
    <x v="0"/>
    <x v="0"/>
    <x v="0"/>
    <x v="0"/>
  </r>
  <r>
    <n v="77117"/>
    <x v="5"/>
    <x v="2"/>
    <x v="54"/>
    <x v="3"/>
    <x v="2549"/>
    <x v="0"/>
    <d v="2024-08-24T00:00:00"/>
    <d v="2024-09-09T00:00:00"/>
    <x v="1"/>
    <x v="2619"/>
    <x v="1"/>
    <x v="69"/>
    <x v="1"/>
    <x v="1"/>
    <x v="1"/>
    <x v="1"/>
  </r>
  <r>
    <n v="99179"/>
    <x v="11"/>
    <x v="4"/>
    <x v="168"/>
    <x v="5"/>
    <x v="2550"/>
    <x v="3"/>
    <d v="2024-11-12T00:00:00"/>
    <d v="2024-11-20T00:00:00"/>
    <x v="0"/>
    <x v="2620"/>
    <x v="0"/>
    <x v="0"/>
    <x v="0"/>
    <x v="0"/>
    <x v="0"/>
    <x v="1"/>
  </r>
  <r>
    <n v="52124"/>
    <x v="3"/>
    <x v="2"/>
    <x v="118"/>
    <x v="3"/>
    <x v="2551"/>
    <x v="2"/>
    <d v="2024-01-16T00:00:00"/>
    <d v="2024-02-10T00:00:00"/>
    <x v="1"/>
    <x v="2621"/>
    <x v="0"/>
    <x v="0"/>
    <x v="0"/>
    <x v="0"/>
    <x v="0"/>
    <x v="0"/>
  </r>
  <r>
    <n v="42059"/>
    <x v="1"/>
    <x v="0"/>
    <x v="231"/>
    <x v="4"/>
    <x v="2552"/>
    <x v="2"/>
    <d v="2024-09-24T00:00:00"/>
    <d v="2024-10-23T00:00:00"/>
    <x v="1"/>
    <x v="2622"/>
    <x v="0"/>
    <x v="0"/>
    <x v="0"/>
    <x v="0"/>
    <x v="0"/>
    <x v="1"/>
  </r>
  <r>
    <n v="25834"/>
    <x v="4"/>
    <x v="0"/>
    <x v="361"/>
    <x v="1"/>
    <x v="2553"/>
    <x v="4"/>
    <d v="2024-08-18T00:00:00"/>
    <d v="2024-09-19T00:00:00"/>
    <x v="1"/>
    <x v="2623"/>
    <x v="1"/>
    <x v="83"/>
    <x v="1"/>
    <x v="1"/>
    <x v="1"/>
    <x v="1"/>
  </r>
  <r>
    <n v="81484"/>
    <x v="3"/>
    <x v="2"/>
    <x v="331"/>
    <x v="3"/>
    <x v="2554"/>
    <x v="2"/>
    <d v="2024-03-30T00:00:00"/>
    <d v="2024-05-04T00:00:00"/>
    <x v="1"/>
    <x v="2624"/>
    <x v="0"/>
    <x v="0"/>
    <x v="0"/>
    <x v="0"/>
    <x v="0"/>
    <x v="0"/>
  </r>
  <r>
    <n v="92368"/>
    <x v="14"/>
    <x v="4"/>
    <x v="266"/>
    <x v="3"/>
    <x v="2555"/>
    <x v="2"/>
    <d v="2024-12-22T00:00:00"/>
    <d v="2025-01-04T00:00:00"/>
    <x v="2"/>
    <x v="2625"/>
    <x v="0"/>
    <x v="0"/>
    <x v="0"/>
    <x v="0"/>
    <x v="0"/>
    <x v="0"/>
  </r>
  <r>
    <n v="55788"/>
    <x v="5"/>
    <x v="2"/>
    <x v="272"/>
    <x v="0"/>
    <x v="2556"/>
    <x v="1"/>
    <d v="2024-05-07T00:00:00"/>
    <d v="2024-05-19T00:00:00"/>
    <x v="0"/>
    <x v="2626"/>
    <x v="0"/>
    <x v="0"/>
    <x v="0"/>
    <x v="0"/>
    <x v="0"/>
    <x v="0"/>
  </r>
  <r>
    <n v="73535"/>
    <x v="12"/>
    <x v="0"/>
    <x v="346"/>
    <x v="0"/>
    <x v="2557"/>
    <x v="1"/>
    <d v="2024-08-16T00:00:00"/>
    <d v="2024-09-14T00:00:00"/>
    <x v="0"/>
    <x v="2627"/>
    <x v="0"/>
    <x v="0"/>
    <x v="0"/>
    <x v="0"/>
    <x v="0"/>
    <x v="0"/>
  </r>
  <r>
    <n v="25475"/>
    <x v="12"/>
    <x v="0"/>
    <x v="101"/>
    <x v="6"/>
    <x v="2558"/>
    <x v="1"/>
    <d v="2024-09-30T00:00:00"/>
    <d v="2024-11-06T00:00:00"/>
    <x v="1"/>
    <x v="2628"/>
    <x v="0"/>
    <x v="0"/>
    <x v="0"/>
    <x v="0"/>
    <x v="0"/>
    <x v="1"/>
  </r>
  <r>
    <n v="50185"/>
    <x v="6"/>
    <x v="3"/>
    <x v="60"/>
    <x v="6"/>
    <x v="2559"/>
    <x v="3"/>
    <d v="2024-10-30T00:00:00"/>
    <d v="2024-12-03T00:00:00"/>
    <x v="1"/>
    <x v="2629"/>
    <x v="0"/>
    <x v="0"/>
    <x v="0"/>
    <x v="0"/>
    <x v="0"/>
    <x v="1"/>
  </r>
  <r>
    <n v="73690"/>
    <x v="5"/>
    <x v="2"/>
    <x v="88"/>
    <x v="6"/>
    <x v="2560"/>
    <x v="4"/>
    <d v="2024-01-15T00:00:00"/>
    <d v="2024-02-17T00:00:00"/>
    <x v="2"/>
    <x v="2630"/>
    <x v="0"/>
    <x v="0"/>
    <x v="0"/>
    <x v="0"/>
    <x v="0"/>
    <x v="1"/>
  </r>
  <r>
    <n v="38210"/>
    <x v="2"/>
    <x v="1"/>
    <x v="341"/>
    <x v="2"/>
    <x v="2561"/>
    <x v="3"/>
    <d v="2024-07-21T00:00:00"/>
    <d v="2024-08-02T00:00:00"/>
    <x v="1"/>
    <x v="2631"/>
    <x v="1"/>
    <x v="60"/>
    <x v="1"/>
    <x v="1"/>
    <x v="1"/>
    <x v="1"/>
  </r>
  <r>
    <n v="53861"/>
    <x v="8"/>
    <x v="1"/>
    <x v="406"/>
    <x v="2"/>
    <x v="2562"/>
    <x v="4"/>
    <d v="2024-09-22T00:00:00"/>
    <d v="2024-10-10T00:00:00"/>
    <x v="1"/>
    <x v="2632"/>
    <x v="0"/>
    <x v="0"/>
    <x v="0"/>
    <x v="0"/>
    <x v="0"/>
    <x v="0"/>
  </r>
  <r>
    <n v="53114"/>
    <x v="6"/>
    <x v="3"/>
    <x v="276"/>
    <x v="4"/>
    <x v="2563"/>
    <x v="0"/>
    <d v="2024-09-10T00:00:00"/>
    <d v="2024-09-22T00:00:00"/>
    <x v="2"/>
    <x v="2633"/>
    <x v="0"/>
    <x v="0"/>
    <x v="0"/>
    <x v="0"/>
    <x v="0"/>
    <x v="0"/>
  </r>
  <r>
    <n v="17386"/>
    <x v="2"/>
    <x v="1"/>
    <x v="251"/>
    <x v="3"/>
    <x v="2564"/>
    <x v="1"/>
    <d v="2024-07-18T00:00:00"/>
    <d v="2024-08-13T00:00:00"/>
    <x v="0"/>
    <x v="2634"/>
    <x v="0"/>
    <x v="0"/>
    <x v="0"/>
    <x v="0"/>
    <x v="0"/>
    <x v="0"/>
  </r>
  <r>
    <n v="57369"/>
    <x v="13"/>
    <x v="3"/>
    <x v="322"/>
    <x v="0"/>
    <x v="2565"/>
    <x v="4"/>
    <d v="2024-12-04T00:00:00"/>
    <d v="2024-12-22T00:00:00"/>
    <x v="1"/>
    <x v="2635"/>
    <x v="0"/>
    <x v="0"/>
    <x v="0"/>
    <x v="0"/>
    <x v="0"/>
    <x v="0"/>
  </r>
  <r>
    <n v="94961"/>
    <x v="6"/>
    <x v="3"/>
    <x v="405"/>
    <x v="6"/>
    <x v="2566"/>
    <x v="2"/>
    <d v="2024-07-23T00:00:00"/>
    <d v="2024-08-26T00:00:00"/>
    <x v="1"/>
    <x v="2636"/>
    <x v="0"/>
    <x v="0"/>
    <x v="0"/>
    <x v="0"/>
    <x v="0"/>
    <x v="1"/>
  </r>
  <r>
    <n v="53162"/>
    <x v="12"/>
    <x v="0"/>
    <x v="28"/>
    <x v="4"/>
    <x v="2567"/>
    <x v="4"/>
    <d v="2024-09-18T00:00:00"/>
    <d v="2024-10-20T00:00:00"/>
    <x v="1"/>
    <x v="2637"/>
    <x v="0"/>
    <x v="0"/>
    <x v="0"/>
    <x v="0"/>
    <x v="0"/>
    <x v="0"/>
  </r>
  <r>
    <n v="94194"/>
    <x v="3"/>
    <x v="2"/>
    <x v="375"/>
    <x v="6"/>
    <x v="1243"/>
    <x v="2"/>
    <d v="2024-10-11T00:00:00"/>
    <d v="2024-10-21T00:00:00"/>
    <x v="0"/>
    <x v="2638"/>
    <x v="1"/>
    <x v="125"/>
    <x v="1"/>
    <x v="1"/>
    <x v="1"/>
    <x v="1"/>
  </r>
  <r>
    <n v="65881"/>
    <x v="2"/>
    <x v="1"/>
    <x v="297"/>
    <x v="2"/>
    <x v="2568"/>
    <x v="4"/>
    <d v="2024-02-12T00:00:00"/>
    <d v="2024-03-12T00:00:00"/>
    <x v="2"/>
    <x v="2639"/>
    <x v="0"/>
    <x v="0"/>
    <x v="0"/>
    <x v="0"/>
    <x v="0"/>
    <x v="0"/>
  </r>
  <r>
    <n v="28206"/>
    <x v="8"/>
    <x v="1"/>
    <x v="361"/>
    <x v="0"/>
    <x v="2376"/>
    <x v="1"/>
    <d v="2024-12-19T00:00:00"/>
    <d v="2025-01-04T00:00:00"/>
    <x v="0"/>
    <x v="2640"/>
    <x v="1"/>
    <x v="43"/>
    <x v="1"/>
    <x v="1"/>
    <x v="1"/>
    <x v="1"/>
  </r>
  <r>
    <n v="66938"/>
    <x v="11"/>
    <x v="4"/>
    <x v="114"/>
    <x v="5"/>
    <x v="2569"/>
    <x v="2"/>
    <d v="2024-05-30T00:00:00"/>
    <d v="2024-06-19T00:00:00"/>
    <x v="1"/>
    <x v="2641"/>
    <x v="0"/>
    <x v="0"/>
    <x v="0"/>
    <x v="0"/>
    <x v="0"/>
    <x v="1"/>
  </r>
  <r>
    <n v="25993"/>
    <x v="2"/>
    <x v="1"/>
    <x v="195"/>
    <x v="3"/>
    <x v="2570"/>
    <x v="2"/>
    <d v="2024-12-15T00:00:00"/>
    <d v="2025-01-02T00:00:00"/>
    <x v="1"/>
    <x v="2642"/>
    <x v="0"/>
    <x v="0"/>
    <x v="0"/>
    <x v="0"/>
    <x v="0"/>
    <x v="0"/>
  </r>
  <r>
    <n v="86553"/>
    <x v="0"/>
    <x v="0"/>
    <x v="121"/>
    <x v="6"/>
    <x v="2571"/>
    <x v="4"/>
    <d v="2024-03-28T00:00:00"/>
    <d v="2024-05-01T00:00:00"/>
    <x v="2"/>
    <x v="2643"/>
    <x v="0"/>
    <x v="0"/>
    <x v="0"/>
    <x v="0"/>
    <x v="0"/>
    <x v="0"/>
  </r>
  <r>
    <n v="29784"/>
    <x v="15"/>
    <x v="4"/>
    <x v="174"/>
    <x v="2"/>
    <x v="2572"/>
    <x v="2"/>
    <d v="2024-05-10T00:00:00"/>
    <d v="2024-06-13T00:00:00"/>
    <x v="1"/>
    <x v="2644"/>
    <x v="0"/>
    <x v="0"/>
    <x v="0"/>
    <x v="0"/>
    <x v="0"/>
    <x v="0"/>
  </r>
  <r>
    <n v="69317"/>
    <x v="8"/>
    <x v="1"/>
    <x v="472"/>
    <x v="6"/>
    <x v="2573"/>
    <x v="2"/>
    <d v="2024-01-20T00:00:00"/>
    <d v="2024-02-10T00:00:00"/>
    <x v="2"/>
    <x v="2645"/>
    <x v="0"/>
    <x v="0"/>
    <x v="0"/>
    <x v="0"/>
    <x v="0"/>
    <x v="1"/>
  </r>
  <r>
    <n v="18338"/>
    <x v="10"/>
    <x v="2"/>
    <x v="327"/>
    <x v="0"/>
    <x v="2574"/>
    <x v="4"/>
    <d v="2024-12-13T00:00:00"/>
    <d v="2025-01-08T00:00:00"/>
    <x v="2"/>
    <x v="2646"/>
    <x v="0"/>
    <x v="0"/>
    <x v="0"/>
    <x v="0"/>
    <x v="0"/>
    <x v="0"/>
  </r>
  <r>
    <n v="17139"/>
    <x v="6"/>
    <x v="3"/>
    <x v="52"/>
    <x v="2"/>
    <x v="2575"/>
    <x v="0"/>
    <d v="2024-10-13T00:00:00"/>
    <d v="2024-10-28T00:00:00"/>
    <x v="1"/>
    <x v="2647"/>
    <x v="0"/>
    <x v="0"/>
    <x v="0"/>
    <x v="0"/>
    <x v="0"/>
    <x v="1"/>
  </r>
  <r>
    <n v="23333"/>
    <x v="8"/>
    <x v="1"/>
    <x v="461"/>
    <x v="4"/>
    <x v="2576"/>
    <x v="4"/>
    <d v="2024-10-09T00:00:00"/>
    <d v="2024-11-12T00:00:00"/>
    <x v="0"/>
    <x v="2648"/>
    <x v="0"/>
    <x v="0"/>
    <x v="0"/>
    <x v="0"/>
    <x v="0"/>
    <x v="0"/>
  </r>
  <r>
    <n v="75210"/>
    <x v="15"/>
    <x v="4"/>
    <x v="284"/>
    <x v="0"/>
    <x v="2577"/>
    <x v="1"/>
    <d v="2024-05-24T00:00:00"/>
    <d v="2024-06-08T00:00:00"/>
    <x v="0"/>
    <x v="2649"/>
    <x v="0"/>
    <x v="0"/>
    <x v="0"/>
    <x v="0"/>
    <x v="0"/>
    <x v="1"/>
  </r>
  <r>
    <n v="70712"/>
    <x v="2"/>
    <x v="1"/>
    <x v="55"/>
    <x v="5"/>
    <x v="2578"/>
    <x v="2"/>
    <d v="2024-11-22T00:00:00"/>
    <d v="2024-12-03T00:00:00"/>
    <x v="1"/>
    <x v="2650"/>
    <x v="0"/>
    <x v="0"/>
    <x v="0"/>
    <x v="0"/>
    <x v="0"/>
    <x v="1"/>
  </r>
  <r>
    <n v="18048"/>
    <x v="4"/>
    <x v="0"/>
    <x v="129"/>
    <x v="0"/>
    <x v="2579"/>
    <x v="0"/>
    <d v="2024-11-04T00:00:00"/>
    <d v="2024-11-22T00:00:00"/>
    <x v="0"/>
    <x v="2651"/>
    <x v="0"/>
    <x v="0"/>
    <x v="0"/>
    <x v="0"/>
    <x v="0"/>
    <x v="0"/>
  </r>
  <r>
    <n v="24975"/>
    <x v="5"/>
    <x v="2"/>
    <x v="353"/>
    <x v="0"/>
    <x v="2580"/>
    <x v="1"/>
    <d v="2024-06-18T00:00:00"/>
    <d v="2024-07-20T00:00:00"/>
    <x v="2"/>
    <x v="2652"/>
    <x v="0"/>
    <x v="0"/>
    <x v="0"/>
    <x v="0"/>
    <x v="0"/>
    <x v="0"/>
  </r>
  <r>
    <n v="71264"/>
    <x v="11"/>
    <x v="4"/>
    <x v="3"/>
    <x v="0"/>
    <x v="2581"/>
    <x v="4"/>
    <d v="2024-10-16T00:00:00"/>
    <d v="2024-10-27T00:00:00"/>
    <x v="2"/>
    <x v="2653"/>
    <x v="0"/>
    <x v="0"/>
    <x v="0"/>
    <x v="0"/>
    <x v="0"/>
    <x v="0"/>
  </r>
  <r>
    <n v="14424"/>
    <x v="6"/>
    <x v="3"/>
    <x v="259"/>
    <x v="1"/>
    <x v="1487"/>
    <x v="2"/>
    <d v="2024-07-18T00:00:00"/>
    <d v="2024-07-31T00:00:00"/>
    <x v="2"/>
    <x v="2654"/>
    <x v="0"/>
    <x v="0"/>
    <x v="0"/>
    <x v="0"/>
    <x v="0"/>
    <x v="0"/>
  </r>
  <r>
    <n v="62445"/>
    <x v="9"/>
    <x v="1"/>
    <x v="234"/>
    <x v="1"/>
    <x v="2582"/>
    <x v="0"/>
    <d v="2024-07-26T00:00:00"/>
    <d v="2024-08-16T00:00:00"/>
    <x v="0"/>
    <x v="2655"/>
    <x v="0"/>
    <x v="0"/>
    <x v="0"/>
    <x v="0"/>
    <x v="0"/>
    <x v="0"/>
  </r>
  <r>
    <n v="62287"/>
    <x v="6"/>
    <x v="3"/>
    <x v="221"/>
    <x v="3"/>
    <x v="2583"/>
    <x v="4"/>
    <d v="2024-10-09T00:00:00"/>
    <d v="2024-10-15T00:00:00"/>
    <x v="1"/>
    <x v="2656"/>
    <x v="0"/>
    <x v="0"/>
    <x v="0"/>
    <x v="0"/>
    <x v="0"/>
    <x v="0"/>
  </r>
  <r>
    <n v="53953"/>
    <x v="7"/>
    <x v="3"/>
    <x v="37"/>
    <x v="1"/>
    <x v="2584"/>
    <x v="2"/>
    <d v="2024-10-05T00:00:00"/>
    <d v="2024-11-11T00:00:00"/>
    <x v="1"/>
    <x v="2657"/>
    <x v="0"/>
    <x v="0"/>
    <x v="0"/>
    <x v="0"/>
    <x v="0"/>
    <x v="1"/>
  </r>
  <r>
    <n v="39681"/>
    <x v="8"/>
    <x v="1"/>
    <x v="103"/>
    <x v="1"/>
    <x v="2585"/>
    <x v="2"/>
    <d v="2024-07-01T00:00:00"/>
    <d v="2024-07-12T00:00:00"/>
    <x v="2"/>
    <x v="2658"/>
    <x v="0"/>
    <x v="0"/>
    <x v="0"/>
    <x v="0"/>
    <x v="0"/>
    <x v="0"/>
  </r>
  <r>
    <n v="80459"/>
    <x v="12"/>
    <x v="0"/>
    <x v="63"/>
    <x v="2"/>
    <x v="2586"/>
    <x v="0"/>
    <d v="2024-08-25T00:00:00"/>
    <d v="2024-09-25T00:00:00"/>
    <x v="0"/>
    <x v="2659"/>
    <x v="0"/>
    <x v="0"/>
    <x v="0"/>
    <x v="0"/>
    <x v="0"/>
    <x v="0"/>
  </r>
  <r>
    <n v="16221"/>
    <x v="3"/>
    <x v="2"/>
    <x v="148"/>
    <x v="4"/>
    <x v="2587"/>
    <x v="2"/>
    <d v="2024-02-10T00:00:00"/>
    <d v="2024-03-07T00:00:00"/>
    <x v="2"/>
    <x v="2660"/>
    <x v="1"/>
    <x v="94"/>
    <x v="1"/>
    <x v="1"/>
    <x v="1"/>
    <x v="1"/>
  </r>
  <r>
    <n v="28898"/>
    <x v="2"/>
    <x v="1"/>
    <x v="151"/>
    <x v="3"/>
    <x v="2588"/>
    <x v="2"/>
    <d v="2024-11-01T00:00:00"/>
    <d v="2024-11-22T00:00:00"/>
    <x v="1"/>
    <x v="2661"/>
    <x v="0"/>
    <x v="0"/>
    <x v="0"/>
    <x v="0"/>
    <x v="0"/>
    <x v="0"/>
  </r>
  <r>
    <n v="19837"/>
    <x v="8"/>
    <x v="1"/>
    <x v="262"/>
    <x v="3"/>
    <x v="2589"/>
    <x v="2"/>
    <d v="2024-07-27T00:00:00"/>
    <d v="2024-08-12T00:00:00"/>
    <x v="1"/>
    <x v="2662"/>
    <x v="0"/>
    <x v="0"/>
    <x v="0"/>
    <x v="0"/>
    <x v="0"/>
    <x v="0"/>
  </r>
  <r>
    <n v="15044"/>
    <x v="2"/>
    <x v="1"/>
    <x v="409"/>
    <x v="0"/>
    <x v="2590"/>
    <x v="2"/>
    <d v="2024-11-12T00:00:00"/>
    <d v="2024-11-29T00:00:00"/>
    <x v="0"/>
    <x v="2663"/>
    <x v="0"/>
    <x v="0"/>
    <x v="0"/>
    <x v="0"/>
    <x v="0"/>
    <x v="0"/>
  </r>
  <r>
    <n v="47589"/>
    <x v="9"/>
    <x v="1"/>
    <x v="312"/>
    <x v="6"/>
    <x v="2591"/>
    <x v="2"/>
    <d v="2024-01-10T00:00:00"/>
    <d v="2024-02-17T00:00:00"/>
    <x v="0"/>
    <x v="2664"/>
    <x v="1"/>
    <x v="110"/>
    <x v="1"/>
    <x v="1"/>
    <x v="1"/>
    <x v="1"/>
  </r>
  <r>
    <n v="77178"/>
    <x v="13"/>
    <x v="3"/>
    <x v="203"/>
    <x v="5"/>
    <x v="2592"/>
    <x v="4"/>
    <d v="2024-07-14T00:00:00"/>
    <d v="2024-07-20T00:00:00"/>
    <x v="0"/>
    <x v="2665"/>
    <x v="0"/>
    <x v="0"/>
    <x v="0"/>
    <x v="0"/>
    <x v="0"/>
    <x v="1"/>
  </r>
  <r>
    <n v="30100"/>
    <x v="0"/>
    <x v="0"/>
    <x v="483"/>
    <x v="2"/>
    <x v="2593"/>
    <x v="2"/>
    <d v="2024-03-22T00:00:00"/>
    <d v="2024-03-29T00:00:00"/>
    <x v="0"/>
    <x v="2666"/>
    <x v="0"/>
    <x v="0"/>
    <x v="0"/>
    <x v="0"/>
    <x v="0"/>
    <x v="0"/>
  </r>
  <r>
    <n v="15922"/>
    <x v="4"/>
    <x v="0"/>
    <x v="417"/>
    <x v="3"/>
    <x v="2594"/>
    <x v="3"/>
    <d v="2024-02-23T00:00:00"/>
    <d v="2024-03-02T00:00:00"/>
    <x v="0"/>
    <x v="2667"/>
    <x v="0"/>
    <x v="0"/>
    <x v="0"/>
    <x v="0"/>
    <x v="0"/>
    <x v="0"/>
  </r>
  <r>
    <n v="62384"/>
    <x v="9"/>
    <x v="1"/>
    <x v="279"/>
    <x v="6"/>
    <x v="2595"/>
    <x v="4"/>
    <d v="2024-01-10T00:00:00"/>
    <d v="2024-01-21T00:00:00"/>
    <x v="2"/>
    <x v="2668"/>
    <x v="0"/>
    <x v="0"/>
    <x v="0"/>
    <x v="0"/>
    <x v="0"/>
    <x v="1"/>
  </r>
  <r>
    <n v="17661"/>
    <x v="16"/>
    <x v="3"/>
    <x v="199"/>
    <x v="4"/>
    <x v="1554"/>
    <x v="2"/>
    <d v="2024-06-16T00:00:00"/>
    <d v="2024-07-18T00:00:00"/>
    <x v="1"/>
    <x v="2669"/>
    <x v="0"/>
    <x v="0"/>
    <x v="0"/>
    <x v="0"/>
    <x v="0"/>
    <x v="1"/>
  </r>
  <r>
    <n v="28565"/>
    <x v="1"/>
    <x v="0"/>
    <x v="66"/>
    <x v="0"/>
    <x v="2596"/>
    <x v="1"/>
    <d v="2024-03-06T00:00:00"/>
    <d v="2024-03-19T00:00:00"/>
    <x v="0"/>
    <x v="2670"/>
    <x v="0"/>
    <x v="0"/>
    <x v="0"/>
    <x v="0"/>
    <x v="0"/>
    <x v="0"/>
  </r>
  <r>
    <n v="50584"/>
    <x v="5"/>
    <x v="2"/>
    <x v="476"/>
    <x v="1"/>
    <x v="2597"/>
    <x v="4"/>
    <d v="2024-03-27T00:00:00"/>
    <d v="2024-05-03T00:00:00"/>
    <x v="0"/>
    <x v="2671"/>
    <x v="0"/>
    <x v="0"/>
    <x v="0"/>
    <x v="0"/>
    <x v="0"/>
    <x v="0"/>
  </r>
  <r>
    <n v="79810"/>
    <x v="12"/>
    <x v="0"/>
    <x v="323"/>
    <x v="3"/>
    <x v="2598"/>
    <x v="2"/>
    <d v="2024-09-06T00:00:00"/>
    <d v="2024-10-06T00:00:00"/>
    <x v="2"/>
    <x v="2672"/>
    <x v="0"/>
    <x v="0"/>
    <x v="0"/>
    <x v="0"/>
    <x v="0"/>
    <x v="0"/>
  </r>
  <r>
    <n v="23348"/>
    <x v="8"/>
    <x v="1"/>
    <x v="343"/>
    <x v="1"/>
    <x v="2599"/>
    <x v="3"/>
    <d v="2024-06-21T00:00:00"/>
    <d v="2024-07-04T00:00:00"/>
    <x v="2"/>
    <x v="2673"/>
    <x v="0"/>
    <x v="0"/>
    <x v="0"/>
    <x v="0"/>
    <x v="0"/>
    <x v="0"/>
  </r>
  <r>
    <n v="18752"/>
    <x v="3"/>
    <x v="2"/>
    <x v="46"/>
    <x v="1"/>
    <x v="2600"/>
    <x v="1"/>
    <d v="2024-09-20T00:00:00"/>
    <d v="2024-10-28T00:00:00"/>
    <x v="1"/>
    <x v="2674"/>
    <x v="0"/>
    <x v="0"/>
    <x v="0"/>
    <x v="0"/>
    <x v="0"/>
    <x v="1"/>
  </r>
  <r>
    <n v="56431"/>
    <x v="3"/>
    <x v="2"/>
    <x v="156"/>
    <x v="0"/>
    <x v="2601"/>
    <x v="1"/>
    <d v="2024-08-11T00:00:00"/>
    <d v="2024-09-19T00:00:00"/>
    <x v="0"/>
    <x v="2675"/>
    <x v="1"/>
    <x v="91"/>
    <x v="1"/>
    <x v="1"/>
    <x v="1"/>
    <x v="1"/>
  </r>
  <r>
    <n v="73000"/>
    <x v="0"/>
    <x v="0"/>
    <x v="196"/>
    <x v="4"/>
    <x v="2602"/>
    <x v="1"/>
    <d v="2024-07-26T00:00:00"/>
    <d v="2024-08-17T00:00:00"/>
    <x v="0"/>
    <x v="2676"/>
    <x v="0"/>
    <x v="0"/>
    <x v="0"/>
    <x v="0"/>
    <x v="0"/>
    <x v="1"/>
  </r>
  <r>
    <n v="44826"/>
    <x v="0"/>
    <x v="0"/>
    <x v="348"/>
    <x v="1"/>
    <x v="2603"/>
    <x v="0"/>
    <d v="2024-09-15T00:00:00"/>
    <d v="2024-09-26T00:00:00"/>
    <x v="2"/>
    <x v="2677"/>
    <x v="0"/>
    <x v="0"/>
    <x v="0"/>
    <x v="0"/>
    <x v="0"/>
    <x v="1"/>
  </r>
  <r>
    <n v="90873"/>
    <x v="12"/>
    <x v="0"/>
    <x v="232"/>
    <x v="3"/>
    <x v="2604"/>
    <x v="3"/>
    <d v="2024-05-25T00:00:00"/>
    <d v="2024-06-05T00:00:00"/>
    <x v="2"/>
    <x v="2678"/>
    <x v="0"/>
    <x v="0"/>
    <x v="0"/>
    <x v="0"/>
    <x v="0"/>
    <x v="1"/>
  </r>
  <r>
    <n v="37664"/>
    <x v="2"/>
    <x v="1"/>
    <x v="465"/>
    <x v="3"/>
    <x v="2605"/>
    <x v="4"/>
    <d v="2024-06-29T00:00:00"/>
    <d v="2024-07-30T00:00:00"/>
    <x v="0"/>
    <x v="2679"/>
    <x v="0"/>
    <x v="0"/>
    <x v="0"/>
    <x v="0"/>
    <x v="0"/>
    <x v="0"/>
  </r>
  <r>
    <n v="20556"/>
    <x v="15"/>
    <x v="4"/>
    <x v="170"/>
    <x v="5"/>
    <x v="2606"/>
    <x v="2"/>
    <d v="2024-06-20T00:00:00"/>
    <d v="2024-07-09T00:00:00"/>
    <x v="0"/>
    <x v="2680"/>
    <x v="0"/>
    <x v="0"/>
    <x v="0"/>
    <x v="0"/>
    <x v="0"/>
    <x v="0"/>
  </r>
  <r>
    <n v="55995"/>
    <x v="6"/>
    <x v="3"/>
    <x v="53"/>
    <x v="2"/>
    <x v="2607"/>
    <x v="2"/>
    <d v="2024-10-09T00:00:00"/>
    <d v="2024-11-13T00:00:00"/>
    <x v="2"/>
    <x v="2681"/>
    <x v="0"/>
    <x v="0"/>
    <x v="0"/>
    <x v="0"/>
    <x v="0"/>
    <x v="0"/>
  </r>
  <r>
    <n v="78275"/>
    <x v="14"/>
    <x v="4"/>
    <x v="89"/>
    <x v="0"/>
    <x v="2608"/>
    <x v="2"/>
    <d v="2024-05-16T00:00:00"/>
    <d v="2024-05-30T00:00:00"/>
    <x v="2"/>
    <x v="2682"/>
    <x v="0"/>
    <x v="0"/>
    <x v="0"/>
    <x v="0"/>
    <x v="0"/>
    <x v="1"/>
  </r>
  <r>
    <n v="72582"/>
    <x v="3"/>
    <x v="2"/>
    <x v="131"/>
    <x v="0"/>
    <x v="2609"/>
    <x v="1"/>
    <d v="2024-04-18T00:00:00"/>
    <d v="2024-05-15T00:00:00"/>
    <x v="2"/>
    <x v="2683"/>
    <x v="0"/>
    <x v="0"/>
    <x v="0"/>
    <x v="0"/>
    <x v="0"/>
    <x v="0"/>
  </r>
  <r>
    <n v="26956"/>
    <x v="12"/>
    <x v="0"/>
    <x v="214"/>
    <x v="0"/>
    <x v="2610"/>
    <x v="2"/>
    <d v="2024-03-02T00:00:00"/>
    <d v="2024-03-13T00:00:00"/>
    <x v="0"/>
    <x v="2684"/>
    <x v="0"/>
    <x v="0"/>
    <x v="0"/>
    <x v="0"/>
    <x v="0"/>
    <x v="0"/>
  </r>
  <r>
    <n v="53534"/>
    <x v="7"/>
    <x v="3"/>
    <x v="45"/>
    <x v="5"/>
    <x v="2611"/>
    <x v="3"/>
    <d v="2024-02-12T00:00:00"/>
    <d v="2024-02-18T00:00:00"/>
    <x v="2"/>
    <x v="2685"/>
    <x v="1"/>
    <x v="2"/>
    <x v="1"/>
    <x v="1"/>
    <x v="1"/>
    <x v="1"/>
  </r>
  <r>
    <n v="38022"/>
    <x v="14"/>
    <x v="4"/>
    <x v="417"/>
    <x v="2"/>
    <x v="2612"/>
    <x v="1"/>
    <d v="2024-04-07T00:00:00"/>
    <d v="2024-05-08T00:00:00"/>
    <x v="2"/>
    <x v="2686"/>
    <x v="0"/>
    <x v="0"/>
    <x v="0"/>
    <x v="0"/>
    <x v="0"/>
    <x v="0"/>
  </r>
  <r>
    <n v="13909"/>
    <x v="16"/>
    <x v="3"/>
    <x v="176"/>
    <x v="1"/>
    <x v="2613"/>
    <x v="2"/>
    <d v="2024-02-19T00:00:00"/>
    <d v="2024-03-14T00:00:00"/>
    <x v="2"/>
    <x v="2687"/>
    <x v="0"/>
    <x v="0"/>
    <x v="0"/>
    <x v="0"/>
    <x v="0"/>
    <x v="1"/>
  </r>
  <r>
    <n v="41063"/>
    <x v="5"/>
    <x v="2"/>
    <x v="16"/>
    <x v="3"/>
    <x v="2614"/>
    <x v="4"/>
    <d v="2024-04-14T00:00:00"/>
    <d v="2024-04-30T00:00:00"/>
    <x v="1"/>
    <x v="2688"/>
    <x v="0"/>
    <x v="0"/>
    <x v="0"/>
    <x v="0"/>
    <x v="0"/>
    <x v="0"/>
  </r>
  <r>
    <n v="46389"/>
    <x v="9"/>
    <x v="1"/>
    <x v="78"/>
    <x v="0"/>
    <x v="2615"/>
    <x v="4"/>
    <d v="2024-09-28T00:00:00"/>
    <d v="2024-10-22T00:00:00"/>
    <x v="2"/>
    <x v="2689"/>
    <x v="0"/>
    <x v="0"/>
    <x v="0"/>
    <x v="0"/>
    <x v="0"/>
    <x v="1"/>
  </r>
  <r>
    <n v="77777"/>
    <x v="5"/>
    <x v="2"/>
    <x v="67"/>
    <x v="0"/>
    <x v="2616"/>
    <x v="0"/>
    <d v="2024-02-01T00:00:00"/>
    <d v="2024-03-07T00:00:00"/>
    <x v="1"/>
    <x v="2690"/>
    <x v="0"/>
    <x v="0"/>
    <x v="0"/>
    <x v="0"/>
    <x v="0"/>
    <x v="0"/>
  </r>
  <r>
    <n v="94259"/>
    <x v="0"/>
    <x v="0"/>
    <x v="225"/>
    <x v="1"/>
    <x v="2617"/>
    <x v="0"/>
    <d v="2024-05-18T00:00:00"/>
    <d v="2024-06-20T00:00:00"/>
    <x v="1"/>
    <x v="2691"/>
    <x v="0"/>
    <x v="0"/>
    <x v="0"/>
    <x v="0"/>
    <x v="0"/>
    <x v="0"/>
  </r>
  <r>
    <n v="17591"/>
    <x v="10"/>
    <x v="2"/>
    <x v="378"/>
    <x v="3"/>
    <x v="2618"/>
    <x v="3"/>
    <d v="2024-11-05T00:00:00"/>
    <d v="2024-12-03T00:00:00"/>
    <x v="0"/>
    <x v="2692"/>
    <x v="0"/>
    <x v="0"/>
    <x v="0"/>
    <x v="0"/>
    <x v="0"/>
    <x v="0"/>
  </r>
  <r>
    <n v="72848"/>
    <x v="11"/>
    <x v="4"/>
    <x v="431"/>
    <x v="1"/>
    <x v="2619"/>
    <x v="0"/>
    <d v="2024-06-17T00:00:00"/>
    <d v="2024-07-11T00:00:00"/>
    <x v="1"/>
    <x v="2693"/>
    <x v="1"/>
    <x v="29"/>
    <x v="1"/>
    <x v="1"/>
    <x v="1"/>
    <x v="1"/>
  </r>
  <r>
    <n v="46123"/>
    <x v="12"/>
    <x v="0"/>
    <x v="411"/>
    <x v="1"/>
    <x v="1168"/>
    <x v="3"/>
    <d v="2024-01-16T00:00:00"/>
    <d v="2024-02-20T00:00:00"/>
    <x v="1"/>
    <x v="2694"/>
    <x v="0"/>
    <x v="0"/>
    <x v="0"/>
    <x v="0"/>
    <x v="0"/>
    <x v="0"/>
  </r>
  <r>
    <n v="56814"/>
    <x v="3"/>
    <x v="2"/>
    <x v="398"/>
    <x v="4"/>
    <x v="2620"/>
    <x v="1"/>
    <d v="2024-04-16T00:00:00"/>
    <d v="2024-05-19T00:00:00"/>
    <x v="2"/>
    <x v="2695"/>
    <x v="1"/>
    <x v="69"/>
    <x v="1"/>
    <x v="1"/>
    <x v="1"/>
    <x v="1"/>
  </r>
  <r>
    <n v="81713"/>
    <x v="14"/>
    <x v="4"/>
    <x v="270"/>
    <x v="3"/>
    <x v="2621"/>
    <x v="0"/>
    <d v="2024-01-24T00:00:00"/>
    <d v="2024-02-02T00:00:00"/>
    <x v="2"/>
    <x v="2696"/>
    <x v="0"/>
    <x v="0"/>
    <x v="0"/>
    <x v="0"/>
    <x v="0"/>
    <x v="1"/>
  </r>
  <r>
    <n v="16639"/>
    <x v="9"/>
    <x v="1"/>
    <x v="73"/>
    <x v="4"/>
    <x v="2622"/>
    <x v="0"/>
    <d v="2024-08-13T00:00:00"/>
    <d v="2024-08-28T00:00:00"/>
    <x v="2"/>
    <x v="2697"/>
    <x v="0"/>
    <x v="0"/>
    <x v="0"/>
    <x v="0"/>
    <x v="0"/>
    <x v="0"/>
  </r>
  <r>
    <n v="67148"/>
    <x v="7"/>
    <x v="3"/>
    <x v="246"/>
    <x v="5"/>
    <x v="2623"/>
    <x v="2"/>
    <d v="2024-08-14T00:00:00"/>
    <d v="2024-08-28T00:00:00"/>
    <x v="0"/>
    <x v="2698"/>
    <x v="0"/>
    <x v="0"/>
    <x v="0"/>
    <x v="0"/>
    <x v="0"/>
    <x v="0"/>
  </r>
  <r>
    <n v="32791"/>
    <x v="6"/>
    <x v="3"/>
    <x v="77"/>
    <x v="1"/>
    <x v="2624"/>
    <x v="3"/>
    <d v="2024-06-14T00:00:00"/>
    <d v="2024-06-24T00:00:00"/>
    <x v="2"/>
    <x v="2699"/>
    <x v="1"/>
    <x v="5"/>
    <x v="1"/>
    <x v="1"/>
    <x v="1"/>
    <x v="1"/>
  </r>
  <r>
    <n v="72309"/>
    <x v="15"/>
    <x v="4"/>
    <x v="112"/>
    <x v="3"/>
    <x v="2625"/>
    <x v="3"/>
    <d v="2024-06-13T00:00:00"/>
    <d v="2024-07-02T00:00:00"/>
    <x v="0"/>
    <x v="2700"/>
    <x v="0"/>
    <x v="0"/>
    <x v="0"/>
    <x v="0"/>
    <x v="0"/>
    <x v="0"/>
  </r>
  <r>
    <n v="83839"/>
    <x v="14"/>
    <x v="4"/>
    <x v="126"/>
    <x v="4"/>
    <x v="2626"/>
    <x v="1"/>
    <d v="2024-01-01T00:00:00"/>
    <d v="2024-01-21T00:00:00"/>
    <x v="2"/>
    <x v="2701"/>
    <x v="0"/>
    <x v="0"/>
    <x v="0"/>
    <x v="0"/>
    <x v="0"/>
    <x v="0"/>
  </r>
  <r>
    <n v="98560"/>
    <x v="12"/>
    <x v="0"/>
    <x v="23"/>
    <x v="6"/>
    <x v="2627"/>
    <x v="4"/>
    <d v="2024-02-05T00:00:00"/>
    <d v="2024-02-13T00:00:00"/>
    <x v="0"/>
    <x v="2702"/>
    <x v="1"/>
    <x v="30"/>
    <x v="1"/>
    <x v="1"/>
    <x v="1"/>
    <x v="1"/>
  </r>
  <r>
    <n v="97095"/>
    <x v="9"/>
    <x v="1"/>
    <x v="384"/>
    <x v="6"/>
    <x v="2628"/>
    <x v="0"/>
    <d v="2024-03-22T00:00:00"/>
    <d v="2024-04-09T00:00:00"/>
    <x v="2"/>
    <x v="2703"/>
    <x v="0"/>
    <x v="0"/>
    <x v="0"/>
    <x v="0"/>
    <x v="0"/>
    <x v="1"/>
  </r>
  <r>
    <n v="22822"/>
    <x v="15"/>
    <x v="4"/>
    <x v="14"/>
    <x v="5"/>
    <x v="2629"/>
    <x v="2"/>
    <d v="2024-05-25T00:00:00"/>
    <d v="2024-06-12T00:00:00"/>
    <x v="2"/>
    <x v="2704"/>
    <x v="0"/>
    <x v="0"/>
    <x v="0"/>
    <x v="0"/>
    <x v="0"/>
    <x v="0"/>
  </r>
  <r>
    <n v="49884"/>
    <x v="13"/>
    <x v="3"/>
    <x v="316"/>
    <x v="0"/>
    <x v="2630"/>
    <x v="2"/>
    <d v="2024-04-09T00:00:00"/>
    <d v="2024-05-14T00:00:00"/>
    <x v="0"/>
    <x v="2705"/>
    <x v="1"/>
    <x v="37"/>
    <x v="1"/>
    <x v="1"/>
    <x v="1"/>
    <x v="1"/>
  </r>
  <r>
    <n v="27428"/>
    <x v="12"/>
    <x v="0"/>
    <x v="268"/>
    <x v="6"/>
    <x v="2631"/>
    <x v="2"/>
    <d v="2024-06-10T00:00:00"/>
    <d v="2024-07-16T00:00:00"/>
    <x v="2"/>
    <x v="2706"/>
    <x v="1"/>
    <x v="61"/>
    <x v="1"/>
    <x v="1"/>
    <x v="1"/>
    <x v="1"/>
  </r>
  <r>
    <n v="21679"/>
    <x v="5"/>
    <x v="2"/>
    <x v="10"/>
    <x v="1"/>
    <x v="2632"/>
    <x v="2"/>
    <d v="2024-02-10T00:00:00"/>
    <d v="2024-02-25T00:00:00"/>
    <x v="1"/>
    <x v="2707"/>
    <x v="0"/>
    <x v="0"/>
    <x v="0"/>
    <x v="0"/>
    <x v="0"/>
    <x v="0"/>
  </r>
  <r>
    <n v="60486"/>
    <x v="3"/>
    <x v="2"/>
    <x v="285"/>
    <x v="2"/>
    <x v="2633"/>
    <x v="3"/>
    <d v="2024-12-07T00:00:00"/>
    <d v="2025-01-15T00:00:00"/>
    <x v="0"/>
    <x v="2708"/>
    <x v="1"/>
    <x v="64"/>
    <x v="1"/>
    <x v="1"/>
    <x v="1"/>
    <x v="1"/>
  </r>
  <r>
    <n v="15403"/>
    <x v="16"/>
    <x v="3"/>
    <x v="191"/>
    <x v="2"/>
    <x v="2634"/>
    <x v="4"/>
    <d v="2024-02-16T00:00:00"/>
    <d v="2024-03-23T00:00:00"/>
    <x v="1"/>
    <x v="2709"/>
    <x v="0"/>
    <x v="0"/>
    <x v="0"/>
    <x v="0"/>
    <x v="0"/>
    <x v="0"/>
  </r>
  <r>
    <n v="20988"/>
    <x v="4"/>
    <x v="0"/>
    <x v="344"/>
    <x v="3"/>
    <x v="2635"/>
    <x v="2"/>
    <d v="2024-10-07T00:00:00"/>
    <d v="2024-11-13T00:00:00"/>
    <x v="1"/>
    <x v="2710"/>
    <x v="0"/>
    <x v="0"/>
    <x v="0"/>
    <x v="0"/>
    <x v="0"/>
    <x v="1"/>
  </r>
  <r>
    <n v="41051"/>
    <x v="2"/>
    <x v="1"/>
    <x v="327"/>
    <x v="5"/>
    <x v="2636"/>
    <x v="2"/>
    <d v="2024-04-30T00:00:00"/>
    <d v="2024-05-21T00:00:00"/>
    <x v="2"/>
    <x v="2711"/>
    <x v="0"/>
    <x v="0"/>
    <x v="0"/>
    <x v="0"/>
    <x v="0"/>
    <x v="0"/>
  </r>
  <r>
    <n v="53406"/>
    <x v="5"/>
    <x v="2"/>
    <x v="219"/>
    <x v="1"/>
    <x v="2637"/>
    <x v="0"/>
    <d v="2024-06-29T00:00:00"/>
    <d v="2024-07-24T00:00:00"/>
    <x v="2"/>
    <x v="2712"/>
    <x v="0"/>
    <x v="0"/>
    <x v="0"/>
    <x v="0"/>
    <x v="0"/>
    <x v="0"/>
  </r>
  <r>
    <n v="67254"/>
    <x v="15"/>
    <x v="4"/>
    <x v="403"/>
    <x v="6"/>
    <x v="2638"/>
    <x v="1"/>
    <d v="2024-01-26T00:00:00"/>
    <d v="2024-02-01T00:00:00"/>
    <x v="1"/>
    <x v="2713"/>
    <x v="0"/>
    <x v="0"/>
    <x v="0"/>
    <x v="0"/>
    <x v="0"/>
    <x v="1"/>
  </r>
  <r>
    <n v="49708"/>
    <x v="16"/>
    <x v="3"/>
    <x v="250"/>
    <x v="6"/>
    <x v="2639"/>
    <x v="1"/>
    <d v="2024-08-02T00:00:00"/>
    <d v="2024-08-17T00:00:00"/>
    <x v="1"/>
    <x v="2714"/>
    <x v="0"/>
    <x v="0"/>
    <x v="0"/>
    <x v="0"/>
    <x v="0"/>
    <x v="1"/>
  </r>
  <r>
    <n v="85507"/>
    <x v="8"/>
    <x v="1"/>
    <x v="202"/>
    <x v="5"/>
    <x v="2640"/>
    <x v="3"/>
    <d v="2024-11-29T00:00:00"/>
    <d v="2024-12-20T00:00:00"/>
    <x v="1"/>
    <x v="2715"/>
    <x v="1"/>
    <x v="29"/>
    <x v="1"/>
    <x v="1"/>
    <x v="1"/>
    <x v="1"/>
  </r>
  <r>
    <n v="85858"/>
    <x v="0"/>
    <x v="0"/>
    <x v="257"/>
    <x v="4"/>
    <x v="2641"/>
    <x v="0"/>
    <d v="2024-10-30T00:00:00"/>
    <d v="2024-11-21T00:00:00"/>
    <x v="0"/>
    <x v="2716"/>
    <x v="0"/>
    <x v="0"/>
    <x v="0"/>
    <x v="0"/>
    <x v="0"/>
    <x v="0"/>
  </r>
  <r>
    <n v="21325"/>
    <x v="10"/>
    <x v="2"/>
    <x v="419"/>
    <x v="0"/>
    <x v="2642"/>
    <x v="3"/>
    <d v="2024-10-07T00:00:00"/>
    <d v="2024-11-13T00:00:00"/>
    <x v="1"/>
    <x v="2717"/>
    <x v="0"/>
    <x v="0"/>
    <x v="0"/>
    <x v="0"/>
    <x v="0"/>
    <x v="0"/>
  </r>
  <r>
    <n v="88966"/>
    <x v="8"/>
    <x v="1"/>
    <x v="308"/>
    <x v="3"/>
    <x v="2643"/>
    <x v="4"/>
    <d v="2024-10-13T00:00:00"/>
    <d v="2024-11-11T00:00:00"/>
    <x v="0"/>
    <x v="2718"/>
    <x v="1"/>
    <x v="36"/>
    <x v="1"/>
    <x v="1"/>
    <x v="1"/>
    <x v="1"/>
  </r>
  <r>
    <n v="68274"/>
    <x v="14"/>
    <x v="4"/>
    <x v="51"/>
    <x v="1"/>
    <x v="2644"/>
    <x v="1"/>
    <d v="2024-07-29T00:00:00"/>
    <d v="2024-08-25T00:00:00"/>
    <x v="2"/>
    <x v="2719"/>
    <x v="0"/>
    <x v="0"/>
    <x v="0"/>
    <x v="0"/>
    <x v="0"/>
    <x v="1"/>
  </r>
  <r>
    <n v="24075"/>
    <x v="13"/>
    <x v="3"/>
    <x v="434"/>
    <x v="6"/>
    <x v="2645"/>
    <x v="2"/>
    <d v="2024-12-10T00:00:00"/>
    <d v="2025-01-16T00:00:00"/>
    <x v="2"/>
    <x v="2720"/>
    <x v="0"/>
    <x v="0"/>
    <x v="0"/>
    <x v="0"/>
    <x v="0"/>
    <x v="1"/>
  </r>
  <r>
    <n v="59101"/>
    <x v="5"/>
    <x v="2"/>
    <x v="52"/>
    <x v="5"/>
    <x v="2646"/>
    <x v="2"/>
    <d v="2024-09-19T00:00:00"/>
    <d v="2024-09-26T00:00:00"/>
    <x v="1"/>
    <x v="2721"/>
    <x v="1"/>
    <x v="39"/>
    <x v="1"/>
    <x v="1"/>
    <x v="1"/>
    <x v="1"/>
  </r>
  <r>
    <n v="16775"/>
    <x v="10"/>
    <x v="2"/>
    <x v="355"/>
    <x v="0"/>
    <x v="2647"/>
    <x v="0"/>
    <d v="2024-05-14T00:00:00"/>
    <d v="2024-05-25T00:00:00"/>
    <x v="1"/>
    <x v="2722"/>
    <x v="0"/>
    <x v="0"/>
    <x v="0"/>
    <x v="0"/>
    <x v="0"/>
    <x v="0"/>
  </r>
  <r>
    <n v="56993"/>
    <x v="14"/>
    <x v="4"/>
    <x v="400"/>
    <x v="1"/>
    <x v="2648"/>
    <x v="3"/>
    <d v="2024-05-23T00:00:00"/>
    <d v="2024-06-11T00:00:00"/>
    <x v="2"/>
    <x v="2723"/>
    <x v="0"/>
    <x v="0"/>
    <x v="0"/>
    <x v="0"/>
    <x v="0"/>
    <x v="0"/>
  </r>
  <r>
    <n v="82582"/>
    <x v="10"/>
    <x v="2"/>
    <x v="135"/>
    <x v="1"/>
    <x v="2649"/>
    <x v="0"/>
    <d v="2024-09-09T00:00:00"/>
    <d v="2024-10-10T00:00:00"/>
    <x v="1"/>
    <x v="2724"/>
    <x v="0"/>
    <x v="0"/>
    <x v="0"/>
    <x v="0"/>
    <x v="0"/>
    <x v="0"/>
  </r>
  <r>
    <n v="51129"/>
    <x v="8"/>
    <x v="1"/>
    <x v="438"/>
    <x v="1"/>
    <x v="2650"/>
    <x v="1"/>
    <d v="2024-07-02T00:00:00"/>
    <d v="2024-07-18T00:00:00"/>
    <x v="1"/>
    <x v="2725"/>
    <x v="0"/>
    <x v="0"/>
    <x v="0"/>
    <x v="0"/>
    <x v="0"/>
    <x v="1"/>
  </r>
  <r>
    <n v="38337"/>
    <x v="15"/>
    <x v="4"/>
    <x v="349"/>
    <x v="1"/>
    <x v="2651"/>
    <x v="3"/>
    <d v="2024-02-20T00:00:00"/>
    <d v="2024-03-03T00:00:00"/>
    <x v="0"/>
    <x v="2726"/>
    <x v="0"/>
    <x v="0"/>
    <x v="0"/>
    <x v="0"/>
    <x v="0"/>
    <x v="0"/>
  </r>
  <r>
    <n v="16511"/>
    <x v="3"/>
    <x v="2"/>
    <x v="435"/>
    <x v="3"/>
    <x v="2652"/>
    <x v="0"/>
    <d v="2024-02-16T00:00:00"/>
    <d v="2024-03-20T00:00:00"/>
    <x v="0"/>
    <x v="2727"/>
    <x v="0"/>
    <x v="0"/>
    <x v="0"/>
    <x v="0"/>
    <x v="0"/>
    <x v="1"/>
  </r>
  <r>
    <n v="61169"/>
    <x v="15"/>
    <x v="4"/>
    <x v="161"/>
    <x v="3"/>
    <x v="2653"/>
    <x v="1"/>
    <d v="2024-09-12T00:00:00"/>
    <d v="2024-09-19T00:00:00"/>
    <x v="1"/>
    <x v="2728"/>
    <x v="0"/>
    <x v="0"/>
    <x v="0"/>
    <x v="0"/>
    <x v="0"/>
    <x v="0"/>
  </r>
  <r>
    <n v="84090"/>
    <x v="2"/>
    <x v="1"/>
    <x v="169"/>
    <x v="0"/>
    <x v="2654"/>
    <x v="1"/>
    <d v="2024-01-17T00:00:00"/>
    <d v="2024-02-08T00:00:00"/>
    <x v="1"/>
    <x v="2729"/>
    <x v="0"/>
    <x v="0"/>
    <x v="0"/>
    <x v="0"/>
    <x v="0"/>
    <x v="0"/>
  </r>
  <r>
    <n v="79400"/>
    <x v="10"/>
    <x v="2"/>
    <x v="98"/>
    <x v="5"/>
    <x v="2655"/>
    <x v="2"/>
    <d v="2024-09-30T00:00:00"/>
    <d v="2024-10-09T00:00:00"/>
    <x v="0"/>
    <x v="2730"/>
    <x v="0"/>
    <x v="0"/>
    <x v="0"/>
    <x v="0"/>
    <x v="0"/>
    <x v="0"/>
  </r>
  <r>
    <n v="77370"/>
    <x v="1"/>
    <x v="0"/>
    <x v="236"/>
    <x v="5"/>
    <x v="2656"/>
    <x v="1"/>
    <d v="2024-04-27T00:00:00"/>
    <d v="2024-05-02T00:00:00"/>
    <x v="1"/>
    <x v="2731"/>
    <x v="0"/>
    <x v="0"/>
    <x v="0"/>
    <x v="0"/>
    <x v="0"/>
    <x v="0"/>
  </r>
  <r>
    <n v="86831"/>
    <x v="9"/>
    <x v="1"/>
    <x v="92"/>
    <x v="3"/>
    <x v="2657"/>
    <x v="0"/>
    <d v="2024-01-12T00:00:00"/>
    <d v="2024-02-04T00:00:00"/>
    <x v="1"/>
    <x v="2732"/>
    <x v="0"/>
    <x v="0"/>
    <x v="0"/>
    <x v="0"/>
    <x v="0"/>
    <x v="0"/>
  </r>
  <r>
    <n v="98961"/>
    <x v="6"/>
    <x v="3"/>
    <x v="111"/>
    <x v="0"/>
    <x v="2658"/>
    <x v="2"/>
    <d v="2024-09-12T00:00:00"/>
    <d v="2024-09-29T00:00:00"/>
    <x v="0"/>
    <x v="2733"/>
    <x v="0"/>
    <x v="0"/>
    <x v="0"/>
    <x v="0"/>
    <x v="0"/>
    <x v="0"/>
  </r>
  <r>
    <n v="45097"/>
    <x v="5"/>
    <x v="2"/>
    <x v="91"/>
    <x v="4"/>
    <x v="1201"/>
    <x v="0"/>
    <d v="2024-01-01T00:00:00"/>
    <d v="2024-01-30T00:00:00"/>
    <x v="1"/>
    <x v="2734"/>
    <x v="0"/>
    <x v="0"/>
    <x v="0"/>
    <x v="0"/>
    <x v="0"/>
    <x v="0"/>
  </r>
  <r>
    <n v="99998"/>
    <x v="15"/>
    <x v="4"/>
    <x v="249"/>
    <x v="6"/>
    <x v="787"/>
    <x v="3"/>
    <d v="2024-03-20T00:00:00"/>
    <d v="2024-04-20T00:00:00"/>
    <x v="1"/>
    <x v="2735"/>
    <x v="0"/>
    <x v="0"/>
    <x v="0"/>
    <x v="0"/>
    <x v="0"/>
    <x v="1"/>
  </r>
  <r>
    <n v="63861"/>
    <x v="15"/>
    <x v="4"/>
    <x v="160"/>
    <x v="5"/>
    <x v="2659"/>
    <x v="1"/>
    <d v="2024-02-27T00:00:00"/>
    <d v="2024-03-19T00:00:00"/>
    <x v="2"/>
    <x v="2736"/>
    <x v="0"/>
    <x v="0"/>
    <x v="0"/>
    <x v="0"/>
    <x v="0"/>
    <x v="1"/>
  </r>
  <r>
    <n v="19859"/>
    <x v="5"/>
    <x v="2"/>
    <x v="271"/>
    <x v="0"/>
    <x v="2660"/>
    <x v="4"/>
    <d v="2024-07-14T00:00:00"/>
    <d v="2024-07-22T00:00:00"/>
    <x v="2"/>
    <x v="2737"/>
    <x v="0"/>
    <x v="0"/>
    <x v="0"/>
    <x v="0"/>
    <x v="0"/>
    <x v="0"/>
  </r>
  <r>
    <n v="86427"/>
    <x v="3"/>
    <x v="2"/>
    <x v="95"/>
    <x v="2"/>
    <x v="2661"/>
    <x v="3"/>
    <d v="2024-09-29T00:00:00"/>
    <d v="2024-10-30T00:00:00"/>
    <x v="0"/>
    <x v="2738"/>
    <x v="0"/>
    <x v="0"/>
    <x v="0"/>
    <x v="0"/>
    <x v="0"/>
    <x v="0"/>
  </r>
  <r>
    <n v="50916"/>
    <x v="10"/>
    <x v="2"/>
    <x v="331"/>
    <x v="1"/>
    <x v="2662"/>
    <x v="1"/>
    <d v="2024-11-14T00:00:00"/>
    <d v="2024-12-19T00:00:00"/>
    <x v="1"/>
    <x v="2739"/>
    <x v="0"/>
    <x v="0"/>
    <x v="0"/>
    <x v="0"/>
    <x v="0"/>
    <x v="1"/>
  </r>
  <r>
    <n v="96257"/>
    <x v="5"/>
    <x v="2"/>
    <x v="365"/>
    <x v="1"/>
    <x v="2663"/>
    <x v="0"/>
    <d v="2024-05-05T00:00:00"/>
    <d v="2024-06-06T00:00:00"/>
    <x v="1"/>
    <x v="2740"/>
    <x v="1"/>
    <x v="60"/>
    <x v="1"/>
    <x v="1"/>
    <x v="1"/>
    <x v="1"/>
  </r>
  <r>
    <n v="33115"/>
    <x v="6"/>
    <x v="3"/>
    <x v="118"/>
    <x v="0"/>
    <x v="2664"/>
    <x v="3"/>
    <d v="2024-10-08T00:00:00"/>
    <d v="2024-10-16T00:00:00"/>
    <x v="2"/>
    <x v="2741"/>
    <x v="0"/>
    <x v="0"/>
    <x v="0"/>
    <x v="0"/>
    <x v="0"/>
    <x v="0"/>
  </r>
  <r>
    <n v="60509"/>
    <x v="2"/>
    <x v="1"/>
    <x v="275"/>
    <x v="6"/>
    <x v="2665"/>
    <x v="2"/>
    <d v="2024-05-07T00:00:00"/>
    <d v="2024-06-09T00:00:00"/>
    <x v="1"/>
    <x v="2742"/>
    <x v="0"/>
    <x v="0"/>
    <x v="0"/>
    <x v="0"/>
    <x v="0"/>
    <x v="1"/>
  </r>
  <r>
    <n v="91462"/>
    <x v="7"/>
    <x v="3"/>
    <x v="386"/>
    <x v="2"/>
    <x v="2666"/>
    <x v="3"/>
    <d v="2024-09-29T00:00:00"/>
    <d v="2024-10-30T00:00:00"/>
    <x v="0"/>
    <x v="2743"/>
    <x v="0"/>
    <x v="0"/>
    <x v="0"/>
    <x v="0"/>
    <x v="0"/>
    <x v="0"/>
  </r>
  <r>
    <n v="21651"/>
    <x v="2"/>
    <x v="1"/>
    <x v="128"/>
    <x v="0"/>
    <x v="2667"/>
    <x v="4"/>
    <d v="2024-12-07T00:00:00"/>
    <d v="2024-12-13T00:00:00"/>
    <x v="0"/>
    <x v="2744"/>
    <x v="0"/>
    <x v="0"/>
    <x v="0"/>
    <x v="0"/>
    <x v="0"/>
    <x v="0"/>
  </r>
  <r>
    <n v="78743"/>
    <x v="5"/>
    <x v="2"/>
    <x v="137"/>
    <x v="0"/>
    <x v="2668"/>
    <x v="4"/>
    <d v="2024-08-22T00:00:00"/>
    <d v="2024-09-11T00:00:00"/>
    <x v="0"/>
    <x v="2745"/>
    <x v="0"/>
    <x v="0"/>
    <x v="0"/>
    <x v="0"/>
    <x v="0"/>
    <x v="0"/>
  </r>
  <r>
    <n v="76186"/>
    <x v="11"/>
    <x v="4"/>
    <x v="252"/>
    <x v="5"/>
    <x v="2669"/>
    <x v="1"/>
    <d v="2024-03-01T00:00:00"/>
    <d v="2024-03-28T00:00:00"/>
    <x v="0"/>
    <x v="2746"/>
    <x v="0"/>
    <x v="0"/>
    <x v="0"/>
    <x v="0"/>
    <x v="0"/>
    <x v="1"/>
  </r>
  <r>
    <n v="63662"/>
    <x v="10"/>
    <x v="2"/>
    <x v="281"/>
    <x v="1"/>
    <x v="2670"/>
    <x v="0"/>
    <d v="2024-03-21T00:00:00"/>
    <d v="2024-03-27T00:00:00"/>
    <x v="2"/>
    <x v="2747"/>
    <x v="0"/>
    <x v="0"/>
    <x v="0"/>
    <x v="0"/>
    <x v="0"/>
    <x v="0"/>
  </r>
  <r>
    <n v="53671"/>
    <x v="0"/>
    <x v="0"/>
    <x v="350"/>
    <x v="3"/>
    <x v="2671"/>
    <x v="1"/>
    <d v="2024-09-07T00:00:00"/>
    <d v="2024-10-03T00:00:00"/>
    <x v="0"/>
    <x v="2748"/>
    <x v="0"/>
    <x v="0"/>
    <x v="0"/>
    <x v="0"/>
    <x v="0"/>
    <x v="0"/>
  </r>
  <r>
    <n v="41247"/>
    <x v="8"/>
    <x v="1"/>
    <x v="252"/>
    <x v="2"/>
    <x v="2672"/>
    <x v="2"/>
    <d v="2024-12-17T00:00:00"/>
    <d v="2025-01-09T00:00:00"/>
    <x v="0"/>
    <x v="2749"/>
    <x v="0"/>
    <x v="0"/>
    <x v="0"/>
    <x v="0"/>
    <x v="0"/>
    <x v="0"/>
  </r>
  <r>
    <n v="75841"/>
    <x v="13"/>
    <x v="3"/>
    <x v="325"/>
    <x v="5"/>
    <x v="2673"/>
    <x v="3"/>
    <d v="2024-06-09T00:00:00"/>
    <d v="2024-06-28T00:00:00"/>
    <x v="2"/>
    <x v="2750"/>
    <x v="0"/>
    <x v="0"/>
    <x v="0"/>
    <x v="0"/>
    <x v="0"/>
    <x v="1"/>
  </r>
  <r>
    <n v="65883"/>
    <x v="8"/>
    <x v="1"/>
    <x v="333"/>
    <x v="4"/>
    <x v="2674"/>
    <x v="1"/>
    <d v="2024-07-17T00:00:00"/>
    <d v="2024-07-25T00:00:00"/>
    <x v="1"/>
    <x v="2751"/>
    <x v="0"/>
    <x v="0"/>
    <x v="0"/>
    <x v="0"/>
    <x v="0"/>
    <x v="0"/>
  </r>
  <r>
    <n v="14808"/>
    <x v="10"/>
    <x v="2"/>
    <x v="421"/>
    <x v="6"/>
    <x v="2675"/>
    <x v="4"/>
    <d v="2024-01-31T00:00:00"/>
    <d v="2024-03-10T00:00:00"/>
    <x v="1"/>
    <x v="2752"/>
    <x v="1"/>
    <x v="62"/>
    <x v="1"/>
    <x v="1"/>
    <x v="1"/>
    <x v="1"/>
  </r>
  <r>
    <n v="48639"/>
    <x v="7"/>
    <x v="3"/>
    <x v="71"/>
    <x v="3"/>
    <x v="2676"/>
    <x v="4"/>
    <d v="2024-12-03T00:00:00"/>
    <d v="2024-12-21T00:00:00"/>
    <x v="0"/>
    <x v="2753"/>
    <x v="0"/>
    <x v="0"/>
    <x v="0"/>
    <x v="0"/>
    <x v="0"/>
    <x v="0"/>
  </r>
  <r>
    <n v="53831"/>
    <x v="8"/>
    <x v="1"/>
    <x v="97"/>
    <x v="5"/>
    <x v="2677"/>
    <x v="4"/>
    <d v="2024-02-01T00:00:00"/>
    <d v="2024-02-24T00:00:00"/>
    <x v="1"/>
    <x v="2754"/>
    <x v="0"/>
    <x v="0"/>
    <x v="0"/>
    <x v="0"/>
    <x v="0"/>
    <x v="1"/>
  </r>
  <r>
    <n v="85066"/>
    <x v="4"/>
    <x v="0"/>
    <x v="464"/>
    <x v="5"/>
    <x v="2002"/>
    <x v="3"/>
    <d v="2024-10-11T00:00:00"/>
    <d v="2024-10-28T00:00:00"/>
    <x v="2"/>
    <x v="2755"/>
    <x v="0"/>
    <x v="0"/>
    <x v="0"/>
    <x v="0"/>
    <x v="0"/>
    <x v="0"/>
  </r>
  <r>
    <n v="89271"/>
    <x v="8"/>
    <x v="1"/>
    <x v="99"/>
    <x v="6"/>
    <x v="2678"/>
    <x v="1"/>
    <d v="2024-11-30T00:00:00"/>
    <d v="2024-12-19T00:00:00"/>
    <x v="2"/>
    <x v="2756"/>
    <x v="1"/>
    <x v="38"/>
    <x v="1"/>
    <x v="1"/>
    <x v="1"/>
    <x v="1"/>
  </r>
  <r>
    <n v="38385"/>
    <x v="7"/>
    <x v="3"/>
    <x v="121"/>
    <x v="6"/>
    <x v="2679"/>
    <x v="2"/>
    <d v="2024-09-16T00:00:00"/>
    <d v="2024-10-02T00:00:00"/>
    <x v="2"/>
    <x v="2757"/>
    <x v="0"/>
    <x v="0"/>
    <x v="0"/>
    <x v="0"/>
    <x v="0"/>
    <x v="0"/>
  </r>
  <r>
    <n v="97943"/>
    <x v="3"/>
    <x v="2"/>
    <x v="158"/>
    <x v="2"/>
    <x v="2680"/>
    <x v="1"/>
    <d v="2024-07-11T00:00:00"/>
    <d v="2024-07-28T00:00:00"/>
    <x v="2"/>
    <x v="2758"/>
    <x v="0"/>
    <x v="0"/>
    <x v="0"/>
    <x v="0"/>
    <x v="0"/>
    <x v="0"/>
  </r>
  <r>
    <n v="10797"/>
    <x v="3"/>
    <x v="2"/>
    <x v="168"/>
    <x v="4"/>
    <x v="2681"/>
    <x v="1"/>
    <d v="2024-06-14T00:00:00"/>
    <d v="2024-07-08T00:00:00"/>
    <x v="1"/>
    <x v="2759"/>
    <x v="0"/>
    <x v="0"/>
    <x v="0"/>
    <x v="0"/>
    <x v="0"/>
    <x v="1"/>
  </r>
  <r>
    <n v="38787"/>
    <x v="3"/>
    <x v="2"/>
    <x v="82"/>
    <x v="0"/>
    <x v="2682"/>
    <x v="4"/>
    <d v="2024-01-30T00:00:00"/>
    <d v="2024-03-04T00:00:00"/>
    <x v="1"/>
    <x v="2760"/>
    <x v="0"/>
    <x v="0"/>
    <x v="0"/>
    <x v="0"/>
    <x v="0"/>
    <x v="1"/>
  </r>
  <r>
    <n v="99779"/>
    <x v="3"/>
    <x v="2"/>
    <x v="274"/>
    <x v="0"/>
    <x v="2683"/>
    <x v="4"/>
    <d v="2024-06-17T00:00:00"/>
    <d v="2024-07-17T00:00:00"/>
    <x v="1"/>
    <x v="2761"/>
    <x v="1"/>
    <x v="14"/>
    <x v="1"/>
    <x v="1"/>
    <x v="1"/>
    <x v="1"/>
  </r>
  <r>
    <n v="79560"/>
    <x v="0"/>
    <x v="0"/>
    <x v="89"/>
    <x v="1"/>
    <x v="2684"/>
    <x v="4"/>
    <d v="2024-11-06T00:00:00"/>
    <d v="2024-11-18T00:00:00"/>
    <x v="1"/>
    <x v="2762"/>
    <x v="1"/>
    <x v="12"/>
    <x v="1"/>
    <x v="1"/>
    <x v="1"/>
    <x v="1"/>
  </r>
  <r>
    <n v="39684"/>
    <x v="2"/>
    <x v="1"/>
    <x v="424"/>
    <x v="3"/>
    <x v="2685"/>
    <x v="4"/>
    <d v="2024-11-08T00:00:00"/>
    <d v="2024-11-16T00:00:00"/>
    <x v="1"/>
    <x v="2763"/>
    <x v="0"/>
    <x v="0"/>
    <x v="0"/>
    <x v="0"/>
    <x v="0"/>
    <x v="0"/>
  </r>
  <r>
    <n v="50910"/>
    <x v="7"/>
    <x v="3"/>
    <x v="432"/>
    <x v="2"/>
    <x v="2686"/>
    <x v="1"/>
    <d v="2024-03-22T00:00:00"/>
    <d v="2024-04-05T00:00:00"/>
    <x v="0"/>
    <x v="2764"/>
    <x v="0"/>
    <x v="0"/>
    <x v="0"/>
    <x v="0"/>
    <x v="0"/>
    <x v="0"/>
  </r>
  <r>
    <n v="52706"/>
    <x v="5"/>
    <x v="2"/>
    <x v="248"/>
    <x v="2"/>
    <x v="2687"/>
    <x v="0"/>
    <d v="2024-02-04T00:00:00"/>
    <d v="2024-02-29T00:00:00"/>
    <x v="0"/>
    <x v="2765"/>
    <x v="0"/>
    <x v="0"/>
    <x v="0"/>
    <x v="0"/>
    <x v="0"/>
    <x v="0"/>
  </r>
  <r>
    <n v="16377"/>
    <x v="12"/>
    <x v="0"/>
    <x v="193"/>
    <x v="0"/>
    <x v="2688"/>
    <x v="0"/>
    <d v="2024-08-06T00:00:00"/>
    <d v="2024-08-28T00:00:00"/>
    <x v="0"/>
    <x v="2766"/>
    <x v="0"/>
    <x v="0"/>
    <x v="0"/>
    <x v="0"/>
    <x v="0"/>
    <x v="0"/>
  </r>
  <r>
    <n v="56729"/>
    <x v="16"/>
    <x v="3"/>
    <x v="460"/>
    <x v="4"/>
    <x v="2689"/>
    <x v="4"/>
    <d v="2024-02-26T00:00:00"/>
    <d v="2024-04-01T00:00:00"/>
    <x v="0"/>
    <x v="2767"/>
    <x v="0"/>
    <x v="0"/>
    <x v="0"/>
    <x v="0"/>
    <x v="0"/>
    <x v="0"/>
  </r>
  <r>
    <n v="19642"/>
    <x v="11"/>
    <x v="4"/>
    <x v="341"/>
    <x v="6"/>
    <x v="2690"/>
    <x v="1"/>
    <d v="2024-05-09T00:00:00"/>
    <d v="2024-05-21T00:00:00"/>
    <x v="2"/>
    <x v="2768"/>
    <x v="1"/>
    <x v="127"/>
    <x v="1"/>
    <x v="1"/>
    <x v="1"/>
    <x v="1"/>
  </r>
  <r>
    <n v="32105"/>
    <x v="0"/>
    <x v="0"/>
    <x v="262"/>
    <x v="4"/>
    <x v="2691"/>
    <x v="0"/>
    <d v="2024-05-09T00:00:00"/>
    <d v="2024-06-14T00:00:00"/>
    <x v="0"/>
    <x v="2769"/>
    <x v="0"/>
    <x v="0"/>
    <x v="0"/>
    <x v="0"/>
    <x v="0"/>
    <x v="1"/>
  </r>
  <r>
    <n v="41428"/>
    <x v="14"/>
    <x v="4"/>
    <x v="47"/>
    <x v="1"/>
    <x v="2692"/>
    <x v="0"/>
    <d v="2024-02-16T00:00:00"/>
    <d v="2024-03-21T00:00:00"/>
    <x v="2"/>
    <x v="2770"/>
    <x v="0"/>
    <x v="0"/>
    <x v="0"/>
    <x v="0"/>
    <x v="0"/>
    <x v="0"/>
  </r>
  <r>
    <n v="99547"/>
    <x v="11"/>
    <x v="4"/>
    <x v="65"/>
    <x v="0"/>
    <x v="2181"/>
    <x v="0"/>
    <d v="2024-02-28T00:00:00"/>
    <d v="2024-03-22T00:00:00"/>
    <x v="1"/>
    <x v="2771"/>
    <x v="0"/>
    <x v="0"/>
    <x v="0"/>
    <x v="0"/>
    <x v="0"/>
    <x v="0"/>
  </r>
  <r>
    <n v="70938"/>
    <x v="10"/>
    <x v="2"/>
    <x v="244"/>
    <x v="6"/>
    <x v="1298"/>
    <x v="0"/>
    <d v="2024-03-23T00:00:00"/>
    <d v="2024-04-19T00:00:00"/>
    <x v="0"/>
    <x v="2772"/>
    <x v="0"/>
    <x v="0"/>
    <x v="0"/>
    <x v="0"/>
    <x v="0"/>
    <x v="1"/>
  </r>
  <r>
    <n v="68559"/>
    <x v="4"/>
    <x v="0"/>
    <x v="295"/>
    <x v="0"/>
    <x v="2693"/>
    <x v="1"/>
    <d v="2024-06-20T00:00:00"/>
    <d v="2024-07-21T00:00:00"/>
    <x v="1"/>
    <x v="2773"/>
    <x v="0"/>
    <x v="0"/>
    <x v="0"/>
    <x v="0"/>
    <x v="0"/>
    <x v="1"/>
  </r>
  <r>
    <n v="81445"/>
    <x v="15"/>
    <x v="4"/>
    <x v="28"/>
    <x v="4"/>
    <x v="2694"/>
    <x v="2"/>
    <d v="2024-07-13T00:00:00"/>
    <d v="2024-07-19T00:00:00"/>
    <x v="0"/>
    <x v="2774"/>
    <x v="0"/>
    <x v="0"/>
    <x v="0"/>
    <x v="0"/>
    <x v="0"/>
    <x v="0"/>
  </r>
  <r>
    <n v="18894"/>
    <x v="10"/>
    <x v="2"/>
    <x v="301"/>
    <x v="4"/>
    <x v="2695"/>
    <x v="0"/>
    <d v="2024-08-10T00:00:00"/>
    <d v="2024-08-31T00:00:00"/>
    <x v="2"/>
    <x v="2775"/>
    <x v="0"/>
    <x v="0"/>
    <x v="0"/>
    <x v="0"/>
    <x v="0"/>
    <x v="0"/>
  </r>
  <r>
    <n v="47208"/>
    <x v="15"/>
    <x v="4"/>
    <x v="360"/>
    <x v="5"/>
    <x v="2696"/>
    <x v="1"/>
    <d v="2024-10-29T00:00:00"/>
    <d v="2024-11-14T00:00:00"/>
    <x v="2"/>
    <x v="2776"/>
    <x v="0"/>
    <x v="0"/>
    <x v="0"/>
    <x v="0"/>
    <x v="0"/>
    <x v="1"/>
  </r>
  <r>
    <n v="12936"/>
    <x v="14"/>
    <x v="4"/>
    <x v="236"/>
    <x v="6"/>
    <x v="2697"/>
    <x v="3"/>
    <d v="2024-08-30T00:00:00"/>
    <d v="2024-09-24T00:00:00"/>
    <x v="2"/>
    <x v="2777"/>
    <x v="0"/>
    <x v="0"/>
    <x v="0"/>
    <x v="0"/>
    <x v="0"/>
    <x v="1"/>
  </r>
  <r>
    <n v="42286"/>
    <x v="1"/>
    <x v="0"/>
    <x v="364"/>
    <x v="4"/>
    <x v="2698"/>
    <x v="1"/>
    <d v="2024-02-06T00:00:00"/>
    <d v="2024-02-22T00:00:00"/>
    <x v="2"/>
    <x v="2778"/>
    <x v="0"/>
    <x v="0"/>
    <x v="0"/>
    <x v="0"/>
    <x v="0"/>
    <x v="0"/>
  </r>
  <r>
    <n v="13960"/>
    <x v="9"/>
    <x v="1"/>
    <x v="87"/>
    <x v="6"/>
    <x v="2699"/>
    <x v="0"/>
    <d v="2024-05-02T00:00:00"/>
    <d v="2024-06-04T00:00:00"/>
    <x v="2"/>
    <x v="2779"/>
    <x v="1"/>
    <x v="22"/>
    <x v="1"/>
    <x v="1"/>
    <x v="1"/>
    <x v="1"/>
  </r>
  <r>
    <n v="69977"/>
    <x v="13"/>
    <x v="3"/>
    <x v="9"/>
    <x v="4"/>
    <x v="2700"/>
    <x v="2"/>
    <d v="2024-11-07T00:00:00"/>
    <d v="2024-11-24T00:00:00"/>
    <x v="1"/>
    <x v="2780"/>
    <x v="0"/>
    <x v="0"/>
    <x v="0"/>
    <x v="0"/>
    <x v="0"/>
    <x v="0"/>
  </r>
  <r>
    <n v="35180"/>
    <x v="6"/>
    <x v="3"/>
    <x v="141"/>
    <x v="1"/>
    <x v="2701"/>
    <x v="4"/>
    <d v="2024-07-25T00:00:00"/>
    <d v="2024-08-12T00:00:00"/>
    <x v="2"/>
    <x v="2781"/>
    <x v="0"/>
    <x v="0"/>
    <x v="0"/>
    <x v="0"/>
    <x v="0"/>
    <x v="0"/>
  </r>
  <r>
    <n v="35236"/>
    <x v="2"/>
    <x v="1"/>
    <x v="387"/>
    <x v="2"/>
    <x v="2702"/>
    <x v="2"/>
    <d v="2024-03-04T00:00:00"/>
    <d v="2024-04-04T00:00:00"/>
    <x v="0"/>
    <x v="2782"/>
    <x v="0"/>
    <x v="0"/>
    <x v="0"/>
    <x v="0"/>
    <x v="0"/>
    <x v="0"/>
  </r>
  <r>
    <n v="51813"/>
    <x v="1"/>
    <x v="0"/>
    <x v="451"/>
    <x v="6"/>
    <x v="722"/>
    <x v="0"/>
    <d v="2024-12-05T00:00:00"/>
    <d v="2025-01-02T00:00:00"/>
    <x v="1"/>
    <x v="2783"/>
    <x v="1"/>
    <x v="2"/>
    <x v="1"/>
    <x v="1"/>
    <x v="1"/>
    <x v="1"/>
  </r>
  <r>
    <n v="69179"/>
    <x v="4"/>
    <x v="0"/>
    <x v="87"/>
    <x v="0"/>
    <x v="2703"/>
    <x v="0"/>
    <d v="2024-12-15T00:00:00"/>
    <d v="2025-01-08T00:00:00"/>
    <x v="0"/>
    <x v="2784"/>
    <x v="0"/>
    <x v="0"/>
    <x v="0"/>
    <x v="0"/>
    <x v="0"/>
    <x v="1"/>
  </r>
  <r>
    <n v="31307"/>
    <x v="15"/>
    <x v="4"/>
    <x v="322"/>
    <x v="4"/>
    <x v="2704"/>
    <x v="0"/>
    <d v="2024-05-25T00:00:00"/>
    <d v="2024-06-26T00:00:00"/>
    <x v="1"/>
    <x v="2785"/>
    <x v="0"/>
    <x v="0"/>
    <x v="0"/>
    <x v="0"/>
    <x v="0"/>
    <x v="1"/>
  </r>
  <r>
    <n v="19096"/>
    <x v="9"/>
    <x v="1"/>
    <x v="373"/>
    <x v="6"/>
    <x v="2705"/>
    <x v="2"/>
    <d v="2024-09-18T00:00:00"/>
    <d v="2024-10-15T00:00:00"/>
    <x v="2"/>
    <x v="2786"/>
    <x v="0"/>
    <x v="0"/>
    <x v="0"/>
    <x v="0"/>
    <x v="0"/>
    <x v="1"/>
  </r>
  <r>
    <n v="70464"/>
    <x v="11"/>
    <x v="4"/>
    <x v="117"/>
    <x v="0"/>
    <x v="2706"/>
    <x v="4"/>
    <d v="2024-06-08T00:00:00"/>
    <d v="2024-06-21T00:00:00"/>
    <x v="1"/>
    <x v="2787"/>
    <x v="0"/>
    <x v="0"/>
    <x v="0"/>
    <x v="0"/>
    <x v="0"/>
    <x v="1"/>
  </r>
  <r>
    <n v="32272"/>
    <x v="3"/>
    <x v="2"/>
    <x v="146"/>
    <x v="6"/>
    <x v="2707"/>
    <x v="4"/>
    <d v="2024-04-05T00:00:00"/>
    <d v="2024-05-13T00:00:00"/>
    <x v="0"/>
    <x v="2788"/>
    <x v="1"/>
    <x v="64"/>
    <x v="1"/>
    <x v="1"/>
    <x v="1"/>
    <x v="1"/>
  </r>
  <r>
    <n v="71401"/>
    <x v="3"/>
    <x v="2"/>
    <x v="330"/>
    <x v="6"/>
    <x v="2708"/>
    <x v="2"/>
    <d v="2024-01-30T00:00:00"/>
    <d v="2024-02-21T00:00:00"/>
    <x v="2"/>
    <x v="2789"/>
    <x v="0"/>
    <x v="0"/>
    <x v="0"/>
    <x v="0"/>
    <x v="0"/>
    <x v="1"/>
  </r>
  <r>
    <n v="71549"/>
    <x v="9"/>
    <x v="1"/>
    <x v="465"/>
    <x v="6"/>
    <x v="2709"/>
    <x v="1"/>
    <d v="2024-12-10T00:00:00"/>
    <d v="2024-12-15T00:00:00"/>
    <x v="1"/>
    <x v="2790"/>
    <x v="0"/>
    <x v="0"/>
    <x v="0"/>
    <x v="0"/>
    <x v="0"/>
    <x v="1"/>
  </r>
  <r>
    <n v="45701"/>
    <x v="5"/>
    <x v="2"/>
    <x v="436"/>
    <x v="4"/>
    <x v="2710"/>
    <x v="1"/>
    <d v="2024-01-17T00:00:00"/>
    <d v="2024-01-29T00:00:00"/>
    <x v="0"/>
    <x v="2791"/>
    <x v="0"/>
    <x v="0"/>
    <x v="0"/>
    <x v="0"/>
    <x v="0"/>
    <x v="0"/>
  </r>
  <r>
    <n v="81637"/>
    <x v="6"/>
    <x v="3"/>
    <x v="270"/>
    <x v="4"/>
    <x v="2711"/>
    <x v="0"/>
    <d v="2024-12-30T00:00:00"/>
    <d v="2025-01-07T00:00:00"/>
    <x v="0"/>
    <x v="2792"/>
    <x v="0"/>
    <x v="0"/>
    <x v="0"/>
    <x v="0"/>
    <x v="0"/>
    <x v="1"/>
  </r>
  <r>
    <n v="84137"/>
    <x v="14"/>
    <x v="4"/>
    <x v="97"/>
    <x v="4"/>
    <x v="2712"/>
    <x v="2"/>
    <d v="2024-08-18T00:00:00"/>
    <d v="2024-09-05T00:00:00"/>
    <x v="2"/>
    <x v="2793"/>
    <x v="0"/>
    <x v="0"/>
    <x v="0"/>
    <x v="0"/>
    <x v="0"/>
    <x v="0"/>
  </r>
  <r>
    <n v="89510"/>
    <x v="3"/>
    <x v="2"/>
    <x v="136"/>
    <x v="0"/>
    <x v="2713"/>
    <x v="4"/>
    <d v="2024-07-04T00:00:00"/>
    <d v="2024-07-26T00:00:00"/>
    <x v="1"/>
    <x v="2794"/>
    <x v="0"/>
    <x v="0"/>
    <x v="0"/>
    <x v="0"/>
    <x v="0"/>
    <x v="0"/>
  </r>
  <r>
    <n v="87737"/>
    <x v="4"/>
    <x v="0"/>
    <x v="229"/>
    <x v="3"/>
    <x v="2714"/>
    <x v="3"/>
    <d v="2024-06-10T00:00:00"/>
    <d v="2024-07-11T00:00:00"/>
    <x v="1"/>
    <x v="2795"/>
    <x v="0"/>
    <x v="0"/>
    <x v="0"/>
    <x v="0"/>
    <x v="0"/>
    <x v="0"/>
  </r>
  <r>
    <n v="94338"/>
    <x v="15"/>
    <x v="4"/>
    <x v="425"/>
    <x v="6"/>
    <x v="2715"/>
    <x v="2"/>
    <d v="2024-08-22T00:00:00"/>
    <d v="2024-08-29T00:00:00"/>
    <x v="2"/>
    <x v="2796"/>
    <x v="0"/>
    <x v="0"/>
    <x v="0"/>
    <x v="0"/>
    <x v="0"/>
    <x v="1"/>
  </r>
  <r>
    <n v="56095"/>
    <x v="1"/>
    <x v="0"/>
    <x v="220"/>
    <x v="4"/>
    <x v="2716"/>
    <x v="2"/>
    <d v="2024-03-04T00:00:00"/>
    <d v="2024-03-20T00:00:00"/>
    <x v="1"/>
    <x v="2797"/>
    <x v="0"/>
    <x v="0"/>
    <x v="0"/>
    <x v="0"/>
    <x v="0"/>
    <x v="0"/>
  </r>
  <r>
    <n v="42615"/>
    <x v="7"/>
    <x v="3"/>
    <x v="233"/>
    <x v="1"/>
    <x v="2717"/>
    <x v="1"/>
    <d v="2024-01-17T00:00:00"/>
    <d v="2024-01-29T00:00:00"/>
    <x v="0"/>
    <x v="2798"/>
    <x v="0"/>
    <x v="0"/>
    <x v="0"/>
    <x v="0"/>
    <x v="0"/>
    <x v="1"/>
  </r>
  <r>
    <n v="14069"/>
    <x v="2"/>
    <x v="1"/>
    <x v="155"/>
    <x v="6"/>
    <x v="2718"/>
    <x v="0"/>
    <d v="2024-06-04T00:00:00"/>
    <d v="2024-06-12T00:00:00"/>
    <x v="1"/>
    <x v="2799"/>
    <x v="1"/>
    <x v="21"/>
    <x v="1"/>
    <x v="1"/>
    <x v="1"/>
    <x v="1"/>
  </r>
  <r>
    <n v="36727"/>
    <x v="13"/>
    <x v="3"/>
    <x v="409"/>
    <x v="5"/>
    <x v="2719"/>
    <x v="0"/>
    <d v="2024-07-07T00:00:00"/>
    <d v="2024-07-23T00:00:00"/>
    <x v="2"/>
    <x v="2800"/>
    <x v="0"/>
    <x v="0"/>
    <x v="0"/>
    <x v="0"/>
    <x v="0"/>
    <x v="1"/>
  </r>
  <r>
    <n v="34504"/>
    <x v="10"/>
    <x v="2"/>
    <x v="7"/>
    <x v="5"/>
    <x v="2720"/>
    <x v="4"/>
    <d v="2024-01-12T00:00:00"/>
    <d v="2024-02-16T00:00:00"/>
    <x v="0"/>
    <x v="2801"/>
    <x v="0"/>
    <x v="0"/>
    <x v="0"/>
    <x v="0"/>
    <x v="0"/>
    <x v="1"/>
  </r>
  <r>
    <n v="76795"/>
    <x v="13"/>
    <x v="3"/>
    <x v="225"/>
    <x v="5"/>
    <x v="2721"/>
    <x v="4"/>
    <d v="2024-02-27T00:00:00"/>
    <d v="2024-03-06T00:00:00"/>
    <x v="2"/>
    <x v="2802"/>
    <x v="0"/>
    <x v="0"/>
    <x v="0"/>
    <x v="0"/>
    <x v="0"/>
    <x v="0"/>
  </r>
  <r>
    <n v="98611"/>
    <x v="3"/>
    <x v="2"/>
    <x v="7"/>
    <x v="0"/>
    <x v="2722"/>
    <x v="3"/>
    <d v="2024-02-27T00:00:00"/>
    <d v="2024-03-20T00:00:00"/>
    <x v="0"/>
    <x v="2803"/>
    <x v="0"/>
    <x v="0"/>
    <x v="0"/>
    <x v="0"/>
    <x v="0"/>
    <x v="0"/>
  </r>
  <r>
    <n v="23303"/>
    <x v="12"/>
    <x v="0"/>
    <x v="176"/>
    <x v="2"/>
    <x v="2723"/>
    <x v="0"/>
    <d v="2024-08-14T00:00:00"/>
    <d v="2024-09-02T00:00:00"/>
    <x v="1"/>
    <x v="2804"/>
    <x v="0"/>
    <x v="0"/>
    <x v="0"/>
    <x v="0"/>
    <x v="0"/>
    <x v="0"/>
  </r>
  <r>
    <n v="10337"/>
    <x v="2"/>
    <x v="1"/>
    <x v="208"/>
    <x v="2"/>
    <x v="2724"/>
    <x v="4"/>
    <d v="2024-09-26T00:00:00"/>
    <d v="2024-10-02T00:00:00"/>
    <x v="0"/>
    <x v="2805"/>
    <x v="0"/>
    <x v="0"/>
    <x v="0"/>
    <x v="0"/>
    <x v="0"/>
    <x v="0"/>
  </r>
  <r>
    <n v="71088"/>
    <x v="16"/>
    <x v="3"/>
    <x v="286"/>
    <x v="0"/>
    <x v="2725"/>
    <x v="3"/>
    <d v="2024-12-11T00:00:00"/>
    <d v="2024-12-19T00:00:00"/>
    <x v="2"/>
    <x v="2806"/>
    <x v="0"/>
    <x v="0"/>
    <x v="0"/>
    <x v="0"/>
    <x v="0"/>
    <x v="0"/>
  </r>
  <r>
    <n v="38359"/>
    <x v="4"/>
    <x v="0"/>
    <x v="474"/>
    <x v="5"/>
    <x v="26"/>
    <x v="4"/>
    <d v="2024-05-18T00:00:00"/>
    <d v="2024-06-26T00:00:00"/>
    <x v="1"/>
    <x v="2807"/>
    <x v="1"/>
    <x v="69"/>
    <x v="1"/>
    <x v="1"/>
    <x v="1"/>
    <x v="1"/>
  </r>
  <r>
    <n v="94539"/>
    <x v="15"/>
    <x v="4"/>
    <x v="202"/>
    <x v="4"/>
    <x v="2726"/>
    <x v="4"/>
    <d v="2024-11-11T00:00:00"/>
    <d v="2024-11-29T00:00:00"/>
    <x v="2"/>
    <x v="2808"/>
    <x v="1"/>
    <x v="98"/>
    <x v="1"/>
    <x v="1"/>
    <x v="1"/>
    <x v="1"/>
  </r>
  <r>
    <n v="44524"/>
    <x v="4"/>
    <x v="0"/>
    <x v="171"/>
    <x v="1"/>
    <x v="2727"/>
    <x v="2"/>
    <d v="2024-03-13T00:00:00"/>
    <d v="2024-03-24T00:00:00"/>
    <x v="0"/>
    <x v="2809"/>
    <x v="0"/>
    <x v="0"/>
    <x v="0"/>
    <x v="0"/>
    <x v="0"/>
    <x v="0"/>
  </r>
  <r>
    <n v="23792"/>
    <x v="8"/>
    <x v="1"/>
    <x v="112"/>
    <x v="4"/>
    <x v="64"/>
    <x v="1"/>
    <d v="2024-11-24T00:00:00"/>
    <d v="2024-12-10T00:00:00"/>
    <x v="1"/>
    <x v="2810"/>
    <x v="0"/>
    <x v="0"/>
    <x v="0"/>
    <x v="0"/>
    <x v="0"/>
    <x v="0"/>
  </r>
  <r>
    <n v="83693"/>
    <x v="2"/>
    <x v="1"/>
    <x v="168"/>
    <x v="6"/>
    <x v="1337"/>
    <x v="4"/>
    <d v="2024-11-05T00:00:00"/>
    <d v="2024-11-18T00:00:00"/>
    <x v="2"/>
    <x v="2811"/>
    <x v="1"/>
    <x v="65"/>
    <x v="1"/>
    <x v="1"/>
    <x v="1"/>
    <x v="1"/>
  </r>
  <r>
    <n v="48011"/>
    <x v="2"/>
    <x v="1"/>
    <x v="242"/>
    <x v="4"/>
    <x v="2728"/>
    <x v="0"/>
    <d v="2024-04-24T00:00:00"/>
    <d v="2024-05-17T00:00:00"/>
    <x v="2"/>
    <x v="2812"/>
    <x v="0"/>
    <x v="0"/>
    <x v="0"/>
    <x v="0"/>
    <x v="0"/>
    <x v="0"/>
  </r>
  <r>
    <n v="96070"/>
    <x v="9"/>
    <x v="1"/>
    <x v="437"/>
    <x v="6"/>
    <x v="2729"/>
    <x v="3"/>
    <d v="2024-01-31T00:00:00"/>
    <d v="2024-02-28T00:00:00"/>
    <x v="2"/>
    <x v="2813"/>
    <x v="0"/>
    <x v="0"/>
    <x v="0"/>
    <x v="0"/>
    <x v="0"/>
    <x v="1"/>
  </r>
  <r>
    <n v="54837"/>
    <x v="4"/>
    <x v="0"/>
    <x v="349"/>
    <x v="1"/>
    <x v="2730"/>
    <x v="0"/>
    <d v="2024-09-12T00:00:00"/>
    <d v="2024-10-20T00:00:00"/>
    <x v="0"/>
    <x v="2814"/>
    <x v="0"/>
    <x v="0"/>
    <x v="0"/>
    <x v="0"/>
    <x v="0"/>
    <x v="0"/>
  </r>
  <r>
    <n v="78213"/>
    <x v="1"/>
    <x v="0"/>
    <x v="495"/>
    <x v="5"/>
    <x v="2731"/>
    <x v="3"/>
    <d v="2024-04-29T00:00:00"/>
    <d v="2024-05-22T00:00:00"/>
    <x v="0"/>
    <x v="2815"/>
    <x v="0"/>
    <x v="0"/>
    <x v="0"/>
    <x v="0"/>
    <x v="0"/>
    <x v="1"/>
  </r>
  <r>
    <n v="93853"/>
    <x v="11"/>
    <x v="4"/>
    <x v="12"/>
    <x v="0"/>
    <x v="2732"/>
    <x v="3"/>
    <d v="2024-04-16T00:00:00"/>
    <d v="2024-05-05T00:00:00"/>
    <x v="2"/>
    <x v="2816"/>
    <x v="0"/>
    <x v="0"/>
    <x v="0"/>
    <x v="0"/>
    <x v="0"/>
    <x v="0"/>
  </r>
  <r>
    <n v="49992"/>
    <x v="11"/>
    <x v="4"/>
    <x v="74"/>
    <x v="1"/>
    <x v="2733"/>
    <x v="1"/>
    <d v="2024-01-12T00:00:00"/>
    <d v="2024-02-05T00:00:00"/>
    <x v="0"/>
    <x v="2817"/>
    <x v="0"/>
    <x v="0"/>
    <x v="0"/>
    <x v="0"/>
    <x v="0"/>
    <x v="0"/>
  </r>
  <r>
    <n v="99786"/>
    <x v="15"/>
    <x v="4"/>
    <x v="247"/>
    <x v="3"/>
    <x v="2734"/>
    <x v="2"/>
    <d v="2024-12-29T00:00:00"/>
    <d v="2025-01-25T00:00:00"/>
    <x v="0"/>
    <x v="2818"/>
    <x v="0"/>
    <x v="0"/>
    <x v="0"/>
    <x v="0"/>
    <x v="0"/>
    <x v="0"/>
  </r>
  <r>
    <n v="79260"/>
    <x v="6"/>
    <x v="3"/>
    <x v="392"/>
    <x v="4"/>
    <x v="2735"/>
    <x v="0"/>
    <d v="2024-04-21T00:00:00"/>
    <d v="2024-04-26T00:00:00"/>
    <x v="0"/>
    <x v="2819"/>
    <x v="0"/>
    <x v="0"/>
    <x v="0"/>
    <x v="0"/>
    <x v="0"/>
    <x v="0"/>
  </r>
  <r>
    <n v="46979"/>
    <x v="6"/>
    <x v="3"/>
    <x v="433"/>
    <x v="4"/>
    <x v="2736"/>
    <x v="4"/>
    <d v="2024-05-29T00:00:00"/>
    <d v="2024-07-03T00:00:00"/>
    <x v="2"/>
    <x v="2820"/>
    <x v="1"/>
    <x v="60"/>
    <x v="1"/>
    <x v="1"/>
    <x v="1"/>
    <x v="1"/>
  </r>
  <r>
    <n v="31016"/>
    <x v="6"/>
    <x v="3"/>
    <x v="74"/>
    <x v="2"/>
    <x v="2737"/>
    <x v="3"/>
    <d v="2024-12-17T00:00:00"/>
    <d v="2025-01-17T00:00:00"/>
    <x v="0"/>
    <x v="2821"/>
    <x v="0"/>
    <x v="0"/>
    <x v="0"/>
    <x v="0"/>
    <x v="0"/>
    <x v="0"/>
  </r>
  <r>
    <n v="24705"/>
    <x v="9"/>
    <x v="1"/>
    <x v="82"/>
    <x v="2"/>
    <x v="2738"/>
    <x v="1"/>
    <d v="2024-03-23T00:00:00"/>
    <d v="2024-04-16T00:00:00"/>
    <x v="0"/>
    <x v="2822"/>
    <x v="0"/>
    <x v="0"/>
    <x v="0"/>
    <x v="0"/>
    <x v="0"/>
    <x v="0"/>
  </r>
  <r>
    <n v="40541"/>
    <x v="7"/>
    <x v="3"/>
    <x v="173"/>
    <x v="6"/>
    <x v="2739"/>
    <x v="3"/>
    <d v="2024-01-15T00:00:00"/>
    <d v="2024-01-23T00:00:00"/>
    <x v="0"/>
    <x v="2823"/>
    <x v="0"/>
    <x v="0"/>
    <x v="0"/>
    <x v="0"/>
    <x v="0"/>
    <x v="1"/>
  </r>
  <r>
    <n v="53781"/>
    <x v="7"/>
    <x v="3"/>
    <x v="36"/>
    <x v="2"/>
    <x v="2740"/>
    <x v="1"/>
    <d v="2024-08-03T00:00:00"/>
    <d v="2024-08-21T00:00:00"/>
    <x v="2"/>
    <x v="2824"/>
    <x v="0"/>
    <x v="0"/>
    <x v="0"/>
    <x v="0"/>
    <x v="0"/>
    <x v="0"/>
  </r>
  <r>
    <n v="43763"/>
    <x v="15"/>
    <x v="4"/>
    <x v="184"/>
    <x v="2"/>
    <x v="2741"/>
    <x v="4"/>
    <d v="2024-01-09T00:00:00"/>
    <d v="2024-01-26T00:00:00"/>
    <x v="2"/>
    <x v="2825"/>
    <x v="0"/>
    <x v="0"/>
    <x v="0"/>
    <x v="0"/>
    <x v="0"/>
    <x v="0"/>
  </r>
  <r>
    <n v="28764"/>
    <x v="15"/>
    <x v="4"/>
    <x v="377"/>
    <x v="2"/>
    <x v="2742"/>
    <x v="3"/>
    <d v="2024-12-11T00:00:00"/>
    <d v="2025-01-10T00:00:00"/>
    <x v="1"/>
    <x v="2826"/>
    <x v="1"/>
    <x v="52"/>
    <x v="1"/>
    <x v="1"/>
    <x v="1"/>
    <x v="1"/>
  </r>
  <r>
    <n v="27905"/>
    <x v="3"/>
    <x v="2"/>
    <x v="144"/>
    <x v="2"/>
    <x v="2743"/>
    <x v="0"/>
    <d v="2024-11-26T00:00:00"/>
    <d v="2024-12-09T00:00:00"/>
    <x v="0"/>
    <x v="2827"/>
    <x v="0"/>
    <x v="0"/>
    <x v="0"/>
    <x v="0"/>
    <x v="0"/>
    <x v="0"/>
  </r>
  <r>
    <n v="80298"/>
    <x v="8"/>
    <x v="1"/>
    <x v="436"/>
    <x v="4"/>
    <x v="2744"/>
    <x v="1"/>
    <d v="2024-08-31T00:00:00"/>
    <d v="2024-09-17T00:00:00"/>
    <x v="1"/>
    <x v="2828"/>
    <x v="0"/>
    <x v="0"/>
    <x v="0"/>
    <x v="0"/>
    <x v="0"/>
    <x v="0"/>
  </r>
  <r>
    <n v="82956"/>
    <x v="16"/>
    <x v="3"/>
    <x v="178"/>
    <x v="2"/>
    <x v="2745"/>
    <x v="0"/>
    <d v="2024-10-20T00:00:00"/>
    <d v="2024-11-24T00:00:00"/>
    <x v="2"/>
    <x v="2829"/>
    <x v="0"/>
    <x v="0"/>
    <x v="0"/>
    <x v="0"/>
    <x v="0"/>
    <x v="0"/>
  </r>
  <r>
    <n v="50996"/>
    <x v="16"/>
    <x v="3"/>
    <x v="47"/>
    <x v="4"/>
    <x v="2746"/>
    <x v="4"/>
    <d v="2024-02-04T00:00:00"/>
    <d v="2024-02-14T00:00:00"/>
    <x v="1"/>
    <x v="2830"/>
    <x v="0"/>
    <x v="0"/>
    <x v="0"/>
    <x v="0"/>
    <x v="0"/>
    <x v="0"/>
  </r>
  <r>
    <n v="18527"/>
    <x v="14"/>
    <x v="4"/>
    <x v="376"/>
    <x v="0"/>
    <x v="2747"/>
    <x v="1"/>
    <d v="2024-04-14T00:00:00"/>
    <d v="2024-05-16T00:00:00"/>
    <x v="2"/>
    <x v="2831"/>
    <x v="1"/>
    <x v="31"/>
    <x v="1"/>
    <x v="1"/>
    <x v="1"/>
    <x v="1"/>
  </r>
  <r>
    <n v="68005"/>
    <x v="9"/>
    <x v="1"/>
    <x v="143"/>
    <x v="1"/>
    <x v="2748"/>
    <x v="4"/>
    <d v="2024-12-10T00:00:00"/>
    <d v="2024-12-15T00:00:00"/>
    <x v="2"/>
    <x v="2832"/>
    <x v="0"/>
    <x v="0"/>
    <x v="0"/>
    <x v="0"/>
    <x v="0"/>
    <x v="0"/>
  </r>
  <r>
    <n v="94454"/>
    <x v="1"/>
    <x v="0"/>
    <x v="133"/>
    <x v="5"/>
    <x v="2749"/>
    <x v="2"/>
    <d v="2024-12-27T00:00:00"/>
    <d v="2025-01-11T00:00:00"/>
    <x v="0"/>
    <x v="2833"/>
    <x v="0"/>
    <x v="0"/>
    <x v="0"/>
    <x v="0"/>
    <x v="0"/>
    <x v="1"/>
  </r>
  <r>
    <n v="59223"/>
    <x v="14"/>
    <x v="4"/>
    <x v="229"/>
    <x v="0"/>
    <x v="2750"/>
    <x v="1"/>
    <d v="2024-03-11T00:00:00"/>
    <d v="2024-04-09T00:00:00"/>
    <x v="0"/>
    <x v="2834"/>
    <x v="0"/>
    <x v="0"/>
    <x v="0"/>
    <x v="0"/>
    <x v="0"/>
    <x v="0"/>
  </r>
  <r>
    <n v="10576"/>
    <x v="1"/>
    <x v="0"/>
    <x v="498"/>
    <x v="6"/>
    <x v="2751"/>
    <x v="1"/>
    <d v="2024-12-29T00:00:00"/>
    <d v="2025-01-24T00:00:00"/>
    <x v="0"/>
    <x v="2835"/>
    <x v="0"/>
    <x v="0"/>
    <x v="0"/>
    <x v="0"/>
    <x v="0"/>
    <x v="1"/>
  </r>
  <r>
    <n v="88501"/>
    <x v="1"/>
    <x v="0"/>
    <x v="342"/>
    <x v="4"/>
    <x v="1935"/>
    <x v="4"/>
    <d v="2024-10-25T00:00:00"/>
    <d v="2024-11-02T00:00:00"/>
    <x v="0"/>
    <x v="2836"/>
    <x v="0"/>
    <x v="0"/>
    <x v="0"/>
    <x v="0"/>
    <x v="0"/>
    <x v="0"/>
  </r>
  <r>
    <n v="72063"/>
    <x v="3"/>
    <x v="2"/>
    <x v="48"/>
    <x v="6"/>
    <x v="2752"/>
    <x v="0"/>
    <d v="2024-12-07T00:00:00"/>
    <d v="2024-12-24T00:00:00"/>
    <x v="2"/>
    <x v="2837"/>
    <x v="1"/>
    <x v="5"/>
    <x v="1"/>
    <x v="1"/>
    <x v="1"/>
    <x v="1"/>
  </r>
  <r>
    <n v="19849"/>
    <x v="9"/>
    <x v="1"/>
    <x v="18"/>
    <x v="1"/>
    <x v="2753"/>
    <x v="4"/>
    <d v="2024-07-17T00:00:00"/>
    <d v="2024-07-26T00:00:00"/>
    <x v="2"/>
    <x v="2838"/>
    <x v="0"/>
    <x v="0"/>
    <x v="0"/>
    <x v="0"/>
    <x v="0"/>
    <x v="1"/>
  </r>
  <r>
    <n v="78125"/>
    <x v="10"/>
    <x v="2"/>
    <x v="15"/>
    <x v="6"/>
    <x v="2754"/>
    <x v="0"/>
    <d v="2024-02-01T00:00:00"/>
    <d v="2024-02-09T00:00:00"/>
    <x v="2"/>
    <x v="2839"/>
    <x v="0"/>
    <x v="0"/>
    <x v="0"/>
    <x v="0"/>
    <x v="0"/>
    <x v="1"/>
  </r>
  <r>
    <n v="98860"/>
    <x v="6"/>
    <x v="3"/>
    <x v="2"/>
    <x v="4"/>
    <x v="2755"/>
    <x v="0"/>
    <d v="2024-08-01T00:00:00"/>
    <d v="2024-09-08T00:00:00"/>
    <x v="2"/>
    <x v="2840"/>
    <x v="1"/>
    <x v="56"/>
    <x v="1"/>
    <x v="1"/>
    <x v="1"/>
    <x v="1"/>
  </r>
  <r>
    <n v="84581"/>
    <x v="12"/>
    <x v="0"/>
    <x v="474"/>
    <x v="6"/>
    <x v="2756"/>
    <x v="2"/>
    <d v="2024-07-05T00:00:00"/>
    <d v="2024-08-10T00:00:00"/>
    <x v="2"/>
    <x v="2841"/>
    <x v="1"/>
    <x v="74"/>
    <x v="1"/>
    <x v="1"/>
    <x v="1"/>
    <x v="1"/>
  </r>
  <r>
    <n v="11223"/>
    <x v="8"/>
    <x v="1"/>
    <x v="321"/>
    <x v="6"/>
    <x v="2757"/>
    <x v="0"/>
    <d v="2024-08-01T00:00:00"/>
    <d v="2024-08-29T00:00:00"/>
    <x v="0"/>
    <x v="2842"/>
    <x v="1"/>
    <x v="128"/>
    <x v="1"/>
    <x v="1"/>
    <x v="1"/>
    <x v="1"/>
  </r>
  <r>
    <n v="37167"/>
    <x v="9"/>
    <x v="1"/>
    <x v="251"/>
    <x v="1"/>
    <x v="2758"/>
    <x v="3"/>
    <d v="2024-03-13T00:00:00"/>
    <d v="2024-03-30T00:00:00"/>
    <x v="1"/>
    <x v="2843"/>
    <x v="0"/>
    <x v="0"/>
    <x v="0"/>
    <x v="0"/>
    <x v="0"/>
    <x v="0"/>
  </r>
  <r>
    <n v="40261"/>
    <x v="16"/>
    <x v="3"/>
    <x v="466"/>
    <x v="2"/>
    <x v="2759"/>
    <x v="3"/>
    <d v="2024-01-18T00:00:00"/>
    <d v="2024-02-22T00:00:00"/>
    <x v="1"/>
    <x v="2844"/>
    <x v="0"/>
    <x v="0"/>
    <x v="0"/>
    <x v="0"/>
    <x v="0"/>
    <x v="0"/>
  </r>
  <r>
    <n v="69763"/>
    <x v="1"/>
    <x v="0"/>
    <x v="61"/>
    <x v="2"/>
    <x v="2760"/>
    <x v="1"/>
    <d v="2024-12-13T00:00:00"/>
    <d v="2025-01-12T00:00:00"/>
    <x v="1"/>
    <x v="2845"/>
    <x v="0"/>
    <x v="0"/>
    <x v="0"/>
    <x v="0"/>
    <x v="0"/>
    <x v="0"/>
  </r>
  <r>
    <n v="12026"/>
    <x v="5"/>
    <x v="2"/>
    <x v="253"/>
    <x v="1"/>
    <x v="2761"/>
    <x v="2"/>
    <d v="2024-12-18T00:00:00"/>
    <d v="2025-01-23T00:00:00"/>
    <x v="2"/>
    <x v="2846"/>
    <x v="1"/>
    <x v="36"/>
    <x v="1"/>
    <x v="1"/>
    <x v="1"/>
    <x v="1"/>
  </r>
  <r>
    <n v="28356"/>
    <x v="3"/>
    <x v="2"/>
    <x v="327"/>
    <x v="3"/>
    <x v="2762"/>
    <x v="3"/>
    <d v="2024-03-30T00:00:00"/>
    <d v="2024-04-19T00:00:00"/>
    <x v="0"/>
    <x v="2847"/>
    <x v="0"/>
    <x v="0"/>
    <x v="0"/>
    <x v="0"/>
    <x v="0"/>
    <x v="0"/>
  </r>
  <r>
    <n v="32158"/>
    <x v="12"/>
    <x v="0"/>
    <x v="0"/>
    <x v="1"/>
    <x v="2763"/>
    <x v="1"/>
    <d v="2024-03-12T00:00:00"/>
    <d v="2024-03-26T00:00:00"/>
    <x v="2"/>
    <x v="2848"/>
    <x v="0"/>
    <x v="0"/>
    <x v="0"/>
    <x v="0"/>
    <x v="0"/>
    <x v="0"/>
  </r>
  <r>
    <n v="10705"/>
    <x v="16"/>
    <x v="3"/>
    <x v="196"/>
    <x v="1"/>
    <x v="2764"/>
    <x v="4"/>
    <d v="2024-02-12T00:00:00"/>
    <d v="2024-03-22T00:00:00"/>
    <x v="1"/>
    <x v="2849"/>
    <x v="0"/>
    <x v="0"/>
    <x v="0"/>
    <x v="0"/>
    <x v="0"/>
    <x v="1"/>
  </r>
  <r>
    <n v="14834"/>
    <x v="0"/>
    <x v="0"/>
    <x v="39"/>
    <x v="6"/>
    <x v="2765"/>
    <x v="3"/>
    <d v="2024-11-08T00:00:00"/>
    <d v="2024-11-30T00:00:00"/>
    <x v="2"/>
    <x v="2850"/>
    <x v="0"/>
    <x v="0"/>
    <x v="0"/>
    <x v="0"/>
    <x v="0"/>
    <x v="1"/>
  </r>
  <r>
    <n v="40545"/>
    <x v="10"/>
    <x v="2"/>
    <x v="100"/>
    <x v="6"/>
    <x v="2766"/>
    <x v="4"/>
    <d v="2024-07-05T00:00:00"/>
    <d v="2024-07-24T00:00:00"/>
    <x v="0"/>
    <x v="2851"/>
    <x v="0"/>
    <x v="0"/>
    <x v="0"/>
    <x v="0"/>
    <x v="0"/>
    <x v="1"/>
  </r>
  <r>
    <n v="78109"/>
    <x v="8"/>
    <x v="1"/>
    <x v="298"/>
    <x v="2"/>
    <x v="2767"/>
    <x v="2"/>
    <d v="2024-09-18T00:00:00"/>
    <d v="2024-10-09T00:00:00"/>
    <x v="2"/>
    <x v="2852"/>
    <x v="0"/>
    <x v="0"/>
    <x v="0"/>
    <x v="0"/>
    <x v="0"/>
    <x v="0"/>
  </r>
  <r>
    <n v="29951"/>
    <x v="14"/>
    <x v="4"/>
    <x v="207"/>
    <x v="3"/>
    <x v="2768"/>
    <x v="1"/>
    <d v="2024-02-22T00:00:00"/>
    <d v="2024-04-01T00:00:00"/>
    <x v="1"/>
    <x v="2853"/>
    <x v="0"/>
    <x v="0"/>
    <x v="0"/>
    <x v="0"/>
    <x v="0"/>
    <x v="0"/>
  </r>
  <r>
    <n v="46530"/>
    <x v="0"/>
    <x v="0"/>
    <x v="440"/>
    <x v="0"/>
    <x v="2769"/>
    <x v="3"/>
    <d v="2024-01-22T00:00:00"/>
    <d v="2024-02-04T00:00:00"/>
    <x v="2"/>
    <x v="2854"/>
    <x v="0"/>
    <x v="0"/>
    <x v="0"/>
    <x v="0"/>
    <x v="0"/>
    <x v="0"/>
  </r>
  <r>
    <n v="98830"/>
    <x v="3"/>
    <x v="2"/>
    <x v="387"/>
    <x v="1"/>
    <x v="2770"/>
    <x v="4"/>
    <d v="2024-02-18T00:00:00"/>
    <d v="2024-03-03T00:00:00"/>
    <x v="0"/>
    <x v="2855"/>
    <x v="0"/>
    <x v="0"/>
    <x v="0"/>
    <x v="0"/>
    <x v="0"/>
    <x v="1"/>
  </r>
  <r>
    <n v="29589"/>
    <x v="14"/>
    <x v="4"/>
    <x v="348"/>
    <x v="3"/>
    <x v="2771"/>
    <x v="1"/>
    <d v="2024-12-06T00:00:00"/>
    <d v="2024-12-30T00:00:00"/>
    <x v="2"/>
    <x v="2856"/>
    <x v="0"/>
    <x v="0"/>
    <x v="0"/>
    <x v="0"/>
    <x v="0"/>
    <x v="0"/>
  </r>
  <r>
    <n v="80143"/>
    <x v="7"/>
    <x v="3"/>
    <x v="89"/>
    <x v="4"/>
    <x v="2772"/>
    <x v="3"/>
    <d v="2024-09-14T00:00:00"/>
    <d v="2024-10-04T00:00:00"/>
    <x v="1"/>
    <x v="2857"/>
    <x v="0"/>
    <x v="0"/>
    <x v="0"/>
    <x v="0"/>
    <x v="0"/>
    <x v="1"/>
  </r>
  <r>
    <n v="57543"/>
    <x v="0"/>
    <x v="0"/>
    <x v="428"/>
    <x v="6"/>
    <x v="2773"/>
    <x v="3"/>
    <d v="2024-11-01T00:00:00"/>
    <d v="2024-12-06T00:00:00"/>
    <x v="0"/>
    <x v="2858"/>
    <x v="1"/>
    <x v="102"/>
    <x v="1"/>
    <x v="1"/>
    <x v="1"/>
    <x v="1"/>
  </r>
  <r>
    <n v="74863"/>
    <x v="4"/>
    <x v="0"/>
    <x v="330"/>
    <x v="3"/>
    <x v="2774"/>
    <x v="3"/>
    <d v="2024-02-13T00:00:00"/>
    <d v="2024-03-08T00:00:00"/>
    <x v="2"/>
    <x v="2859"/>
    <x v="0"/>
    <x v="0"/>
    <x v="0"/>
    <x v="0"/>
    <x v="0"/>
    <x v="0"/>
  </r>
  <r>
    <n v="96704"/>
    <x v="0"/>
    <x v="0"/>
    <x v="268"/>
    <x v="6"/>
    <x v="2775"/>
    <x v="4"/>
    <d v="2024-03-23T00:00:00"/>
    <d v="2024-04-05T00:00:00"/>
    <x v="2"/>
    <x v="2860"/>
    <x v="1"/>
    <x v="61"/>
    <x v="1"/>
    <x v="1"/>
    <x v="1"/>
    <x v="1"/>
  </r>
  <r>
    <n v="25788"/>
    <x v="0"/>
    <x v="0"/>
    <x v="216"/>
    <x v="0"/>
    <x v="2776"/>
    <x v="2"/>
    <d v="2024-10-19T00:00:00"/>
    <d v="2024-11-24T00:00:00"/>
    <x v="0"/>
    <x v="2861"/>
    <x v="0"/>
    <x v="0"/>
    <x v="0"/>
    <x v="0"/>
    <x v="0"/>
    <x v="0"/>
  </r>
  <r>
    <n v="27949"/>
    <x v="9"/>
    <x v="1"/>
    <x v="59"/>
    <x v="1"/>
    <x v="2777"/>
    <x v="2"/>
    <d v="2024-09-04T00:00:00"/>
    <d v="2024-09-30T00:00:00"/>
    <x v="1"/>
    <x v="2862"/>
    <x v="1"/>
    <x v="75"/>
    <x v="1"/>
    <x v="1"/>
    <x v="1"/>
    <x v="1"/>
  </r>
  <r>
    <n v="98154"/>
    <x v="8"/>
    <x v="1"/>
    <x v="349"/>
    <x v="6"/>
    <x v="2778"/>
    <x v="4"/>
    <d v="2024-04-11T00:00:00"/>
    <d v="2024-05-11T00:00:00"/>
    <x v="0"/>
    <x v="2863"/>
    <x v="0"/>
    <x v="0"/>
    <x v="0"/>
    <x v="0"/>
    <x v="0"/>
    <x v="1"/>
  </r>
  <r>
    <n v="13901"/>
    <x v="16"/>
    <x v="3"/>
    <x v="87"/>
    <x v="6"/>
    <x v="2779"/>
    <x v="2"/>
    <d v="2024-07-24T00:00:00"/>
    <d v="2024-08-22T00:00:00"/>
    <x v="1"/>
    <x v="2864"/>
    <x v="1"/>
    <x v="22"/>
    <x v="1"/>
    <x v="1"/>
    <x v="1"/>
    <x v="1"/>
  </r>
  <r>
    <n v="69888"/>
    <x v="5"/>
    <x v="2"/>
    <x v="141"/>
    <x v="0"/>
    <x v="2780"/>
    <x v="3"/>
    <d v="2024-10-27T00:00:00"/>
    <d v="2024-11-07T00:00:00"/>
    <x v="0"/>
    <x v="2865"/>
    <x v="0"/>
    <x v="0"/>
    <x v="0"/>
    <x v="0"/>
    <x v="0"/>
    <x v="0"/>
  </r>
  <r>
    <n v="27747"/>
    <x v="5"/>
    <x v="2"/>
    <x v="424"/>
    <x v="5"/>
    <x v="2781"/>
    <x v="1"/>
    <d v="2024-04-17T00:00:00"/>
    <d v="2024-05-20T00:00:00"/>
    <x v="1"/>
    <x v="2866"/>
    <x v="0"/>
    <x v="0"/>
    <x v="0"/>
    <x v="0"/>
    <x v="0"/>
    <x v="0"/>
  </r>
  <r>
    <n v="45249"/>
    <x v="9"/>
    <x v="1"/>
    <x v="3"/>
    <x v="5"/>
    <x v="2782"/>
    <x v="0"/>
    <d v="2024-12-14T00:00:00"/>
    <d v="2025-01-12T00:00:00"/>
    <x v="2"/>
    <x v="2867"/>
    <x v="0"/>
    <x v="0"/>
    <x v="0"/>
    <x v="0"/>
    <x v="0"/>
    <x v="1"/>
  </r>
  <r>
    <n v="82540"/>
    <x v="2"/>
    <x v="1"/>
    <x v="313"/>
    <x v="5"/>
    <x v="2783"/>
    <x v="4"/>
    <d v="2024-05-30T00:00:00"/>
    <d v="2024-06-08T00:00:00"/>
    <x v="2"/>
    <x v="2868"/>
    <x v="0"/>
    <x v="0"/>
    <x v="0"/>
    <x v="0"/>
    <x v="0"/>
    <x v="1"/>
  </r>
  <r>
    <n v="80148"/>
    <x v="5"/>
    <x v="2"/>
    <x v="237"/>
    <x v="5"/>
    <x v="2784"/>
    <x v="3"/>
    <d v="2024-03-22T00:00:00"/>
    <d v="2024-04-25T00:00:00"/>
    <x v="1"/>
    <x v="2869"/>
    <x v="0"/>
    <x v="0"/>
    <x v="0"/>
    <x v="0"/>
    <x v="0"/>
    <x v="0"/>
  </r>
  <r>
    <n v="63815"/>
    <x v="2"/>
    <x v="1"/>
    <x v="223"/>
    <x v="4"/>
    <x v="2785"/>
    <x v="1"/>
    <d v="2024-10-15T00:00:00"/>
    <d v="2024-11-15T00:00:00"/>
    <x v="2"/>
    <x v="2870"/>
    <x v="0"/>
    <x v="0"/>
    <x v="0"/>
    <x v="0"/>
    <x v="0"/>
    <x v="0"/>
  </r>
  <r>
    <n v="68451"/>
    <x v="8"/>
    <x v="1"/>
    <x v="255"/>
    <x v="1"/>
    <x v="2786"/>
    <x v="2"/>
    <d v="2024-04-12T00:00:00"/>
    <d v="2024-05-07T00:00:00"/>
    <x v="2"/>
    <x v="2871"/>
    <x v="0"/>
    <x v="0"/>
    <x v="0"/>
    <x v="0"/>
    <x v="0"/>
    <x v="0"/>
  </r>
  <r>
    <n v="72270"/>
    <x v="2"/>
    <x v="1"/>
    <x v="355"/>
    <x v="3"/>
    <x v="2787"/>
    <x v="0"/>
    <d v="2024-05-14T00:00:00"/>
    <d v="2024-05-30T00:00:00"/>
    <x v="0"/>
    <x v="2872"/>
    <x v="0"/>
    <x v="0"/>
    <x v="0"/>
    <x v="0"/>
    <x v="0"/>
    <x v="0"/>
  </r>
  <r>
    <n v="23490"/>
    <x v="10"/>
    <x v="2"/>
    <x v="194"/>
    <x v="5"/>
    <x v="2788"/>
    <x v="4"/>
    <d v="2024-05-05T00:00:00"/>
    <d v="2024-06-06T00:00:00"/>
    <x v="2"/>
    <x v="2873"/>
    <x v="1"/>
    <x v="1"/>
    <x v="1"/>
    <x v="1"/>
    <x v="1"/>
    <x v="1"/>
  </r>
  <r>
    <n v="45228"/>
    <x v="16"/>
    <x v="3"/>
    <x v="82"/>
    <x v="2"/>
    <x v="2789"/>
    <x v="2"/>
    <d v="2024-10-23T00:00:00"/>
    <d v="2024-11-05T00:00:00"/>
    <x v="2"/>
    <x v="2874"/>
    <x v="0"/>
    <x v="0"/>
    <x v="0"/>
    <x v="0"/>
    <x v="0"/>
    <x v="0"/>
  </r>
  <r>
    <n v="89459"/>
    <x v="14"/>
    <x v="4"/>
    <x v="404"/>
    <x v="3"/>
    <x v="2790"/>
    <x v="4"/>
    <d v="2024-10-15T00:00:00"/>
    <d v="2024-11-22T00:00:00"/>
    <x v="0"/>
    <x v="2875"/>
    <x v="0"/>
    <x v="0"/>
    <x v="0"/>
    <x v="0"/>
    <x v="0"/>
    <x v="0"/>
  </r>
  <r>
    <n v="89369"/>
    <x v="14"/>
    <x v="4"/>
    <x v="20"/>
    <x v="0"/>
    <x v="2791"/>
    <x v="2"/>
    <d v="2024-02-08T00:00:00"/>
    <d v="2024-03-13T00:00:00"/>
    <x v="2"/>
    <x v="2876"/>
    <x v="0"/>
    <x v="0"/>
    <x v="0"/>
    <x v="0"/>
    <x v="0"/>
    <x v="0"/>
  </r>
  <r>
    <n v="55580"/>
    <x v="16"/>
    <x v="3"/>
    <x v="499"/>
    <x v="0"/>
    <x v="2792"/>
    <x v="4"/>
    <d v="2024-05-15T00:00:00"/>
    <d v="2024-05-26T00:00:00"/>
    <x v="1"/>
    <x v="2877"/>
    <x v="0"/>
    <x v="0"/>
    <x v="0"/>
    <x v="0"/>
    <x v="0"/>
    <x v="0"/>
  </r>
  <r>
    <n v="78140"/>
    <x v="14"/>
    <x v="4"/>
    <x v="185"/>
    <x v="5"/>
    <x v="2793"/>
    <x v="2"/>
    <d v="2024-02-29T00:00:00"/>
    <d v="2024-03-10T00:00:00"/>
    <x v="0"/>
    <x v="2878"/>
    <x v="0"/>
    <x v="0"/>
    <x v="0"/>
    <x v="0"/>
    <x v="0"/>
    <x v="1"/>
  </r>
  <r>
    <n v="37467"/>
    <x v="13"/>
    <x v="3"/>
    <x v="357"/>
    <x v="5"/>
    <x v="2794"/>
    <x v="3"/>
    <d v="2024-08-14T00:00:00"/>
    <d v="2024-09-10T00:00:00"/>
    <x v="0"/>
    <x v="2879"/>
    <x v="0"/>
    <x v="0"/>
    <x v="0"/>
    <x v="0"/>
    <x v="0"/>
    <x v="0"/>
  </r>
  <r>
    <n v="46036"/>
    <x v="5"/>
    <x v="2"/>
    <x v="448"/>
    <x v="6"/>
    <x v="2623"/>
    <x v="0"/>
    <d v="2024-05-12T00:00:00"/>
    <d v="2024-05-31T00:00:00"/>
    <x v="0"/>
    <x v="2880"/>
    <x v="1"/>
    <x v="6"/>
    <x v="1"/>
    <x v="1"/>
    <x v="1"/>
    <x v="1"/>
  </r>
  <r>
    <n v="69807"/>
    <x v="4"/>
    <x v="0"/>
    <x v="127"/>
    <x v="2"/>
    <x v="2795"/>
    <x v="3"/>
    <d v="2024-12-07T00:00:00"/>
    <d v="2025-01-11T00:00:00"/>
    <x v="2"/>
    <x v="2881"/>
    <x v="0"/>
    <x v="0"/>
    <x v="0"/>
    <x v="0"/>
    <x v="0"/>
    <x v="0"/>
  </r>
  <r>
    <n v="97782"/>
    <x v="10"/>
    <x v="2"/>
    <x v="218"/>
    <x v="0"/>
    <x v="2796"/>
    <x v="3"/>
    <d v="2024-10-24T00:00:00"/>
    <d v="2024-11-04T00:00:00"/>
    <x v="2"/>
    <x v="2882"/>
    <x v="0"/>
    <x v="0"/>
    <x v="0"/>
    <x v="0"/>
    <x v="0"/>
    <x v="0"/>
  </r>
  <r>
    <n v="99898"/>
    <x v="10"/>
    <x v="2"/>
    <x v="294"/>
    <x v="5"/>
    <x v="2797"/>
    <x v="2"/>
    <d v="2024-02-29T00:00:00"/>
    <d v="2024-03-12T00:00:00"/>
    <x v="1"/>
    <x v="2883"/>
    <x v="0"/>
    <x v="0"/>
    <x v="0"/>
    <x v="0"/>
    <x v="0"/>
    <x v="1"/>
  </r>
  <r>
    <n v="62073"/>
    <x v="6"/>
    <x v="3"/>
    <x v="407"/>
    <x v="2"/>
    <x v="2798"/>
    <x v="3"/>
    <d v="2024-05-20T00:00:00"/>
    <d v="2024-05-28T00:00:00"/>
    <x v="0"/>
    <x v="2884"/>
    <x v="0"/>
    <x v="0"/>
    <x v="0"/>
    <x v="0"/>
    <x v="0"/>
    <x v="0"/>
  </r>
  <r>
    <n v="90468"/>
    <x v="1"/>
    <x v="0"/>
    <x v="452"/>
    <x v="2"/>
    <x v="2799"/>
    <x v="1"/>
    <d v="2024-12-10T00:00:00"/>
    <d v="2024-12-19T00:00:00"/>
    <x v="0"/>
    <x v="2885"/>
    <x v="0"/>
    <x v="0"/>
    <x v="0"/>
    <x v="0"/>
    <x v="0"/>
    <x v="0"/>
  </r>
  <r>
    <n v="56760"/>
    <x v="4"/>
    <x v="0"/>
    <x v="318"/>
    <x v="1"/>
    <x v="2800"/>
    <x v="4"/>
    <d v="2024-10-27T00:00:00"/>
    <d v="2024-11-17T00:00:00"/>
    <x v="0"/>
    <x v="2886"/>
    <x v="0"/>
    <x v="0"/>
    <x v="0"/>
    <x v="0"/>
    <x v="0"/>
    <x v="0"/>
  </r>
  <r>
    <n v="34610"/>
    <x v="5"/>
    <x v="2"/>
    <x v="82"/>
    <x v="6"/>
    <x v="2801"/>
    <x v="4"/>
    <d v="2024-11-24T00:00:00"/>
    <d v="2024-12-09T00:00:00"/>
    <x v="0"/>
    <x v="2887"/>
    <x v="1"/>
    <x v="77"/>
    <x v="1"/>
    <x v="1"/>
    <x v="1"/>
    <x v="1"/>
  </r>
  <r>
    <n v="35380"/>
    <x v="1"/>
    <x v="0"/>
    <x v="296"/>
    <x v="1"/>
    <x v="2802"/>
    <x v="2"/>
    <d v="2024-11-01T00:00:00"/>
    <d v="2024-11-29T00:00:00"/>
    <x v="1"/>
    <x v="2888"/>
    <x v="0"/>
    <x v="0"/>
    <x v="0"/>
    <x v="0"/>
    <x v="0"/>
    <x v="1"/>
  </r>
  <r>
    <n v="59108"/>
    <x v="10"/>
    <x v="2"/>
    <x v="230"/>
    <x v="6"/>
    <x v="2803"/>
    <x v="1"/>
    <d v="2024-11-18T00:00:00"/>
    <d v="2024-11-24T00:00:00"/>
    <x v="2"/>
    <x v="2889"/>
    <x v="0"/>
    <x v="0"/>
    <x v="0"/>
    <x v="0"/>
    <x v="0"/>
    <x v="1"/>
  </r>
  <r>
    <n v="70548"/>
    <x v="5"/>
    <x v="2"/>
    <x v="269"/>
    <x v="1"/>
    <x v="2804"/>
    <x v="3"/>
    <d v="2024-10-10T00:00:00"/>
    <d v="2024-11-09T00:00:00"/>
    <x v="2"/>
    <x v="2890"/>
    <x v="0"/>
    <x v="0"/>
    <x v="0"/>
    <x v="0"/>
    <x v="0"/>
    <x v="1"/>
  </r>
  <r>
    <n v="81739"/>
    <x v="6"/>
    <x v="3"/>
    <x v="151"/>
    <x v="4"/>
    <x v="2805"/>
    <x v="3"/>
    <d v="2024-12-05T00:00:00"/>
    <d v="2025-01-05T00:00:00"/>
    <x v="1"/>
    <x v="2891"/>
    <x v="0"/>
    <x v="0"/>
    <x v="0"/>
    <x v="0"/>
    <x v="0"/>
    <x v="0"/>
  </r>
  <r>
    <n v="66257"/>
    <x v="15"/>
    <x v="4"/>
    <x v="18"/>
    <x v="0"/>
    <x v="2806"/>
    <x v="0"/>
    <d v="2024-10-09T00:00:00"/>
    <d v="2024-10-26T00:00:00"/>
    <x v="1"/>
    <x v="2892"/>
    <x v="0"/>
    <x v="0"/>
    <x v="0"/>
    <x v="0"/>
    <x v="0"/>
    <x v="0"/>
  </r>
  <r>
    <n v="89029"/>
    <x v="10"/>
    <x v="2"/>
    <x v="98"/>
    <x v="5"/>
    <x v="2807"/>
    <x v="2"/>
    <d v="2024-08-14T00:00:00"/>
    <d v="2024-08-21T00:00:00"/>
    <x v="1"/>
    <x v="2893"/>
    <x v="0"/>
    <x v="0"/>
    <x v="0"/>
    <x v="0"/>
    <x v="0"/>
    <x v="0"/>
  </r>
  <r>
    <n v="51849"/>
    <x v="6"/>
    <x v="3"/>
    <x v="203"/>
    <x v="3"/>
    <x v="2808"/>
    <x v="0"/>
    <d v="2024-09-23T00:00:00"/>
    <d v="2024-10-03T00:00:00"/>
    <x v="2"/>
    <x v="2894"/>
    <x v="0"/>
    <x v="0"/>
    <x v="0"/>
    <x v="0"/>
    <x v="0"/>
    <x v="0"/>
  </r>
  <r>
    <n v="85772"/>
    <x v="4"/>
    <x v="0"/>
    <x v="324"/>
    <x v="0"/>
    <x v="2809"/>
    <x v="3"/>
    <d v="2024-02-03T00:00:00"/>
    <d v="2024-03-08T00:00:00"/>
    <x v="1"/>
    <x v="2895"/>
    <x v="0"/>
    <x v="0"/>
    <x v="0"/>
    <x v="0"/>
    <x v="0"/>
    <x v="0"/>
  </r>
  <r>
    <n v="88132"/>
    <x v="3"/>
    <x v="2"/>
    <x v="154"/>
    <x v="2"/>
    <x v="2810"/>
    <x v="2"/>
    <d v="2024-11-04T00:00:00"/>
    <d v="2024-11-15T00:00:00"/>
    <x v="0"/>
    <x v="2896"/>
    <x v="0"/>
    <x v="0"/>
    <x v="0"/>
    <x v="0"/>
    <x v="0"/>
    <x v="0"/>
  </r>
  <r>
    <n v="67781"/>
    <x v="3"/>
    <x v="2"/>
    <x v="32"/>
    <x v="3"/>
    <x v="2811"/>
    <x v="3"/>
    <d v="2024-08-03T00:00:00"/>
    <d v="2024-08-16T00:00:00"/>
    <x v="2"/>
    <x v="2897"/>
    <x v="0"/>
    <x v="0"/>
    <x v="0"/>
    <x v="0"/>
    <x v="0"/>
    <x v="0"/>
  </r>
  <r>
    <n v="63492"/>
    <x v="12"/>
    <x v="0"/>
    <x v="0"/>
    <x v="6"/>
    <x v="2812"/>
    <x v="4"/>
    <d v="2024-04-30T00:00:00"/>
    <d v="2024-05-27T00:00:00"/>
    <x v="2"/>
    <x v="2898"/>
    <x v="0"/>
    <x v="0"/>
    <x v="0"/>
    <x v="0"/>
    <x v="0"/>
    <x v="1"/>
  </r>
  <r>
    <n v="58481"/>
    <x v="4"/>
    <x v="0"/>
    <x v="317"/>
    <x v="3"/>
    <x v="2813"/>
    <x v="1"/>
    <d v="2024-05-24T00:00:00"/>
    <d v="2024-06-05T00:00:00"/>
    <x v="0"/>
    <x v="2899"/>
    <x v="0"/>
    <x v="0"/>
    <x v="0"/>
    <x v="0"/>
    <x v="0"/>
    <x v="0"/>
  </r>
  <r>
    <n v="75015"/>
    <x v="0"/>
    <x v="0"/>
    <x v="125"/>
    <x v="4"/>
    <x v="2814"/>
    <x v="4"/>
    <d v="2024-02-21T00:00:00"/>
    <d v="2024-02-27T00:00:00"/>
    <x v="2"/>
    <x v="2900"/>
    <x v="0"/>
    <x v="0"/>
    <x v="0"/>
    <x v="0"/>
    <x v="0"/>
    <x v="0"/>
  </r>
  <r>
    <n v="21358"/>
    <x v="0"/>
    <x v="0"/>
    <x v="381"/>
    <x v="6"/>
    <x v="2815"/>
    <x v="0"/>
    <d v="2024-04-30T00:00:00"/>
    <d v="2024-06-07T00:00:00"/>
    <x v="1"/>
    <x v="2901"/>
    <x v="0"/>
    <x v="0"/>
    <x v="0"/>
    <x v="0"/>
    <x v="0"/>
    <x v="1"/>
  </r>
  <r>
    <n v="98104"/>
    <x v="13"/>
    <x v="3"/>
    <x v="213"/>
    <x v="0"/>
    <x v="2816"/>
    <x v="0"/>
    <d v="2024-09-12T00:00:00"/>
    <d v="2024-10-07T00:00:00"/>
    <x v="2"/>
    <x v="2902"/>
    <x v="0"/>
    <x v="0"/>
    <x v="0"/>
    <x v="0"/>
    <x v="0"/>
    <x v="0"/>
  </r>
  <r>
    <n v="61275"/>
    <x v="7"/>
    <x v="3"/>
    <x v="145"/>
    <x v="6"/>
    <x v="2817"/>
    <x v="0"/>
    <d v="2024-03-13T00:00:00"/>
    <d v="2024-03-24T00:00:00"/>
    <x v="1"/>
    <x v="2903"/>
    <x v="0"/>
    <x v="0"/>
    <x v="0"/>
    <x v="0"/>
    <x v="0"/>
    <x v="1"/>
  </r>
  <r>
    <n v="46716"/>
    <x v="14"/>
    <x v="4"/>
    <x v="411"/>
    <x v="2"/>
    <x v="2818"/>
    <x v="0"/>
    <d v="2024-06-10T00:00:00"/>
    <d v="2024-06-27T00:00:00"/>
    <x v="0"/>
    <x v="2904"/>
    <x v="0"/>
    <x v="0"/>
    <x v="0"/>
    <x v="0"/>
    <x v="0"/>
    <x v="0"/>
  </r>
  <r>
    <n v="70615"/>
    <x v="3"/>
    <x v="2"/>
    <x v="58"/>
    <x v="6"/>
    <x v="2819"/>
    <x v="1"/>
    <d v="2024-05-02T00:00:00"/>
    <d v="2024-06-07T00:00:00"/>
    <x v="2"/>
    <x v="62"/>
    <x v="1"/>
    <x v="67"/>
    <x v="1"/>
    <x v="1"/>
    <x v="1"/>
    <x v="1"/>
  </r>
  <r>
    <n v="35658"/>
    <x v="7"/>
    <x v="3"/>
    <x v="98"/>
    <x v="3"/>
    <x v="2820"/>
    <x v="2"/>
    <d v="2024-02-10T00:00:00"/>
    <d v="2024-02-17T00:00:00"/>
    <x v="1"/>
    <x v="2905"/>
    <x v="0"/>
    <x v="0"/>
    <x v="0"/>
    <x v="0"/>
    <x v="0"/>
    <x v="0"/>
  </r>
  <r>
    <n v="40367"/>
    <x v="11"/>
    <x v="4"/>
    <x v="37"/>
    <x v="4"/>
    <x v="2821"/>
    <x v="3"/>
    <d v="2024-11-27T00:00:00"/>
    <d v="2024-12-09T00:00:00"/>
    <x v="0"/>
    <x v="2906"/>
    <x v="0"/>
    <x v="0"/>
    <x v="0"/>
    <x v="0"/>
    <x v="0"/>
    <x v="0"/>
  </r>
  <r>
    <n v="44902"/>
    <x v="13"/>
    <x v="3"/>
    <x v="277"/>
    <x v="1"/>
    <x v="2822"/>
    <x v="2"/>
    <d v="2024-12-11T00:00:00"/>
    <d v="2025-01-08T00:00:00"/>
    <x v="2"/>
    <x v="2907"/>
    <x v="0"/>
    <x v="0"/>
    <x v="0"/>
    <x v="0"/>
    <x v="0"/>
    <x v="1"/>
  </r>
  <r>
    <n v="86518"/>
    <x v="11"/>
    <x v="4"/>
    <x v="79"/>
    <x v="1"/>
    <x v="2823"/>
    <x v="1"/>
    <d v="2024-03-18T00:00:00"/>
    <d v="2024-03-26T00:00:00"/>
    <x v="0"/>
    <x v="2908"/>
    <x v="0"/>
    <x v="0"/>
    <x v="0"/>
    <x v="0"/>
    <x v="0"/>
    <x v="0"/>
  </r>
  <r>
    <n v="31775"/>
    <x v="8"/>
    <x v="1"/>
    <x v="459"/>
    <x v="0"/>
    <x v="2824"/>
    <x v="1"/>
    <d v="2024-03-27T00:00:00"/>
    <d v="2024-04-11T00:00:00"/>
    <x v="2"/>
    <x v="2909"/>
    <x v="0"/>
    <x v="0"/>
    <x v="0"/>
    <x v="0"/>
    <x v="0"/>
    <x v="0"/>
  </r>
  <r>
    <n v="14521"/>
    <x v="4"/>
    <x v="0"/>
    <x v="438"/>
    <x v="1"/>
    <x v="2825"/>
    <x v="3"/>
    <d v="2024-08-20T00:00:00"/>
    <d v="2024-09-09T00:00:00"/>
    <x v="1"/>
    <x v="2910"/>
    <x v="0"/>
    <x v="0"/>
    <x v="0"/>
    <x v="0"/>
    <x v="0"/>
    <x v="1"/>
  </r>
  <r>
    <n v="76684"/>
    <x v="2"/>
    <x v="1"/>
    <x v="259"/>
    <x v="1"/>
    <x v="2826"/>
    <x v="0"/>
    <d v="2024-09-08T00:00:00"/>
    <d v="2024-10-10T00:00:00"/>
    <x v="2"/>
    <x v="2911"/>
    <x v="0"/>
    <x v="0"/>
    <x v="0"/>
    <x v="0"/>
    <x v="0"/>
    <x v="0"/>
  </r>
  <r>
    <n v="69516"/>
    <x v="13"/>
    <x v="3"/>
    <x v="45"/>
    <x v="1"/>
    <x v="2827"/>
    <x v="0"/>
    <d v="2024-05-18T00:00:00"/>
    <d v="2024-06-03T00:00:00"/>
    <x v="1"/>
    <x v="2912"/>
    <x v="1"/>
    <x v="4"/>
    <x v="1"/>
    <x v="1"/>
    <x v="1"/>
    <x v="1"/>
  </r>
  <r>
    <n v="23554"/>
    <x v="7"/>
    <x v="3"/>
    <x v="277"/>
    <x v="4"/>
    <x v="2828"/>
    <x v="4"/>
    <d v="2024-09-10T00:00:00"/>
    <d v="2024-09-22T00:00:00"/>
    <x v="0"/>
    <x v="2913"/>
    <x v="0"/>
    <x v="0"/>
    <x v="0"/>
    <x v="0"/>
    <x v="0"/>
    <x v="0"/>
  </r>
  <r>
    <n v="55562"/>
    <x v="7"/>
    <x v="3"/>
    <x v="226"/>
    <x v="1"/>
    <x v="2829"/>
    <x v="0"/>
    <d v="2024-05-01T00:00:00"/>
    <d v="2024-05-31T00:00:00"/>
    <x v="1"/>
    <x v="2914"/>
    <x v="0"/>
    <x v="0"/>
    <x v="0"/>
    <x v="0"/>
    <x v="0"/>
    <x v="1"/>
  </r>
  <r>
    <n v="28340"/>
    <x v="13"/>
    <x v="3"/>
    <x v="303"/>
    <x v="3"/>
    <x v="2830"/>
    <x v="4"/>
    <d v="2024-06-05T00:00:00"/>
    <d v="2024-06-28T00:00:00"/>
    <x v="2"/>
    <x v="2915"/>
    <x v="0"/>
    <x v="0"/>
    <x v="0"/>
    <x v="0"/>
    <x v="0"/>
    <x v="0"/>
  </r>
  <r>
    <n v="35530"/>
    <x v="9"/>
    <x v="1"/>
    <x v="10"/>
    <x v="2"/>
    <x v="2511"/>
    <x v="3"/>
    <d v="2024-07-13T00:00:00"/>
    <d v="2024-07-30T00:00:00"/>
    <x v="0"/>
    <x v="2916"/>
    <x v="0"/>
    <x v="0"/>
    <x v="0"/>
    <x v="0"/>
    <x v="0"/>
    <x v="0"/>
  </r>
  <r>
    <n v="81828"/>
    <x v="5"/>
    <x v="2"/>
    <x v="225"/>
    <x v="5"/>
    <x v="2831"/>
    <x v="1"/>
    <d v="2024-10-14T00:00:00"/>
    <d v="2024-11-22T00:00:00"/>
    <x v="2"/>
    <x v="2917"/>
    <x v="0"/>
    <x v="0"/>
    <x v="0"/>
    <x v="0"/>
    <x v="0"/>
    <x v="0"/>
  </r>
  <r>
    <n v="84349"/>
    <x v="9"/>
    <x v="1"/>
    <x v="248"/>
    <x v="0"/>
    <x v="2832"/>
    <x v="4"/>
    <d v="2024-03-08T00:00:00"/>
    <d v="2024-04-07T00:00:00"/>
    <x v="0"/>
    <x v="2918"/>
    <x v="0"/>
    <x v="0"/>
    <x v="0"/>
    <x v="0"/>
    <x v="0"/>
    <x v="0"/>
  </r>
  <r>
    <n v="55567"/>
    <x v="15"/>
    <x v="4"/>
    <x v="198"/>
    <x v="3"/>
    <x v="2833"/>
    <x v="1"/>
    <d v="2024-10-22T00:00:00"/>
    <d v="2024-11-03T00:00:00"/>
    <x v="0"/>
    <x v="2919"/>
    <x v="0"/>
    <x v="0"/>
    <x v="0"/>
    <x v="0"/>
    <x v="0"/>
    <x v="0"/>
  </r>
  <r>
    <n v="61996"/>
    <x v="2"/>
    <x v="1"/>
    <x v="56"/>
    <x v="0"/>
    <x v="2834"/>
    <x v="4"/>
    <d v="2024-02-22T00:00:00"/>
    <d v="2024-03-17T00:00:00"/>
    <x v="1"/>
    <x v="2920"/>
    <x v="0"/>
    <x v="0"/>
    <x v="0"/>
    <x v="0"/>
    <x v="0"/>
    <x v="0"/>
  </r>
  <r>
    <n v="63913"/>
    <x v="9"/>
    <x v="1"/>
    <x v="213"/>
    <x v="1"/>
    <x v="2835"/>
    <x v="4"/>
    <d v="2024-11-27T00:00:00"/>
    <d v="2024-12-17T00:00:00"/>
    <x v="0"/>
    <x v="2921"/>
    <x v="0"/>
    <x v="0"/>
    <x v="0"/>
    <x v="0"/>
    <x v="0"/>
    <x v="1"/>
  </r>
  <r>
    <n v="69919"/>
    <x v="16"/>
    <x v="3"/>
    <x v="275"/>
    <x v="5"/>
    <x v="2836"/>
    <x v="0"/>
    <d v="2024-01-18T00:00:00"/>
    <d v="2024-02-22T00:00:00"/>
    <x v="0"/>
    <x v="2922"/>
    <x v="0"/>
    <x v="0"/>
    <x v="0"/>
    <x v="0"/>
    <x v="0"/>
    <x v="0"/>
  </r>
  <r>
    <n v="80063"/>
    <x v="4"/>
    <x v="0"/>
    <x v="88"/>
    <x v="1"/>
    <x v="2837"/>
    <x v="2"/>
    <d v="2024-11-15T00:00:00"/>
    <d v="2024-12-03T00:00:00"/>
    <x v="2"/>
    <x v="2923"/>
    <x v="0"/>
    <x v="0"/>
    <x v="0"/>
    <x v="0"/>
    <x v="0"/>
    <x v="0"/>
  </r>
  <r>
    <n v="53239"/>
    <x v="11"/>
    <x v="4"/>
    <x v="282"/>
    <x v="4"/>
    <x v="2838"/>
    <x v="2"/>
    <d v="2024-07-31T00:00:00"/>
    <d v="2024-09-06T00:00:00"/>
    <x v="1"/>
    <x v="2924"/>
    <x v="0"/>
    <x v="0"/>
    <x v="0"/>
    <x v="0"/>
    <x v="0"/>
    <x v="0"/>
  </r>
  <r>
    <n v="49028"/>
    <x v="16"/>
    <x v="3"/>
    <x v="152"/>
    <x v="3"/>
    <x v="2839"/>
    <x v="1"/>
    <d v="2024-03-30T00:00:00"/>
    <d v="2024-04-06T00:00:00"/>
    <x v="2"/>
    <x v="2925"/>
    <x v="0"/>
    <x v="0"/>
    <x v="0"/>
    <x v="0"/>
    <x v="0"/>
    <x v="0"/>
  </r>
  <r>
    <n v="90389"/>
    <x v="12"/>
    <x v="0"/>
    <x v="70"/>
    <x v="3"/>
    <x v="2840"/>
    <x v="1"/>
    <d v="2024-03-22T00:00:00"/>
    <d v="2024-04-15T00:00:00"/>
    <x v="0"/>
    <x v="2926"/>
    <x v="0"/>
    <x v="0"/>
    <x v="0"/>
    <x v="0"/>
    <x v="0"/>
    <x v="0"/>
  </r>
  <r>
    <n v="86105"/>
    <x v="14"/>
    <x v="4"/>
    <x v="433"/>
    <x v="2"/>
    <x v="2841"/>
    <x v="0"/>
    <d v="2024-06-19T00:00:00"/>
    <d v="2024-07-12T00:00:00"/>
    <x v="0"/>
    <x v="2927"/>
    <x v="0"/>
    <x v="0"/>
    <x v="0"/>
    <x v="0"/>
    <x v="0"/>
    <x v="1"/>
  </r>
  <r>
    <n v="14174"/>
    <x v="8"/>
    <x v="1"/>
    <x v="0"/>
    <x v="5"/>
    <x v="2842"/>
    <x v="2"/>
    <d v="2024-09-06T00:00:00"/>
    <d v="2024-09-16T00:00:00"/>
    <x v="2"/>
    <x v="2928"/>
    <x v="0"/>
    <x v="0"/>
    <x v="0"/>
    <x v="0"/>
    <x v="0"/>
    <x v="1"/>
  </r>
  <r>
    <n v="41276"/>
    <x v="10"/>
    <x v="2"/>
    <x v="497"/>
    <x v="1"/>
    <x v="2843"/>
    <x v="3"/>
    <d v="2024-11-17T00:00:00"/>
    <d v="2024-12-26T00:00:00"/>
    <x v="2"/>
    <x v="2929"/>
    <x v="0"/>
    <x v="0"/>
    <x v="0"/>
    <x v="0"/>
    <x v="0"/>
    <x v="1"/>
  </r>
  <r>
    <n v="56312"/>
    <x v="5"/>
    <x v="2"/>
    <x v="326"/>
    <x v="3"/>
    <x v="2844"/>
    <x v="4"/>
    <d v="2024-09-29T00:00:00"/>
    <d v="2024-10-06T00:00:00"/>
    <x v="1"/>
    <x v="2930"/>
    <x v="0"/>
    <x v="0"/>
    <x v="0"/>
    <x v="0"/>
    <x v="0"/>
    <x v="0"/>
  </r>
  <r>
    <n v="12631"/>
    <x v="14"/>
    <x v="4"/>
    <x v="170"/>
    <x v="5"/>
    <x v="2845"/>
    <x v="1"/>
    <d v="2024-08-09T00:00:00"/>
    <d v="2024-09-11T00:00:00"/>
    <x v="0"/>
    <x v="2931"/>
    <x v="0"/>
    <x v="0"/>
    <x v="0"/>
    <x v="0"/>
    <x v="0"/>
    <x v="0"/>
  </r>
  <r>
    <n v="15599"/>
    <x v="10"/>
    <x v="2"/>
    <x v="497"/>
    <x v="1"/>
    <x v="2846"/>
    <x v="4"/>
    <d v="2024-08-30T00:00:00"/>
    <d v="2024-10-07T00:00:00"/>
    <x v="2"/>
    <x v="2932"/>
    <x v="0"/>
    <x v="0"/>
    <x v="0"/>
    <x v="0"/>
    <x v="0"/>
    <x v="1"/>
  </r>
  <r>
    <n v="99084"/>
    <x v="6"/>
    <x v="3"/>
    <x v="230"/>
    <x v="2"/>
    <x v="2847"/>
    <x v="3"/>
    <d v="2024-10-20T00:00:00"/>
    <d v="2024-10-25T00:00:00"/>
    <x v="1"/>
    <x v="2933"/>
    <x v="0"/>
    <x v="0"/>
    <x v="0"/>
    <x v="0"/>
    <x v="0"/>
    <x v="0"/>
  </r>
  <r>
    <n v="10767"/>
    <x v="0"/>
    <x v="0"/>
    <x v="49"/>
    <x v="1"/>
    <x v="2848"/>
    <x v="4"/>
    <d v="2024-08-02T00:00:00"/>
    <d v="2024-09-06T00:00:00"/>
    <x v="0"/>
    <x v="2934"/>
    <x v="0"/>
    <x v="0"/>
    <x v="0"/>
    <x v="0"/>
    <x v="0"/>
    <x v="0"/>
  </r>
  <r>
    <n v="10744"/>
    <x v="6"/>
    <x v="3"/>
    <x v="257"/>
    <x v="3"/>
    <x v="2849"/>
    <x v="2"/>
    <d v="2024-10-02T00:00:00"/>
    <d v="2024-10-19T00:00:00"/>
    <x v="0"/>
    <x v="2935"/>
    <x v="0"/>
    <x v="0"/>
    <x v="0"/>
    <x v="0"/>
    <x v="0"/>
    <x v="0"/>
  </r>
  <r>
    <n v="32319"/>
    <x v="5"/>
    <x v="2"/>
    <x v="184"/>
    <x v="5"/>
    <x v="2850"/>
    <x v="2"/>
    <d v="2024-10-13T00:00:00"/>
    <d v="2024-10-21T00:00:00"/>
    <x v="2"/>
    <x v="2936"/>
    <x v="1"/>
    <x v="40"/>
    <x v="1"/>
    <x v="1"/>
    <x v="1"/>
    <x v="1"/>
  </r>
  <r>
    <n v="48474"/>
    <x v="2"/>
    <x v="1"/>
    <x v="182"/>
    <x v="1"/>
    <x v="2851"/>
    <x v="1"/>
    <d v="2024-11-20T00:00:00"/>
    <d v="2024-12-08T00:00:00"/>
    <x v="0"/>
    <x v="2937"/>
    <x v="0"/>
    <x v="0"/>
    <x v="0"/>
    <x v="0"/>
    <x v="0"/>
    <x v="0"/>
  </r>
  <r>
    <n v="29189"/>
    <x v="15"/>
    <x v="4"/>
    <x v="425"/>
    <x v="2"/>
    <x v="2852"/>
    <x v="3"/>
    <d v="2024-11-17T00:00:00"/>
    <d v="2024-12-18T00:00:00"/>
    <x v="1"/>
    <x v="2938"/>
    <x v="0"/>
    <x v="0"/>
    <x v="0"/>
    <x v="0"/>
    <x v="0"/>
    <x v="0"/>
  </r>
  <r>
    <n v="61544"/>
    <x v="0"/>
    <x v="0"/>
    <x v="277"/>
    <x v="0"/>
    <x v="2853"/>
    <x v="1"/>
    <d v="2024-07-13T00:00:00"/>
    <d v="2024-07-30T00:00:00"/>
    <x v="0"/>
    <x v="2939"/>
    <x v="0"/>
    <x v="0"/>
    <x v="0"/>
    <x v="0"/>
    <x v="0"/>
    <x v="0"/>
  </r>
  <r>
    <n v="45016"/>
    <x v="6"/>
    <x v="3"/>
    <x v="399"/>
    <x v="3"/>
    <x v="2854"/>
    <x v="4"/>
    <d v="2024-06-05T00:00:00"/>
    <d v="2024-06-13T00:00:00"/>
    <x v="1"/>
    <x v="2940"/>
    <x v="0"/>
    <x v="0"/>
    <x v="0"/>
    <x v="0"/>
    <x v="0"/>
    <x v="0"/>
  </r>
  <r>
    <n v="41052"/>
    <x v="11"/>
    <x v="4"/>
    <x v="91"/>
    <x v="1"/>
    <x v="2855"/>
    <x v="1"/>
    <d v="2024-12-25T00:00:00"/>
    <d v="2025-01-30T00:00:00"/>
    <x v="1"/>
    <x v="2941"/>
    <x v="0"/>
    <x v="0"/>
    <x v="0"/>
    <x v="0"/>
    <x v="0"/>
    <x v="1"/>
  </r>
  <r>
    <n v="13763"/>
    <x v="6"/>
    <x v="3"/>
    <x v="340"/>
    <x v="5"/>
    <x v="2856"/>
    <x v="3"/>
    <d v="2024-03-28T00:00:00"/>
    <d v="2024-04-18T00:00:00"/>
    <x v="0"/>
    <x v="2942"/>
    <x v="0"/>
    <x v="0"/>
    <x v="0"/>
    <x v="0"/>
    <x v="0"/>
    <x v="0"/>
  </r>
  <r>
    <n v="86323"/>
    <x v="0"/>
    <x v="0"/>
    <x v="26"/>
    <x v="6"/>
    <x v="2857"/>
    <x v="1"/>
    <d v="2024-01-22T00:00:00"/>
    <d v="2024-01-31T00:00:00"/>
    <x v="0"/>
    <x v="2943"/>
    <x v="0"/>
    <x v="0"/>
    <x v="0"/>
    <x v="0"/>
    <x v="0"/>
    <x v="1"/>
  </r>
  <r>
    <n v="27678"/>
    <x v="9"/>
    <x v="1"/>
    <x v="335"/>
    <x v="5"/>
    <x v="2858"/>
    <x v="1"/>
    <d v="2024-09-02T00:00:00"/>
    <d v="2024-10-11T00:00:00"/>
    <x v="2"/>
    <x v="2944"/>
    <x v="0"/>
    <x v="0"/>
    <x v="0"/>
    <x v="0"/>
    <x v="0"/>
    <x v="1"/>
  </r>
  <r>
    <n v="61556"/>
    <x v="16"/>
    <x v="3"/>
    <x v="108"/>
    <x v="0"/>
    <x v="2859"/>
    <x v="0"/>
    <d v="2024-10-08T00:00:00"/>
    <d v="2024-11-02T00:00:00"/>
    <x v="0"/>
    <x v="2945"/>
    <x v="1"/>
    <x v="18"/>
    <x v="1"/>
    <x v="1"/>
    <x v="1"/>
    <x v="1"/>
  </r>
  <r>
    <n v="81678"/>
    <x v="16"/>
    <x v="3"/>
    <x v="201"/>
    <x v="2"/>
    <x v="2860"/>
    <x v="2"/>
    <d v="2024-01-24T00:00:00"/>
    <d v="2024-03-01T00:00:00"/>
    <x v="0"/>
    <x v="2946"/>
    <x v="0"/>
    <x v="0"/>
    <x v="0"/>
    <x v="0"/>
    <x v="0"/>
    <x v="0"/>
  </r>
  <r>
    <n v="79963"/>
    <x v="15"/>
    <x v="4"/>
    <x v="133"/>
    <x v="5"/>
    <x v="2861"/>
    <x v="4"/>
    <d v="2024-06-17T00:00:00"/>
    <d v="2024-07-14T00:00:00"/>
    <x v="0"/>
    <x v="2947"/>
    <x v="0"/>
    <x v="0"/>
    <x v="0"/>
    <x v="0"/>
    <x v="0"/>
    <x v="1"/>
  </r>
  <r>
    <n v="37146"/>
    <x v="7"/>
    <x v="3"/>
    <x v="102"/>
    <x v="5"/>
    <x v="2862"/>
    <x v="2"/>
    <d v="2024-09-20T00:00:00"/>
    <d v="2024-10-12T00:00:00"/>
    <x v="1"/>
    <x v="2948"/>
    <x v="0"/>
    <x v="0"/>
    <x v="0"/>
    <x v="0"/>
    <x v="0"/>
    <x v="0"/>
  </r>
  <r>
    <n v="34783"/>
    <x v="11"/>
    <x v="4"/>
    <x v="37"/>
    <x v="5"/>
    <x v="2863"/>
    <x v="2"/>
    <d v="2024-03-27T00:00:00"/>
    <d v="2024-04-28T00:00:00"/>
    <x v="2"/>
    <x v="2949"/>
    <x v="0"/>
    <x v="0"/>
    <x v="0"/>
    <x v="0"/>
    <x v="0"/>
    <x v="1"/>
  </r>
  <r>
    <n v="23796"/>
    <x v="6"/>
    <x v="3"/>
    <x v="1"/>
    <x v="4"/>
    <x v="2864"/>
    <x v="0"/>
    <d v="2024-06-09T00:00:00"/>
    <d v="2024-06-15T00:00:00"/>
    <x v="1"/>
    <x v="2950"/>
    <x v="0"/>
    <x v="0"/>
    <x v="0"/>
    <x v="0"/>
    <x v="0"/>
    <x v="0"/>
  </r>
  <r>
    <n v="24743"/>
    <x v="9"/>
    <x v="1"/>
    <x v="245"/>
    <x v="3"/>
    <x v="2865"/>
    <x v="2"/>
    <d v="2024-06-04T00:00:00"/>
    <d v="2024-06-17T00:00:00"/>
    <x v="0"/>
    <x v="2951"/>
    <x v="0"/>
    <x v="0"/>
    <x v="0"/>
    <x v="0"/>
    <x v="0"/>
    <x v="0"/>
  </r>
  <r>
    <n v="99403"/>
    <x v="9"/>
    <x v="1"/>
    <x v="27"/>
    <x v="5"/>
    <x v="2866"/>
    <x v="4"/>
    <d v="2024-02-08T00:00:00"/>
    <d v="2024-03-08T00:00:00"/>
    <x v="2"/>
    <x v="2952"/>
    <x v="0"/>
    <x v="0"/>
    <x v="0"/>
    <x v="0"/>
    <x v="0"/>
    <x v="0"/>
  </r>
  <r>
    <n v="43390"/>
    <x v="15"/>
    <x v="4"/>
    <x v="359"/>
    <x v="1"/>
    <x v="2867"/>
    <x v="3"/>
    <d v="2024-09-09T00:00:00"/>
    <d v="2024-10-10T00:00:00"/>
    <x v="2"/>
    <x v="2953"/>
    <x v="0"/>
    <x v="0"/>
    <x v="0"/>
    <x v="0"/>
    <x v="0"/>
    <x v="0"/>
  </r>
  <r>
    <n v="96224"/>
    <x v="0"/>
    <x v="0"/>
    <x v="170"/>
    <x v="0"/>
    <x v="2868"/>
    <x v="4"/>
    <d v="2024-10-05T00:00:00"/>
    <d v="2024-10-16T00:00:00"/>
    <x v="1"/>
    <x v="2954"/>
    <x v="0"/>
    <x v="0"/>
    <x v="0"/>
    <x v="0"/>
    <x v="0"/>
    <x v="0"/>
  </r>
  <r>
    <n v="99362"/>
    <x v="13"/>
    <x v="3"/>
    <x v="275"/>
    <x v="5"/>
    <x v="2869"/>
    <x v="4"/>
    <d v="2024-08-14T00:00:00"/>
    <d v="2024-09-04T00:00:00"/>
    <x v="1"/>
    <x v="2955"/>
    <x v="0"/>
    <x v="0"/>
    <x v="0"/>
    <x v="0"/>
    <x v="0"/>
    <x v="0"/>
  </r>
  <r>
    <n v="95953"/>
    <x v="7"/>
    <x v="3"/>
    <x v="250"/>
    <x v="2"/>
    <x v="2870"/>
    <x v="2"/>
    <d v="2024-09-05T00:00:00"/>
    <d v="2024-10-13T00:00:00"/>
    <x v="1"/>
    <x v="2956"/>
    <x v="0"/>
    <x v="0"/>
    <x v="0"/>
    <x v="0"/>
    <x v="0"/>
    <x v="0"/>
  </r>
  <r>
    <n v="47879"/>
    <x v="5"/>
    <x v="2"/>
    <x v="197"/>
    <x v="6"/>
    <x v="2871"/>
    <x v="1"/>
    <d v="2024-11-27T00:00:00"/>
    <d v="2024-12-13T00:00:00"/>
    <x v="2"/>
    <x v="2957"/>
    <x v="0"/>
    <x v="0"/>
    <x v="0"/>
    <x v="0"/>
    <x v="0"/>
    <x v="1"/>
  </r>
  <r>
    <n v="55114"/>
    <x v="2"/>
    <x v="1"/>
    <x v="390"/>
    <x v="4"/>
    <x v="2872"/>
    <x v="1"/>
    <d v="2024-09-26T00:00:00"/>
    <d v="2024-10-04T00:00:00"/>
    <x v="1"/>
    <x v="2958"/>
    <x v="0"/>
    <x v="0"/>
    <x v="0"/>
    <x v="0"/>
    <x v="0"/>
    <x v="0"/>
  </r>
  <r>
    <n v="70633"/>
    <x v="15"/>
    <x v="4"/>
    <x v="38"/>
    <x v="3"/>
    <x v="2873"/>
    <x v="2"/>
    <d v="2024-06-02T00:00:00"/>
    <d v="2024-06-10T00:00:00"/>
    <x v="2"/>
    <x v="2959"/>
    <x v="0"/>
    <x v="0"/>
    <x v="0"/>
    <x v="0"/>
    <x v="0"/>
    <x v="0"/>
  </r>
  <r>
    <n v="37172"/>
    <x v="14"/>
    <x v="4"/>
    <x v="9"/>
    <x v="6"/>
    <x v="2874"/>
    <x v="3"/>
    <d v="2024-04-12T00:00:00"/>
    <d v="2024-05-11T00:00:00"/>
    <x v="0"/>
    <x v="2960"/>
    <x v="0"/>
    <x v="0"/>
    <x v="0"/>
    <x v="0"/>
    <x v="0"/>
    <x v="1"/>
  </r>
  <r>
    <n v="94295"/>
    <x v="6"/>
    <x v="3"/>
    <x v="269"/>
    <x v="0"/>
    <x v="2875"/>
    <x v="0"/>
    <d v="2024-02-16T00:00:00"/>
    <d v="2024-02-23T00:00:00"/>
    <x v="0"/>
    <x v="2961"/>
    <x v="0"/>
    <x v="0"/>
    <x v="0"/>
    <x v="0"/>
    <x v="0"/>
    <x v="0"/>
  </r>
  <r>
    <n v="87336"/>
    <x v="14"/>
    <x v="4"/>
    <x v="381"/>
    <x v="4"/>
    <x v="2876"/>
    <x v="3"/>
    <d v="2024-10-28T00:00:00"/>
    <d v="2024-11-26T00:00:00"/>
    <x v="1"/>
    <x v="2962"/>
    <x v="0"/>
    <x v="0"/>
    <x v="0"/>
    <x v="0"/>
    <x v="0"/>
    <x v="0"/>
  </r>
  <r>
    <n v="12332"/>
    <x v="6"/>
    <x v="3"/>
    <x v="415"/>
    <x v="3"/>
    <x v="2877"/>
    <x v="4"/>
    <d v="2024-12-09T00:00:00"/>
    <d v="2025-01-17T00:00:00"/>
    <x v="1"/>
    <x v="2963"/>
    <x v="0"/>
    <x v="0"/>
    <x v="0"/>
    <x v="0"/>
    <x v="0"/>
    <x v="0"/>
  </r>
  <r>
    <n v="41775"/>
    <x v="8"/>
    <x v="1"/>
    <x v="214"/>
    <x v="2"/>
    <x v="2878"/>
    <x v="1"/>
    <d v="2024-05-21T00:00:00"/>
    <d v="2024-05-31T00:00:00"/>
    <x v="1"/>
    <x v="2964"/>
    <x v="0"/>
    <x v="0"/>
    <x v="0"/>
    <x v="0"/>
    <x v="0"/>
    <x v="0"/>
  </r>
  <r>
    <n v="76404"/>
    <x v="9"/>
    <x v="1"/>
    <x v="189"/>
    <x v="1"/>
    <x v="2879"/>
    <x v="0"/>
    <d v="2024-02-22T00:00:00"/>
    <d v="2024-03-16T00:00:00"/>
    <x v="1"/>
    <x v="2965"/>
    <x v="1"/>
    <x v="11"/>
    <x v="1"/>
    <x v="1"/>
    <x v="1"/>
    <x v="1"/>
  </r>
  <r>
    <n v="96534"/>
    <x v="11"/>
    <x v="4"/>
    <x v="184"/>
    <x v="4"/>
    <x v="2880"/>
    <x v="1"/>
    <d v="2024-01-17T00:00:00"/>
    <d v="2024-01-25T00:00:00"/>
    <x v="1"/>
    <x v="2966"/>
    <x v="0"/>
    <x v="0"/>
    <x v="0"/>
    <x v="0"/>
    <x v="0"/>
    <x v="1"/>
  </r>
  <r>
    <n v="78309"/>
    <x v="9"/>
    <x v="1"/>
    <x v="403"/>
    <x v="6"/>
    <x v="2881"/>
    <x v="0"/>
    <d v="2024-11-09T00:00:00"/>
    <d v="2024-12-08T00:00:00"/>
    <x v="2"/>
    <x v="2967"/>
    <x v="0"/>
    <x v="0"/>
    <x v="0"/>
    <x v="0"/>
    <x v="0"/>
    <x v="1"/>
  </r>
  <r>
    <n v="66648"/>
    <x v="14"/>
    <x v="4"/>
    <x v="374"/>
    <x v="4"/>
    <x v="2882"/>
    <x v="3"/>
    <d v="2024-12-15T00:00:00"/>
    <d v="2025-01-04T00:00:00"/>
    <x v="1"/>
    <x v="2968"/>
    <x v="1"/>
    <x v="6"/>
    <x v="1"/>
    <x v="1"/>
    <x v="1"/>
    <x v="1"/>
  </r>
  <r>
    <n v="85710"/>
    <x v="4"/>
    <x v="0"/>
    <x v="294"/>
    <x v="6"/>
    <x v="2883"/>
    <x v="3"/>
    <d v="2024-10-10T00:00:00"/>
    <d v="2024-11-03T00:00:00"/>
    <x v="0"/>
    <x v="2969"/>
    <x v="0"/>
    <x v="0"/>
    <x v="0"/>
    <x v="0"/>
    <x v="0"/>
    <x v="1"/>
  </r>
  <r>
    <n v="25739"/>
    <x v="13"/>
    <x v="3"/>
    <x v="91"/>
    <x v="6"/>
    <x v="2884"/>
    <x v="3"/>
    <d v="2024-12-09T00:00:00"/>
    <d v="2025-01-12T00:00:00"/>
    <x v="0"/>
    <x v="2970"/>
    <x v="0"/>
    <x v="0"/>
    <x v="0"/>
    <x v="0"/>
    <x v="0"/>
    <x v="1"/>
  </r>
  <r>
    <n v="28920"/>
    <x v="2"/>
    <x v="1"/>
    <x v="147"/>
    <x v="2"/>
    <x v="2885"/>
    <x v="3"/>
    <d v="2024-08-31T00:00:00"/>
    <d v="2024-09-19T00:00:00"/>
    <x v="0"/>
    <x v="2971"/>
    <x v="0"/>
    <x v="0"/>
    <x v="0"/>
    <x v="0"/>
    <x v="0"/>
    <x v="0"/>
  </r>
  <r>
    <n v="96679"/>
    <x v="1"/>
    <x v="0"/>
    <x v="491"/>
    <x v="4"/>
    <x v="2886"/>
    <x v="0"/>
    <d v="2024-02-11T00:00:00"/>
    <d v="2024-02-19T00:00:00"/>
    <x v="2"/>
    <x v="2972"/>
    <x v="0"/>
    <x v="0"/>
    <x v="0"/>
    <x v="0"/>
    <x v="0"/>
    <x v="0"/>
  </r>
  <r>
    <n v="97299"/>
    <x v="2"/>
    <x v="1"/>
    <x v="265"/>
    <x v="5"/>
    <x v="2887"/>
    <x v="3"/>
    <d v="2024-02-11T00:00:00"/>
    <d v="2024-03-15T00:00:00"/>
    <x v="0"/>
    <x v="2973"/>
    <x v="0"/>
    <x v="0"/>
    <x v="0"/>
    <x v="0"/>
    <x v="0"/>
    <x v="0"/>
  </r>
  <r>
    <n v="25406"/>
    <x v="1"/>
    <x v="0"/>
    <x v="14"/>
    <x v="1"/>
    <x v="2888"/>
    <x v="3"/>
    <d v="2024-02-04T00:00:00"/>
    <d v="2024-02-26T00:00:00"/>
    <x v="2"/>
    <x v="2974"/>
    <x v="0"/>
    <x v="0"/>
    <x v="0"/>
    <x v="0"/>
    <x v="0"/>
    <x v="0"/>
  </r>
  <r>
    <n v="51474"/>
    <x v="8"/>
    <x v="1"/>
    <x v="372"/>
    <x v="5"/>
    <x v="2889"/>
    <x v="2"/>
    <d v="2024-11-23T00:00:00"/>
    <d v="2024-12-20T00:00:00"/>
    <x v="0"/>
    <x v="2975"/>
    <x v="0"/>
    <x v="0"/>
    <x v="0"/>
    <x v="0"/>
    <x v="0"/>
    <x v="0"/>
  </r>
  <r>
    <n v="87700"/>
    <x v="16"/>
    <x v="3"/>
    <x v="25"/>
    <x v="0"/>
    <x v="28"/>
    <x v="3"/>
    <d v="2024-12-06T00:00:00"/>
    <d v="2024-12-23T00:00:00"/>
    <x v="1"/>
    <x v="28"/>
    <x v="0"/>
    <x v="0"/>
    <x v="0"/>
    <x v="0"/>
    <x v="0"/>
    <x v="0"/>
  </r>
  <r>
    <n v="34268"/>
    <x v="16"/>
    <x v="3"/>
    <x v="46"/>
    <x v="1"/>
    <x v="2890"/>
    <x v="0"/>
    <d v="2024-01-04T00:00:00"/>
    <d v="2024-01-30T00:00:00"/>
    <x v="0"/>
    <x v="2976"/>
    <x v="0"/>
    <x v="0"/>
    <x v="0"/>
    <x v="0"/>
    <x v="0"/>
    <x v="1"/>
  </r>
  <r>
    <n v="92163"/>
    <x v="9"/>
    <x v="1"/>
    <x v="491"/>
    <x v="4"/>
    <x v="2891"/>
    <x v="3"/>
    <d v="2024-08-18T00:00:00"/>
    <d v="2024-09-15T00:00:00"/>
    <x v="2"/>
    <x v="2977"/>
    <x v="0"/>
    <x v="0"/>
    <x v="0"/>
    <x v="0"/>
    <x v="0"/>
    <x v="0"/>
  </r>
  <r>
    <n v="29944"/>
    <x v="13"/>
    <x v="3"/>
    <x v="120"/>
    <x v="1"/>
    <x v="2892"/>
    <x v="2"/>
    <d v="2024-01-01T00:00:00"/>
    <d v="2024-01-25T00:00:00"/>
    <x v="2"/>
    <x v="2978"/>
    <x v="0"/>
    <x v="0"/>
    <x v="0"/>
    <x v="0"/>
    <x v="0"/>
    <x v="1"/>
  </r>
  <r>
    <n v="12520"/>
    <x v="15"/>
    <x v="4"/>
    <x v="54"/>
    <x v="4"/>
    <x v="2893"/>
    <x v="1"/>
    <d v="2024-11-05T00:00:00"/>
    <d v="2024-11-14T00:00:00"/>
    <x v="1"/>
    <x v="2979"/>
    <x v="1"/>
    <x v="111"/>
    <x v="1"/>
    <x v="1"/>
    <x v="1"/>
    <x v="1"/>
  </r>
  <r>
    <n v="74566"/>
    <x v="8"/>
    <x v="1"/>
    <x v="266"/>
    <x v="5"/>
    <x v="2894"/>
    <x v="0"/>
    <d v="2024-05-24T00:00:00"/>
    <d v="2024-06-18T00:00:00"/>
    <x v="2"/>
    <x v="2980"/>
    <x v="0"/>
    <x v="0"/>
    <x v="0"/>
    <x v="0"/>
    <x v="0"/>
    <x v="1"/>
  </r>
  <r>
    <n v="27259"/>
    <x v="8"/>
    <x v="1"/>
    <x v="466"/>
    <x v="1"/>
    <x v="2895"/>
    <x v="2"/>
    <d v="2024-03-16T00:00:00"/>
    <d v="2024-03-21T00:00:00"/>
    <x v="2"/>
    <x v="2981"/>
    <x v="1"/>
    <x v="91"/>
    <x v="1"/>
    <x v="1"/>
    <x v="1"/>
    <x v="1"/>
  </r>
  <r>
    <n v="91164"/>
    <x v="4"/>
    <x v="0"/>
    <x v="167"/>
    <x v="5"/>
    <x v="2896"/>
    <x v="4"/>
    <d v="2024-04-26T00:00:00"/>
    <d v="2024-05-12T00:00:00"/>
    <x v="0"/>
    <x v="2982"/>
    <x v="0"/>
    <x v="0"/>
    <x v="0"/>
    <x v="0"/>
    <x v="0"/>
    <x v="1"/>
  </r>
  <r>
    <n v="95847"/>
    <x v="16"/>
    <x v="3"/>
    <x v="406"/>
    <x v="4"/>
    <x v="2897"/>
    <x v="4"/>
    <d v="2024-10-07T00:00:00"/>
    <d v="2024-11-03T00:00:00"/>
    <x v="2"/>
    <x v="2983"/>
    <x v="0"/>
    <x v="0"/>
    <x v="0"/>
    <x v="0"/>
    <x v="0"/>
    <x v="0"/>
  </r>
  <r>
    <n v="89104"/>
    <x v="4"/>
    <x v="0"/>
    <x v="414"/>
    <x v="2"/>
    <x v="2898"/>
    <x v="2"/>
    <d v="2024-10-07T00:00:00"/>
    <d v="2024-10-31T00:00:00"/>
    <x v="1"/>
    <x v="2984"/>
    <x v="0"/>
    <x v="0"/>
    <x v="0"/>
    <x v="0"/>
    <x v="0"/>
    <x v="0"/>
  </r>
  <r>
    <n v="49826"/>
    <x v="5"/>
    <x v="2"/>
    <x v="178"/>
    <x v="6"/>
    <x v="2899"/>
    <x v="3"/>
    <d v="2024-07-05T00:00:00"/>
    <d v="2024-07-13T00:00:00"/>
    <x v="1"/>
    <x v="2985"/>
    <x v="1"/>
    <x v="32"/>
    <x v="1"/>
    <x v="1"/>
    <x v="1"/>
    <x v="1"/>
  </r>
  <r>
    <n v="40907"/>
    <x v="0"/>
    <x v="0"/>
    <x v="440"/>
    <x v="3"/>
    <x v="2900"/>
    <x v="2"/>
    <d v="2024-08-06T00:00:00"/>
    <d v="2024-09-08T00:00:00"/>
    <x v="2"/>
    <x v="2986"/>
    <x v="0"/>
    <x v="0"/>
    <x v="0"/>
    <x v="0"/>
    <x v="0"/>
    <x v="0"/>
  </r>
  <r>
    <n v="69542"/>
    <x v="8"/>
    <x v="1"/>
    <x v="483"/>
    <x v="1"/>
    <x v="2901"/>
    <x v="3"/>
    <d v="2024-02-05T00:00:00"/>
    <d v="2024-03-15T00:00:00"/>
    <x v="1"/>
    <x v="2987"/>
    <x v="0"/>
    <x v="0"/>
    <x v="0"/>
    <x v="0"/>
    <x v="0"/>
    <x v="0"/>
  </r>
  <r>
    <n v="97613"/>
    <x v="15"/>
    <x v="4"/>
    <x v="398"/>
    <x v="3"/>
    <x v="2902"/>
    <x v="1"/>
    <d v="2024-07-30T00:00:00"/>
    <d v="2024-08-14T00:00:00"/>
    <x v="2"/>
    <x v="2988"/>
    <x v="1"/>
    <x v="64"/>
    <x v="1"/>
    <x v="1"/>
    <x v="1"/>
    <x v="1"/>
  </r>
  <r>
    <n v="96814"/>
    <x v="2"/>
    <x v="1"/>
    <x v="125"/>
    <x v="1"/>
    <x v="2903"/>
    <x v="0"/>
    <d v="2024-08-24T00:00:00"/>
    <d v="2024-09-20T00:00:00"/>
    <x v="1"/>
    <x v="2989"/>
    <x v="0"/>
    <x v="0"/>
    <x v="0"/>
    <x v="0"/>
    <x v="0"/>
    <x v="0"/>
  </r>
  <r>
    <n v="79245"/>
    <x v="8"/>
    <x v="1"/>
    <x v="381"/>
    <x v="4"/>
    <x v="2904"/>
    <x v="0"/>
    <d v="2024-05-10T00:00:00"/>
    <d v="2024-05-16T00:00:00"/>
    <x v="1"/>
    <x v="2990"/>
    <x v="0"/>
    <x v="0"/>
    <x v="0"/>
    <x v="0"/>
    <x v="0"/>
    <x v="0"/>
  </r>
  <r>
    <n v="94436"/>
    <x v="5"/>
    <x v="2"/>
    <x v="166"/>
    <x v="6"/>
    <x v="2905"/>
    <x v="4"/>
    <d v="2024-12-26T00:00:00"/>
    <d v="2025-01-15T00:00:00"/>
    <x v="2"/>
    <x v="2991"/>
    <x v="0"/>
    <x v="0"/>
    <x v="0"/>
    <x v="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F33:F34" firstHeaderRow="1" firstDataRow="1" firstDataCol="0"/>
  <pivotFields count="17">
    <pivotField compact="0" outline="0" showAll="0" defaultSubtotal="0"/>
    <pivotField compact="0" outline="0" showAll="0"/>
    <pivotField compact="0" outline="0" showAll="0">
      <items count="6">
        <item x="1"/>
        <item x="2"/>
        <item x="3"/>
        <item x="0"/>
        <item x="4"/>
        <item t="default"/>
      </items>
    </pivotField>
    <pivotField compact="0" outline="0" showAll="0"/>
    <pivotField dataField="1"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compact="0" outline="0" showAll="0"/>
    <pivotField compact="0" numFmtId="166"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Items count="1">
    <i/>
  </rowItems>
  <colItems count="1">
    <i/>
  </colItems>
  <dataFields count="1">
    <dataField name="Average of ReorderLevel" fld="4" subtotal="average" baseField="0" baseItem="1775230976" numFmtId="167"/>
  </dataFields>
  <formats count="4">
    <format dxfId="141">
      <pivotArea outline="0" collapsedLevelsAreSubtotals="1" fieldPosition="0"/>
    </format>
    <format dxfId="140">
      <pivotArea outline="0" collapsedLevelsAreSubtotals="1" fieldPosition="0"/>
    </format>
    <format dxfId="139">
      <pivotArea outline="0" collapsedLevelsAreSubtotals="1" fieldPosition="0"/>
    </format>
    <format dxfId="1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X16:Z22" firstHeaderRow="0" firstDataRow="1" firstDataCol="1" rowPageCount="1" colPageCount="1"/>
  <pivotFields count="17">
    <pivotField compact="0" outline="0" showAll="0" defaultSubtotal="0"/>
    <pivotField axis="axisRow" compact="0" outline="0" showAll="0" measureFilter="1" sortType="descending">
      <items count="18">
        <item x="5"/>
        <item x="0"/>
        <item x="8"/>
        <item x="2"/>
        <item x="16"/>
        <item x="10"/>
        <item x="12"/>
        <item x="15"/>
        <item x="4"/>
        <item x="14"/>
        <item x="9"/>
        <item x="6"/>
        <item x="3"/>
        <item x="7"/>
        <item x="1"/>
        <item x="11"/>
        <item x="13"/>
        <item t="default"/>
      </items>
      <autoSortScope>
        <pivotArea dataOnly="0" outline="0" fieldPosition="0">
          <references count="1">
            <reference field="4294967294" count="1" selected="0">
              <x v="1"/>
            </reference>
          </references>
        </pivotArea>
      </autoSortScope>
    </pivotField>
    <pivotField compact="0" outline="0" showAll="0">
      <items count="6">
        <item x="1"/>
        <item x="2"/>
        <item x="3"/>
        <item x="0"/>
        <item x="4"/>
        <item t="default"/>
      </items>
    </pivotField>
    <pivotField compact="0" outline="0" showAll="0"/>
    <pivotField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compact="0" outline="0" showAll="0"/>
    <pivotField dataField="1" compact="0" numFmtId="166" outline="0" showAll="0"/>
    <pivotField compact="0" outline="0" showAll="0" defaultSubtotal="0"/>
    <pivotField compact="0" outline="0" showAll="0" defaultSubtotal="0"/>
    <pivotField compact="0" outline="0" multipleItemSelectionAllowed="1" showAll="0" defaultSubtotal="0"/>
    <pivotField compact="0" outline="0" showAll="0" defaultSubtotal="0"/>
    <pivotField axis="axisPage" dataField="1" compact="0" outline="0" multipleItemSelectionAllowed="1" showAll="0" defaultSubtotal="0">
      <items count="2">
        <item h="1" x="0"/>
        <item x="1"/>
      </items>
    </pivotField>
    <pivotField compact="0" outline="0" showAll="0" defaultSubtotal="0"/>
  </pivotFields>
  <rowFields count="1">
    <field x="1"/>
  </rowFields>
  <rowItems count="6">
    <i>
      <x v="6"/>
    </i>
    <i>
      <x v="15"/>
    </i>
    <i>
      <x v="9"/>
    </i>
    <i>
      <x v="11"/>
    </i>
    <i>
      <x v="1"/>
    </i>
    <i>
      <x v="14"/>
    </i>
  </rowItems>
  <colFields count="1">
    <field x="-2"/>
  </colFields>
  <colItems count="2">
    <i>
      <x/>
    </i>
    <i i="1">
      <x v="1"/>
    </i>
  </colItems>
  <pageFields count="1">
    <pageField fld="15" hier="-1"/>
  </pageFields>
  <dataFields count="2">
    <dataField name="Count of Reorder Products" fld="15" subtotal="count" baseField="0" baseItem="0"/>
    <dataField name="Sum of Stock Value" fld="10" baseField="0" baseItem="0"/>
  </dataFields>
  <formats count="3">
    <format dxfId="144">
      <pivotArea outline="0" collapsedLevelsAreSubtotals="1" fieldPosition="0"/>
    </format>
    <format dxfId="143">
      <pivotArea outline="0" collapsedLevelsAreSubtotals="1" fieldPosition="0"/>
    </format>
    <format dxfId="142">
      <pivotArea outline="0" collapsedLevelsAreSubtotals="1" fieldPosition="0"/>
    </format>
  </formats>
  <pivotTableStyleInfo name="PivotStyleLight16" showRowHeaders="1" showColHeaders="1" showRowStripes="0" showColStripes="0" showLastColumn="1"/>
  <filters count="1">
    <filter fld="1" type="count" evalOrder="-1" id="1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42:F43" firstHeaderRow="1" firstDataRow="1" firstDataCol="0"/>
  <pivotFields count="17">
    <pivotField showAll="0" defaultSubtotal="0"/>
    <pivotField showAll="0"/>
    <pivotField showAll="0">
      <items count="6">
        <item x="1"/>
        <item x="2"/>
        <item x="3"/>
        <item x="0"/>
        <item x="4"/>
        <item t="default"/>
      </items>
    </pivotField>
    <pivotField dataField="1" showAll="0"/>
    <pivotField showAll="0"/>
    <pivotField numFmtId="165" showAll="0"/>
    <pivotField showAll="0">
      <items count="6">
        <item h="1" x="4"/>
        <item h="1" x="2"/>
        <item h="1" x="3"/>
        <item h="1" x="0"/>
        <item x="1"/>
        <item t="default"/>
      </items>
    </pivotField>
    <pivotField numFmtId="164" showAll="0"/>
    <pivotField numFmtId="164" showAll="0"/>
    <pivotField showAll="0"/>
    <pivotField numFmtId="166" showAll="0"/>
    <pivotField showAll="0" defaultSubtotal="0"/>
    <pivotField showAll="0" defaultSubtotal="0"/>
    <pivotField showAll="0" defaultSubtotal="0"/>
    <pivotField showAll="0" defaultSubtotal="0"/>
    <pivotField showAll="0" defaultSubtotal="0"/>
    <pivotField showAll="0" defaultSubtotal="0"/>
  </pivotFields>
  <rowItems count="1">
    <i/>
  </rowItems>
  <colItems count="1">
    <i/>
  </colItems>
  <dataFields count="1">
    <dataField name="Sum of CurrentStock" fld="3" baseField="0" baseItem="0"/>
  </dataFields>
  <formats count="3">
    <format dxfId="147">
      <pivotArea outline="0" collapsedLevelsAreSubtotals="1" fieldPosition="0"/>
    </format>
    <format dxfId="146">
      <pivotArea outline="0" collapsedLevelsAreSubtotals="1" fieldPosition="0"/>
    </format>
    <format dxfId="1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Q7:R12" firstHeaderRow="1" firstDataRow="1" firstDataCol="1" rowPageCount="1" colPageCount="1"/>
  <pivotFields count="17">
    <pivotField compact="0" outline="0" showAll="0" defaultSubtotal="0"/>
    <pivotField compact="0" outline="0" showAll="0"/>
    <pivotField axis="axisRow" compact="0" outline="0" showAll="0" sortType="descending">
      <items count="6">
        <item x="1"/>
        <item x="2"/>
        <item x="3"/>
        <item x="0"/>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compact="0" outline="0" showAll="0"/>
    <pivotField compact="0" numFmtId="166" outline="0" showAll="0"/>
    <pivotField compact="0" outline="0" showAll="0" defaultSubtotal="0"/>
    <pivotField compact="0" outline="0" showAll="0" defaultSubtotal="0"/>
    <pivotField dataField="1" compact="0" outline="0" multipleItemSelectionAllowed="1" showAll="0" defaultSubtotal="0"/>
    <pivotField axis="axisPage" compact="0" outline="0" multipleItemSelectionAllowed="1" showAll="0" defaultSubtotal="0">
      <items count="2">
        <item h="1" x="0"/>
        <item x="1"/>
      </items>
    </pivotField>
    <pivotField compact="0" outline="0" showAll="0" defaultSubtotal="0"/>
    <pivotField compact="0" outline="0" showAll="0" defaultSubtotal="0"/>
  </pivotFields>
  <rowFields count="1">
    <field x="2"/>
  </rowFields>
  <rowItems count="5">
    <i>
      <x v="1"/>
    </i>
    <i>
      <x v="2"/>
    </i>
    <i>
      <x/>
    </i>
    <i>
      <x v="3"/>
    </i>
    <i>
      <x v="4"/>
    </i>
  </rowItems>
  <colItems count="1">
    <i/>
  </colItems>
  <pageFields count="1">
    <pageField fld="14" hier="-1"/>
  </pageFields>
  <dataFields count="1">
    <dataField name="Count of Low Stock Products" fld="13" subtotal="count" baseField="2" baseItem="2"/>
  </dataFields>
  <formats count="3">
    <format dxfId="150">
      <pivotArea outline="0" collapsedLevelsAreSubtotals="1" fieldPosition="0"/>
    </format>
    <format dxfId="149">
      <pivotArea outline="0" collapsedLevelsAreSubtotals="1" fieldPosition="0"/>
    </format>
    <format dxfId="148">
      <pivotArea outline="0" collapsedLevelsAreSubtotals="1" fieldPosition="0"/>
    </format>
  </formats>
  <chartFormats count="7">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4"/>
          </reference>
        </references>
      </pivotArea>
    </chartFormat>
    <chartFormat chart="3" format="4">
      <pivotArea type="data" outline="0" fieldPosition="0">
        <references count="2">
          <reference field="4294967294" count="1" selected="0">
            <x v="0"/>
          </reference>
          <reference field="2" count="1" selected="0">
            <x v="3"/>
          </reference>
        </references>
      </pivotArea>
    </chartFormat>
    <chartFormat chart="3" format="5">
      <pivotArea type="data" outline="0" fieldPosition="0">
        <references count="2">
          <reference field="4294967294" count="1" selected="0">
            <x v="0"/>
          </reference>
          <reference field="2" count="1" selected="0">
            <x v="0"/>
          </reference>
        </references>
      </pivotArea>
    </chartFormat>
    <chartFormat chart="3" format="6">
      <pivotArea type="data" outline="0" fieldPosition="0">
        <references count="2">
          <reference field="4294967294" count="1" selected="0">
            <x v="0"/>
          </reference>
          <reference field="2" count="1" selected="0">
            <x v="2"/>
          </reference>
        </references>
      </pivotArea>
    </chartFormat>
    <chartFormat chart="3" format="7">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X5:Y8" firstHeaderRow="1" firstDataRow="1" firstDataCol="1"/>
  <pivotFields count="17">
    <pivotField compact="0" outline="0" showAll="0" defaultSubtotal="0"/>
    <pivotField compact="0" outline="0" showAll="0"/>
    <pivotField compact="0" outline="0" showAll="0">
      <items count="6">
        <item x="1"/>
        <item x="2"/>
        <item x="3"/>
        <item x="0"/>
        <item x="4"/>
        <item t="default"/>
      </items>
    </pivotField>
    <pivotField dataField="1" compact="0" outline="0" showAll="0"/>
    <pivotField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axis="axisRow" compact="0" outline="0" showAll="0" sortType="descending">
      <items count="4">
        <item x="0"/>
        <item x="2"/>
        <item x="1"/>
        <item t="default"/>
      </items>
      <autoSortScope>
        <pivotArea dataOnly="0" outline="0" fieldPosition="0">
          <references count="1">
            <reference field="4294967294" count="1" selected="0">
              <x v="0"/>
            </reference>
          </references>
        </pivotArea>
      </autoSortScope>
    </pivotField>
    <pivotField compact="0" numFmtId="166" outline="0" showAll="0"/>
    <pivotField compact="0" outline="0" showAll="0" defaultSubtotal="0"/>
    <pivotField compact="0" outline="0" showAll="0" defaultSubtotal="0"/>
    <pivotField compact="0" outline="0" multipleItemSelectionAllowed="1" showAll="0" defaultSubtotal="0"/>
    <pivotField compact="0" outline="0" showAll="0" defaultSubtotal="0"/>
    <pivotField compact="0" outline="0" showAll="0" defaultSubtotal="0"/>
    <pivotField compact="0" outline="0" showAll="0" defaultSubtotal="0"/>
  </pivotFields>
  <rowFields count="1">
    <field x="9"/>
  </rowFields>
  <rowItems count="3">
    <i>
      <x/>
    </i>
    <i>
      <x v="2"/>
    </i>
    <i>
      <x v="1"/>
    </i>
  </rowItems>
  <colItems count="1">
    <i/>
  </colItems>
  <dataFields count="1">
    <dataField name="Sum of CurrentStock" fld="3" baseField="0" baseItem="0"/>
  </dataFields>
  <formats count="3">
    <format dxfId="153">
      <pivotArea outline="0" collapsedLevelsAreSubtotals="1" fieldPosition="0"/>
    </format>
    <format dxfId="152">
      <pivotArea outline="0" collapsedLevelsAreSubtotals="1" fieldPosition="0"/>
    </format>
    <format dxfId="151">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
          </reference>
        </references>
      </pivotArea>
    </chartFormat>
    <chartFormat chart="3" format="4">
      <pivotArea type="data" outline="0" fieldPosition="0">
        <references count="2">
          <reference field="4294967294" count="1" selected="0">
            <x v="0"/>
          </reference>
          <reference field="9" count="1" selected="0">
            <x v="2"/>
          </reference>
        </references>
      </pivotArea>
    </chartFormat>
    <chartFormat chart="3" format="5">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Q17:R22" firstHeaderRow="1" firstDataRow="1" firstDataCol="1"/>
  <pivotFields count="17">
    <pivotField compact="0" outline="0" showAll="0" defaultSubtotal="0"/>
    <pivotField compact="0" outline="0" showAll="0" measureFilter="1">
      <items count="18">
        <item x="5"/>
        <item x="0"/>
        <item x="8"/>
        <item x="2"/>
        <item x="16"/>
        <item x="10"/>
        <item x="12"/>
        <item x="15"/>
        <item x="4"/>
        <item x="14"/>
        <item x="9"/>
        <item x="6"/>
        <item x="3"/>
        <item x="7"/>
        <item x="1"/>
        <item x="11"/>
        <item x="13"/>
        <item t="default"/>
      </items>
    </pivotField>
    <pivotField compact="0" outline="0" showAll="0">
      <items count="6">
        <item x="1"/>
        <item x="2"/>
        <item x="3"/>
        <item x="0"/>
        <item x="4"/>
        <item t="default"/>
      </items>
    </pivotField>
    <pivotField compact="0" outline="0" showAll="0"/>
    <pivotField compact="0" outline="0" showAll="0"/>
    <pivotField compact="0" numFmtId="165" outline="0" showAll="0"/>
    <pivotField axis="axisRow" dataField="1" compact="0" outline="0" showAll="0" sortType="ascending">
      <items count="6">
        <item x="4"/>
        <item x="2"/>
        <item x="3"/>
        <item x="0"/>
        <item x="1"/>
        <item t="default"/>
      </items>
      <autoSortScope>
        <pivotArea dataOnly="0" outline="0" fieldPosition="0">
          <references count="1">
            <reference field="4294967294" count="1" selected="0">
              <x v="0"/>
            </reference>
          </references>
        </pivotArea>
      </autoSortScope>
    </pivotField>
    <pivotField compact="0" numFmtId="164" outline="0" showAll="0"/>
    <pivotField compact="0" numFmtId="164" outline="0" showAll="0"/>
    <pivotField compact="0" outline="0" showAll="0"/>
    <pivotField compact="0" numFmtId="166" outline="0" showAll="0"/>
    <pivotField compact="0" outline="0" showAll="0" defaultSubtotal="0"/>
    <pivotField compact="0" outline="0" showAll="0" defaultSubtotal="0"/>
    <pivotField compact="0" outline="0" multipleItemSelectionAllowed="1" showAll="0" defaultSubtotal="0"/>
    <pivotField compact="0" outline="0" showAll="0" defaultSubtotal="0"/>
    <pivotField compact="0" outline="0" showAll="0" defaultSubtotal="0"/>
    <pivotField compact="0" outline="0" showAll="0" defaultSubtotal="0"/>
  </pivotFields>
  <rowFields count="1">
    <field x="6"/>
  </rowFields>
  <rowItems count="5">
    <i>
      <x/>
    </i>
    <i>
      <x v="3"/>
    </i>
    <i>
      <x v="1"/>
    </i>
    <i>
      <x v="2"/>
    </i>
    <i>
      <x v="4"/>
    </i>
  </rowItems>
  <colItems count="1">
    <i/>
  </colItems>
  <dataFields count="1">
    <dataField name="Count of Supplier" fld="6" subtotal="count" baseField="0" baseItem="0"/>
  </dataFields>
  <formats count="3">
    <format dxfId="156">
      <pivotArea outline="0" collapsedLevelsAreSubtotals="1" fieldPosition="0"/>
    </format>
    <format dxfId="155">
      <pivotArea outline="0" collapsedLevelsAreSubtotals="1" fieldPosition="0"/>
    </format>
    <format dxfId="154">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C40:D45" firstHeaderRow="1" firstDataRow="1" firstDataCol="1"/>
  <pivotFields count="17">
    <pivotField compact="0" outline="0" showAll="0" defaultSubtotal="0"/>
    <pivotField axis="axisRow" compact="0" outline="0" showAll="0" measureFilter="1" sortType="ascending">
      <items count="18">
        <item x="5"/>
        <item x="0"/>
        <item x="8"/>
        <item x="2"/>
        <item x="16"/>
        <item x="10"/>
        <item x="12"/>
        <item x="15"/>
        <item x="4"/>
        <item x="14"/>
        <item x="9"/>
        <item x="6"/>
        <item x="3"/>
        <item x="7"/>
        <item x="1"/>
        <item x="11"/>
        <item x="13"/>
        <item t="default"/>
      </items>
      <autoSortScope>
        <pivotArea dataOnly="0" outline="0" fieldPosition="0">
          <references count="1">
            <reference field="4294967294" count="1" selected="0">
              <x v="0"/>
            </reference>
          </references>
        </pivotArea>
      </autoSortScope>
    </pivotField>
    <pivotField compact="0" outline="0" showAll="0">
      <items count="6">
        <item x="1"/>
        <item x="2"/>
        <item x="3"/>
        <item x="0"/>
        <item x="4"/>
        <item t="default"/>
      </items>
    </pivotField>
    <pivotField compact="0" outline="0" showAll="0"/>
    <pivotField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compact="0" outline="0" showAll="0"/>
    <pivotField compact="0" numFmtId="166" outline="0" showAl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1"/>
  </rowFields>
  <rowItems count="5">
    <i>
      <x/>
    </i>
    <i>
      <x v="7"/>
    </i>
    <i>
      <x v="5"/>
    </i>
    <i>
      <x v="3"/>
    </i>
    <i>
      <x v="10"/>
    </i>
  </rowItems>
  <colItems count="1">
    <i/>
  </colItems>
  <dataFields count="1">
    <dataField name=" Stock Gap" fld="12" baseField="0" baseItem="0"/>
  </dataFields>
  <formats count="3">
    <format dxfId="159">
      <pivotArea outline="0" collapsedLevelsAreSubtotals="1" fieldPosition="0"/>
    </format>
    <format dxfId="158">
      <pivotArea outline="0" collapsedLevelsAreSubtotals="1" fieldPosition="0"/>
    </format>
    <format dxfId="157">
      <pivotArea outline="0" collapsedLevelsAreSubtotals="1" fieldPosition="0"/>
    </format>
  </formats>
  <pivotTableStyleInfo name="PivotStyleLight16"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9:D12" firstHeaderRow="1" firstDataRow="1" firstDataCol="1"/>
  <pivotFields count="17">
    <pivotField showAll="0" defaultSubtotal="0"/>
    <pivotField dataField="1" showAll="0"/>
    <pivotField showAll="0">
      <items count="6">
        <item x="1"/>
        <item x="2"/>
        <item x="3"/>
        <item x="0"/>
        <item x="4"/>
        <item t="default"/>
      </items>
    </pivotField>
    <pivotField showAll="0"/>
    <pivotField showAll="0"/>
    <pivotField numFmtId="165" showAll="0"/>
    <pivotField showAll="0">
      <items count="6">
        <item h="1" x="4"/>
        <item h="1" x="2"/>
        <item h="1" x="3"/>
        <item h="1" x="0"/>
        <item x="1"/>
        <item t="default"/>
      </items>
    </pivotField>
    <pivotField numFmtId="164" showAll="0"/>
    <pivotField numFmtId="164" showAll="0"/>
    <pivotField showAll="0"/>
    <pivotField numFmtId="166" showAl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s>
  <rowFields count="1">
    <field x="11"/>
  </rowFields>
  <rowItems count="3">
    <i>
      <x/>
    </i>
    <i>
      <x v="1"/>
    </i>
    <i t="grand">
      <x/>
    </i>
  </rowItems>
  <colItems count="1">
    <i/>
  </colItems>
  <dataFields count="1">
    <dataField name="Count of ProductName" fld="1" subtotal="count" baseField="0" baseItem="0"/>
  </dataFields>
  <formats count="3">
    <format dxfId="162">
      <pivotArea outline="0" collapsedLevelsAreSubtotals="1" fieldPosition="0"/>
    </format>
    <format dxfId="161">
      <pivotArea outline="0" collapsedLevelsAreSubtotals="1" fieldPosition="0"/>
    </format>
    <format dxfId="16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C23:C28" firstHeaderRow="1" firstDataRow="1" firstDataCol="1"/>
  <pivotFields count="17">
    <pivotField compact="0" outline="0" showAll="0" defaultSubtotal="0"/>
    <pivotField compact="0" outline="0" showAll="0"/>
    <pivotField axis="axisRow" compact="0" outline="0" showAll="0">
      <items count="6">
        <item x="1"/>
        <item x="2"/>
        <item x="3"/>
        <item x="0"/>
        <item x="4"/>
        <item t="default"/>
      </items>
    </pivotField>
    <pivotField compact="0" outline="0" showAll="0"/>
    <pivotField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compact="0" outline="0" showAll="0"/>
    <pivotField compact="0" numFmtId="166"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2"/>
  </rowFields>
  <rowItems count="5">
    <i>
      <x/>
    </i>
    <i>
      <x v="1"/>
    </i>
    <i>
      <x v="2"/>
    </i>
    <i>
      <x v="3"/>
    </i>
    <i>
      <x v="4"/>
    </i>
  </rowItems>
  <colItems count="1">
    <i/>
  </colItems>
  <formats count="3">
    <format dxfId="165">
      <pivotArea outline="0" collapsedLevelsAreSubtotals="1" fieldPosition="0"/>
    </format>
    <format dxfId="164">
      <pivotArea outline="0" collapsedLevelsAreSubtotals="1" fieldPosition="0"/>
    </format>
    <format dxfId="16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17:C18" firstHeaderRow="1" firstDataRow="1" firstDataCol="0"/>
  <pivotFields count="17">
    <pivotField showAll="0" defaultSubtotal="0"/>
    <pivotField showAll="0"/>
    <pivotField showAll="0">
      <items count="6">
        <item x="1"/>
        <item x="2"/>
        <item x="3"/>
        <item x="0"/>
        <item x="4"/>
        <item t="default"/>
      </items>
    </pivotField>
    <pivotField showAll="0"/>
    <pivotField showAll="0"/>
    <pivotField numFmtId="165" showAll="0"/>
    <pivotField showAll="0">
      <items count="6">
        <item h="1" x="4"/>
        <item h="1" x="2"/>
        <item h="1" x="3"/>
        <item h="1" x="0"/>
        <item x="1"/>
        <item t="default"/>
      </items>
    </pivotField>
    <pivotField numFmtId="164" showAll="0"/>
    <pivotField numFmtId="164" showAll="0"/>
    <pivotField showAll="0"/>
    <pivotField dataField="1" numFmtId="166" showAll="0"/>
    <pivotField showAll="0" defaultSubtotal="0"/>
    <pivotField showAll="0" defaultSubtotal="0"/>
    <pivotField showAll="0" defaultSubtotal="0"/>
    <pivotField showAll="0" defaultSubtotal="0"/>
    <pivotField showAll="0" defaultSubtotal="0"/>
    <pivotField showAll="0" defaultSubtotal="0"/>
  </pivotFields>
  <rowItems count="1">
    <i/>
  </rowItems>
  <colItems count="1">
    <i/>
  </colItems>
  <dataFields count="1">
    <dataField name="Sum of Stock Value" fld="10" baseField="0" baseItem="0" numFmtId="165"/>
  </dataFields>
  <formats count="6">
    <format dxfId="171">
      <pivotArea outline="0" collapsedLevelsAreSubtotals="1" fieldPosition="0"/>
    </format>
    <format dxfId="170">
      <pivotArea outline="0" collapsedLevelsAreSubtotals="1" fieldPosition="0"/>
    </format>
    <format dxfId="169">
      <pivotArea outline="0" collapsedLevelsAreSubtotals="1" fieldPosition="0"/>
    </format>
    <format dxfId="168">
      <pivotArea outline="0" collapsedLevelsAreSubtotals="1" fieldPosition="0"/>
    </format>
    <format dxfId="167">
      <pivotArea outline="0" collapsedLevelsAreSubtotals="1" fieldPosition="0"/>
    </format>
    <format dxfId="1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0">
  <location ref="K4:L21" firstHeaderRow="1" firstDataRow="1" firstDataCol="1"/>
  <pivotFields count="17">
    <pivotField showAll="0" defaultSubtotal="0"/>
    <pivotField axis="axisRow" showAll="0" sortType="ascending">
      <items count="18">
        <item x="5"/>
        <item x="0"/>
        <item x="8"/>
        <item x="2"/>
        <item x="16"/>
        <item x="10"/>
        <item x="12"/>
        <item x="15"/>
        <item x="4"/>
        <item x="14"/>
        <item x="9"/>
        <item x="6"/>
        <item x="3"/>
        <item x="7"/>
        <item x="1"/>
        <item x="11"/>
        <item x="13"/>
        <item t="default"/>
      </items>
      <autoSortScope>
        <pivotArea dataOnly="0" outline="0" fieldPosition="0">
          <references count="1">
            <reference field="4294967294" count="1" selected="0">
              <x v="0"/>
            </reference>
          </references>
        </pivotArea>
      </autoSortScope>
    </pivotField>
    <pivotField showAll="0">
      <items count="6">
        <item x="1"/>
        <item x="2"/>
        <item x="3"/>
        <item x="0"/>
        <item x="4"/>
        <item t="default"/>
      </items>
    </pivotField>
    <pivotField showAll="0"/>
    <pivotField showAll="0"/>
    <pivotField numFmtId="165" showAll="0"/>
    <pivotField showAll="0">
      <items count="6">
        <item h="1" x="4"/>
        <item h="1" x="2"/>
        <item h="1" x="3"/>
        <item h="1" x="0"/>
        <item x="1"/>
        <item t="default"/>
      </items>
    </pivotField>
    <pivotField numFmtId="164" showAll="0"/>
    <pivotField numFmtId="164" showAll="0"/>
    <pivotField showAll="0"/>
    <pivotField numFmtId="166" showAll="0"/>
    <pivotField showAll="0" defaultSubtotal="0"/>
    <pivotField showAll="0" defaultSubtotal="0"/>
    <pivotField multipleItemSelectionAllowed="1" showAll="0" defaultSubtotal="0"/>
    <pivotField showAll="0" defaultSubtotal="0"/>
    <pivotField dataField="1" showAll="0" defaultSubtotal="0"/>
    <pivotField showAll="0" defaultSubtotal="0"/>
  </pivotFields>
  <rowFields count="1">
    <field x="1"/>
  </rowFields>
  <rowItems count="17">
    <i>
      <x v="14"/>
    </i>
    <i>
      <x v="16"/>
    </i>
    <i>
      <x v="6"/>
    </i>
    <i>
      <x v="13"/>
    </i>
    <i>
      <x v="8"/>
    </i>
    <i>
      <x v="12"/>
    </i>
    <i>
      <x v="1"/>
    </i>
    <i>
      <x v="4"/>
    </i>
    <i>
      <x v="11"/>
    </i>
    <i>
      <x v="9"/>
    </i>
    <i>
      <x v="10"/>
    </i>
    <i>
      <x/>
    </i>
    <i>
      <x v="2"/>
    </i>
    <i>
      <x v="5"/>
    </i>
    <i>
      <x v="15"/>
    </i>
    <i>
      <x v="3"/>
    </i>
    <i>
      <x v="7"/>
    </i>
  </rowItems>
  <colItems count="1">
    <i/>
  </colItems>
  <dataFields count="1">
    <dataField name="Count of Reorder Products" fld="15" subtotal="count" baseField="0" baseItem="0"/>
  </dataFields>
  <formats count="3">
    <format dxfId="174">
      <pivotArea outline="0" collapsedLevelsAreSubtotals="1" fieldPosition="0"/>
    </format>
    <format dxfId="173">
      <pivotArea outline="0" collapsedLevelsAreSubtotals="1" fieldPosition="0"/>
    </format>
    <format dxfId="172">
      <pivotArea outline="0" collapsedLevelsAreSubtotals="1" fieldPosition="0"/>
    </format>
  </formats>
  <chartFormats count="2">
    <chartFormat chart="4" format="3"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AH4:AI9" firstHeaderRow="1" firstDataRow="1" firstDataCol="1"/>
  <pivotFields count="17">
    <pivotField compact="0" outline="0" showAll="0" defaultSubtotal="0"/>
    <pivotField compact="0" outline="0" showAll="0">
      <items count="18">
        <item x="5"/>
        <item x="0"/>
        <item x="8"/>
        <item x="2"/>
        <item x="16"/>
        <item x="10"/>
        <item x="12"/>
        <item x="15"/>
        <item x="4"/>
        <item x="14"/>
        <item x="9"/>
        <item x="6"/>
        <item x="3"/>
        <item x="7"/>
        <item x="1"/>
        <item x="11"/>
        <item x="13"/>
        <item t="default"/>
      </items>
    </pivotField>
    <pivotField axis="axisRow" compact="0" outline="0" showAll="0">
      <items count="6">
        <item x="1"/>
        <item x="2"/>
        <item x="3"/>
        <item x="0"/>
        <item x="4"/>
        <item t="default"/>
      </items>
    </pivotField>
    <pivotField compact="0" outline="0" showAll="0"/>
    <pivotField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compact="0" outline="0" showAll="0"/>
    <pivotField dataField="1" compact="0" numFmtId="166" outline="0" showAll="0">
      <items count="2993">
        <item x="62"/>
        <item x="435"/>
        <item x="322"/>
        <item x="1382"/>
        <item x="464"/>
        <item x="1932"/>
        <item x="2413"/>
        <item x="1734"/>
        <item x="159"/>
        <item x="2799"/>
        <item x="1337"/>
        <item x="2271"/>
        <item x="1530"/>
        <item x="1786"/>
        <item x="2203"/>
        <item x="1188"/>
        <item x="1410"/>
        <item x="902"/>
        <item x="2619"/>
        <item x="2526"/>
        <item x="2497"/>
        <item x="2406"/>
        <item x="2134"/>
        <item x="2037"/>
        <item x="892"/>
        <item x="2072"/>
        <item x="451"/>
        <item x="688"/>
        <item x="721"/>
        <item x="180"/>
        <item x="2988"/>
        <item x="523"/>
        <item x="1899"/>
        <item x="1582"/>
        <item x="54"/>
        <item x="95"/>
        <item x="8"/>
        <item x="1476"/>
        <item x="686"/>
        <item x="926"/>
        <item x="1684"/>
        <item x="2623"/>
        <item x="2607"/>
        <item x="799"/>
        <item x="744"/>
        <item x="1248"/>
        <item x="730"/>
        <item x="2124"/>
        <item x="2862"/>
        <item x="2484"/>
        <item x="1811"/>
        <item x="620"/>
        <item x="346"/>
        <item x="1280"/>
        <item x="677"/>
        <item x="1292"/>
        <item x="1274"/>
        <item x="1735"/>
        <item x="2718"/>
        <item x="2826"/>
        <item x="712"/>
        <item x="364"/>
        <item x="1175"/>
        <item x="1948"/>
        <item x="1354"/>
        <item x="1467"/>
        <item x="2631"/>
        <item x="2227"/>
        <item x="486"/>
        <item x="582"/>
        <item x="854"/>
        <item x="1224"/>
        <item x="149"/>
        <item x="378"/>
        <item x="479"/>
        <item x="1071"/>
        <item x="2685"/>
        <item x="1639"/>
        <item x="49"/>
        <item x="2660"/>
        <item x="349"/>
        <item x="2183"/>
        <item x="2647"/>
        <item x="2099"/>
        <item x="2979"/>
        <item x="362"/>
        <item x="1195"/>
        <item x="1753"/>
        <item x="2379"/>
        <item x="2176"/>
        <item x="795"/>
        <item x="2849"/>
        <item x="170"/>
        <item x="2144"/>
        <item x="1671"/>
        <item x="1385"/>
        <item x="1375"/>
        <item x="334"/>
        <item x="2426"/>
        <item x="300"/>
        <item x="1721"/>
        <item x="137"/>
        <item x="1096"/>
        <item x="1228"/>
        <item x="105"/>
        <item x="1366"/>
        <item x="1433"/>
        <item x="1325"/>
        <item x="2839"/>
        <item x="1777"/>
        <item x="826"/>
        <item x="1506"/>
        <item x="439"/>
        <item x="1205"/>
        <item x="1760"/>
        <item x="58"/>
        <item x="731"/>
        <item x="1500"/>
        <item x="1184"/>
        <item x="1620"/>
        <item x="1203"/>
        <item x="820"/>
        <item x="1"/>
        <item x="2774"/>
        <item x="658"/>
        <item x="1328"/>
        <item x="1445"/>
        <item x="1718"/>
        <item x="1105"/>
        <item x="1785"/>
        <item x="2987"/>
        <item x="1150"/>
        <item x="999"/>
        <item x="2518"/>
        <item x="857"/>
        <item x="964"/>
        <item x="979"/>
        <item x="811"/>
        <item x="798"/>
        <item x="1520"/>
        <item x="385"/>
        <item x="1422"/>
        <item x="501"/>
        <item x="591"/>
        <item x="2415"/>
        <item x="2492"/>
        <item x="577"/>
        <item x="2478"/>
        <item x="426"/>
        <item x="1984"/>
        <item x="408"/>
        <item x="1710"/>
        <item x="1893"/>
        <item x="2908"/>
        <item x="776"/>
        <item x="947"/>
        <item x="1626"/>
        <item x="841"/>
        <item x="2062"/>
        <item x="241"/>
        <item x="2401"/>
        <item x="288"/>
        <item x="2768"/>
        <item x="2033"/>
        <item x="2350"/>
        <item x="880"/>
        <item x="1162"/>
        <item x="2358"/>
        <item x="2201"/>
        <item x="973"/>
        <item x="1340"/>
        <item x="1428"/>
        <item x="544"/>
        <item x="225"/>
        <item x="789"/>
        <item x="2160"/>
        <item x="2588"/>
        <item x="1381"/>
        <item x="261"/>
        <item x="2511"/>
        <item x="2682"/>
        <item x="2514"/>
        <item x="272"/>
        <item x="1714"/>
        <item x="1522"/>
        <item x="2640"/>
        <item x="1231"/>
        <item x="1627"/>
        <item x="748"/>
        <item x="2779"/>
        <item x="165"/>
        <item x="424"/>
        <item x="2107"/>
        <item x="1479"/>
        <item x="1048"/>
        <item x="2512"/>
        <item x="209"/>
        <item x="2502"/>
        <item x="1933"/>
        <item x="2479"/>
        <item x="2816"/>
        <item x="2808"/>
        <item x="956"/>
        <item x="595"/>
        <item x="1051"/>
        <item x="1029"/>
        <item x="1952"/>
        <item x="1212"/>
        <item x="1436"/>
        <item x="2831"/>
        <item x="270"/>
        <item x="1444"/>
        <item x="1072"/>
        <item x="291"/>
        <item x="2453"/>
        <item x="2708"/>
        <item x="2460"/>
        <item x="1058"/>
        <item x="1615"/>
        <item x="2722"/>
        <item x="1068"/>
        <item x="746"/>
        <item x="1409"/>
        <item x="2382"/>
        <item x="2509"/>
        <item x="1167"/>
        <item x="1822"/>
        <item x="307"/>
        <item x="1133"/>
        <item x="1485"/>
        <item x="313"/>
        <item x="2256"/>
        <item x="1661"/>
        <item x="2555"/>
        <item x="1365"/>
        <item x="1035"/>
        <item x="640"/>
        <item x="244"/>
        <item x="593"/>
        <item x="2674"/>
        <item x="2190"/>
        <item x="2653"/>
        <item x="2715"/>
        <item x="2693"/>
        <item x="538"/>
        <item x="752"/>
        <item x="572"/>
        <item x="586"/>
        <item x="1124"/>
        <item x="2857"/>
        <item x="2843"/>
        <item x="2316"/>
        <item x="2031"/>
        <item x="2485"/>
        <item x="1559"/>
        <item x="2"/>
        <item x="1289"/>
        <item x="1463"/>
        <item x="771"/>
        <item x="1294"/>
        <item x="1315"/>
        <item x="2215"/>
        <item x="2590"/>
        <item x="1039"/>
        <item x="2840"/>
        <item x="784"/>
        <item x="1447"/>
        <item x="793"/>
        <item x="1928"/>
        <item x="1871"/>
        <item x="2611"/>
        <item x="2228"/>
        <item x="1724"/>
        <item x="2842"/>
        <item x="2740"/>
        <item x="702"/>
        <item x="238"/>
        <item x="2351"/>
        <item x="2531"/>
        <item x="1426"/>
        <item x="813"/>
        <item x="1254"/>
        <item x="2241"/>
        <item x="2226"/>
        <item x="708"/>
        <item x="614"/>
        <item x="1111"/>
        <item x="1336"/>
        <item x="1161"/>
        <item x="2705"/>
        <item x="777"/>
        <item x="2087"/>
        <item x="2695"/>
        <item x="1523"/>
        <item x="2525"/>
        <item x="2209"/>
        <item x="1128"/>
        <item x="853"/>
        <item x="992"/>
        <item x="1748"/>
        <item x="2035"/>
        <item x="713"/>
        <item x="2567"/>
        <item x="1740"/>
        <item x="1688"/>
        <item x="622"/>
        <item x="2761"/>
        <item x="1394"/>
        <item x="638"/>
        <item x="1227"/>
        <item x="1084"/>
        <item x="1207"/>
        <item x="605"/>
        <item x="2341"/>
        <item x="552"/>
        <item x="527"/>
        <item x="1562"/>
        <item x="2261"/>
        <item x="2844"/>
        <item x="351"/>
        <item x="597"/>
        <item x="2569"/>
        <item x="2642"/>
        <item x="2641"/>
        <item x="2699"/>
        <item x="1251"/>
        <item x="2596"/>
        <item x="2770"/>
        <item x="2079"/>
        <item x="792"/>
        <item x="759"/>
        <item x="1321"/>
        <item x="330"/>
        <item x="2249"/>
        <item x="1269"/>
        <item x="1211"/>
        <item x="1752"/>
        <item x="2469"/>
        <item x="1662"/>
        <item x="161"/>
        <item x="50"/>
        <item x="2319"/>
        <item x="196"/>
        <item x="1553"/>
        <item x="1317"/>
        <item x="3"/>
        <item x="2405"/>
        <item x="1005"/>
        <item x="2949"/>
        <item x="2274"/>
        <item x="2970"/>
        <item x="816"/>
        <item x="485"/>
        <item x="443"/>
        <item x="803"/>
        <item x="1037"/>
        <item x="487"/>
        <item x="1528"/>
        <item x="2560"/>
        <item x="639"/>
        <item x="290"/>
        <item x="2461"/>
        <item x="1437"/>
        <item x="672"/>
        <item x="2664"/>
        <item x="1052"/>
        <item x="1018"/>
        <item x="864"/>
        <item x="2956"/>
        <item x="662"/>
        <item x="2019"/>
        <item x="181"/>
        <item x="1367"/>
        <item x="1183"/>
        <item x="122"/>
        <item x="1370"/>
        <item x="1151"/>
        <item x="1931"/>
        <item x="5"/>
        <item x="274"/>
        <item x="548"/>
        <item x="365"/>
        <item x="2242"/>
        <item x="2538"/>
        <item x="2689"/>
        <item x="1197"/>
        <item x="635"/>
        <item x="2068"/>
        <item x="417"/>
        <item x="521"/>
        <item x="1712"/>
        <item x="2342"/>
        <item x="1903"/>
        <item x="1853"/>
        <item x="2248"/>
        <item x="1589"/>
        <item x="678"/>
        <item x="590"/>
        <item x="37"/>
        <item x="1070"/>
        <item x="886"/>
        <item x="2571"/>
        <item x="2675"/>
        <item x="2888"/>
        <item x="1699"/>
        <item x="1457"/>
        <item x="2477"/>
        <item x="1917"/>
        <item x="1772"/>
        <item x="1143"/>
        <item x="2730"/>
        <item x="1991"/>
        <item x="940"/>
        <item x="2399"/>
        <item x="508"/>
        <item x="1423"/>
        <item x="2608"/>
        <item x="242"/>
        <item x="151"/>
        <item x="1045"/>
        <item x="2552"/>
        <item x="1388"/>
        <item x="2308"/>
        <item x="1711"/>
        <item x="128"/>
        <item x="2466"/>
        <item x="2551"/>
        <item x="512"/>
        <item x="2912"/>
        <item x="366"/>
        <item x="1909"/>
        <item x="2873"/>
        <item x="78"/>
        <item x="1678"/>
        <item x="1223"/>
        <item x="1672"/>
        <item x="1390"/>
        <item x="2510"/>
        <item x="960"/>
        <item x="310"/>
        <item x="2202"/>
        <item x="814"/>
        <item x="2965"/>
        <item x="796"/>
        <item x="2688"/>
        <item x="1536"/>
        <item x="914"/>
        <item x="1977"/>
        <item x="722"/>
        <item x="1981"/>
        <item x="822"/>
        <item x="832"/>
        <item x="1913"/>
        <item x="726"/>
        <item x="2801"/>
        <item x="2216"/>
        <item x="2820"/>
        <item x="866"/>
        <item x="550"/>
        <item x="2197"/>
        <item x="603"/>
        <item x="2090"/>
        <item x="397"/>
        <item x="2257"/>
        <item x="2733"/>
        <item x="2396"/>
        <item x="681"/>
        <item x="1657"/>
        <item x="870"/>
        <item x="2455"/>
        <item x="2236"/>
        <item x="327"/>
        <item x="1749"/>
        <item x="1701"/>
        <item x="2522"/>
        <item x="2825"/>
        <item x="1594"/>
        <item x="989"/>
        <item x="1471"/>
        <item x="545"/>
        <item x="765"/>
        <item x="2323"/>
        <item x="923"/>
        <item x="2791"/>
        <item x="83"/>
        <item x="532"/>
        <item x="1941"/>
        <item x="72"/>
        <item x="2185"/>
        <item x="254"/>
        <item x="2312"/>
        <item x="2856"/>
        <item x="2136"/>
        <item x="1055"/>
        <item x="1847"/>
        <item x="1263"/>
        <item x="2163"/>
        <item x="158"/>
        <item x="1547"/>
        <item x="380"/>
        <item x="2096"/>
        <item x="428"/>
        <item x="1287"/>
        <item x="2787"/>
        <item x="2578"/>
        <item x="116"/>
        <item x="915"/>
        <item x="663"/>
        <item x="1916"/>
        <item x="153"/>
        <item x="2746"/>
        <item x="2878"/>
        <item x="2811"/>
        <item x="2458"/>
        <item x="323"/>
        <item x="2585"/>
        <item x="2329"/>
        <item x="2258"/>
        <item x="1465"/>
        <item x="839"/>
        <item x="1631"/>
        <item x="1456"/>
        <item x="683"/>
        <item x="2942"/>
        <item x="2234"/>
        <item x="350"/>
        <item x="1435"/>
        <item x="2419"/>
        <item x="1558"/>
        <item x="1304"/>
        <item x="266"/>
        <item x="2188"/>
        <item x="630"/>
        <item x="1020"/>
        <item x="507"/>
        <item x="1790"/>
        <item x="43"/>
        <item x="2281"/>
        <item x="2331"/>
        <item x="1123"/>
        <item x="511"/>
        <item x="587"/>
        <item x="379"/>
        <item x="2284"/>
        <item x="1588"/>
        <item x="628"/>
        <item x="1551"/>
        <item x="1158"/>
        <item x="2043"/>
        <item x="1642"/>
        <item x="21"/>
        <item x="2153"/>
        <item x="1601"/>
        <item x="679"/>
        <item x="1461"/>
        <item x="2084"/>
        <item x="2309"/>
        <item x="2239"/>
        <item x="807"/>
        <item x="2105"/>
        <item x="2574"/>
        <item x="193"/>
        <item x="1818"/>
        <item x="1838"/>
        <item x="1003"/>
        <item x="2180"/>
        <item x="258"/>
        <item x="264"/>
        <item x="1185"/>
        <item x="2587"/>
        <item x="2973"/>
        <item x="664"/>
        <item x="163"/>
        <item x="1579"/>
        <item x="1190"/>
        <item x="1817"/>
        <item x="1062"/>
        <item x="97"/>
        <item x="1372"/>
        <item x="1568"/>
        <item x="2964"/>
        <item x="1851"/>
        <item x="453"/>
        <item x="1186"/>
        <item x="898"/>
        <item x="2293"/>
        <item x="778"/>
        <item x="2572"/>
        <item x="2380"/>
        <item x="303"/>
        <item x="1478"/>
        <item x="204"/>
        <item x="237"/>
        <item x="2925"/>
        <item x="2435"/>
        <item x="2275"/>
        <item x="736"/>
        <item x="764"/>
        <item x="624"/>
        <item x="470"/>
        <item x="1819"/>
        <item x="2010"/>
        <item x="252"/>
        <item x="497"/>
        <item x="1756"/>
        <item x="896"/>
        <item x="2306"/>
        <item x="1019"/>
        <item x="117"/>
        <item x="2930"/>
        <item x="389"/>
        <item x="138"/>
        <item x="704"/>
        <item x="2075"/>
        <item x="2658"/>
        <item x="2113"/>
        <item x="574"/>
        <item x="2668"/>
        <item x="1857"/>
        <item x="1233"/>
        <item x="120"/>
        <item x="2696"/>
        <item x="2296"/>
        <item x="2503"/>
        <item x="774"/>
        <item x="2322"/>
        <item x="513"/>
        <item x="1650"/>
        <item x="2291"/>
        <item x="1484"/>
        <item x="876"/>
        <item x="309"/>
        <item x="2935"/>
        <item x="1580"/>
        <item x="2243"/>
        <item x="1667"/>
        <item x="2370"/>
        <item x="1757"/>
        <item x="1091"/>
        <item x="2553"/>
        <item x="476"/>
        <item x="336"/>
        <item x="2047"/>
        <item x="1554"/>
        <item x="2541"/>
        <item x="2077"/>
        <item x="1924"/>
        <item x="1609"/>
        <item x="1990"/>
        <item x="18"/>
        <item x="2367"/>
        <item x="719"/>
        <item x="1452"/>
        <item x="900"/>
        <item x="2638"/>
        <item x="941"/>
        <item x="2945"/>
        <item x="557"/>
        <item x="2056"/>
        <item x="324"/>
        <item x="2887"/>
        <item x="2192"/>
        <item x="740"/>
        <item x="1902"/>
        <item x="429"/>
        <item x="785"/>
        <item x="1947"/>
        <item x="1824"/>
        <item x="1398"/>
        <item x="89"/>
        <item x="2837"/>
        <item x="66"/>
        <item x="1706"/>
        <item x="1103"/>
        <item x="849"/>
        <item x="810"/>
        <item x="2276"/>
        <item x="1262"/>
        <item x="2431"/>
        <item x="2678"/>
        <item x="2233"/>
        <item x="1126"/>
        <item x="687"/>
        <item x="1850"/>
        <item x="924"/>
        <item x="1333"/>
        <item x="2968"/>
        <item x="921"/>
        <item x="2798"/>
        <item x="1651"/>
        <item x="502"/>
        <item x="2168"/>
        <item x="496"/>
        <item x="1945"/>
        <item x="2838"/>
        <item x="551"/>
        <item x="1616"/>
        <item x="2762"/>
        <item x="2946"/>
        <item x="2903"/>
        <item x="2199"/>
        <item x="1900"/>
        <item x="1049"/>
        <item x="87"/>
        <item x="2727"/>
        <item x="2283"/>
        <item x="2759"/>
        <item x="76"/>
        <item x="1635"/>
        <item x="1535"/>
        <item x="797"/>
        <item x="2927"/>
        <item x="2013"/>
        <item x="2850"/>
        <item x="1801"/>
        <item x="2330"/>
        <item x="353"/>
        <item x="285"/>
        <item x="978"/>
        <item x="1746"/>
        <item x="404"/>
        <item x="1840"/>
        <item x="2005"/>
        <item x="1782"/>
        <item x="164"/>
        <item x="2314"/>
        <item x="190"/>
        <item x="2222"/>
        <item x="1206"/>
        <item x="2434"/>
        <item x="2454"/>
        <item x="1213"/>
        <item x="109"/>
        <item x="2858"/>
        <item x="1493"/>
        <item x="966"/>
        <item x="775"/>
        <item x="1132"/>
        <item x="1549"/>
        <item x="1992"/>
        <item x="2299"/>
        <item x="1687"/>
        <item x="2773"/>
        <item x="1868"/>
        <item x="745"/>
        <item x="1805"/>
        <item x="2533"/>
        <item x="2495"/>
        <item x="100"/>
        <item x="1807"/>
        <item x="2853"/>
        <item x="1808"/>
        <item x="612"/>
        <item x="1008"/>
        <item x="2609"/>
        <item x="1396"/>
        <item x="561"/>
        <item x="753"/>
        <item x="1155"/>
        <item x="35"/>
        <item x="2599"/>
        <item x="466"/>
        <item x="1527"/>
        <item x="967"/>
        <item x="642"/>
        <item x="1419"/>
        <item x="1750"/>
        <item x="592"/>
        <item x="373"/>
        <item x="2592"/>
        <item x="874"/>
        <item x="1918"/>
        <item x="2467"/>
        <item x="2793"/>
        <item x="475"/>
        <item x="944"/>
        <item x="1015"/>
        <item x="420"/>
        <item x="1887"/>
        <item x="945"/>
        <item x="2792"/>
        <item x="934"/>
        <item x="2841"/>
        <item x="2468"/>
        <item x="1406"/>
        <item x="819"/>
        <item x="1030"/>
        <item x="1209"/>
        <item x="2936"/>
        <item x="533"/>
        <item x="1733"/>
        <item x="576"/>
        <item x="2880"/>
        <item x="517"/>
        <item x="111"/>
        <item x="580"/>
        <item x="2122"/>
        <item x="1107"/>
        <item x="2452"/>
        <item x="1835"/>
        <item x="928"/>
        <item x="2866"/>
        <item x="2213"/>
        <item x="2326"/>
        <item x="13"/>
        <item x="843"/>
        <item x="2558"/>
        <item x="2782"/>
        <item x="2579"/>
        <item x="2272"/>
        <item x="208"/>
        <item x="858"/>
        <item x="56"/>
        <item x="454"/>
        <item x="970"/>
        <item x="2959"/>
        <item x="2237"/>
        <item x="1135"/>
        <item x="711"/>
        <item x="438"/>
        <item x="82"/>
        <item x="2918"/>
        <item x="2501"/>
        <item x="703"/>
        <item x="647"/>
        <item x="1187"/>
        <item x="354"/>
        <item x="452"/>
        <item x="2920"/>
        <item x="185"/>
        <item x="1929"/>
        <item x="2966"/>
        <item x="1940"/>
        <item x="40"/>
        <item x="571"/>
        <item x="706"/>
        <item x="555"/>
        <item x="1256"/>
        <item x="218"/>
        <item x="1802"/>
        <item x="1401"/>
        <item x="1791"/>
        <item x="1474"/>
        <item x="1673"/>
        <item x="2369"/>
        <item x="1226"/>
        <item x="2310"/>
        <item x="415"/>
        <item x="554"/>
        <item x="2521"/>
        <item x="1405"/>
        <item x="2649"/>
        <item x="1679"/>
        <item x="2167"/>
        <item x="2302"/>
        <item x="1332"/>
        <item x="1703"/>
        <item x="160"/>
        <item x="723"/>
        <item x="2928"/>
        <item x="178"/>
        <item x="2807"/>
        <item x="1196"/>
        <item x="632"/>
        <item x="2981"/>
        <item x="559"/>
        <item x="1700"/>
        <item x="922"/>
        <item x="360"/>
        <item x="2355"/>
        <item x="1966"/>
        <item x="312"/>
        <item x="1108"/>
        <item x="1742"/>
        <item x="2446"/>
        <item x="2929"/>
        <item x="1514"/>
        <item x="957"/>
        <item x="1638"/>
        <item x="2657"/>
        <item x="1286"/>
        <item x="899"/>
        <item x="229"/>
        <item x="2338"/>
        <item x="2269"/>
        <item x="1255"/>
        <item x="1214"/>
        <item x="2487"/>
        <item x="51"/>
        <item x="1094"/>
        <item x="680"/>
        <item x="769"/>
        <item x="2065"/>
        <item x="835"/>
        <item x="1025"/>
        <item x="1338"/>
        <item x="1427"/>
        <item x="1979"/>
        <item x="1606"/>
        <item x="1823"/>
        <item x="1316"/>
        <item x="2939"/>
        <item x="1727"/>
        <item x="953"/>
        <item x="474"/>
        <item x="1922"/>
        <item x="256"/>
        <item x="1921"/>
        <item x="194"/>
        <item x="1284"/>
        <item x="1266"/>
        <item x="1194"/>
        <item x="1275"/>
        <item x="2576"/>
        <item x="2407"/>
        <item x="73"/>
        <item x="406"/>
        <item x="875"/>
        <item x="1453"/>
        <item x="1106"/>
        <item x="1324"/>
        <item x="1147"/>
        <item x="142"/>
        <item x="961"/>
        <item x="2721"/>
        <item x="1681"/>
        <item x="1552"/>
        <item x="1431"/>
        <item x="2024"/>
        <item x="1730"/>
        <item x="894"/>
        <item x="1245"/>
        <item x="1023"/>
        <item x="1961"/>
        <item x="654"/>
        <item x="1358"/>
        <item x="2164"/>
        <item x="2194"/>
        <item x="280"/>
        <item x="212"/>
        <item x="1504"/>
        <item x="2575"/>
        <item x="1356"/>
        <item x="2474"/>
        <item x="1397"/>
        <item x="2846"/>
        <item x="211"/>
        <item x="1645"/>
        <item x="903"/>
        <item x="2067"/>
        <item x="2229"/>
        <item x="2513"/>
        <item x="60"/>
        <item x="2026"/>
        <item x="1225"/>
        <item x="879"/>
        <item x="1169"/>
        <item x="1779"/>
        <item x="2247"/>
        <item x="863"/>
        <item x="162"/>
        <item x="733"/>
        <item x="2343"/>
        <item x="1215"/>
        <item x="890"/>
        <item x="1267"/>
        <item x="2388"/>
        <item x="2123"/>
        <item x="578"/>
        <item x="14"/>
        <item x="2783"/>
        <item x="2624"/>
        <item x="2255"/>
        <item x="1204"/>
        <item x="987"/>
        <item x="1004"/>
        <item x="2259"/>
        <item x="519"/>
        <item x="2277"/>
        <item x="374"/>
        <item x="2463"/>
        <item x="2254"/>
        <item x="81"/>
        <item x="1906"/>
        <item x="2083"/>
        <item x="2069"/>
        <item x="2141"/>
        <item x="1346"/>
        <item x="2580"/>
        <item x="2219"/>
        <item x="1716"/>
        <item x="1031"/>
        <item x="1313"/>
        <item x="2245"/>
        <item x="179"/>
        <item x="2822"/>
        <item x="1774"/>
        <item x="234"/>
        <item x="821"/>
        <item x="243"/>
        <item x="1136"/>
        <item x="1659"/>
        <item x="1883"/>
        <item x="515"/>
        <item x="1149"/>
        <item x="2550"/>
        <item x="2528"/>
        <item x="547"/>
        <item x="1095"/>
        <item x="1173"/>
        <item x="183"/>
        <item x="1669"/>
        <item x="46"/>
        <item x="2589"/>
        <item x="1799"/>
        <item x="355"/>
        <item x="2676"/>
        <item x="63"/>
        <item x="1066"/>
        <item x="1348"/>
        <item x="755"/>
        <item x="1334"/>
        <item x="2300"/>
        <item x="1976"/>
        <item x="2639"/>
        <item x="2961"/>
        <item x="2418"/>
        <item x="394"/>
        <item x="1596"/>
        <item x="101"/>
        <item x="1537"/>
        <item x="434"/>
        <item x="2391"/>
        <item x="905"/>
        <item x="38"/>
        <item x="2212"/>
        <item x="2244"/>
        <item x="1923"/>
        <item x="2750"/>
        <item x="2439"/>
        <item x="262"/>
        <item x="2191"/>
        <item x="1953"/>
        <item x="1862"/>
        <item x="1022"/>
        <item x="656"/>
        <item x="2004"/>
        <item x="2636"/>
        <item x="90"/>
        <item x="294"/>
        <item x="2397"/>
        <item x="329"/>
        <item x="84"/>
        <item x="2007"/>
        <item x="1152"/>
        <item x="729"/>
        <item x="2622"/>
        <item x="1464"/>
        <item x="2449"/>
        <item x="1156"/>
        <item x="2499"/>
        <item x="308"/>
        <item x="1000"/>
        <item x="542"/>
        <item x="2922"/>
        <item x="2445"/>
        <item x="1747"/>
        <item x="560"/>
        <item x="738"/>
        <item x="152"/>
        <item x="41"/>
        <item x="1097"/>
        <item x="2540"/>
        <item x="292"/>
        <item x="920"/>
        <item x="1012"/>
        <item x="391"/>
        <item x="1907"/>
        <item x="2186"/>
        <item x="1210"/>
        <item x="39"/>
        <item x="2855"/>
        <item x="732"/>
        <item x="1402"/>
        <item x="1664"/>
        <item x="1584"/>
        <item x="26"/>
        <item x="490"/>
        <item x="613"/>
        <item x="2054"/>
        <item x="1089"/>
        <item x="2173"/>
        <item x="1140"/>
        <item x="1119"/>
        <item x="1970"/>
        <item x="2008"/>
        <item x="609"/>
        <item x="1176"/>
        <item x="907"/>
        <item x="407"/>
        <item x="1680"/>
        <item x="1943"/>
        <item x="1115"/>
        <item x="2710"/>
        <item x="602"/>
        <item x="808"/>
        <item x="2001"/>
        <item x="2892"/>
        <item x="828"/>
        <item x="1694"/>
        <item x="2270"/>
        <item x="2813"/>
        <item x="665"/>
        <item x="1142"/>
        <item x="1544"/>
        <item x="1430"/>
        <item x="2702"/>
        <item x="106"/>
        <item x="2002"/>
        <item x="1593"/>
        <item x="2020"/>
        <item x="1737"/>
        <item x="2706"/>
        <item x="786"/>
        <item x="2317"/>
        <item x="1296"/>
        <item x="2829"/>
        <item x="910"/>
        <item x="1243"/>
        <item x="75"/>
        <item x="2886"/>
        <item x="2404"/>
        <item x="660"/>
        <item x="804"/>
        <item x="1368"/>
        <item x="958"/>
        <item x="250"/>
        <item x="2621"/>
        <item x="9"/>
        <item x="937"/>
        <item x="1462"/>
        <item x="1232"/>
        <item x="77"/>
        <item x="2690"/>
        <item x="2967"/>
        <item x="1999"/>
        <item x="2038"/>
        <item x="2334"/>
        <item x="2408"/>
        <item x="541"/>
        <item x="2146"/>
        <item x="1561"/>
        <item x="1954"/>
        <item x="1472"/>
        <item x="1009"/>
        <item x="422"/>
        <item x="1577"/>
        <item x="1896"/>
        <item x="2803"/>
        <item x="1208"/>
        <item x="2340"/>
        <item x="1014"/>
        <item x="390"/>
        <item x="17"/>
        <item x="2058"/>
        <item x="168"/>
        <item x="1787"/>
        <item x="1040"/>
        <item x="815"/>
        <item x="372"/>
        <item x="302"/>
        <item x="2852"/>
        <item x="215"/>
        <item x="2246"/>
        <item x="1812"/>
        <item x="61"/>
        <item x="2548"/>
        <item x="1865"/>
        <item x="598"/>
        <item x="1034"/>
        <item x="2179"/>
        <item x="19"/>
        <item x="1663"/>
        <item x="1763"/>
        <item x="2701"/>
        <item x="2066"/>
        <item x="2971"/>
        <item x="2734"/>
        <item x="356"/>
        <item x="293"/>
        <item x="1997"/>
        <item x="2891"/>
        <item x="2265"/>
        <item x="2071"/>
        <item x="1130"/>
        <item x="1113"/>
        <item x="1361"/>
        <item x="525"/>
        <item x="1861"/>
        <item x="2505"/>
        <item x="2070"/>
        <item x="1876"/>
        <item x="2395"/>
        <item x="2345"/>
        <item x="2603"/>
        <item x="1641"/>
        <item x="2669"/>
        <item x="228"/>
        <item x="650"/>
        <item x="1602"/>
        <item x="1352"/>
        <item x="2948"/>
        <item x="697"/>
        <item x="727"/>
        <item x="696"/>
        <item x="575"/>
        <item x="1550"/>
        <item x="1017"/>
        <item x="2260"/>
        <item x="1910"/>
        <item x="1872"/>
        <item x="198"/>
        <item x="2743"/>
        <item x="2867"/>
        <item x="1987"/>
        <item x="2890"/>
        <item x="1646"/>
        <item x="172"/>
        <item x="503"/>
        <item x="1364"/>
        <item x="1666"/>
        <item x="1347"/>
        <item x="343"/>
        <item x="25"/>
        <item x="743"/>
        <item x="2736"/>
        <item x="2089"/>
        <item x="2286"/>
        <item x="1713"/>
        <item x="2610"/>
        <item x="1794"/>
        <item x="2251"/>
        <item x="1376"/>
        <item x="1439"/>
        <item x="693"/>
        <item x="871"/>
        <item x="2978"/>
        <item x="2833"/>
        <item x="1784"/>
        <item x="1246"/>
        <item x="1803"/>
        <item x="2464"/>
        <item x="700"/>
        <item x="2876"/>
        <item x="375"/>
        <item x="2760"/>
        <item x="119"/>
        <item x="1110"/>
        <item x="130"/>
        <item x="570"/>
        <item x="546"/>
        <item x="2545"/>
        <item x="1592"/>
        <item x="2217"/>
        <item x="1373"/>
        <item x="1863"/>
        <item x="1053"/>
        <item x="1480"/>
        <item x="2303"/>
        <item x="959"/>
        <item x="4"/>
        <item x="982"/>
        <item x="2519"/>
        <item x="2110"/>
        <item x="1392"/>
        <item x="661"/>
        <item x="2665"/>
        <item x="444"/>
        <item x="1972"/>
        <item x="1074"/>
        <item x="1545"/>
        <item x="79"/>
        <item x="526"/>
        <item x="342"/>
        <item x="2095"/>
        <item x="1956"/>
        <item x="2104"/>
        <item x="2709"/>
        <item x="2339"/>
        <item x="901"/>
        <item x="1174"/>
        <item x="268"/>
        <item x="86"/>
        <item x="1542"/>
        <item x="2336"/>
        <item x="488"/>
        <item x="2612"/>
        <item x="2015"/>
        <item x="401"/>
        <item x="2982"/>
        <item x="1399"/>
        <item x="2078"/>
        <item x="2896"/>
        <item x="2498"/>
        <item x="1082"/>
        <item x="2424"/>
        <item x="2263"/>
        <item x="1341"/>
        <item x="646"/>
        <item x="942"/>
        <item x="1705"/>
        <item x="403"/>
        <item x="1508"/>
        <item x="2459"/>
        <item x="1566"/>
        <item x="1870"/>
        <item x="1466"/>
        <item x="1821"/>
        <item x="287"/>
        <item x="599"/>
        <item x="1446"/>
        <item x="949"/>
        <item x="2298"/>
        <item x="1957"/>
        <item x="2881"/>
        <item x="604"/>
        <item x="1519"/>
        <item x="447"/>
        <item x="2784"/>
        <item x="2663"/>
        <item x="12"/>
        <item x="2364"/>
        <item x="1353"/>
        <item x="96"/>
        <item x="2752"/>
        <item x="2016"/>
        <item x="1293"/>
        <item x="569"/>
        <item x="2000"/>
        <item x="2187"/>
        <item x="2874"/>
        <item x="230"/>
        <item x="2456"/>
        <item x="2368"/>
        <item x="2864"/>
        <item x="2327"/>
        <item x="1010"/>
        <item x="275"/>
        <item x="1704"/>
        <item x="1968"/>
        <item x="2074"/>
        <item x="2378"/>
        <item x="1127"/>
        <item x="974"/>
        <item x="1075"/>
        <item x="1647"/>
        <item x="801"/>
        <item x="2698"/>
        <item x="2976"/>
        <item x="2006"/>
        <item x="1912"/>
        <item x="2150"/>
        <item x="1098"/>
        <item x="2041"/>
        <item x="2910"/>
        <item x="1797"/>
        <item x="1319"/>
        <item x="489"/>
        <item x="1612"/>
        <item x="2530"/>
        <item x="2328"/>
        <item x="2554"/>
        <item x="2210"/>
        <item x="1719"/>
        <item x="1619"/>
        <item x="1032"/>
        <item x="1814"/>
        <item x="1503"/>
        <item x="2921"/>
        <item x="645"/>
        <item x="133"/>
        <item x="32"/>
        <item x="1265"/>
        <item x="1583"/>
        <item x="1345"/>
        <item x="675"/>
        <item x="286"/>
        <item x="695"/>
        <item x="305"/>
        <item x="2506"/>
        <item x="484"/>
        <item x="1988"/>
        <item x="2651"/>
        <item x="919"/>
        <item x="1492"/>
        <item x="534"/>
        <item x="465"/>
        <item x="950"/>
        <item x="1146"/>
        <item x="2963"/>
        <item x="852"/>
        <item x="562"/>
        <item x="1925"/>
        <item x="2073"/>
        <item x="1854"/>
        <item x="2557"/>
        <item x="1455"/>
        <item x="239"/>
        <item x="483"/>
        <item x="2325"/>
        <item x="2057"/>
        <item x="2732"/>
        <item x="1191"/>
        <item x="2290"/>
        <item x="284"/>
        <item x="2677"/>
        <item x="197"/>
        <item x="2088"/>
        <item x="2151"/>
        <item x="104"/>
        <item x="80"/>
        <item x="384"/>
        <item x="2893"/>
        <item x="1969"/>
        <item x="471"/>
        <item x="1121"/>
        <item x="2208"/>
        <item x="1944"/>
        <item x="2433"/>
        <item x="2012"/>
        <item x="860"/>
        <item x="1458"/>
        <item x="2059"/>
        <item x="132"/>
        <item x="2835"/>
        <item x="52"/>
        <item x="977"/>
        <item x="2748"/>
        <item x="2983"/>
        <item x="1454"/>
        <item x="2337"/>
        <item x="589"/>
        <item x="463"/>
        <item x="1393"/>
        <item x="1438"/>
        <item x="825"/>
        <item x="2584"/>
        <item x="2626"/>
        <item x="1425"/>
        <item x="617"/>
        <item x="1888"/>
        <item x="2412"/>
        <item x="2333"/>
        <item x="788"/>
        <item x="88"/>
        <item x="2628"/>
        <item x="472"/>
        <item x="301"/>
        <item x="2823"/>
        <item x="1013"/>
        <item x="1806"/>
        <item x="2130"/>
        <item x="318"/>
        <item x="1630"/>
        <item x="2093"/>
        <item x="1633"/>
        <item x="2954"/>
        <item x="1521"/>
        <item x="2231"/>
        <item x="2765"/>
        <item x="963"/>
        <item x="217"/>
        <item x="685"/>
        <item x="1856"/>
        <item x="235"/>
        <item x="969"/>
        <item x="564"/>
        <item x="1350"/>
        <item x="2184"/>
        <item x="2684"/>
        <item x="553"/>
        <item x="359"/>
        <item x="1170"/>
        <item x="2756"/>
        <item x="2818"/>
        <item x="2716"/>
        <item x="556"/>
        <item x="1858"/>
        <item x="2947"/>
        <item x="1193"/>
        <item x="909"/>
        <item x="2235"/>
        <item x="2441"/>
        <item x="1483"/>
        <item x="585"/>
        <item x="316"/>
        <item x="1531"/>
        <item x="2901"/>
        <item x="2470"/>
        <item x="469"/>
        <item x="2766"/>
        <item x="1689"/>
        <item x="988"/>
        <item x="2335"/>
        <item x="2591"/>
        <item x="627"/>
        <item x="588"/>
        <item x="2029"/>
        <item x="2116"/>
        <item x="2938"/>
        <item x="419"/>
        <item x="653"/>
        <item x="535"/>
        <item x="1033"/>
        <item x="2547"/>
        <item x="1104"/>
        <item x="2869"/>
        <item x="812"/>
        <item x="2630"/>
        <item x="1717"/>
        <item x="247"/>
        <item x="1279"/>
        <item x="1886"/>
        <item x="2714"/>
        <item x="214"/>
        <item x="1881"/>
        <item x="255"/>
        <item x="462"/>
        <item x="1278"/>
        <item x="108"/>
        <item x="998"/>
        <item x="1047"/>
        <item x="2377"/>
        <item x="1411"/>
        <item x="2883"/>
        <item x="2788"/>
        <item x="625"/>
        <item x="2365"/>
        <item x="1960"/>
        <item x="85"/>
        <item x="1083"/>
        <item x="1449"/>
        <item x="584"/>
        <item x="1505"/>
        <item x="1199"/>
        <item x="2114"/>
        <item x="1677"/>
        <item x="418"/>
        <item x="1901"/>
        <item x="2165"/>
        <item x="2022"/>
        <item x="2381"/>
        <item x="1064"/>
        <item x="177"/>
        <item x="1792"/>
        <item x="865"/>
        <item x="2315"/>
        <item x="2985"/>
        <item x="747"/>
        <item x="2821"/>
        <item x="2279"/>
        <item x="2137"/>
        <item x="2480"/>
        <item x="220"/>
        <item x="1490"/>
        <item x="734"/>
        <item x="1182"/>
        <item x="885"/>
        <item x="2389"/>
        <item x="2125"/>
        <item x="402"/>
        <item x="1145"/>
        <item x="1939"/>
        <item x="610"/>
        <item x="506"/>
        <item x="140"/>
        <item x="1092"/>
        <item x="1236"/>
        <item x="2042"/>
        <item x="2156"/>
        <item x="1138"/>
        <item x="1855"/>
        <item x="2885"/>
        <item x="2138"/>
        <item x="2304"/>
        <item x="2034"/>
        <item x="377"/>
        <item x="223"/>
        <item x="673"/>
        <item x="2635"/>
        <item x="2913"/>
        <item x="1788"/>
        <item x="154"/>
        <item x="1112"/>
        <item x="134"/>
        <item x="1270"/>
        <item x="2145"/>
        <item x="1306"/>
        <item x="2420"/>
        <item x="1709"/>
        <item x="1219"/>
        <item x="1327"/>
        <item x="787"/>
        <item x="2747"/>
        <item x="2620"/>
        <item x="669"/>
        <item x="1653"/>
        <item x="1985"/>
        <item x="461"/>
        <item x="2687"/>
        <item x="125"/>
        <item x="1570"/>
        <item x="2898"/>
        <item x="986"/>
        <item x="2027"/>
        <item x="2473"/>
        <item x="780"/>
        <item x="248"/>
        <item x="2357"/>
        <item x="1237"/>
        <item x="2280"/>
        <item x="2218"/>
        <item x="319"/>
        <item x="756"/>
        <item x="2353"/>
        <item x="968"/>
        <item x="1534"/>
        <item x="431"/>
        <item x="2504"/>
        <item x="883"/>
        <item x="1056"/>
        <item x="44"/>
        <item x="2618"/>
        <item x="2289"/>
        <item x="2295"/>
        <item x="955"/>
        <item x="2126"/>
        <item x="2556"/>
        <item x="760"/>
        <item x="1974"/>
        <item x="332"/>
        <item x="1412"/>
        <item x="2739"/>
        <item x="2817"/>
        <item x="1470"/>
        <item x="1726"/>
        <item x="2662"/>
        <item x="2785"/>
        <item x="2860"/>
        <item x="2794"/>
        <item x="1069"/>
        <item x="2950"/>
        <item x="2009"/>
        <item x="1129"/>
        <item x="2598"/>
        <item x="2170"/>
        <item x="2543"/>
        <item x="619"/>
        <item x="2680"/>
        <item x="273"/>
        <item x="2517"/>
        <item x="1339"/>
        <item x="1260"/>
        <item x="2403"/>
        <item x="2052"/>
        <item x="1322"/>
        <item x="2672"/>
        <item x="1272"/>
        <item x="2320"/>
        <item x="477"/>
        <item x="1488"/>
        <item x="2800"/>
        <item x="15"/>
        <item x="2475"/>
        <item x="690"/>
        <item x="1885"/>
        <item x="1934"/>
        <item x="2311"/>
        <item x="2601"/>
        <item x="995"/>
        <item x="1738"/>
        <item x="838"/>
        <item x="433"/>
        <item x="1634"/>
        <item x="2884"/>
        <item x="371"/>
        <item x="1139"/>
        <item x="64"/>
        <item x="2905"/>
        <item x="2962"/>
        <item x="761"/>
        <item x="1728"/>
        <item x="2050"/>
        <item x="2520"/>
        <item x="2594"/>
        <item x="1930"/>
        <item x="99"/>
        <item x="2924"/>
        <item x="2103"/>
        <item x="1648"/>
        <item x="2604"/>
        <item x="278"/>
        <item x="1217"/>
        <item x="1914"/>
        <item x="2686"/>
        <item x="671"/>
        <item x="2725"/>
        <item x="2629"/>
        <item x="1359"/>
        <item x="2742"/>
        <item x="1908"/>
        <item x="2703"/>
        <item x="2972"/>
        <item x="2861"/>
        <item x="791"/>
        <item x="148"/>
        <item x="1079"/>
        <item x="2899"/>
        <item x="2944"/>
        <item x="1538"/>
        <item x="331"/>
        <item x="1222"/>
        <item x="2767"/>
        <item x="2577"/>
        <item x="2984"/>
        <item x="2650"/>
        <item x="869"/>
        <item x="2797"/>
        <item x="725"/>
        <item x="368"/>
        <item x="2390"/>
        <item x="1654"/>
        <item x="2313"/>
        <item x="518"/>
        <item x="1301"/>
        <item x="2953"/>
        <item x="1936"/>
        <item x="2444"/>
        <item x="1576"/>
        <item x="1335"/>
        <item x="2109"/>
        <item x="1796"/>
        <item x="2814"/>
        <item x="1253"/>
        <item x="1239"/>
        <item x="1060"/>
        <item x="455"/>
        <item x="2149"/>
        <item x="315"/>
        <item x="2086"/>
        <item x="1386"/>
        <item x="240"/>
        <item x="276"/>
        <item x="891"/>
        <item x="872"/>
        <item x="643"/>
        <item x="2417"/>
        <item x="1729"/>
        <item x="720"/>
        <item x="2719"/>
        <item x="1189"/>
        <item x="766"/>
        <item x="529"/>
        <item x="2871"/>
        <item x="2508"/>
        <item x="1417"/>
        <item x="2471"/>
        <item x="1998"/>
        <item x="1085"/>
        <item x="1355"/>
        <item x="1624"/>
        <item x="2720"/>
        <item x="1895"/>
        <item x="1614"/>
        <item x="2990"/>
        <item x="2253"/>
        <item x="579"/>
        <item x="227"/>
        <item x="2414"/>
        <item x="1597"/>
        <item x="2091"/>
        <item x="954"/>
        <item x="1378"/>
        <item x="2914"/>
        <item x="1264"/>
        <item x="691"/>
        <item x="491"/>
        <item x="1007"/>
        <item x="2806"/>
        <item x="2133"/>
        <item x="2969"/>
        <item x="175"/>
        <item x="862"/>
        <item x="2614"/>
        <item x="2354"/>
        <item x="1598"/>
        <item x="2804"/>
        <item x="430"/>
        <item x="1572"/>
        <item x="2568"/>
        <item x="387"/>
        <item x="2894"/>
        <item x="113"/>
        <item x="573"/>
        <item x="335"/>
        <item x="1487"/>
        <item x="1028"/>
        <item x="644"/>
        <item x="2819"/>
        <item x="1477"/>
        <item x="65"/>
        <item x="2644"/>
        <item x="2561"/>
        <item x="1310"/>
        <item x="2278"/>
        <item x="2437"/>
        <item x="1741"/>
        <item x="846"/>
        <item x="2376"/>
        <item x="55"/>
        <item x="2872"/>
        <item x="7"/>
        <item x="2564"/>
        <item x="1617"/>
        <item x="1363"/>
        <item x="2606"/>
        <item x="126"/>
        <item x="1697"/>
        <item x="2546"/>
        <item x="1434"/>
        <item x="245"/>
        <item x="448"/>
        <item x="873"/>
        <item x="1234"/>
        <item x="2769"/>
        <item x="297"/>
        <item x="847"/>
        <item x="1282"/>
        <item x="1420"/>
        <item x="1257"/>
        <item x="772"/>
        <item x="1849"/>
        <item x="2427"/>
        <item x="536"/>
        <item x="1343"/>
        <item x="904"/>
        <item x="2374"/>
        <item x="735"/>
        <item x="1548"/>
        <item x="925"/>
        <item x="1221"/>
        <item x="495"/>
        <item x="616"/>
        <item x="882"/>
        <item x="1061"/>
        <item x="2656"/>
        <item x="2815"/>
        <item x="2152"/>
        <item x="1708"/>
        <item x="1498"/>
        <item x="566"/>
        <item x="416"/>
        <item x="1600"/>
        <item x="1218"/>
        <item x="1660"/>
        <item x="411"/>
        <item x="1109"/>
        <item x="2318"/>
        <item x="436"/>
        <item x="1120"/>
        <item x="2991"/>
        <item x="2481"/>
        <item x="10"/>
        <item x="1771"/>
        <item x="1369"/>
        <item x="271"/>
        <item x="710"/>
        <item x="2907"/>
        <item x="414"/>
        <item x="1486"/>
        <item x="337"/>
        <item x="1495"/>
        <item x="2120"/>
        <item x="2423"/>
        <item x="531"/>
        <item x="2371"/>
        <item x="607"/>
        <item x="2490"/>
        <item x="494"/>
        <item x="2916"/>
        <item x="1696"/>
        <item x="2796"/>
        <item x="2425"/>
        <item x="1683"/>
        <item x="2297"/>
        <item x="1605"/>
        <item x="1798"/>
        <item x="2121"/>
        <item x="498"/>
        <item x="192"/>
        <item x="2507"/>
        <item x="2193"/>
        <item x="2060"/>
        <item x="189"/>
        <item x="1892"/>
        <item x="2224"/>
        <item x="2951"/>
        <item x="103"/>
        <item x="1891"/>
        <item x="31"/>
        <item x="1517"/>
        <item x="1349"/>
        <item x="1889"/>
        <item x="1442"/>
        <item x="2753"/>
        <item x="2489"/>
        <item x="1607"/>
        <item x="1820"/>
        <item x="412"/>
        <item x="144"/>
        <item x="895"/>
        <item x="1168"/>
        <item x="1510"/>
        <item x="829"/>
        <item x="757"/>
        <item x="202"/>
        <item x="396"/>
        <item x="338"/>
        <item x="1670"/>
        <item x="1277"/>
        <item x="867"/>
        <item x="668"/>
        <item x="1171"/>
        <item x="1980"/>
        <item x="2214"/>
        <item x="1235"/>
        <item x="1975"/>
        <item x="1587"/>
        <item x="236"/>
        <item x="1067"/>
        <item x="1643"/>
        <item x="1357"/>
        <item x="800"/>
        <item x="2362"/>
        <item x="2941"/>
        <item x="1389"/>
        <item x="1831"/>
        <item x="836"/>
        <item x="1216"/>
        <item x="1578"/>
        <item x="674"/>
        <item x="1623"/>
        <item x="1387"/>
        <item x="71"/>
        <item x="2220"/>
        <item x="1676"/>
        <item x="1134"/>
        <item x="2169"/>
        <item x="2744"/>
        <item x="136"/>
        <item x="887"/>
        <item x="965"/>
        <item x="514"/>
        <item x="932"/>
        <item x="1693"/>
        <item x="325"/>
        <item x="1732"/>
        <item x="1100"/>
        <item x="1318"/>
        <item x="2775"/>
        <item x="2045"/>
        <item x="147"/>
        <item x="878"/>
        <item x="783"/>
        <item x="299"/>
        <item x="1833"/>
        <item x="1828"/>
        <item x="118"/>
        <item x="1451"/>
        <item x="1448"/>
        <item x="282"/>
        <item x="782"/>
        <item x="2932"/>
        <item x="446"/>
        <item x="951"/>
        <item x="1571"/>
        <item x="912"/>
        <item x="1101"/>
        <item x="563"/>
        <item x="253"/>
        <item x="2957"/>
        <item x="2586"/>
        <item x="1038"/>
        <item x="1877"/>
        <item x="2713"/>
        <item x="659"/>
        <item x="1006"/>
        <item x="1157"/>
        <item x="1524"/>
        <item x="2539"/>
        <item x="1839"/>
        <item x="2273"/>
        <item x="1163"/>
        <item x="2132"/>
        <item x="2462"/>
        <item x="717"/>
        <item x="2081"/>
        <item x="1574"/>
        <item x="1192"/>
        <item x="2952"/>
        <item x="1942"/>
        <item x="93"/>
        <item x="2451"/>
        <item x="1309"/>
        <item x="114"/>
        <item x="856"/>
        <item x="370"/>
        <item x="2670"/>
        <item x="456"/>
        <item x="219"/>
        <item x="363"/>
        <item x="1516"/>
        <item x="1024"/>
        <item x="68"/>
        <item x="2373"/>
        <item x="2566"/>
        <item x="2211"/>
        <item x="257"/>
        <item x="676"/>
        <item x="1533"/>
        <item x="2902"/>
        <item x="169"/>
        <item x="265"/>
        <item x="2448"/>
        <item x="1459"/>
        <item x="2974"/>
        <item x="2447"/>
        <item x="1613"/>
        <item x="2848"/>
        <item x="1475"/>
        <item x="1739"/>
        <item x="2375"/>
        <item x="699"/>
        <item x="1761"/>
        <item x="2266"/>
        <item x="608"/>
        <item x="1491"/>
        <item x="1086"/>
        <item x="199"/>
        <item x="59"/>
        <item x="413"/>
        <item x="790"/>
        <item x="1971"/>
        <item x="1758"/>
        <item x="621"/>
        <item x="493"/>
        <item x="2980"/>
        <item x="1731"/>
        <item x="492"/>
        <item x="652"/>
        <item x="631"/>
        <item x="2790"/>
        <item x="2654"/>
        <item x="824"/>
        <item x="504"/>
        <item x="449"/>
        <item x="670"/>
        <item x="2292"/>
        <item x="2287"/>
        <item x="1674"/>
        <item x="1685"/>
        <item x="381"/>
        <item x="2398"/>
        <item x="1518"/>
        <item x="2361"/>
        <item x="1247"/>
        <item x="2117"/>
        <item x="333"/>
        <item x="2691"/>
        <item x="1773"/>
        <item x="110"/>
        <item x="1141"/>
        <item x="980"/>
        <item x="1836"/>
        <item x="1469"/>
        <item x="1586"/>
        <item x="2352"/>
        <item x="2786"/>
        <item x="2392"/>
        <item x="367"/>
        <item x="1093"/>
        <item x="991"/>
        <item x="1751"/>
        <item x="2112"/>
        <item x="1220"/>
        <item x="1564"/>
        <item x="583"/>
        <item x="437"/>
        <item x="1832"/>
        <item x="1515"/>
        <item x="2845"/>
        <item x="1526"/>
        <item x="1178"/>
        <item x="728"/>
        <item x="2410"/>
        <item x="1866"/>
        <item x="667"/>
        <item x="1875"/>
        <item x="1625"/>
        <item x="1560"/>
        <item x="2789"/>
        <item x="2582"/>
        <item x="2602"/>
        <item x="1769"/>
        <item x="2252"/>
        <item x="1016"/>
        <item x="1982"/>
        <item x="906"/>
        <item x="2868"/>
        <item x="2171"/>
        <item x="709"/>
        <item x="2549"/>
        <item x="1825"/>
        <item x="1513"/>
        <item x="2776"/>
        <item x="2625"/>
        <item x="2051"/>
        <item x="1362"/>
        <item x="2100"/>
        <item x="1416"/>
        <item x="1408"/>
        <item x="127"/>
        <item x="2937"/>
        <item x="2036"/>
        <item x="2028"/>
        <item x="539"/>
        <item x="2053"/>
        <item x="641"/>
        <item x="30"/>
        <item x="971"/>
        <item x="889"/>
        <item x="1122"/>
        <item x="345"/>
        <item x="2763"/>
        <item x="224"/>
        <item x="611"/>
        <item x="480"/>
        <item x="1884"/>
        <item x="758"/>
        <item x="1331"/>
        <item x="1407"/>
        <item x="946"/>
        <item x="1565"/>
        <item x="400"/>
        <item x="2754"/>
        <item x="1525"/>
        <item x="2383"/>
        <item x="1494"/>
        <item x="1611"/>
        <item x="348"/>
        <item x="441"/>
        <item x="762"/>
        <item x="2172"/>
        <item x="410"/>
        <item x="129"/>
        <item x="908"/>
        <item x="2436"/>
        <item x="2802"/>
        <item x="1290"/>
        <item x="2757"/>
        <item x="2017"/>
        <item x="2346"/>
        <item x="601"/>
        <item x="1501"/>
        <item x="1395"/>
        <item x="24"/>
        <item x="2129"/>
        <item x="2040"/>
        <item x="70"/>
        <item x="2724"/>
        <item x="1078"/>
        <item x="1652"/>
        <item x="689"/>
        <item x="1529"/>
        <item x="395"/>
        <item x="2135"/>
        <item x="143"/>
        <item x="1621"/>
        <item x="1114"/>
        <item x="340"/>
        <item x="320"/>
        <item x="913"/>
        <item x="1377"/>
        <item x="6"/>
        <item x="509"/>
        <item x="636"/>
        <item x="388"/>
        <item x="2076"/>
        <item x="1668"/>
        <item x="2646"/>
        <item x="802"/>
        <item x="1302"/>
        <item x="855"/>
        <item x="263"/>
        <item x="1044"/>
        <item x="2360"/>
        <item x="16"/>
        <item x="2307"/>
        <item x="2030"/>
        <item x="393"/>
        <item x="141"/>
        <item x="1021"/>
        <item x="1063"/>
        <item x="1512"/>
        <item x="694"/>
        <item x="1879"/>
        <item x="188"/>
        <item x="399"/>
        <item x="1959"/>
        <item x="1834"/>
        <item x="911"/>
        <item x="167"/>
        <item x="2655"/>
        <item x="648"/>
        <item x="657"/>
        <item x="1722"/>
        <item x="594"/>
        <item x="1087"/>
        <item x="2633"/>
        <item x="1351"/>
        <item x="2032"/>
        <item x="918"/>
        <item x="2267"/>
        <item x="1754"/>
        <item x="347"/>
        <item x="805"/>
        <item x="2834"/>
        <item x="94"/>
        <item x="112"/>
        <item x="311"/>
        <item x="2465"/>
        <item x="859"/>
        <item x="1160"/>
        <item x="1656"/>
        <item x="440"/>
        <item x="29"/>
        <item x="1497"/>
        <item x="1585"/>
        <item x="581"/>
        <item x="996"/>
        <item x="398"/>
        <item x="1166"/>
        <item x="2356"/>
        <item x="1261"/>
        <item x="629"/>
        <item x="2102"/>
        <item x="383"/>
        <item x="2385"/>
        <item x="1665"/>
        <item x="1864"/>
        <item x="2092"/>
        <item x="1675"/>
        <item x="2230"/>
        <item x="445"/>
        <item x="2544"/>
        <item x="1841"/>
        <item x="2384"/>
        <item x="1783"/>
        <item x="2977"/>
        <item x="2830"/>
        <item x="2679"/>
        <item x="314"/>
        <item x="739"/>
        <item x="2440"/>
        <item x="1323"/>
        <item x="2106"/>
        <item x="981"/>
        <item x="150"/>
        <item x="741"/>
        <item x="1768"/>
        <item x="1230"/>
        <item x="2934"/>
        <item x="1766"/>
        <item x="2147"/>
        <item x="1573"/>
        <item x="1424"/>
        <item x="2755"/>
        <item x="1198"/>
        <item x="2712"/>
        <item x="655"/>
        <item x="1543"/>
        <item x="328"/>
        <item x="2422"/>
        <item x="499"/>
        <item x="467"/>
        <item x="1496"/>
        <item x="1927"/>
        <item x="121"/>
        <item x="975"/>
        <item x="2039"/>
        <item x="716"/>
        <item x="1229"/>
        <item x="1342"/>
        <item x="749"/>
        <item x="1878"/>
        <item x="1238"/>
        <item x="2143"/>
        <item x="943"/>
        <item x="2673"/>
        <item x="818"/>
        <item x="833"/>
        <item x="2195"/>
        <item x="2450"/>
        <item x="2264"/>
        <item x="2805"/>
        <item x="1919"/>
        <item x="1698"/>
        <item x="1776"/>
        <item x="2828"/>
        <item x="2182"/>
        <item x="2430"/>
        <item x="1842"/>
        <item x="2372"/>
        <item x="2906"/>
        <item x="2523"/>
        <item x="2536"/>
        <item x="848"/>
        <item x="1595"/>
        <item x="1690"/>
        <item x="2118"/>
        <item x="2225"/>
        <item x="2159"/>
        <item x="2347"/>
        <item x="174"/>
        <item x="269"/>
        <item x="935"/>
        <item x="2915"/>
        <item x="115"/>
        <item x="386"/>
        <item x="1789"/>
        <item x="442"/>
        <item x="2055"/>
        <item x="2627"/>
        <item x="207"/>
        <item x="1986"/>
        <item x="205"/>
        <item x="1640"/>
        <item x="615"/>
        <item x="1915"/>
        <item x="450"/>
        <item x="146"/>
        <item x="1955"/>
        <item x="2014"/>
        <item x="1890"/>
        <item x="352"/>
        <item x="341"/>
        <item x="1962"/>
        <item x="2363"/>
        <item x="1077"/>
        <item x="1180"/>
        <item x="1813"/>
        <item x="361"/>
        <item x="528"/>
        <item x="2131"/>
        <item x="2142"/>
        <item x="2542"/>
        <item x="1383"/>
        <item x="0"/>
        <item x="432"/>
        <item x="1073"/>
        <item x="1764"/>
        <item x="1555"/>
        <item x="1618"/>
        <item x="1298"/>
        <item x="1118"/>
        <item x="1874"/>
        <item x="2931"/>
        <item x="1065"/>
        <item x="296"/>
        <item x="2700"/>
        <item x="2559"/>
        <item x="2595"/>
        <item x="2711"/>
        <item x="42"/>
        <item x="1305"/>
        <item x="1604"/>
        <item x="2432"/>
        <item x="983"/>
        <item x="1283"/>
        <item x="2046"/>
        <item x="246"/>
        <item x="36"/>
        <item x="618"/>
        <item x="2565"/>
        <item x="893"/>
        <item x="2661"/>
        <item x="2063"/>
        <item x="45"/>
        <item x="1297"/>
        <item x="2305"/>
        <item x="1636"/>
        <item x="888"/>
        <item x="421"/>
        <item x="1384"/>
        <item x="2496"/>
        <item x="1938"/>
        <item x="339"/>
        <item x="1702"/>
        <item x="2359"/>
        <item x="131"/>
        <item x="2238"/>
        <item x="2206"/>
        <item x="2809"/>
        <item x="1993"/>
        <item x="1164"/>
        <item x="1973"/>
        <item x="2581"/>
        <item x="277"/>
        <item x="326"/>
        <item x="2207"/>
        <item x="2155"/>
        <item x="1080"/>
        <item x="1054"/>
        <item x="565"/>
        <item x="1311"/>
        <item x="840"/>
        <item x="1165"/>
        <item x="2749"/>
        <item x="938"/>
        <item x="558"/>
        <item x="842"/>
        <item x="166"/>
        <item x="2157"/>
        <item x="1276"/>
        <item x="1273"/>
        <item x="1628"/>
        <item x="698"/>
        <item x="1443"/>
        <item x="1810"/>
        <item x="482"/>
        <item x="682"/>
        <item x="1894"/>
        <item x="1099"/>
        <item x="1591"/>
        <item x="2897"/>
        <item x="2400"/>
        <item x="1843"/>
        <item x="1759"/>
        <item x="156"/>
        <item x="2810"/>
        <item x="2940"/>
        <item x="948"/>
        <item x="1622"/>
        <item x="2847"/>
        <item x="962"/>
        <item x="742"/>
        <item x="1414"/>
        <item x="306"/>
        <item x="2859"/>
        <item x="47"/>
        <item x="1285"/>
        <item x="2428"/>
        <item x="2909"/>
        <item x="23"/>
        <item x="123"/>
        <item x="210"/>
        <item x="1460"/>
        <item x="2162"/>
        <item x="2023"/>
        <item x="2955"/>
        <item x="221"/>
        <item x="2421"/>
        <item x="2064"/>
        <item x="1873"/>
        <item x="173"/>
        <item x="1344"/>
        <item x="1655"/>
        <item x="481"/>
        <item x="834"/>
        <item x="2011"/>
        <item x="2101"/>
        <item x="1567"/>
        <item x="1958"/>
        <item x="2301"/>
        <item x="1556"/>
        <item x="2085"/>
        <item x="321"/>
        <item x="1415"/>
        <item x="1795"/>
        <item x="1144"/>
        <item x="69"/>
        <item x="916"/>
        <item x="27"/>
        <item x="2879"/>
        <item x="1603"/>
        <item x="157"/>
        <item x="2777"/>
        <item x="2870"/>
        <item x="2429"/>
        <item x="2061"/>
        <item x="634"/>
        <item x="1745"/>
        <item x="2529"/>
        <item x="2411"/>
        <item x="1403"/>
        <item x="1057"/>
        <item x="1608"/>
        <item x="1481"/>
        <item x="2865"/>
        <item x="2488"/>
        <item x="933"/>
        <item x="1546"/>
        <item x="516"/>
        <item x="623"/>
        <item x="1926"/>
        <item x="2616"/>
        <item x="1440"/>
        <item x="827"/>
        <item x="2200"/>
        <item x="1715"/>
        <item x="135"/>
        <item x="2532"/>
        <item x="596"/>
        <item x="201"/>
        <item x="1026"/>
        <item x="1181"/>
        <item x="2189"/>
        <item x="2140"/>
        <item x="1692"/>
        <item x="457"/>
        <item x="2648"/>
        <item x="1946"/>
        <item x="376"/>
        <item x="1880"/>
        <item x="2694"/>
        <item x="226"/>
        <item x="1148"/>
        <item x="382"/>
        <item x="1867"/>
        <item x="2082"/>
        <item x="773"/>
        <item x="249"/>
        <item x="1288"/>
        <item x="92"/>
        <item x="1172"/>
        <item x="806"/>
        <item x="2772"/>
        <item x="2516"/>
        <item x="2240"/>
        <item x="1320"/>
        <item x="191"/>
        <item x="2205"/>
        <item x="1765"/>
        <item x="423"/>
        <item x="830"/>
        <item x="1830"/>
        <item x="344"/>
        <item x="1002"/>
        <item x="1658"/>
        <item x="1153"/>
        <item x="1778"/>
        <item x="715"/>
        <item x="1308"/>
        <item x="283"/>
        <item x="861"/>
        <item x="2221"/>
        <item x="794"/>
        <item x="2387"/>
        <item x="187"/>
        <item x="2681"/>
        <item x="990"/>
        <item x="267"/>
        <item x="279"/>
        <item x="1816"/>
        <item x="2154"/>
        <item x="1744"/>
        <item x="409"/>
        <item x="1720"/>
        <item x="549"/>
        <item x="754"/>
        <item x="1159"/>
        <item x="2911"/>
        <item x="520"/>
        <item x="98"/>
        <item x="231"/>
        <item x="984"/>
        <item x="1951"/>
        <item x="206"/>
        <item x="2634"/>
        <item x="651"/>
        <item x="2615"/>
        <item x="1610"/>
        <item x="750"/>
        <item x="751"/>
        <item x="930"/>
        <item x="2094"/>
        <item x="1964"/>
        <item x="1307"/>
        <item x="1632"/>
        <item x="1581"/>
        <item x="884"/>
        <item x="2729"/>
        <item x="2294"/>
        <item x="369"/>
        <item x="976"/>
        <item x="844"/>
        <item x="2745"/>
        <item x="1300"/>
        <item x="1252"/>
        <item x="1599"/>
        <item x="823"/>
        <item x="2895"/>
        <item x="1404"/>
        <item x="1179"/>
        <item x="478"/>
        <item x="216"/>
        <item x="1905"/>
        <item x="2344"/>
        <item x="2402"/>
        <item x="2393"/>
        <item x="2573"/>
        <item x="1240"/>
        <item x="1844"/>
        <item x="931"/>
        <item x="666"/>
        <item x="817"/>
        <item x="1268"/>
        <item x="1827"/>
        <item x="2534"/>
        <item x="1059"/>
        <item x="684"/>
        <item x="2476"/>
        <item x="2119"/>
        <item x="1775"/>
        <item x="2108"/>
        <item x="2771"/>
        <item x="1686"/>
        <item x="260"/>
        <item x="1177"/>
        <item x="2166"/>
        <item x="1036"/>
        <item x="1539"/>
        <item x="1116"/>
        <item x="2537"/>
        <item x="868"/>
        <item x="2919"/>
        <item x="1090"/>
        <item x="2097"/>
        <item x="2394"/>
        <item x="1781"/>
        <item x="2268"/>
        <item x="1826"/>
        <item x="2764"/>
        <item x="540"/>
        <item x="473"/>
        <item x="1441"/>
        <item x="22"/>
        <item x="1882"/>
        <item x="1898"/>
        <item x="567"/>
        <item x="2482"/>
        <item x="2741"/>
        <item x="505"/>
        <item x="1755"/>
        <item x="213"/>
        <item x="2527"/>
        <item x="195"/>
        <item x="2223"/>
        <item x="1117"/>
        <item x="1707"/>
        <item x="468"/>
        <item x="1575"/>
        <item x="2923"/>
        <item x="692"/>
        <item x="2515"/>
        <item x="2960"/>
        <item x="34"/>
        <item x="1250"/>
        <item x="1299"/>
        <item x="1312"/>
        <item x="1682"/>
        <item x="1829"/>
        <item x="155"/>
        <item x="392"/>
        <item x="1429"/>
        <item x="1935"/>
        <item x="831"/>
        <item x="2021"/>
        <item x="2483"/>
        <item x="606"/>
        <item x="1637"/>
        <item x="952"/>
        <item x="1391"/>
        <item x="1131"/>
        <item x="724"/>
        <item x="28"/>
        <item x="186"/>
        <item x="2943"/>
        <item x="1154"/>
        <item x="2738"/>
        <item x="1303"/>
        <item x="718"/>
        <item x="737"/>
        <item x="2262"/>
        <item x="2174"/>
        <item x="2049"/>
        <item x="2175"/>
        <item x="1281"/>
        <item x="850"/>
        <item x="405"/>
        <item x="259"/>
        <item x="2139"/>
        <item x="182"/>
        <item x="1374"/>
        <item x="994"/>
        <item x="1723"/>
        <item x="2643"/>
        <item x="2751"/>
        <item x="2778"/>
        <item x="779"/>
        <item x="985"/>
        <item x="2524"/>
        <item x="1043"/>
        <item x="2486"/>
        <item x="1869"/>
        <item x="2443"/>
        <item x="2707"/>
        <item x="2875"/>
        <item x="2148"/>
        <item x="2723"/>
        <item x="1845"/>
        <item x="1202"/>
        <item x="2348"/>
        <item x="1949"/>
        <item x="770"/>
        <item x="1804"/>
        <item x="2737"/>
        <item x="1271"/>
        <item x="1725"/>
        <item x="1904"/>
        <item x="1780"/>
        <item x="877"/>
        <item x="171"/>
        <item x="1432"/>
        <item x="705"/>
        <item x="1001"/>
        <item x="1314"/>
        <item x="48"/>
        <item x="1502"/>
        <item x="2438"/>
        <item x="1291"/>
        <item x="1897"/>
        <item x="2780"/>
        <item x="2409"/>
        <item x="1695"/>
        <item x="2904"/>
        <item x="2671"/>
        <item x="530"/>
        <item x="1242"/>
        <item x="2457"/>
        <item x="1590"/>
        <item x="1326"/>
        <item x="2115"/>
        <item x="458"/>
        <item x="2605"/>
        <item x="524"/>
        <item x="2161"/>
        <item x="2637"/>
        <item x="714"/>
        <item x="2593"/>
        <item x="57"/>
        <item x="2494"/>
        <item x="917"/>
        <item x="145"/>
        <item x="2824"/>
        <item x="997"/>
        <item x="20"/>
        <item x="568"/>
        <item x="1563"/>
        <item x="1950"/>
        <item x="295"/>
        <item x="1815"/>
        <item x="2613"/>
        <item x="2442"/>
        <item x="2863"/>
        <item x="2900"/>
        <item x="2044"/>
        <item x="2324"/>
        <item x="1967"/>
        <item x="2933"/>
        <item x="2128"/>
        <item x="53"/>
        <item x="460"/>
        <item x="2025"/>
        <item x="1963"/>
        <item x="1050"/>
        <item x="1489"/>
        <item x="1965"/>
        <item x="1081"/>
        <item x="2111"/>
        <item x="2204"/>
        <item x="2288"/>
        <item x="2827"/>
        <item x="2600"/>
        <item x="2659"/>
        <item x="1011"/>
        <item x="304"/>
        <item x="537"/>
        <item x="881"/>
        <item x="1994"/>
        <item x="1473"/>
        <item x="1800"/>
        <item x="2854"/>
        <item x="2735"/>
        <item x="298"/>
        <item x="2812"/>
        <item x="1241"/>
        <item x="1249"/>
        <item x="1983"/>
        <item x="1859"/>
        <item x="1102"/>
        <item x="2697"/>
        <item x="1507"/>
        <item x="2285"/>
        <item x="1450"/>
        <item x="459"/>
        <item x="2645"/>
        <item x="1541"/>
        <item x="358"/>
        <item x="767"/>
        <item x="2667"/>
        <item x="67"/>
        <item x="2704"/>
        <item x="600"/>
        <item x="1027"/>
        <item x="176"/>
        <item x="2282"/>
        <item x="1540"/>
        <item x="2917"/>
        <item x="1846"/>
        <item x="1852"/>
        <item x="763"/>
        <item x="2632"/>
        <item x="2048"/>
        <item x="124"/>
        <item x="1557"/>
        <item x="1468"/>
        <item x="1418"/>
        <item x="1041"/>
        <item x="2889"/>
        <item x="1511"/>
        <item x="1482"/>
        <item x="107"/>
        <item x="357"/>
        <item x="1736"/>
        <item x="2989"/>
        <item x="2836"/>
        <item x="203"/>
        <item x="425"/>
        <item x="2366"/>
        <item x="2321"/>
        <item x="2666"/>
        <item x="543"/>
        <item x="2250"/>
        <item x="139"/>
        <item x="1629"/>
        <item x="972"/>
        <item x="929"/>
        <item x="1076"/>
        <item x="809"/>
        <item x="701"/>
        <item x="1762"/>
        <item x="2472"/>
        <item x="1532"/>
        <item x="1978"/>
        <item x="927"/>
        <item x="649"/>
        <item x="1920"/>
        <item x="1400"/>
        <item x="2717"/>
        <item x="1125"/>
        <item x="2726"/>
        <item x="2493"/>
        <item x="2832"/>
        <item x="91"/>
        <item x="11"/>
        <item x="317"/>
        <item x="2127"/>
        <item x="2583"/>
        <item x="1649"/>
        <item x="1995"/>
        <item x="1371"/>
        <item x="2851"/>
        <item x="851"/>
        <item x="184"/>
        <item x="637"/>
        <item x="2986"/>
        <item x="2332"/>
        <item x="2178"/>
        <item x="936"/>
        <item x="1691"/>
        <item x="2683"/>
        <item x="2196"/>
        <item x="74"/>
        <item x="1911"/>
        <item x="1809"/>
        <item x="1244"/>
        <item x="1258"/>
        <item x="2795"/>
        <item x="939"/>
        <item x="1860"/>
        <item x="1046"/>
        <item x="1360"/>
        <item x="2597"/>
        <item x="633"/>
        <item x="768"/>
        <item x="2198"/>
        <item x="233"/>
        <item x="1937"/>
        <item x="1743"/>
        <item x="845"/>
        <item x="222"/>
        <item x="2158"/>
        <item x="2098"/>
        <item x="2018"/>
        <item x="2781"/>
        <item x="2232"/>
        <item x="1996"/>
        <item x="2416"/>
        <item x="2491"/>
        <item x="1200"/>
        <item x="1509"/>
        <item x="2652"/>
        <item x="281"/>
        <item x="500"/>
        <item x="2728"/>
        <item x="1201"/>
        <item x="1989"/>
        <item x="897"/>
        <item x="1848"/>
        <item x="232"/>
        <item x="2731"/>
        <item x="427"/>
        <item x="2003"/>
        <item x="1329"/>
        <item x="1413"/>
        <item x="33"/>
        <item x="2958"/>
        <item x="1330"/>
        <item x="1379"/>
        <item x="2758"/>
        <item x="1767"/>
        <item x="626"/>
        <item x="707"/>
        <item x="510"/>
        <item x="2570"/>
        <item x="1088"/>
        <item x="2926"/>
        <item x="837"/>
        <item x="200"/>
        <item x="2617"/>
        <item x="522"/>
        <item x="2563"/>
        <item x="2882"/>
        <item x="1259"/>
        <item x="1770"/>
        <item x="2177"/>
        <item x="2349"/>
        <item x="2975"/>
        <item x="781"/>
        <item x="1137"/>
        <item x="2692"/>
        <item x="2386"/>
        <item x="102"/>
        <item x="2500"/>
        <item x="1837"/>
        <item x="993"/>
        <item x="1421"/>
        <item x="2181"/>
        <item x="2562"/>
        <item x="1569"/>
        <item x="1295"/>
        <item x="2535"/>
        <item x="1042"/>
        <item x="289"/>
        <item x="1380"/>
        <item x="251"/>
        <item x="1499"/>
        <item x="2877"/>
        <item x="2080"/>
        <item x="1644"/>
        <item x="1793"/>
        <item t="default"/>
      </items>
    </pivotField>
    <pivotField compact="0" outline="0" showAll="0" defaultSubtotal="0"/>
    <pivotField compact="0" outline="0" showAll="0" defaultSubtotal="0"/>
    <pivotField compact="0" outline="0" multipleItemSelectionAllowed="1" showAll="0" defaultSubtotal="0"/>
    <pivotField compact="0" outline="0" showAll="0" defaultSubtotal="0"/>
    <pivotField compact="0" outline="0" multipleItemSelectionAllowed="1" showAll="0" defaultSubtotal="0"/>
    <pivotField compact="0" outline="0" multipleItemSelectionAllowed="1" showAll="0" defaultSubtotal="0">
      <items count="2">
        <item x="1"/>
        <item x="0"/>
      </items>
    </pivotField>
  </pivotFields>
  <rowFields count="1">
    <field x="2"/>
  </rowFields>
  <rowItems count="5">
    <i>
      <x/>
    </i>
    <i>
      <x v="1"/>
    </i>
    <i>
      <x v="2"/>
    </i>
    <i>
      <x v="3"/>
    </i>
    <i>
      <x v="4"/>
    </i>
  </rowItems>
  <colItems count="1">
    <i/>
  </colItems>
  <dataFields count="1">
    <dataField name="Sum of Stock Value" fld="10" baseField="0" baseItem="0"/>
  </dataFields>
  <formats count="3">
    <format dxfId="177">
      <pivotArea outline="0" collapsedLevelsAreSubtotals="1" fieldPosition="0"/>
    </format>
    <format dxfId="176">
      <pivotArea outline="0" collapsedLevelsAreSubtotals="1" fieldPosition="0"/>
    </format>
    <format dxfId="175">
      <pivotArea outline="0" collapsedLevelsAreSubtotals="1"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AB6:AC8" firstHeaderRow="1" firstDataRow="1" firstDataCol="1"/>
  <pivotFields count="17">
    <pivotField compact="0" outline="0" showAll="0" defaultSubtotal="0"/>
    <pivotField compact="0" outline="0" showAll="0">
      <items count="18">
        <item x="5"/>
        <item x="0"/>
        <item x="8"/>
        <item x="2"/>
        <item x="16"/>
        <item x="10"/>
        <item x="12"/>
        <item x="15"/>
        <item x="4"/>
        <item x="14"/>
        <item x="9"/>
        <item x="6"/>
        <item x="3"/>
        <item x="7"/>
        <item x="1"/>
        <item x="11"/>
        <item x="13"/>
        <item t="default"/>
      </items>
    </pivotField>
    <pivotField compact="0" outline="0" showAll="0">
      <items count="6">
        <item x="1"/>
        <item x="2"/>
        <item x="3"/>
        <item x="0"/>
        <item x="4"/>
        <item t="default"/>
      </items>
    </pivotField>
    <pivotField compact="0" outline="0" showAll="0"/>
    <pivotField compact="0" outline="0" showAll="0"/>
    <pivotField compact="0" numFmtId="165" outline="0" showAll="0"/>
    <pivotField compact="0" outline="0" showAll="0">
      <items count="6">
        <item h="1" x="4"/>
        <item h="1" x="2"/>
        <item h="1" x="3"/>
        <item h="1" x="0"/>
        <item x="1"/>
        <item t="default"/>
      </items>
    </pivotField>
    <pivotField compact="0" numFmtId="164" outline="0" showAll="0"/>
    <pivotField compact="0" numFmtId="164" outline="0" showAll="0"/>
    <pivotField compact="0" outline="0" showAll="0"/>
    <pivotField compact="0" numFmtId="166" outline="0" showAll="0"/>
    <pivotField compact="0" outline="0" showAll="0" defaultSubtotal="0"/>
    <pivotField compact="0" outline="0" showAll="0" defaultSubtotal="0"/>
    <pivotField compact="0" outline="0" multipleItemSelectionAllowed="1" showAll="0" defaultSubtotal="0"/>
    <pivotField compact="0" outline="0" showAll="0" defaultSubtotal="0"/>
    <pivotField compact="0" outline="0" multipleItemSelectionAllowed="1" showAll="0" defaultSubtotal="0"/>
    <pivotField axis="axisRow" dataField="1" compact="0" outline="0" multipleItemSelectionAllowed="1" showAll="0" defaultSubtotal="0">
      <items count="2">
        <item x="1"/>
        <item x="0"/>
      </items>
    </pivotField>
  </pivotFields>
  <rowFields count="1">
    <field x="16"/>
  </rowFields>
  <rowItems count="2">
    <i>
      <x/>
    </i>
    <i>
      <x v="1"/>
    </i>
  </rowItems>
  <colItems count="1">
    <i/>
  </colItems>
  <dataFields count="1">
    <dataField name="Count of OverStock" fld="16" subtotal="count" baseField="0" baseItem="0"/>
  </dataFields>
  <formats count="3">
    <format dxfId="180">
      <pivotArea outline="0" collapsedLevelsAreSubtotals="1" fieldPosition="0"/>
    </format>
    <format dxfId="179">
      <pivotArea outline="0" collapsedLevelsAreSubtotals="1" fieldPosition="0"/>
    </format>
    <format dxfId="178">
      <pivotArea outline="0" collapsedLevelsAreSubtotals="1" fieldPosition="0"/>
    </format>
  </formats>
  <chartFormats count="1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6" count="1" selected="0">
            <x v="0"/>
          </reference>
        </references>
      </pivotArea>
    </chartFormat>
    <chartFormat chart="1" format="3">
      <pivotArea type="data" outline="0" fieldPosition="0">
        <references count="2">
          <reference field="4294967294" count="1" selected="0">
            <x v="0"/>
          </reference>
          <reference field="16"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16" count="1" selected="0">
            <x v="0"/>
          </reference>
        </references>
      </pivotArea>
    </chartFormat>
    <chartFormat chart="2" format="6">
      <pivotArea type="data" outline="0" fieldPosition="0">
        <references count="2">
          <reference field="4294967294" count="1" selected="0">
            <x v="0"/>
          </reference>
          <reference field="16"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6" count="1" selected="0">
            <x v="0"/>
          </reference>
        </references>
      </pivotArea>
    </chartFormat>
    <chartFormat chart="3" format="6">
      <pivotArea type="data" outline="0" fieldPosition="0">
        <references count="2">
          <reference field="4294967294" count="1" selected="0">
            <x v="0"/>
          </reference>
          <reference field="16" count="1" selected="0">
            <x v="1"/>
          </reference>
        </references>
      </pivotArea>
    </chartFormat>
    <chartFormat chart="0" format="1">
      <pivotArea type="data" outline="0" fieldPosition="0">
        <references count="2">
          <reference field="4294967294" count="1" selected="0">
            <x v="0"/>
          </reference>
          <reference field="16" count="1" selected="0">
            <x v="0"/>
          </reference>
        </references>
      </pivotArea>
    </chartFormat>
    <chartFormat chart="0" format="2">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4:C5" firstHeaderRow="1" firstDataRow="1" firstDataCol="0"/>
  <pivotFields count="17">
    <pivotField showAll="0" defaultSubtotal="0"/>
    <pivotField dataField="1" showAll="0"/>
    <pivotField showAll="0">
      <items count="6">
        <item x="1"/>
        <item x="2"/>
        <item x="3"/>
        <item x="0"/>
        <item x="4"/>
        <item t="default"/>
      </items>
    </pivotField>
    <pivotField showAll="0"/>
    <pivotField showAll="0"/>
    <pivotField numFmtId="165" showAll="0"/>
    <pivotField showAll="0">
      <items count="6">
        <item h="1" x="4"/>
        <item h="1" x="2"/>
        <item h="1" x="3"/>
        <item h="1" x="0"/>
        <item x="1"/>
        <item t="default"/>
      </items>
    </pivotField>
    <pivotField numFmtId="164" showAll="0"/>
    <pivotField numFmtId="164" showAll="0"/>
    <pivotField showAll="0"/>
    <pivotField numFmtId="166" showAll="0"/>
    <pivotField showAll="0" defaultSubtotal="0"/>
    <pivotField showAll="0" defaultSubtotal="0"/>
    <pivotField showAll="0" defaultSubtotal="0"/>
    <pivotField showAll="0" defaultSubtotal="0"/>
    <pivotField showAll="0" defaultSubtotal="0"/>
    <pivotField showAll="0" defaultSubtotal="0"/>
  </pivotFields>
  <rowItems count="1">
    <i/>
  </rowItems>
  <colItems count="1">
    <i/>
  </colItems>
  <dataFields count="1">
    <dataField name="Count of ProductName" fld="1" subtotal="count" baseField="0" baseItem="0"/>
  </dataFields>
  <formats count="3">
    <format dxfId="183">
      <pivotArea outline="0" collapsedLevelsAreSubtotals="1" fieldPosition="0"/>
    </format>
    <format dxfId="182">
      <pivotArea outline="0" collapsedLevelsAreSubtotals="1" fieldPosition="0"/>
    </format>
    <format dxfId="1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 name="PivotTable3"/>
    <pivotTable tabId="2" name="PivotTable1"/>
    <pivotTable tabId="2" name="PivotTable10"/>
    <pivotTable tabId="2" name="PivotTable11"/>
    <pivotTable tabId="2" name="PivotTable12"/>
    <pivotTable tabId="2" name="PivotTable14"/>
    <pivotTable tabId="2" name="PivotTable16"/>
    <pivotTable tabId="2" name="PivotTable2"/>
    <pivotTable tabId="2" name="PivotTable4"/>
    <pivotTable tabId="2" name="PivotTable6"/>
    <pivotTable tabId="2" name="PivotTable7"/>
    <pivotTable tabId="2" name="PivotTable9"/>
    <pivotTable tabId="2" name="PivotTable5"/>
    <pivotTable tabId="2" name="PivotTable8"/>
  </pivotTables>
  <data>
    <tabular pivotCacheId="1">
      <items count="5">
        <i x="1" s="1"/>
        <i x="2" s="1"/>
        <i x="3"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columnCount="5" showCaption="0" style="SlicerStyleLight1 2" rowHeight="241300"/>
</slicers>
</file>

<file path=xl/tables/table1.xml><?xml version="1.0" encoding="utf-8"?>
<table xmlns="http://schemas.openxmlformats.org/spreadsheetml/2006/main" id="2" name="Table2" displayName="Table2" ref="A1:Q3001" totalsRowShown="0" headerRowBorderDxfId="195" tableBorderDxfId="194">
  <autoFilter ref="A1:Q3001"/>
  <tableColumns count="17">
    <tableColumn id="1" name="ReferenceNo "/>
    <tableColumn id="2" name="ProductName"/>
    <tableColumn id="3" name="Category"/>
    <tableColumn id="4" name="CurrentStock"/>
    <tableColumn id="5" name="ReorderLevel"/>
    <tableColumn id="6" name="UnitPrice" dataDxfId="193"/>
    <tableColumn id="7" name="Supplier"/>
    <tableColumn id="8" name="LastRestockDate" dataDxfId="192"/>
    <tableColumn id="9" name="NextRestockDate" dataDxfId="191"/>
    <tableColumn id="10" name="WarehouseLocation"/>
    <tableColumn id="11" name="Stock Value" dataDxfId="190" dataCellStyle="Comma">
      <calculatedColumnFormula>Table2[[#This Row],[CurrentStock]]*Table2[[#This Row],[UnitPrice]]</calculatedColumnFormula>
    </tableColumn>
    <tableColumn id="13" name="Stock Inventry" dataDxfId="189">
      <calculatedColumnFormula>IF(Table2[[#This Row],[CurrentStock]]&lt;=Table2[[#This Row],[ReorderLevel]], "Reorder Needed", "Okay")</calculatedColumnFormula>
    </tableColumn>
    <tableColumn id="14" name="Stock Gap" dataDxfId="188">
      <calculatedColumnFormula>IF(Table2[[#This Row],[CurrentStock]]-Table2[[#This Row],[ReorderLevel]]&lt;0,Table2[[#This Row],[CurrentStock]]-Table2[[#This Row],[ReorderLevel]],"")</calculatedColumnFormula>
    </tableColumn>
    <tableColumn id="12" name="Low Stock Products" dataDxfId="187">
      <calculatedColumnFormula>IF(Table2[[#This Row],[Stock Gap]]&lt;0, "Understock","Okay")</calculatedColumnFormula>
    </tableColumn>
    <tableColumn id="18" name="Low Stock_Flag" dataDxfId="186">
      <calculatedColumnFormula>IF(Table2[[#This Row],[Stock Gap]]&lt;0, "Yes", "No")</calculatedColumnFormula>
    </tableColumn>
    <tableColumn id="19" name="Reorder Products" dataDxfId="185">
      <calculatedColumnFormula>IF(Table2[[#This Row],[CurrentStock]]&lt;Table2[[#This Row],[ReorderLevel]],"Reorder", "Okay")</calculatedColumnFormula>
    </tableColumn>
    <tableColumn id="20" name="OverStock" dataDxfId="184">
      <calculatedColumnFormula>IF(Table2[[#This Row],[CurrentStock]]&gt;Table2[[#This Row],[ReorderLevel]]*3, "Overstock", "Okay")</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2.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3001"/>
  <sheetViews>
    <sheetView topLeftCell="D1" zoomScaleNormal="100" workbookViewId="0">
      <selection activeCell="Q2" sqref="Q2"/>
    </sheetView>
  </sheetViews>
  <sheetFormatPr defaultRowHeight="14.5" x14ac:dyDescent="0.35"/>
  <cols>
    <col min="1" max="1" width="10.26953125" customWidth="1"/>
    <col min="2" max="2" width="16.36328125" customWidth="1"/>
    <col min="3" max="4" width="15.7265625" customWidth="1"/>
    <col min="5" max="5" width="16.81640625" customWidth="1"/>
    <col min="6" max="6" width="12.54296875" style="2" customWidth="1"/>
    <col min="7" max="7" width="16.1796875" customWidth="1"/>
    <col min="8" max="8" width="19.08984375" style="1" customWidth="1"/>
    <col min="9" max="9" width="20.26953125" style="1" customWidth="1"/>
    <col min="10" max="10" width="22.90625" customWidth="1"/>
    <col min="11" max="11" width="13.54296875" customWidth="1"/>
    <col min="12" max="12" width="16.90625" customWidth="1"/>
    <col min="13" max="13" width="24.1796875" style="7" customWidth="1"/>
    <col min="14" max="14" width="21.08984375" customWidth="1"/>
    <col min="15" max="15" width="17.54296875" customWidth="1"/>
    <col min="16" max="16" width="18" customWidth="1"/>
    <col min="17" max="17" width="11.90625" customWidth="1"/>
  </cols>
  <sheetData>
    <row r="1" spans="1:17" x14ac:dyDescent="0.35">
      <c r="A1" s="3" t="s">
        <v>41</v>
      </c>
      <c r="B1" s="3" t="s">
        <v>0</v>
      </c>
      <c r="C1" s="3" t="s">
        <v>1</v>
      </c>
      <c r="D1" s="3" t="s">
        <v>2</v>
      </c>
      <c r="E1" s="3" t="s">
        <v>3</v>
      </c>
      <c r="F1" s="4" t="s">
        <v>4</v>
      </c>
      <c r="G1" s="3" t="s">
        <v>5</v>
      </c>
      <c r="H1" s="5" t="s">
        <v>6</v>
      </c>
      <c r="I1" s="5" t="s">
        <v>7</v>
      </c>
      <c r="J1" s="3" t="s">
        <v>8</v>
      </c>
      <c r="K1" s="6" t="s">
        <v>39</v>
      </c>
      <c r="L1" s="6" t="s">
        <v>45</v>
      </c>
      <c r="M1" s="14" t="s">
        <v>53</v>
      </c>
      <c r="N1" s="6" t="s">
        <v>51</v>
      </c>
      <c r="O1" s="6" t="s">
        <v>62</v>
      </c>
      <c r="P1" s="6" t="s">
        <v>64</v>
      </c>
      <c r="Q1" s="6" t="s">
        <v>69</v>
      </c>
    </row>
    <row r="2" spans="1:17" x14ac:dyDescent="0.35">
      <c r="A2">
        <v>47194</v>
      </c>
      <c r="B2" t="s">
        <v>9</v>
      </c>
      <c r="C2" t="s">
        <v>26</v>
      </c>
      <c r="D2">
        <v>270</v>
      </c>
      <c r="E2">
        <v>40</v>
      </c>
      <c r="F2" s="2">
        <v>390.95</v>
      </c>
      <c r="G2" t="s">
        <v>31</v>
      </c>
      <c r="H2" s="1">
        <v>45312</v>
      </c>
      <c r="I2" s="1">
        <v>45335</v>
      </c>
      <c r="J2" t="s">
        <v>36</v>
      </c>
      <c r="K2" s="8">
        <f>Table2[[#This Row],[CurrentStock]]*Table2[[#This Row],[UnitPrice]]</f>
        <v>105556.5</v>
      </c>
      <c r="L2" t="str">
        <f>IF(Table2[[#This Row],[CurrentStock]]&lt;=Table2[[#This Row],[ReorderLevel]], "Reorder Needed", "Okay")</f>
        <v>Okay</v>
      </c>
      <c r="M2" t="str">
        <f>IF(Table2[[#This Row],[CurrentStock]]-Table2[[#This Row],[ReorderLevel]]&lt;0,Table2[[#This Row],[CurrentStock]]-Table2[[#This Row],[ReorderLevel]],"")</f>
        <v/>
      </c>
      <c r="N2" t="str">
        <f>IF(Table2[[#This Row],[Stock Gap]]&lt;0, "Understock","Okay")</f>
        <v>Okay</v>
      </c>
      <c r="O2" s="13" t="str">
        <f>IF(Table2[[#This Row],[Stock Gap]]&lt;0, "Yes", "No")</f>
        <v>No</v>
      </c>
      <c r="P2" s="13" t="str">
        <f>IF(Table2[[#This Row],[CurrentStock]]&lt;Table2[[#This Row],[ReorderLevel]],"Reorder", "Okay")</f>
        <v>Okay</v>
      </c>
      <c r="Q2" s="13" t="str">
        <f>IF(Table2[[#This Row],[CurrentStock]]&gt;Table2[[#This Row],[ReorderLevel]]*3, "Overstock", "Okay")</f>
        <v>Overstock</v>
      </c>
    </row>
    <row r="3" spans="1:17" x14ac:dyDescent="0.35">
      <c r="A3">
        <v>72955</v>
      </c>
      <c r="B3" t="s">
        <v>10</v>
      </c>
      <c r="C3" t="s">
        <v>26</v>
      </c>
      <c r="D3">
        <v>151</v>
      </c>
      <c r="E3">
        <v>40</v>
      </c>
      <c r="F3" s="2">
        <v>15.19</v>
      </c>
      <c r="G3" t="s">
        <v>32</v>
      </c>
      <c r="H3" s="1">
        <v>45549</v>
      </c>
      <c r="I3" s="1">
        <v>45577</v>
      </c>
      <c r="J3" t="s">
        <v>36</v>
      </c>
      <c r="K3" s="8">
        <f>Table2[[#This Row],[CurrentStock]]*Table2[[#This Row],[UnitPrice]]</f>
        <v>2293.69</v>
      </c>
      <c r="L3" t="str">
        <f>IF(Table2[[#This Row],[CurrentStock]]&lt;=Table2[[#This Row],[ReorderLevel]], "Reorder Needed", "Okay")</f>
        <v>Okay</v>
      </c>
      <c r="M3" t="str">
        <f>IF(Table2[[#This Row],[CurrentStock]]-Table2[[#This Row],[ReorderLevel]]&lt;0,Table2[[#This Row],[CurrentStock]]-Table2[[#This Row],[ReorderLevel]],"")</f>
        <v/>
      </c>
      <c r="N3" t="str">
        <f>IF(Table2[[#This Row],[Stock Gap]]&lt;0, "Understock","Okay")</f>
        <v>Okay</v>
      </c>
      <c r="O3" s="13" t="str">
        <f>IF(Table2[[#This Row],[Stock Gap]]&lt;0, "Yes", "No")</f>
        <v>No</v>
      </c>
      <c r="P3" s="13" t="str">
        <f>IF(Table2[[#This Row],[CurrentStock]]&lt;Table2[[#This Row],[ReorderLevel]],"Reorder", "Okay")</f>
        <v>Okay</v>
      </c>
      <c r="Q3" s="13" t="str">
        <f>IF(Table2[[#This Row],[CurrentStock]]&gt;Table2[[#This Row],[ReorderLevel]]*3, "Overstock", "Okay")</f>
        <v>Overstock</v>
      </c>
    </row>
    <row r="4" spans="1:17" x14ac:dyDescent="0.35">
      <c r="A4">
        <v>35658</v>
      </c>
      <c r="B4" t="s">
        <v>11</v>
      </c>
      <c r="C4" t="s">
        <v>27</v>
      </c>
      <c r="D4">
        <v>21</v>
      </c>
      <c r="E4">
        <v>80</v>
      </c>
      <c r="F4" s="2">
        <v>218.81</v>
      </c>
      <c r="G4" t="s">
        <v>32</v>
      </c>
      <c r="H4" s="1">
        <v>45340</v>
      </c>
      <c r="I4" s="1">
        <v>45371</v>
      </c>
      <c r="J4" t="s">
        <v>37</v>
      </c>
      <c r="K4" s="8">
        <f>Table2[[#This Row],[CurrentStock]]*Table2[[#This Row],[UnitPrice]]</f>
        <v>4595.01</v>
      </c>
      <c r="L4" t="str">
        <f>IF(Table2[[#This Row],[CurrentStock]]&lt;=Table2[[#This Row],[ReorderLevel]], "Reorder Needed", "Okay")</f>
        <v>Reorder Needed</v>
      </c>
      <c r="M4" s="7">
        <f>IF(Table2[[#This Row],[CurrentStock]]-Table2[[#This Row],[ReorderLevel]]&lt;0,Table2[[#This Row],[CurrentStock]]-Table2[[#This Row],[ReorderLevel]],"")</f>
        <v>-59</v>
      </c>
      <c r="N4" t="str">
        <f>IF(Table2[[#This Row],[Stock Gap]]&lt;0, "Understock","Okay")</f>
        <v>Understock</v>
      </c>
      <c r="O4" s="13" t="str">
        <f>IF(Table2[[#This Row],[Stock Gap]]&lt;0, "Yes", "No")</f>
        <v>Yes</v>
      </c>
      <c r="P4" s="13" t="str">
        <f>IF(Table2[[#This Row],[CurrentStock]]&lt;Table2[[#This Row],[ReorderLevel]],"Reorder", "Okay")</f>
        <v>Reorder</v>
      </c>
      <c r="Q4" s="13" t="str">
        <f>IF(Table2[[#This Row],[CurrentStock]]&gt;Table2[[#This Row],[ReorderLevel]]*3, "Overstock", "Okay")</f>
        <v>Okay</v>
      </c>
    </row>
    <row r="5" spans="1:17" x14ac:dyDescent="0.35">
      <c r="A5">
        <v>90038</v>
      </c>
      <c r="B5" t="s">
        <v>12</v>
      </c>
      <c r="C5" t="s">
        <v>28</v>
      </c>
      <c r="D5">
        <v>243</v>
      </c>
      <c r="E5">
        <v>20</v>
      </c>
      <c r="F5" s="2">
        <v>27.99</v>
      </c>
      <c r="G5" t="s">
        <v>32</v>
      </c>
      <c r="H5" s="1">
        <v>45598</v>
      </c>
      <c r="I5" s="1">
        <v>45609</v>
      </c>
      <c r="J5" t="s">
        <v>36</v>
      </c>
      <c r="K5" s="8">
        <f>Table2[[#This Row],[CurrentStock]]*Table2[[#This Row],[UnitPrice]]</f>
        <v>6801.57</v>
      </c>
      <c r="L5" t="str">
        <f>IF(Table2[[#This Row],[CurrentStock]]&lt;=Table2[[#This Row],[ReorderLevel]], "Reorder Needed", "Okay")</f>
        <v>Okay</v>
      </c>
      <c r="M5" t="str">
        <f>IF(Table2[[#This Row],[CurrentStock]]-Table2[[#This Row],[ReorderLevel]]&lt;0,Table2[[#This Row],[CurrentStock]]-Table2[[#This Row],[ReorderLevel]],"")</f>
        <v/>
      </c>
      <c r="N5" t="str">
        <f>IF(Table2[[#This Row],[Stock Gap]]&lt;0, "Understock","Okay")</f>
        <v>Okay</v>
      </c>
      <c r="O5" s="13" t="str">
        <f>IF(Table2[[#This Row],[Stock Gap]]&lt;0, "Yes", "No")</f>
        <v>No</v>
      </c>
      <c r="P5" s="13" t="str">
        <f>IF(Table2[[#This Row],[CurrentStock]]&lt;Table2[[#This Row],[ReorderLevel]],"Reorder", "Okay")</f>
        <v>Okay</v>
      </c>
      <c r="Q5" s="13" t="str">
        <f>IF(Table2[[#This Row],[CurrentStock]]&gt;Table2[[#This Row],[ReorderLevel]]*3, "Overstock", "Okay")</f>
        <v>Overstock</v>
      </c>
    </row>
    <row r="6" spans="1:17" x14ac:dyDescent="0.35">
      <c r="A6">
        <v>33483</v>
      </c>
      <c r="B6" t="s">
        <v>13</v>
      </c>
      <c r="C6" t="s">
        <v>26</v>
      </c>
      <c r="D6">
        <v>241</v>
      </c>
      <c r="E6">
        <v>30</v>
      </c>
      <c r="F6" s="2">
        <v>155.78</v>
      </c>
      <c r="G6" t="s">
        <v>33</v>
      </c>
      <c r="H6" s="1">
        <v>45344</v>
      </c>
      <c r="I6" s="1">
        <v>45350</v>
      </c>
      <c r="J6" t="s">
        <v>36</v>
      </c>
      <c r="K6" s="8">
        <f>Table2[[#This Row],[CurrentStock]]*Table2[[#This Row],[UnitPrice]]</f>
        <v>37542.980000000003</v>
      </c>
      <c r="L6" t="str">
        <f>IF(Table2[[#This Row],[CurrentStock]]&lt;=Table2[[#This Row],[ReorderLevel]], "Reorder Needed", "Okay")</f>
        <v>Okay</v>
      </c>
      <c r="M6" t="str">
        <f>IF(Table2[[#This Row],[CurrentStock]]-Table2[[#This Row],[ReorderLevel]]&lt;0,Table2[[#This Row],[CurrentStock]]-Table2[[#This Row],[ReorderLevel]],"")</f>
        <v/>
      </c>
      <c r="N6" t="str">
        <f>IF(Table2[[#This Row],[Stock Gap]]&lt;0, "Understock","Okay")</f>
        <v>Okay</v>
      </c>
      <c r="O6" s="13" t="str">
        <f>IF(Table2[[#This Row],[Stock Gap]]&lt;0, "Yes", "No")</f>
        <v>No</v>
      </c>
      <c r="P6" s="13" t="str">
        <f>IF(Table2[[#This Row],[CurrentStock]]&lt;Table2[[#This Row],[ReorderLevel]],"Reorder", "Okay")</f>
        <v>Okay</v>
      </c>
      <c r="Q6" s="13" t="str">
        <f>IF(Table2[[#This Row],[CurrentStock]]&gt;Table2[[#This Row],[ReorderLevel]]*3, "Overstock", "Okay")</f>
        <v>Overstock</v>
      </c>
    </row>
    <row r="7" spans="1:17" x14ac:dyDescent="0.35">
      <c r="A7">
        <v>88953</v>
      </c>
      <c r="B7" t="s">
        <v>14</v>
      </c>
      <c r="C7" t="s">
        <v>28</v>
      </c>
      <c r="D7">
        <v>80</v>
      </c>
      <c r="E7">
        <v>50</v>
      </c>
      <c r="F7" s="2">
        <v>95.21</v>
      </c>
      <c r="G7" t="s">
        <v>33</v>
      </c>
      <c r="H7" s="1">
        <v>45293</v>
      </c>
      <c r="I7" s="1">
        <v>45303</v>
      </c>
      <c r="J7" t="s">
        <v>38</v>
      </c>
      <c r="K7" s="8">
        <f>Table2[[#This Row],[CurrentStock]]*Table2[[#This Row],[UnitPrice]]</f>
        <v>7616.7999999999993</v>
      </c>
      <c r="L7" t="str">
        <f>IF(Table2[[#This Row],[CurrentStock]]&lt;=Table2[[#This Row],[ReorderLevel]], "Reorder Needed", "Okay")</f>
        <v>Okay</v>
      </c>
      <c r="M7" t="str">
        <f>IF(Table2[[#This Row],[CurrentStock]]-Table2[[#This Row],[ReorderLevel]]&lt;0,Table2[[#This Row],[CurrentStock]]-Table2[[#This Row],[ReorderLevel]],"")</f>
        <v/>
      </c>
      <c r="N7" t="str">
        <f>IF(Table2[[#This Row],[Stock Gap]]&lt;0, "Understock","Okay")</f>
        <v>Okay</v>
      </c>
      <c r="O7" s="13" t="str">
        <f>IF(Table2[[#This Row],[Stock Gap]]&lt;0, "Yes", "No")</f>
        <v>No</v>
      </c>
      <c r="P7" s="13" t="str">
        <f>IF(Table2[[#This Row],[CurrentStock]]&lt;Table2[[#This Row],[ReorderLevel]],"Reorder", "Okay")</f>
        <v>Okay</v>
      </c>
      <c r="Q7" s="13" t="str">
        <f>IF(Table2[[#This Row],[CurrentStock]]&gt;Table2[[#This Row],[ReorderLevel]]*3, "Overstock", "Okay")</f>
        <v>Okay</v>
      </c>
    </row>
    <row r="8" spans="1:17" x14ac:dyDescent="0.35">
      <c r="A8">
        <v>42606</v>
      </c>
      <c r="B8" t="s">
        <v>15</v>
      </c>
      <c r="C8" t="s">
        <v>29</v>
      </c>
      <c r="D8">
        <v>401</v>
      </c>
      <c r="E8">
        <v>30</v>
      </c>
      <c r="F8" s="2">
        <v>227.63</v>
      </c>
      <c r="G8" t="s">
        <v>33</v>
      </c>
      <c r="H8" s="1">
        <v>45493</v>
      </c>
      <c r="I8" s="1">
        <v>45511</v>
      </c>
      <c r="J8" t="s">
        <v>36</v>
      </c>
      <c r="K8" s="8">
        <f>Table2[[#This Row],[CurrentStock]]*Table2[[#This Row],[UnitPrice]]</f>
        <v>91279.63</v>
      </c>
      <c r="L8" t="str">
        <f>IF(Table2[[#This Row],[CurrentStock]]&lt;=Table2[[#This Row],[ReorderLevel]], "Reorder Needed", "Okay")</f>
        <v>Okay</v>
      </c>
      <c r="M8" t="str">
        <f>IF(Table2[[#This Row],[CurrentStock]]-Table2[[#This Row],[ReorderLevel]]&lt;0,Table2[[#This Row],[CurrentStock]]-Table2[[#This Row],[ReorderLevel]],"")</f>
        <v/>
      </c>
      <c r="N8" t="str">
        <f>IF(Table2[[#This Row],[Stock Gap]]&lt;0, "Understock","Okay")</f>
        <v>Okay</v>
      </c>
      <c r="O8" s="13" t="str">
        <f>IF(Table2[[#This Row],[Stock Gap]]&lt;0, "Yes", "No")</f>
        <v>No</v>
      </c>
      <c r="P8" s="13" t="str">
        <f>IF(Table2[[#This Row],[CurrentStock]]&lt;Table2[[#This Row],[ReorderLevel]],"Reorder", "Okay")</f>
        <v>Okay</v>
      </c>
      <c r="Q8" s="13" t="str">
        <f>IF(Table2[[#This Row],[CurrentStock]]&gt;Table2[[#This Row],[ReorderLevel]]*3, "Overstock", "Okay")</f>
        <v>Overstock</v>
      </c>
    </row>
    <row r="9" spans="1:17" x14ac:dyDescent="0.35">
      <c r="A9">
        <v>73704</v>
      </c>
      <c r="B9" t="s">
        <v>16</v>
      </c>
      <c r="C9" t="s">
        <v>29</v>
      </c>
      <c r="D9">
        <v>236</v>
      </c>
      <c r="E9">
        <v>30</v>
      </c>
      <c r="F9" s="2">
        <v>272.14999999999998</v>
      </c>
      <c r="G9" t="s">
        <v>33</v>
      </c>
      <c r="H9" s="1">
        <v>45571</v>
      </c>
      <c r="I9" s="1">
        <v>45601</v>
      </c>
      <c r="J9" t="s">
        <v>36</v>
      </c>
      <c r="K9" s="8">
        <f>Table2[[#This Row],[CurrentStock]]*Table2[[#This Row],[UnitPrice]]</f>
        <v>64227.399999999994</v>
      </c>
      <c r="L9" t="str">
        <f>IF(Table2[[#This Row],[CurrentStock]]&lt;=Table2[[#This Row],[ReorderLevel]], "Reorder Needed", "Okay")</f>
        <v>Okay</v>
      </c>
      <c r="M9" t="str">
        <f>IF(Table2[[#This Row],[CurrentStock]]-Table2[[#This Row],[ReorderLevel]]&lt;0,Table2[[#This Row],[CurrentStock]]-Table2[[#This Row],[ReorderLevel]],"")</f>
        <v/>
      </c>
      <c r="N9" t="str">
        <f>IF(Table2[[#This Row],[Stock Gap]]&lt;0, "Understock","Okay")</f>
        <v>Okay</v>
      </c>
      <c r="O9" s="13" t="str">
        <f>IF(Table2[[#This Row],[Stock Gap]]&lt;0, "Yes", "No")</f>
        <v>No</v>
      </c>
      <c r="P9" s="13" t="str">
        <f>IF(Table2[[#This Row],[CurrentStock]]&lt;Table2[[#This Row],[ReorderLevel]],"Reorder", "Okay")</f>
        <v>Okay</v>
      </c>
      <c r="Q9" s="13" t="str">
        <f>IF(Table2[[#This Row],[CurrentStock]]&gt;Table2[[#This Row],[ReorderLevel]]*3, "Overstock", "Okay")</f>
        <v>Overstock</v>
      </c>
    </row>
    <row r="10" spans="1:17" x14ac:dyDescent="0.35">
      <c r="A10">
        <v>72592</v>
      </c>
      <c r="B10" t="s">
        <v>17</v>
      </c>
      <c r="C10" t="s">
        <v>27</v>
      </c>
      <c r="D10">
        <v>14</v>
      </c>
      <c r="E10">
        <v>80</v>
      </c>
      <c r="F10" s="2">
        <v>41.9</v>
      </c>
      <c r="G10" t="s">
        <v>33</v>
      </c>
      <c r="H10" s="1">
        <v>45618</v>
      </c>
      <c r="I10" s="1">
        <v>45631</v>
      </c>
      <c r="J10" t="s">
        <v>37</v>
      </c>
      <c r="K10" s="8">
        <f>Table2[[#This Row],[CurrentStock]]*Table2[[#This Row],[UnitPrice]]</f>
        <v>586.6</v>
      </c>
      <c r="L10" t="str">
        <f>IF(Table2[[#This Row],[CurrentStock]]&lt;=Table2[[#This Row],[ReorderLevel]], "Reorder Needed", "Okay")</f>
        <v>Reorder Needed</v>
      </c>
      <c r="M10" s="7">
        <f>IF(Table2[[#This Row],[CurrentStock]]-Table2[[#This Row],[ReorderLevel]]&lt;0,Table2[[#This Row],[CurrentStock]]-Table2[[#This Row],[ReorderLevel]],"")</f>
        <v>-66</v>
      </c>
      <c r="N10" t="str">
        <f>IF(Table2[[#This Row],[Stock Gap]]&lt;0, "Understock","Okay")</f>
        <v>Understock</v>
      </c>
      <c r="O10" s="13" t="str">
        <f>IF(Table2[[#This Row],[Stock Gap]]&lt;0, "Yes", "No")</f>
        <v>Yes</v>
      </c>
      <c r="P10" s="13" t="str">
        <f>IF(Table2[[#This Row],[CurrentStock]]&lt;Table2[[#This Row],[ReorderLevel]],"Reorder", "Okay")</f>
        <v>Reorder</v>
      </c>
      <c r="Q10" s="13" t="str">
        <f>IF(Table2[[#This Row],[CurrentStock]]&gt;Table2[[#This Row],[ReorderLevel]]*3, "Overstock", "Okay")</f>
        <v>Okay</v>
      </c>
    </row>
    <row r="11" spans="1:17" x14ac:dyDescent="0.35">
      <c r="A11">
        <v>32662</v>
      </c>
      <c r="B11" t="s">
        <v>12</v>
      </c>
      <c r="C11" t="s">
        <v>28</v>
      </c>
      <c r="D11">
        <v>80</v>
      </c>
      <c r="E11">
        <v>40</v>
      </c>
      <c r="F11" s="2">
        <v>396.14</v>
      </c>
      <c r="G11" t="s">
        <v>34</v>
      </c>
      <c r="H11" s="1">
        <v>45552</v>
      </c>
      <c r="I11" s="1">
        <v>45584</v>
      </c>
      <c r="J11" t="s">
        <v>38</v>
      </c>
      <c r="K11" s="8">
        <f>Table2[[#This Row],[CurrentStock]]*Table2[[#This Row],[UnitPrice]]</f>
        <v>31691.199999999997</v>
      </c>
      <c r="L11" t="str">
        <f>IF(Table2[[#This Row],[CurrentStock]]&lt;=Table2[[#This Row],[ReorderLevel]], "Reorder Needed", "Okay")</f>
        <v>Okay</v>
      </c>
      <c r="M11" t="str">
        <f>IF(Table2[[#This Row],[CurrentStock]]-Table2[[#This Row],[ReorderLevel]]&lt;0,Table2[[#This Row],[CurrentStock]]-Table2[[#This Row],[ReorderLevel]],"")</f>
        <v/>
      </c>
      <c r="N11" t="str">
        <f>IF(Table2[[#This Row],[Stock Gap]]&lt;0, "Understock","Okay")</f>
        <v>Okay</v>
      </c>
      <c r="O11" s="13" t="str">
        <f>IF(Table2[[#This Row],[Stock Gap]]&lt;0, "Yes", "No")</f>
        <v>No</v>
      </c>
      <c r="P11" s="13" t="str">
        <f>IF(Table2[[#This Row],[CurrentStock]]&lt;Table2[[#This Row],[ReorderLevel]],"Reorder", "Okay")</f>
        <v>Okay</v>
      </c>
      <c r="Q11" s="13" t="str">
        <f>IF(Table2[[#This Row],[CurrentStock]]&gt;Table2[[#This Row],[ReorderLevel]]*3, "Overstock", "Okay")</f>
        <v>Okay</v>
      </c>
    </row>
    <row r="12" spans="1:17" x14ac:dyDescent="0.35">
      <c r="A12">
        <v>34538</v>
      </c>
      <c r="B12" t="s">
        <v>18</v>
      </c>
      <c r="C12" t="s">
        <v>27</v>
      </c>
      <c r="D12">
        <v>406</v>
      </c>
      <c r="E12">
        <v>100</v>
      </c>
      <c r="F12" s="2">
        <v>165.97</v>
      </c>
      <c r="G12" t="s">
        <v>31</v>
      </c>
      <c r="H12" s="1">
        <v>45390</v>
      </c>
      <c r="I12" s="1">
        <v>45416</v>
      </c>
      <c r="J12" t="s">
        <v>36</v>
      </c>
      <c r="K12" s="8">
        <f>Table2[[#This Row],[CurrentStock]]*Table2[[#This Row],[UnitPrice]]</f>
        <v>67383.819999999992</v>
      </c>
      <c r="L12" t="str">
        <f>IF(Table2[[#This Row],[CurrentStock]]&lt;=Table2[[#This Row],[ReorderLevel]], "Reorder Needed", "Okay")</f>
        <v>Okay</v>
      </c>
      <c r="M12" t="str">
        <f>IF(Table2[[#This Row],[CurrentStock]]-Table2[[#This Row],[ReorderLevel]]&lt;0,Table2[[#This Row],[CurrentStock]]-Table2[[#This Row],[ReorderLevel]],"")</f>
        <v/>
      </c>
      <c r="N12" t="str">
        <f>IF(Table2[[#This Row],[Stock Gap]]&lt;0, "Understock","Okay")</f>
        <v>Okay</v>
      </c>
      <c r="O12" s="13" t="str">
        <f>IF(Table2[[#This Row],[Stock Gap]]&lt;0, "Yes", "No")</f>
        <v>No</v>
      </c>
      <c r="P12" s="13" t="str">
        <f>IF(Table2[[#This Row],[CurrentStock]]&lt;Table2[[#This Row],[ReorderLevel]],"Reorder", "Okay")</f>
        <v>Okay</v>
      </c>
      <c r="Q12" s="13" t="str">
        <f>IF(Table2[[#This Row],[CurrentStock]]&gt;Table2[[#This Row],[ReorderLevel]]*3, "Overstock", "Okay")</f>
        <v>Overstock</v>
      </c>
    </row>
    <row r="13" spans="1:17" x14ac:dyDescent="0.35">
      <c r="A13">
        <v>16910</v>
      </c>
      <c r="B13" t="s">
        <v>19</v>
      </c>
      <c r="C13" t="s">
        <v>28</v>
      </c>
      <c r="D13">
        <v>430</v>
      </c>
      <c r="E13">
        <v>100</v>
      </c>
      <c r="F13" s="2">
        <v>425.21</v>
      </c>
      <c r="G13" t="s">
        <v>31</v>
      </c>
      <c r="H13" s="1">
        <v>45296</v>
      </c>
      <c r="I13" s="1">
        <v>45326</v>
      </c>
      <c r="J13" t="s">
        <v>36</v>
      </c>
      <c r="K13" s="8">
        <f>Table2[[#This Row],[CurrentStock]]*Table2[[#This Row],[UnitPrice]]</f>
        <v>182840.3</v>
      </c>
      <c r="L13" t="str">
        <f>IF(Table2[[#This Row],[CurrentStock]]&lt;=Table2[[#This Row],[ReorderLevel]], "Reorder Needed", "Okay")</f>
        <v>Okay</v>
      </c>
      <c r="M13" t="str">
        <f>IF(Table2[[#This Row],[CurrentStock]]-Table2[[#This Row],[ReorderLevel]]&lt;0,Table2[[#This Row],[CurrentStock]]-Table2[[#This Row],[ReorderLevel]],"")</f>
        <v/>
      </c>
      <c r="N13" t="str">
        <f>IF(Table2[[#This Row],[Stock Gap]]&lt;0, "Understock","Okay")</f>
        <v>Okay</v>
      </c>
      <c r="O13" s="13" t="str">
        <f>IF(Table2[[#This Row],[Stock Gap]]&lt;0, "Yes", "No")</f>
        <v>No</v>
      </c>
      <c r="P13" s="13" t="str">
        <f>IF(Table2[[#This Row],[CurrentStock]]&lt;Table2[[#This Row],[ReorderLevel]],"Reorder", "Okay")</f>
        <v>Okay</v>
      </c>
      <c r="Q13" s="13" t="str">
        <f>IF(Table2[[#This Row],[CurrentStock]]&gt;Table2[[#This Row],[ReorderLevel]]*3, "Overstock", "Okay")</f>
        <v>Overstock</v>
      </c>
    </row>
    <row r="14" spans="1:17" x14ac:dyDescent="0.35">
      <c r="A14">
        <v>97939</v>
      </c>
      <c r="B14" t="s">
        <v>20</v>
      </c>
      <c r="C14" t="s">
        <v>30</v>
      </c>
      <c r="D14">
        <v>379</v>
      </c>
      <c r="E14">
        <v>80</v>
      </c>
      <c r="F14" s="2">
        <v>104.85</v>
      </c>
      <c r="G14" t="s">
        <v>35</v>
      </c>
      <c r="H14" s="1">
        <v>45643</v>
      </c>
      <c r="I14" s="1">
        <v>45679</v>
      </c>
      <c r="J14" t="s">
        <v>37</v>
      </c>
      <c r="K14" s="8">
        <f>Table2[[#This Row],[CurrentStock]]*Table2[[#This Row],[UnitPrice]]</f>
        <v>39738.15</v>
      </c>
      <c r="L14" t="str">
        <f>IF(Table2[[#This Row],[CurrentStock]]&lt;=Table2[[#This Row],[ReorderLevel]], "Reorder Needed", "Okay")</f>
        <v>Okay</v>
      </c>
      <c r="M14" t="str">
        <f>IF(Table2[[#This Row],[CurrentStock]]-Table2[[#This Row],[ReorderLevel]]&lt;0,Table2[[#This Row],[CurrentStock]]-Table2[[#This Row],[ReorderLevel]],"")</f>
        <v/>
      </c>
      <c r="N14" t="str">
        <f>IF(Table2[[#This Row],[Stock Gap]]&lt;0, "Understock","Okay")</f>
        <v>Okay</v>
      </c>
      <c r="O14" s="13" t="str">
        <f>IF(Table2[[#This Row],[Stock Gap]]&lt;0, "Yes", "No")</f>
        <v>No</v>
      </c>
      <c r="P14" s="13" t="str">
        <f>IF(Table2[[#This Row],[CurrentStock]]&lt;Table2[[#This Row],[ReorderLevel]],"Reorder", "Okay")</f>
        <v>Okay</v>
      </c>
      <c r="Q14" s="13" t="str">
        <f>IF(Table2[[#This Row],[CurrentStock]]&gt;Table2[[#This Row],[ReorderLevel]]*3, "Overstock", "Okay")</f>
        <v>Overstock</v>
      </c>
    </row>
    <row r="15" spans="1:17" x14ac:dyDescent="0.35">
      <c r="A15">
        <v>85450</v>
      </c>
      <c r="B15" t="s">
        <v>15</v>
      </c>
      <c r="C15" t="s">
        <v>29</v>
      </c>
      <c r="D15">
        <v>170</v>
      </c>
      <c r="E15">
        <v>80</v>
      </c>
      <c r="F15" s="2">
        <v>118.26</v>
      </c>
      <c r="G15" t="s">
        <v>31</v>
      </c>
      <c r="H15" s="1">
        <v>45451</v>
      </c>
      <c r="I15" s="1">
        <v>45462</v>
      </c>
      <c r="J15" t="s">
        <v>38</v>
      </c>
      <c r="K15" s="8">
        <f>Table2[[#This Row],[CurrentStock]]*Table2[[#This Row],[UnitPrice]]</f>
        <v>20104.2</v>
      </c>
      <c r="L15" t="str">
        <f>IF(Table2[[#This Row],[CurrentStock]]&lt;=Table2[[#This Row],[ReorderLevel]], "Reorder Needed", "Okay")</f>
        <v>Okay</v>
      </c>
      <c r="M15" t="str">
        <f>IF(Table2[[#This Row],[CurrentStock]]-Table2[[#This Row],[ReorderLevel]]&lt;0,Table2[[#This Row],[CurrentStock]]-Table2[[#This Row],[ReorderLevel]],"")</f>
        <v/>
      </c>
      <c r="N15" t="str">
        <f>IF(Table2[[#This Row],[Stock Gap]]&lt;0, "Understock","Okay")</f>
        <v>Okay</v>
      </c>
      <c r="O15" s="13" t="str">
        <f>IF(Table2[[#This Row],[Stock Gap]]&lt;0, "Yes", "No")</f>
        <v>No</v>
      </c>
      <c r="P15" s="13" t="str">
        <f>IF(Table2[[#This Row],[CurrentStock]]&lt;Table2[[#This Row],[ReorderLevel]],"Reorder", "Okay")</f>
        <v>Okay</v>
      </c>
      <c r="Q15" s="13" t="str">
        <f>IF(Table2[[#This Row],[CurrentStock]]&gt;Table2[[#This Row],[ReorderLevel]]*3, "Overstock", "Okay")</f>
        <v>Okay</v>
      </c>
    </row>
    <row r="16" spans="1:17" x14ac:dyDescent="0.35">
      <c r="A16">
        <v>79163</v>
      </c>
      <c r="B16" t="s">
        <v>13</v>
      </c>
      <c r="C16" t="s">
        <v>26</v>
      </c>
      <c r="D16">
        <v>169</v>
      </c>
      <c r="E16">
        <v>80</v>
      </c>
      <c r="F16" s="2">
        <v>151.34</v>
      </c>
      <c r="G16" t="s">
        <v>33</v>
      </c>
      <c r="H16" s="1">
        <v>45425</v>
      </c>
      <c r="I16" s="1">
        <v>45457</v>
      </c>
      <c r="J16" t="s">
        <v>38</v>
      </c>
      <c r="K16" s="8">
        <f>Table2[[#This Row],[CurrentStock]]*Table2[[#This Row],[UnitPrice]]</f>
        <v>25576.46</v>
      </c>
      <c r="L16" t="str">
        <f>IF(Table2[[#This Row],[CurrentStock]]&lt;=Table2[[#This Row],[ReorderLevel]], "Reorder Needed", "Okay")</f>
        <v>Okay</v>
      </c>
      <c r="M16" t="str">
        <f>IF(Table2[[#This Row],[CurrentStock]]-Table2[[#This Row],[ReorderLevel]]&lt;0,Table2[[#This Row],[CurrentStock]]-Table2[[#This Row],[ReorderLevel]],"")</f>
        <v/>
      </c>
      <c r="N16" t="str">
        <f>IF(Table2[[#This Row],[Stock Gap]]&lt;0, "Understock","Okay")</f>
        <v>Okay</v>
      </c>
      <c r="O16" s="13" t="str">
        <f>IF(Table2[[#This Row],[Stock Gap]]&lt;0, "Yes", "No")</f>
        <v>No</v>
      </c>
      <c r="P16" s="13" t="str">
        <f>IF(Table2[[#This Row],[CurrentStock]]&lt;Table2[[#This Row],[ReorderLevel]],"Reorder", "Okay")</f>
        <v>Okay</v>
      </c>
      <c r="Q16" s="13" t="str">
        <f>IF(Table2[[#This Row],[CurrentStock]]&gt;Table2[[#This Row],[ReorderLevel]]*3, "Overstock", "Okay")</f>
        <v>Okay</v>
      </c>
    </row>
    <row r="17" spans="1:17" x14ac:dyDescent="0.35">
      <c r="A17">
        <v>76842</v>
      </c>
      <c r="B17" t="s">
        <v>14</v>
      </c>
      <c r="C17" t="s">
        <v>28</v>
      </c>
      <c r="D17">
        <v>347</v>
      </c>
      <c r="E17">
        <v>20</v>
      </c>
      <c r="F17" s="2">
        <v>162.41</v>
      </c>
      <c r="G17" t="s">
        <v>34</v>
      </c>
      <c r="H17" s="1">
        <v>45516</v>
      </c>
      <c r="I17" s="1">
        <v>45521</v>
      </c>
      <c r="J17" t="s">
        <v>36</v>
      </c>
      <c r="K17" s="8">
        <f>Table2[[#This Row],[CurrentStock]]*Table2[[#This Row],[UnitPrice]]</f>
        <v>56356.27</v>
      </c>
      <c r="L17" t="str">
        <f>IF(Table2[[#This Row],[CurrentStock]]&lt;=Table2[[#This Row],[ReorderLevel]], "Reorder Needed", "Okay")</f>
        <v>Okay</v>
      </c>
      <c r="M17" t="str">
        <f>IF(Table2[[#This Row],[CurrentStock]]-Table2[[#This Row],[ReorderLevel]]&lt;0,Table2[[#This Row],[CurrentStock]]-Table2[[#This Row],[ReorderLevel]],"")</f>
        <v/>
      </c>
      <c r="N17" t="str">
        <f>IF(Table2[[#This Row],[Stock Gap]]&lt;0, "Understock","Okay")</f>
        <v>Okay</v>
      </c>
      <c r="O17" s="13" t="str">
        <f>IF(Table2[[#This Row],[Stock Gap]]&lt;0, "Yes", "No")</f>
        <v>No</v>
      </c>
      <c r="P17" s="13" t="str">
        <f>IF(Table2[[#This Row],[CurrentStock]]&lt;Table2[[#This Row],[ReorderLevel]],"Reorder", "Okay")</f>
        <v>Okay</v>
      </c>
      <c r="Q17" s="13" t="str">
        <f>IF(Table2[[#This Row],[CurrentStock]]&gt;Table2[[#This Row],[ReorderLevel]]*3, "Overstock", "Okay")</f>
        <v>Overstock</v>
      </c>
    </row>
    <row r="18" spans="1:17" x14ac:dyDescent="0.35">
      <c r="A18">
        <v>23545</v>
      </c>
      <c r="B18" t="s">
        <v>18</v>
      </c>
      <c r="C18" t="s">
        <v>27</v>
      </c>
      <c r="D18">
        <v>358</v>
      </c>
      <c r="E18">
        <v>100</v>
      </c>
      <c r="F18" s="2">
        <v>257.82</v>
      </c>
      <c r="G18" t="s">
        <v>33</v>
      </c>
      <c r="H18" s="1">
        <v>45428</v>
      </c>
      <c r="I18" s="1">
        <v>45465</v>
      </c>
      <c r="J18" t="s">
        <v>37</v>
      </c>
      <c r="K18" s="8">
        <f>Table2[[#This Row],[CurrentStock]]*Table2[[#This Row],[UnitPrice]]</f>
        <v>92299.56</v>
      </c>
      <c r="L18" t="str">
        <f>IF(Table2[[#This Row],[CurrentStock]]&lt;=Table2[[#This Row],[ReorderLevel]], "Reorder Needed", "Okay")</f>
        <v>Okay</v>
      </c>
      <c r="M18" t="str">
        <f>IF(Table2[[#This Row],[CurrentStock]]-Table2[[#This Row],[ReorderLevel]]&lt;0,Table2[[#This Row],[CurrentStock]]-Table2[[#This Row],[ReorderLevel]],"")</f>
        <v/>
      </c>
      <c r="N18" t="str">
        <f>IF(Table2[[#This Row],[Stock Gap]]&lt;0, "Understock","Okay")</f>
        <v>Okay</v>
      </c>
      <c r="O18" s="13" t="str">
        <f>IF(Table2[[#This Row],[Stock Gap]]&lt;0, "Yes", "No")</f>
        <v>No</v>
      </c>
      <c r="P18" s="13" t="str">
        <f>IF(Table2[[#This Row],[CurrentStock]]&lt;Table2[[#This Row],[ReorderLevel]],"Reorder", "Okay")</f>
        <v>Okay</v>
      </c>
      <c r="Q18" s="13" t="str">
        <f>IF(Table2[[#This Row],[CurrentStock]]&gt;Table2[[#This Row],[ReorderLevel]]*3, "Overstock", "Okay")</f>
        <v>Overstock</v>
      </c>
    </row>
    <row r="19" spans="1:17" x14ac:dyDescent="0.35">
      <c r="A19">
        <v>62733</v>
      </c>
      <c r="B19" t="s">
        <v>14</v>
      </c>
      <c r="C19" t="s">
        <v>28</v>
      </c>
      <c r="D19">
        <v>159</v>
      </c>
      <c r="E19">
        <v>20</v>
      </c>
      <c r="F19" s="2">
        <v>204.9</v>
      </c>
      <c r="G19" t="s">
        <v>32</v>
      </c>
      <c r="H19" s="1">
        <v>45609</v>
      </c>
      <c r="I19" s="1">
        <v>45625</v>
      </c>
      <c r="J19" t="s">
        <v>37</v>
      </c>
      <c r="K19" s="8">
        <f>Table2[[#This Row],[CurrentStock]]*Table2[[#This Row],[UnitPrice]]</f>
        <v>32579.100000000002</v>
      </c>
      <c r="L19" t="str">
        <f>IF(Table2[[#This Row],[CurrentStock]]&lt;=Table2[[#This Row],[ReorderLevel]], "Reorder Needed", "Okay")</f>
        <v>Okay</v>
      </c>
      <c r="M19" t="str">
        <f>IF(Table2[[#This Row],[CurrentStock]]-Table2[[#This Row],[ReorderLevel]]&lt;0,Table2[[#This Row],[CurrentStock]]-Table2[[#This Row],[ReorderLevel]],"")</f>
        <v/>
      </c>
      <c r="N19" t="str">
        <f>IF(Table2[[#This Row],[Stock Gap]]&lt;0, "Understock","Okay")</f>
        <v>Okay</v>
      </c>
      <c r="O19" s="13" t="str">
        <f>IF(Table2[[#This Row],[Stock Gap]]&lt;0, "Yes", "No")</f>
        <v>No</v>
      </c>
      <c r="P19" s="13" t="str">
        <f>IF(Table2[[#This Row],[CurrentStock]]&lt;Table2[[#This Row],[ReorderLevel]],"Reorder", "Okay")</f>
        <v>Okay</v>
      </c>
      <c r="Q19" s="13" t="str">
        <f>IF(Table2[[#This Row],[CurrentStock]]&gt;Table2[[#This Row],[ReorderLevel]]*3, "Overstock", "Okay")</f>
        <v>Overstock</v>
      </c>
    </row>
    <row r="20" spans="1:17" x14ac:dyDescent="0.35">
      <c r="A20">
        <v>10854</v>
      </c>
      <c r="B20" t="s">
        <v>17</v>
      </c>
      <c r="C20" t="s">
        <v>27</v>
      </c>
      <c r="D20">
        <v>112</v>
      </c>
      <c r="E20">
        <v>20</v>
      </c>
      <c r="F20" s="2">
        <v>137.06</v>
      </c>
      <c r="G20" t="s">
        <v>35</v>
      </c>
      <c r="H20" s="1">
        <v>45293</v>
      </c>
      <c r="I20" s="1">
        <v>45299</v>
      </c>
      <c r="J20" t="s">
        <v>36</v>
      </c>
      <c r="K20" s="8">
        <f>Table2[[#This Row],[CurrentStock]]*Table2[[#This Row],[UnitPrice]]</f>
        <v>15350.720000000001</v>
      </c>
      <c r="L20" t="str">
        <f>IF(Table2[[#This Row],[CurrentStock]]&lt;=Table2[[#This Row],[ReorderLevel]], "Reorder Needed", "Okay")</f>
        <v>Okay</v>
      </c>
      <c r="M20" t="str">
        <f>IF(Table2[[#This Row],[CurrentStock]]-Table2[[#This Row],[ReorderLevel]]&lt;0,Table2[[#This Row],[CurrentStock]]-Table2[[#This Row],[ReorderLevel]],"")</f>
        <v/>
      </c>
      <c r="N20" t="str">
        <f>IF(Table2[[#This Row],[Stock Gap]]&lt;0, "Understock","Okay")</f>
        <v>Okay</v>
      </c>
      <c r="O20" s="13" t="str">
        <f>IF(Table2[[#This Row],[Stock Gap]]&lt;0, "Yes", "No")</f>
        <v>No</v>
      </c>
      <c r="P20" s="13" t="str">
        <f>IF(Table2[[#This Row],[CurrentStock]]&lt;Table2[[#This Row],[ReorderLevel]],"Reorder", "Okay")</f>
        <v>Okay</v>
      </c>
      <c r="Q20" s="13" t="str">
        <f>IF(Table2[[#This Row],[CurrentStock]]&gt;Table2[[#This Row],[ReorderLevel]]*3, "Overstock", "Okay")</f>
        <v>Overstock</v>
      </c>
    </row>
    <row r="21" spans="1:17" x14ac:dyDescent="0.35">
      <c r="A21">
        <v>36309</v>
      </c>
      <c r="B21" t="s">
        <v>18</v>
      </c>
      <c r="C21" t="s">
        <v>27</v>
      </c>
      <c r="D21">
        <v>125</v>
      </c>
      <c r="E21">
        <v>30</v>
      </c>
      <c r="F21" s="2">
        <v>267.81</v>
      </c>
      <c r="G21" t="s">
        <v>33</v>
      </c>
      <c r="H21" s="1">
        <v>45509</v>
      </c>
      <c r="I21" s="1">
        <v>45545</v>
      </c>
      <c r="J21" t="s">
        <v>37</v>
      </c>
      <c r="K21" s="8">
        <f>Table2[[#This Row],[CurrentStock]]*Table2[[#This Row],[UnitPrice]]</f>
        <v>33476.25</v>
      </c>
      <c r="L21" t="str">
        <f>IF(Table2[[#This Row],[CurrentStock]]&lt;=Table2[[#This Row],[ReorderLevel]], "Reorder Needed", "Okay")</f>
        <v>Okay</v>
      </c>
      <c r="M21" t="str">
        <f>IF(Table2[[#This Row],[CurrentStock]]-Table2[[#This Row],[ReorderLevel]]&lt;0,Table2[[#This Row],[CurrentStock]]-Table2[[#This Row],[ReorderLevel]],"")</f>
        <v/>
      </c>
      <c r="N21" t="str">
        <f>IF(Table2[[#This Row],[Stock Gap]]&lt;0, "Understock","Okay")</f>
        <v>Okay</v>
      </c>
      <c r="O21" s="13" t="str">
        <f>IF(Table2[[#This Row],[Stock Gap]]&lt;0, "Yes", "No")</f>
        <v>No</v>
      </c>
      <c r="P21" s="13" t="str">
        <f>IF(Table2[[#This Row],[CurrentStock]]&lt;Table2[[#This Row],[ReorderLevel]],"Reorder", "Okay")</f>
        <v>Okay</v>
      </c>
      <c r="Q21" s="13" t="str">
        <f>IF(Table2[[#This Row],[CurrentStock]]&gt;Table2[[#This Row],[ReorderLevel]]*3, "Overstock", "Okay")</f>
        <v>Overstock</v>
      </c>
    </row>
    <row r="22" spans="1:17" x14ac:dyDescent="0.35">
      <c r="A22">
        <v>75733</v>
      </c>
      <c r="B22" t="s">
        <v>12</v>
      </c>
      <c r="C22" t="s">
        <v>28</v>
      </c>
      <c r="D22">
        <v>400</v>
      </c>
      <c r="E22">
        <v>150</v>
      </c>
      <c r="F22" s="2">
        <v>402.55</v>
      </c>
      <c r="G22" t="s">
        <v>31</v>
      </c>
      <c r="H22" s="1">
        <v>45616</v>
      </c>
      <c r="I22" s="1">
        <v>45654</v>
      </c>
      <c r="J22" t="s">
        <v>37</v>
      </c>
      <c r="K22" s="8">
        <f>Table2[[#This Row],[CurrentStock]]*Table2[[#This Row],[UnitPrice]]</f>
        <v>161020</v>
      </c>
      <c r="L22" t="str">
        <f>IF(Table2[[#This Row],[CurrentStock]]&lt;=Table2[[#This Row],[ReorderLevel]], "Reorder Needed", "Okay")</f>
        <v>Okay</v>
      </c>
      <c r="M22" t="str">
        <f>IF(Table2[[#This Row],[CurrentStock]]-Table2[[#This Row],[ReorderLevel]]&lt;0,Table2[[#This Row],[CurrentStock]]-Table2[[#This Row],[ReorderLevel]],"")</f>
        <v/>
      </c>
      <c r="N22" t="str">
        <f>IF(Table2[[#This Row],[Stock Gap]]&lt;0, "Understock","Okay")</f>
        <v>Okay</v>
      </c>
      <c r="O22" s="13" t="str">
        <f>IF(Table2[[#This Row],[Stock Gap]]&lt;0, "Yes", "No")</f>
        <v>No</v>
      </c>
      <c r="P22" s="13" t="str">
        <f>IF(Table2[[#This Row],[CurrentStock]]&lt;Table2[[#This Row],[ReorderLevel]],"Reorder", "Okay")</f>
        <v>Okay</v>
      </c>
      <c r="Q22" s="13" t="str">
        <f>IF(Table2[[#This Row],[CurrentStock]]&gt;Table2[[#This Row],[ReorderLevel]]*3, "Overstock", "Okay")</f>
        <v>Okay</v>
      </c>
    </row>
    <row r="23" spans="1:17" x14ac:dyDescent="0.35">
      <c r="A23">
        <v>59811</v>
      </c>
      <c r="B23" t="s">
        <v>17</v>
      </c>
      <c r="C23" t="s">
        <v>27</v>
      </c>
      <c r="D23">
        <v>123</v>
      </c>
      <c r="E23">
        <v>40</v>
      </c>
      <c r="F23" s="2">
        <v>97.33</v>
      </c>
      <c r="G23" t="s">
        <v>33</v>
      </c>
      <c r="H23" s="1">
        <v>45640</v>
      </c>
      <c r="I23" s="1">
        <v>45647</v>
      </c>
      <c r="J23" t="s">
        <v>37</v>
      </c>
      <c r="K23" s="8">
        <f>Table2[[#This Row],[CurrentStock]]*Table2[[#This Row],[UnitPrice]]</f>
        <v>11971.59</v>
      </c>
      <c r="L23" t="str">
        <f>IF(Table2[[#This Row],[CurrentStock]]&lt;=Table2[[#This Row],[ReorderLevel]], "Reorder Needed", "Okay")</f>
        <v>Okay</v>
      </c>
      <c r="M23" t="str">
        <f>IF(Table2[[#This Row],[CurrentStock]]-Table2[[#This Row],[ReorderLevel]]&lt;0,Table2[[#This Row],[CurrentStock]]-Table2[[#This Row],[ReorderLevel]],"")</f>
        <v/>
      </c>
      <c r="N23" t="str">
        <f>IF(Table2[[#This Row],[Stock Gap]]&lt;0, "Understock","Okay")</f>
        <v>Okay</v>
      </c>
      <c r="O23" s="13" t="str">
        <f>IF(Table2[[#This Row],[Stock Gap]]&lt;0, "Yes", "No")</f>
        <v>No</v>
      </c>
      <c r="P23" s="13" t="str">
        <f>IF(Table2[[#This Row],[CurrentStock]]&lt;Table2[[#This Row],[ReorderLevel]],"Reorder", "Okay")</f>
        <v>Okay</v>
      </c>
      <c r="Q23" s="13" t="str">
        <f>IF(Table2[[#This Row],[CurrentStock]]&gt;Table2[[#This Row],[ReorderLevel]]*3, "Overstock", "Okay")</f>
        <v>Overstock</v>
      </c>
    </row>
    <row r="24" spans="1:17" x14ac:dyDescent="0.35">
      <c r="A24">
        <v>77270</v>
      </c>
      <c r="B24" t="s">
        <v>21</v>
      </c>
      <c r="C24" t="s">
        <v>26</v>
      </c>
      <c r="D24">
        <v>345</v>
      </c>
      <c r="E24">
        <v>40</v>
      </c>
      <c r="F24" s="2">
        <v>405.7</v>
      </c>
      <c r="G24" t="s">
        <v>33</v>
      </c>
      <c r="H24" s="1">
        <v>45439</v>
      </c>
      <c r="I24" s="1">
        <v>45475</v>
      </c>
      <c r="J24" t="s">
        <v>36</v>
      </c>
      <c r="K24" s="8">
        <f>Table2[[#This Row],[CurrentStock]]*Table2[[#This Row],[UnitPrice]]</f>
        <v>139966.5</v>
      </c>
      <c r="L24" t="str">
        <f>IF(Table2[[#This Row],[CurrentStock]]&lt;=Table2[[#This Row],[ReorderLevel]], "Reorder Needed", "Okay")</f>
        <v>Okay</v>
      </c>
      <c r="M24" t="str">
        <f>IF(Table2[[#This Row],[CurrentStock]]-Table2[[#This Row],[ReorderLevel]]&lt;0,Table2[[#This Row],[CurrentStock]]-Table2[[#This Row],[ReorderLevel]],"")</f>
        <v/>
      </c>
      <c r="N24" t="str">
        <f>IF(Table2[[#This Row],[Stock Gap]]&lt;0, "Understock","Okay")</f>
        <v>Okay</v>
      </c>
      <c r="O24" s="13" t="str">
        <f>IF(Table2[[#This Row],[Stock Gap]]&lt;0, "Yes", "No")</f>
        <v>No</v>
      </c>
      <c r="P24" s="13" t="str">
        <f>IF(Table2[[#This Row],[CurrentStock]]&lt;Table2[[#This Row],[ReorderLevel]],"Reorder", "Okay")</f>
        <v>Okay</v>
      </c>
      <c r="Q24" s="13" t="str">
        <f>IF(Table2[[#This Row],[CurrentStock]]&gt;Table2[[#This Row],[ReorderLevel]]*3, "Overstock", "Okay")</f>
        <v>Overstock</v>
      </c>
    </row>
    <row r="25" spans="1:17" x14ac:dyDescent="0.35">
      <c r="A25">
        <v>95981</v>
      </c>
      <c r="B25" t="s">
        <v>18</v>
      </c>
      <c r="C25" t="s">
        <v>27</v>
      </c>
      <c r="D25">
        <v>337</v>
      </c>
      <c r="E25">
        <v>20</v>
      </c>
      <c r="F25" s="2">
        <v>339.47</v>
      </c>
      <c r="G25" t="s">
        <v>32</v>
      </c>
      <c r="H25" s="1">
        <v>45442</v>
      </c>
      <c r="I25" s="1">
        <v>45477</v>
      </c>
      <c r="J25" t="s">
        <v>37</v>
      </c>
      <c r="K25" s="8">
        <f>Table2[[#This Row],[CurrentStock]]*Table2[[#This Row],[UnitPrice]]</f>
        <v>114401.39000000001</v>
      </c>
      <c r="L25" t="str">
        <f>IF(Table2[[#This Row],[CurrentStock]]&lt;=Table2[[#This Row],[ReorderLevel]], "Reorder Needed", "Okay")</f>
        <v>Okay</v>
      </c>
      <c r="M25" t="str">
        <f>IF(Table2[[#This Row],[CurrentStock]]-Table2[[#This Row],[ReorderLevel]]&lt;0,Table2[[#This Row],[CurrentStock]]-Table2[[#This Row],[ReorderLevel]],"")</f>
        <v/>
      </c>
      <c r="N25" t="str">
        <f>IF(Table2[[#This Row],[Stock Gap]]&lt;0, "Understock","Okay")</f>
        <v>Okay</v>
      </c>
      <c r="O25" s="13" t="str">
        <f>IF(Table2[[#This Row],[Stock Gap]]&lt;0, "Yes", "No")</f>
        <v>No</v>
      </c>
      <c r="P25" s="13" t="str">
        <f>IF(Table2[[#This Row],[CurrentStock]]&lt;Table2[[#This Row],[ReorderLevel]],"Reorder", "Okay")</f>
        <v>Okay</v>
      </c>
      <c r="Q25" s="13" t="str">
        <f>IF(Table2[[#This Row],[CurrentStock]]&gt;Table2[[#This Row],[ReorderLevel]]*3, "Overstock", "Okay")</f>
        <v>Overstock</v>
      </c>
    </row>
    <row r="26" spans="1:17" x14ac:dyDescent="0.35">
      <c r="A26">
        <v>30932</v>
      </c>
      <c r="B26" t="s">
        <v>10</v>
      </c>
      <c r="C26" t="s">
        <v>26</v>
      </c>
      <c r="D26">
        <v>345</v>
      </c>
      <c r="E26">
        <v>20</v>
      </c>
      <c r="F26" s="2">
        <v>260.73</v>
      </c>
      <c r="G26" t="s">
        <v>35</v>
      </c>
      <c r="H26" s="1">
        <v>45293</v>
      </c>
      <c r="I26" s="1">
        <v>45298</v>
      </c>
      <c r="J26" t="s">
        <v>37</v>
      </c>
      <c r="K26" s="8">
        <f>Table2[[#This Row],[CurrentStock]]*Table2[[#This Row],[UnitPrice]]</f>
        <v>89951.85</v>
      </c>
      <c r="L26" t="str">
        <f>IF(Table2[[#This Row],[CurrentStock]]&lt;=Table2[[#This Row],[ReorderLevel]], "Reorder Needed", "Okay")</f>
        <v>Okay</v>
      </c>
      <c r="M26" t="str">
        <f>IF(Table2[[#This Row],[CurrentStock]]-Table2[[#This Row],[ReorderLevel]]&lt;0,Table2[[#This Row],[CurrentStock]]-Table2[[#This Row],[ReorderLevel]],"")</f>
        <v/>
      </c>
      <c r="N26" t="str">
        <f>IF(Table2[[#This Row],[Stock Gap]]&lt;0, "Understock","Okay")</f>
        <v>Okay</v>
      </c>
      <c r="O26" s="13" t="str">
        <f>IF(Table2[[#This Row],[Stock Gap]]&lt;0, "Yes", "No")</f>
        <v>No</v>
      </c>
      <c r="P26" s="13" t="str">
        <f>IF(Table2[[#This Row],[CurrentStock]]&lt;Table2[[#This Row],[ReorderLevel]],"Reorder", "Okay")</f>
        <v>Okay</v>
      </c>
      <c r="Q26" s="13" t="str">
        <f>IF(Table2[[#This Row],[CurrentStock]]&gt;Table2[[#This Row],[ReorderLevel]]*3, "Overstock", "Okay")</f>
        <v>Overstock</v>
      </c>
    </row>
    <row r="27" spans="1:17" x14ac:dyDescent="0.35">
      <c r="A27">
        <v>16295</v>
      </c>
      <c r="B27" t="s">
        <v>17</v>
      </c>
      <c r="C27" t="s">
        <v>27</v>
      </c>
      <c r="D27">
        <v>98</v>
      </c>
      <c r="E27">
        <v>40</v>
      </c>
      <c r="F27" s="2">
        <v>364.35</v>
      </c>
      <c r="G27" t="s">
        <v>34</v>
      </c>
      <c r="H27" s="1">
        <v>45422</v>
      </c>
      <c r="I27" s="1">
        <v>45446</v>
      </c>
      <c r="J27" t="s">
        <v>37</v>
      </c>
      <c r="K27" s="8">
        <f>Table2[[#This Row],[CurrentStock]]*Table2[[#This Row],[UnitPrice]]</f>
        <v>35706.300000000003</v>
      </c>
      <c r="L27" t="str">
        <f>IF(Table2[[#This Row],[CurrentStock]]&lt;=Table2[[#This Row],[ReorderLevel]], "Reorder Needed", "Okay")</f>
        <v>Okay</v>
      </c>
      <c r="M27" t="str">
        <f>IF(Table2[[#This Row],[CurrentStock]]-Table2[[#This Row],[ReorderLevel]]&lt;0,Table2[[#This Row],[CurrentStock]]-Table2[[#This Row],[ReorderLevel]],"")</f>
        <v/>
      </c>
      <c r="N27" t="str">
        <f>IF(Table2[[#This Row],[Stock Gap]]&lt;0, "Understock","Okay")</f>
        <v>Okay</v>
      </c>
      <c r="O27" s="13" t="str">
        <f>IF(Table2[[#This Row],[Stock Gap]]&lt;0, "Yes", "No")</f>
        <v>No</v>
      </c>
      <c r="P27" s="13" t="str">
        <f>IF(Table2[[#This Row],[CurrentStock]]&lt;Table2[[#This Row],[ReorderLevel]],"Reorder", "Okay")</f>
        <v>Okay</v>
      </c>
      <c r="Q27" s="13" t="str">
        <f>IF(Table2[[#This Row],[CurrentStock]]&gt;Table2[[#This Row],[ReorderLevel]]*3, "Overstock", "Okay")</f>
        <v>Okay</v>
      </c>
    </row>
    <row r="28" spans="1:17" x14ac:dyDescent="0.35">
      <c r="A28">
        <v>92018</v>
      </c>
      <c r="B28" t="s">
        <v>11</v>
      </c>
      <c r="C28" t="s">
        <v>27</v>
      </c>
      <c r="D28">
        <v>103</v>
      </c>
      <c r="E28">
        <v>50</v>
      </c>
      <c r="F28" s="2">
        <v>292.44</v>
      </c>
      <c r="G28" t="s">
        <v>34</v>
      </c>
      <c r="H28" s="1">
        <v>45403</v>
      </c>
      <c r="I28" s="1">
        <v>45432</v>
      </c>
      <c r="J28" t="s">
        <v>36</v>
      </c>
      <c r="K28" s="8">
        <f>Table2[[#This Row],[CurrentStock]]*Table2[[#This Row],[UnitPrice]]</f>
        <v>30121.32</v>
      </c>
      <c r="L28" t="str">
        <f>IF(Table2[[#This Row],[CurrentStock]]&lt;=Table2[[#This Row],[ReorderLevel]], "Reorder Needed", "Okay")</f>
        <v>Okay</v>
      </c>
      <c r="M28" t="str">
        <f>IF(Table2[[#This Row],[CurrentStock]]-Table2[[#This Row],[ReorderLevel]]&lt;0,Table2[[#This Row],[CurrentStock]]-Table2[[#This Row],[ReorderLevel]],"")</f>
        <v/>
      </c>
      <c r="N28" t="str">
        <f>IF(Table2[[#This Row],[Stock Gap]]&lt;0, "Understock","Okay")</f>
        <v>Okay</v>
      </c>
      <c r="O28" s="13" t="str">
        <f>IF(Table2[[#This Row],[Stock Gap]]&lt;0, "Yes", "No")</f>
        <v>No</v>
      </c>
      <c r="P28" s="13" t="str">
        <f>IF(Table2[[#This Row],[CurrentStock]]&lt;Table2[[#This Row],[ReorderLevel]],"Reorder", "Okay")</f>
        <v>Okay</v>
      </c>
      <c r="Q28" s="13" t="str">
        <f>IF(Table2[[#This Row],[CurrentStock]]&gt;Table2[[#This Row],[ReorderLevel]]*3, "Overstock", "Okay")</f>
        <v>Okay</v>
      </c>
    </row>
    <row r="29" spans="1:17" x14ac:dyDescent="0.35">
      <c r="A29">
        <v>48467</v>
      </c>
      <c r="B29" t="s">
        <v>20</v>
      </c>
      <c r="C29" t="s">
        <v>30</v>
      </c>
      <c r="D29">
        <v>337</v>
      </c>
      <c r="E29">
        <v>30</v>
      </c>
      <c r="F29" s="2">
        <v>347.49</v>
      </c>
      <c r="G29" t="s">
        <v>34</v>
      </c>
      <c r="H29" s="1">
        <v>45499</v>
      </c>
      <c r="I29" s="1">
        <v>45536</v>
      </c>
      <c r="J29" t="s">
        <v>38</v>
      </c>
      <c r="K29" s="8">
        <f>Table2[[#This Row],[CurrentStock]]*Table2[[#This Row],[UnitPrice]]</f>
        <v>117104.13</v>
      </c>
      <c r="L29" t="str">
        <f>IF(Table2[[#This Row],[CurrentStock]]&lt;=Table2[[#This Row],[ReorderLevel]], "Reorder Needed", "Okay")</f>
        <v>Okay</v>
      </c>
      <c r="M29" t="str">
        <f>IF(Table2[[#This Row],[CurrentStock]]-Table2[[#This Row],[ReorderLevel]]&lt;0,Table2[[#This Row],[CurrentStock]]-Table2[[#This Row],[ReorderLevel]],"")</f>
        <v/>
      </c>
      <c r="N29" t="str">
        <f>IF(Table2[[#This Row],[Stock Gap]]&lt;0, "Understock","Okay")</f>
        <v>Okay</v>
      </c>
      <c r="O29" s="13" t="str">
        <f>IF(Table2[[#This Row],[Stock Gap]]&lt;0, "Yes", "No")</f>
        <v>No</v>
      </c>
      <c r="P29" s="13" t="str">
        <f>IF(Table2[[#This Row],[CurrentStock]]&lt;Table2[[#This Row],[ReorderLevel]],"Reorder", "Okay")</f>
        <v>Okay</v>
      </c>
      <c r="Q29" s="13" t="str">
        <f>IF(Table2[[#This Row],[CurrentStock]]&gt;Table2[[#This Row],[ReorderLevel]]*3, "Overstock", "Okay")</f>
        <v>Overstock</v>
      </c>
    </row>
    <row r="30" spans="1:17" x14ac:dyDescent="0.35">
      <c r="A30">
        <v>80091</v>
      </c>
      <c r="B30" t="s">
        <v>16</v>
      </c>
      <c r="C30" t="s">
        <v>29</v>
      </c>
      <c r="D30">
        <v>403</v>
      </c>
      <c r="E30">
        <v>150</v>
      </c>
      <c r="F30" s="2">
        <v>361.87</v>
      </c>
      <c r="G30" t="s">
        <v>31</v>
      </c>
      <c r="H30" s="1">
        <v>45419</v>
      </c>
      <c r="I30" s="1">
        <v>45456</v>
      </c>
      <c r="J30" t="s">
        <v>37</v>
      </c>
      <c r="K30" s="8">
        <f>Table2[[#This Row],[CurrentStock]]*Table2[[#This Row],[UnitPrice]]</f>
        <v>145833.61000000002</v>
      </c>
      <c r="L30" t="str">
        <f>IF(Table2[[#This Row],[CurrentStock]]&lt;=Table2[[#This Row],[ReorderLevel]], "Reorder Needed", "Okay")</f>
        <v>Okay</v>
      </c>
      <c r="M30" t="str">
        <f>IF(Table2[[#This Row],[CurrentStock]]-Table2[[#This Row],[ReorderLevel]]&lt;0,Table2[[#This Row],[CurrentStock]]-Table2[[#This Row],[ReorderLevel]],"")</f>
        <v/>
      </c>
      <c r="N30" t="str">
        <f>IF(Table2[[#This Row],[Stock Gap]]&lt;0, "Understock","Okay")</f>
        <v>Okay</v>
      </c>
      <c r="O30" s="13" t="str">
        <f>IF(Table2[[#This Row],[Stock Gap]]&lt;0, "Yes", "No")</f>
        <v>No</v>
      </c>
      <c r="P30" s="13" t="str">
        <f>IF(Table2[[#This Row],[CurrentStock]]&lt;Table2[[#This Row],[ReorderLevel]],"Reorder", "Okay")</f>
        <v>Okay</v>
      </c>
      <c r="Q30" s="13" t="str">
        <f>IF(Table2[[#This Row],[CurrentStock]]&gt;Table2[[#This Row],[ReorderLevel]]*3, "Overstock", "Okay")</f>
        <v>Okay</v>
      </c>
    </row>
    <row r="31" spans="1:17" x14ac:dyDescent="0.35">
      <c r="A31">
        <v>49790</v>
      </c>
      <c r="B31" t="s">
        <v>15</v>
      </c>
      <c r="C31" t="s">
        <v>29</v>
      </c>
      <c r="D31">
        <v>437</v>
      </c>
      <c r="E31">
        <v>40</v>
      </c>
      <c r="F31" s="2">
        <v>220.03</v>
      </c>
      <c r="G31" t="s">
        <v>34</v>
      </c>
      <c r="H31" s="1">
        <v>45568</v>
      </c>
      <c r="I31" s="1">
        <v>45602</v>
      </c>
      <c r="J31" t="s">
        <v>36</v>
      </c>
      <c r="K31" s="8">
        <f>Table2[[#This Row],[CurrentStock]]*Table2[[#This Row],[UnitPrice]]</f>
        <v>96153.11</v>
      </c>
      <c r="L31" t="str">
        <f>IF(Table2[[#This Row],[CurrentStock]]&lt;=Table2[[#This Row],[ReorderLevel]], "Reorder Needed", "Okay")</f>
        <v>Okay</v>
      </c>
      <c r="M31" t="str">
        <f>IF(Table2[[#This Row],[CurrentStock]]-Table2[[#This Row],[ReorderLevel]]&lt;0,Table2[[#This Row],[CurrentStock]]-Table2[[#This Row],[ReorderLevel]],"")</f>
        <v/>
      </c>
      <c r="N31" t="str">
        <f>IF(Table2[[#This Row],[Stock Gap]]&lt;0, "Understock","Okay")</f>
        <v>Okay</v>
      </c>
      <c r="O31" s="13" t="str">
        <f>IF(Table2[[#This Row],[Stock Gap]]&lt;0, "Yes", "No")</f>
        <v>No</v>
      </c>
      <c r="P31" s="13" t="str">
        <f>IF(Table2[[#This Row],[CurrentStock]]&lt;Table2[[#This Row],[ReorderLevel]],"Reorder", "Okay")</f>
        <v>Okay</v>
      </c>
      <c r="Q31" s="13" t="str">
        <f>IF(Table2[[#This Row],[CurrentStock]]&gt;Table2[[#This Row],[ReorderLevel]]*3, "Overstock", "Okay")</f>
        <v>Overstock</v>
      </c>
    </row>
    <row r="32" spans="1:17" x14ac:dyDescent="0.35">
      <c r="A32">
        <v>66491</v>
      </c>
      <c r="B32" t="s">
        <v>9</v>
      </c>
      <c r="C32" t="s">
        <v>26</v>
      </c>
      <c r="D32">
        <v>303</v>
      </c>
      <c r="E32">
        <v>40</v>
      </c>
      <c r="F32" s="2">
        <v>288.14</v>
      </c>
      <c r="G32" t="s">
        <v>33</v>
      </c>
      <c r="H32" s="1">
        <v>45483</v>
      </c>
      <c r="I32" s="1">
        <v>45504</v>
      </c>
      <c r="J32" t="s">
        <v>38</v>
      </c>
      <c r="K32" s="8">
        <f>Table2[[#This Row],[CurrentStock]]*Table2[[#This Row],[UnitPrice]]</f>
        <v>87306.42</v>
      </c>
      <c r="L32" t="str">
        <f>IF(Table2[[#This Row],[CurrentStock]]&lt;=Table2[[#This Row],[ReorderLevel]], "Reorder Needed", "Okay")</f>
        <v>Okay</v>
      </c>
      <c r="M32" t="str">
        <f>IF(Table2[[#This Row],[CurrentStock]]-Table2[[#This Row],[ReorderLevel]]&lt;0,Table2[[#This Row],[CurrentStock]]-Table2[[#This Row],[ReorderLevel]],"")</f>
        <v/>
      </c>
      <c r="N32" t="str">
        <f>IF(Table2[[#This Row],[Stock Gap]]&lt;0, "Understock","Okay")</f>
        <v>Okay</v>
      </c>
      <c r="O32" s="13" t="str">
        <f>IF(Table2[[#This Row],[Stock Gap]]&lt;0, "Yes", "No")</f>
        <v>No</v>
      </c>
      <c r="P32" s="13" t="str">
        <f>IF(Table2[[#This Row],[CurrentStock]]&lt;Table2[[#This Row],[ReorderLevel]],"Reorder", "Okay")</f>
        <v>Okay</v>
      </c>
      <c r="Q32" s="13" t="str">
        <f>IF(Table2[[#This Row],[CurrentStock]]&gt;Table2[[#This Row],[ReorderLevel]]*3, "Overstock", "Okay")</f>
        <v>Overstock</v>
      </c>
    </row>
    <row r="33" spans="1:17" x14ac:dyDescent="0.35">
      <c r="A33">
        <v>13420</v>
      </c>
      <c r="B33" t="s">
        <v>22</v>
      </c>
      <c r="C33" t="s">
        <v>29</v>
      </c>
      <c r="D33">
        <v>372</v>
      </c>
      <c r="E33">
        <v>100</v>
      </c>
      <c r="F33" s="2">
        <v>188.23</v>
      </c>
      <c r="G33" t="s">
        <v>34</v>
      </c>
      <c r="H33" s="1">
        <v>45524</v>
      </c>
      <c r="I33" s="1">
        <v>45552</v>
      </c>
      <c r="J33" t="s">
        <v>38</v>
      </c>
      <c r="K33" s="8">
        <f>Table2[[#This Row],[CurrentStock]]*Table2[[#This Row],[UnitPrice]]</f>
        <v>70021.56</v>
      </c>
      <c r="L33" t="str">
        <f>IF(Table2[[#This Row],[CurrentStock]]&lt;=Table2[[#This Row],[ReorderLevel]], "Reorder Needed", "Okay")</f>
        <v>Okay</v>
      </c>
      <c r="M33" t="str">
        <f>IF(Table2[[#This Row],[CurrentStock]]-Table2[[#This Row],[ReorderLevel]]&lt;0,Table2[[#This Row],[CurrentStock]]-Table2[[#This Row],[ReorderLevel]],"")</f>
        <v/>
      </c>
      <c r="N33" t="str">
        <f>IF(Table2[[#This Row],[Stock Gap]]&lt;0, "Understock","Okay")</f>
        <v>Okay</v>
      </c>
      <c r="O33" s="13" t="str">
        <f>IF(Table2[[#This Row],[Stock Gap]]&lt;0, "Yes", "No")</f>
        <v>No</v>
      </c>
      <c r="P33" s="13" t="str">
        <f>IF(Table2[[#This Row],[CurrentStock]]&lt;Table2[[#This Row],[ReorderLevel]],"Reorder", "Okay")</f>
        <v>Okay</v>
      </c>
      <c r="Q33" s="13" t="str">
        <f>IF(Table2[[#This Row],[CurrentStock]]&gt;Table2[[#This Row],[ReorderLevel]]*3, "Overstock", "Okay")</f>
        <v>Overstock</v>
      </c>
    </row>
    <row r="34" spans="1:17" x14ac:dyDescent="0.35">
      <c r="A34">
        <v>16102</v>
      </c>
      <c r="B34" t="s">
        <v>15</v>
      </c>
      <c r="C34" t="s">
        <v>29</v>
      </c>
      <c r="D34">
        <v>98</v>
      </c>
      <c r="E34">
        <v>50</v>
      </c>
      <c r="F34" s="2">
        <v>427.24</v>
      </c>
      <c r="G34" t="s">
        <v>34</v>
      </c>
      <c r="H34" s="1">
        <v>45482</v>
      </c>
      <c r="I34" s="1">
        <v>45507</v>
      </c>
      <c r="J34" t="s">
        <v>37</v>
      </c>
      <c r="K34" s="8">
        <f>Table2[[#This Row],[CurrentStock]]*Table2[[#This Row],[UnitPrice]]</f>
        <v>41869.520000000004</v>
      </c>
      <c r="L34" t="str">
        <f>IF(Table2[[#This Row],[CurrentStock]]&lt;=Table2[[#This Row],[ReorderLevel]], "Reorder Needed", "Okay")</f>
        <v>Okay</v>
      </c>
      <c r="M34" t="str">
        <f>IF(Table2[[#This Row],[CurrentStock]]-Table2[[#This Row],[ReorderLevel]]&lt;0,Table2[[#This Row],[CurrentStock]]-Table2[[#This Row],[ReorderLevel]],"")</f>
        <v/>
      </c>
      <c r="N34" t="str">
        <f>IF(Table2[[#This Row],[Stock Gap]]&lt;0, "Understock","Okay")</f>
        <v>Okay</v>
      </c>
      <c r="O34" s="13" t="str">
        <f>IF(Table2[[#This Row],[Stock Gap]]&lt;0, "Yes", "No")</f>
        <v>No</v>
      </c>
      <c r="P34" s="13" t="str">
        <f>IF(Table2[[#This Row],[CurrentStock]]&lt;Table2[[#This Row],[ReorderLevel]],"Reorder", "Okay")</f>
        <v>Okay</v>
      </c>
      <c r="Q34" s="13" t="str">
        <f>IF(Table2[[#This Row],[CurrentStock]]&gt;Table2[[#This Row],[ReorderLevel]]*3, "Overstock", "Okay")</f>
        <v>Okay</v>
      </c>
    </row>
    <row r="35" spans="1:17" x14ac:dyDescent="0.35">
      <c r="A35">
        <v>82991</v>
      </c>
      <c r="B35" t="s">
        <v>23</v>
      </c>
      <c r="C35" t="s">
        <v>30</v>
      </c>
      <c r="D35">
        <v>489</v>
      </c>
      <c r="E35">
        <v>150</v>
      </c>
      <c r="F35" s="2">
        <v>422.89</v>
      </c>
      <c r="G35" t="s">
        <v>32</v>
      </c>
      <c r="H35" s="1">
        <v>45614</v>
      </c>
      <c r="I35" s="1">
        <v>45642</v>
      </c>
      <c r="J35" t="s">
        <v>37</v>
      </c>
      <c r="K35" s="8">
        <f>Table2[[#This Row],[CurrentStock]]*Table2[[#This Row],[UnitPrice]]</f>
        <v>206793.21</v>
      </c>
      <c r="L35" t="str">
        <f>IF(Table2[[#This Row],[CurrentStock]]&lt;=Table2[[#This Row],[ReorderLevel]], "Reorder Needed", "Okay")</f>
        <v>Okay</v>
      </c>
      <c r="M35" t="str">
        <f>IF(Table2[[#This Row],[CurrentStock]]-Table2[[#This Row],[ReorderLevel]]&lt;0,Table2[[#This Row],[CurrentStock]]-Table2[[#This Row],[ReorderLevel]],"")</f>
        <v/>
      </c>
      <c r="N35" t="str">
        <f>IF(Table2[[#This Row],[Stock Gap]]&lt;0, "Understock","Okay")</f>
        <v>Okay</v>
      </c>
      <c r="O35" s="13" t="str">
        <f>IF(Table2[[#This Row],[Stock Gap]]&lt;0, "Yes", "No")</f>
        <v>No</v>
      </c>
      <c r="P35" s="13" t="str">
        <f>IF(Table2[[#This Row],[CurrentStock]]&lt;Table2[[#This Row],[ReorderLevel]],"Reorder", "Okay")</f>
        <v>Okay</v>
      </c>
      <c r="Q35" s="13" t="str">
        <f>IF(Table2[[#This Row],[CurrentStock]]&gt;Table2[[#This Row],[ReorderLevel]]*3, "Overstock", "Okay")</f>
        <v>Overstock</v>
      </c>
    </row>
    <row r="36" spans="1:17" x14ac:dyDescent="0.35">
      <c r="A36">
        <v>15801</v>
      </c>
      <c r="B36" t="s">
        <v>14</v>
      </c>
      <c r="C36" t="s">
        <v>28</v>
      </c>
      <c r="D36">
        <v>385</v>
      </c>
      <c r="E36">
        <v>30</v>
      </c>
      <c r="F36" s="2">
        <v>371.68</v>
      </c>
      <c r="G36" t="s">
        <v>32</v>
      </c>
      <c r="H36" s="1">
        <v>45590</v>
      </c>
      <c r="I36" s="1">
        <v>45623</v>
      </c>
      <c r="J36" t="s">
        <v>37</v>
      </c>
      <c r="K36" s="8">
        <f>Table2[[#This Row],[CurrentStock]]*Table2[[#This Row],[UnitPrice]]</f>
        <v>143096.79999999999</v>
      </c>
      <c r="L36" t="str">
        <f>IF(Table2[[#This Row],[CurrentStock]]&lt;=Table2[[#This Row],[ReorderLevel]], "Reorder Needed", "Okay")</f>
        <v>Okay</v>
      </c>
      <c r="M36" t="str">
        <f>IF(Table2[[#This Row],[CurrentStock]]-Table2[[#This Row],[ReorderLevel]]&lt;0,Table2[[#This Row],[CurrentStock]]-Table2[[#This Row],[ReorderLevel]],"")</f>
        <v/>
      </c>
      <c r="N36" t="str">
        <f>IF(Table2[[#This Row],[Stock Gap]]&lt;0, "Understock","Okay")</f>
        <v>Okay</v>
      </c>
      <c r="O36" s="13" t="str">
        <f>IF(Table2[[#This Row],[Stock Gap]]&lt;0, "Yes", "No")</f>
        <v>No</v>
      </c>
      <c r="P36" s="13" t="str">
        <f>IF(Table2[[#This Row],[CurrentStock]]&lt;Table2[[#This Row],[ReorderLevel]],"Reorder", "Okay")</f>
        <v>Okay</v>
      </c>
      <c r="Q36" s="13" t="str">
        <f>IF(Table2[[#This Row],[CurrentStock]]&gt;Table2[[#This Row],[ReorderLevel]]*3, "Overstock", "Okay")</f>
        <v>Overstock</v>
      </c>
    </row>
    <row r="37" spans="1:17" x14ac:dyDescent="0.35">
      <c r="A37">
        <v>12368</v>
      </c>
      <c r="B37" t="s">
        <v>23</v>
      </c>
      <c r="C37" t="s">
        <v>30</v>
      </c>
      <c r="D37">
        <v>407</v>
      </c>
      <c r="E37">
        <v>80</v>
      </c>
      <c r="F37" s="2">
        <v>45.39</v>
      </c>
      <c r="G37" t="s">
        <v>33</v>
      </c>
      <c r="H37" s="1">
        <v>45604</v>
      </c>
      <c r="I37" s="1">
        <v>45628</v>
      </c>
      <c r="J37" t="s">
        <v>37</v>
      </c>
      <c r="K37" s="8">
        <f>Table2[[#This Row],[CurrentStock]]*Table2[[#This Row],[UnitPrice]]</f>
        <v>18473.73</v>
      </c>
      <c r="L37" t="str">
        <f>IF(Table2[[#This Row],[CurrentStock]]&lt;=Table2[[#This Row],[ReorderLevel]], "Reorder Needed", "Okay")</f>
        <v>Okay</v>
      </c>
      <c r="M37" t="str">
        <f>IF(Table2[[#This Row],[CurrentStock]]-Table2[[#This Row],[ReorderLevel]]&lt;0,Table2[[#This Row],[CurrentStock]]-Table2[[#This Row],[ReorderLevel]],"")</f>
        <v/>
      </c>
      <c r="N37" t="str">
        <f>IF(Table2[[#This Row],[Stock Gap]]&lt;0, "Understock","Okay")</f>
        <v>Okay</v>
      </c>
      <c r="O37" s="13" t="str">
        <f>IF(Table2[[#This Row],[Stock Gap]]&lt;0, "Yes", "No")</f>
        <v>No</v>
      </c>
      <c r="P37" s="13" t="str">
        <f>IF(Table2[[#This Row],[CurrentStock]]&lt;Table2[[#This Row],[ReorderLevel]],"Reorder", "Okay")</f>
        <v>Okay</v>
      </c>
      <c r="Q37" s="13" t="str">
        <f>IF(Table2[[#This Row],[CurrentStock]]&gt;Table2[[#This Row],[ReorderLevel]]*3, "Overstock", "Okay")</f>
        <v>Overstock</v>
      </c>
    </row>
    <row r="38" spans="1:17" x14ac:dyDescent="0.35">
      <c r="A38">
        <v>62921</v>
      </c>
      <c r="B38" t="s">
        <v>13</v>
      </c>
      <c r="C38" t="s">
        <v>26</v>
      </c>
      <c r="D38">
        <v>321</v>
      </c>
      <c r="E38">
        <v>150</v>
      </c>
      <c r="F38" s="2">
        <v>337.65</v>
      </c>
      <c r="G38" t="s">
        <v>35</v>
      </c>
      <c r="H38" s="1">
        <v>45342</v>
      </c>
      <c r="I38" s="1">
        <v>45371</v>
      </c>
      <c r="J38" t="s">
        <v>38</v>
      </c>
      <c r="K38" s="8">
        <f>Table2[[#This Row],[CurrentStock]]*Table2[[#This Row],[UnitPrice]]</f>
        <v>108385.65</v>
      </c>
      <c r="L38" t="str">
        <f>IF(Table2[[#This Row],[CurrentStock]]&lt;=Table2[[#This Row],[ReorderLevel]], "Reorder Needed", "Okay")</f>
        <v>Okay</v>
      </c>
      <c r="M38" t="str">
        <f>IF(Table2[[#This Row],[CurrentStock]]-Table2[[#This Row],[ReorderLevel]]&lt;0,Table2[[#This Row],[CurrentStock]]-Table2[[#This Row],[ReorderLevel]],"")</f>
        <v/>
      </c>
      <c r="N38" t="str">
        <f>IF(Table2[[#This Row],[Stock Gap]]&lt;0, "Understock","Okay")</f>
        <v>Okay</v>
      </c>
      <c r="O38" s="13" t="str">
        <f>IF(Table2[[#This Row],[Stock Gap]]&lt;0, "Yes", "No")</f>
        <v>No</v>
      </c>
      <c r="P38" s="13" t="str">
        <f>IF(Table2[[#This Row],[CurrentStock]]&lt;Table2[[#This Row],[ReorderLevel]],"Reorder", "Okay")</f>
        <v>Okay</v>
      </c>
      <c r="Q38" s="13" t="str">
        <f>IF(Table2[[#This Row],[CurrentStock]]&gt;Table2[[#This Row],[ReorderLevel]]*3, "Overstock", "Okay")</f>
        <v>Okay</v>
      </c>
    </row>
    <row r="39" spans="1:17" x14ac:dyDescent="0.35">
      <c r="A39">
        <v>25338</v>
      </c>
      <c r="B39" t="s">
        <v>20</v>
      </c>
      <c r="C39" t="s">
        <v>30</v>
      </c>
      <c r="D39">
        <v>341</v>
      </c>
      <c r="E39">
        <v>20</v>
      </c>
      <c r="F39" s="2">
        <v>23.49</v>
      </c>
      <c r="G39" t="s">
        <v>33</v>
      </c>
      <c r="H39" s="1">
        <v>45617</v>
      </c>
      <c r="I39" s="1">
        <v>45636</v>
      </c>
      <c r="J39" t="s">
        <v>36</v>
      </c>
      <c r="K39" s="8">
        <f>Table2[[#This Row],[CurrentStock]]*Table2[[#This Row],[UnitPrice]]</f>
        <v>8010.0899999999992</v>
      </c>
      <c r="L39" t="str">
        <f>IF(Table2[[#This Row],[CurrentStock]]&lt;=Table2[[#This Row],[ReorderLevel]], "Reorder Needed", "Okay")</f>
        <v>Okay</v>
      </c>
      <c r="M39" t="str">
        <f>IF(Table2[[#This Row],[CurrentStock]]-Table2[[#This Row],[ReorderLevel]]&lt;0,Table2[[#This Row],[CurrentStock]]-Table2[[#This Row],[ReorderLevel]],"")</f>
        <v/>
      </c>
      <c r="N39" t="str">
        <f>IF(Table2[[#This Row],[Stock Gap]]&lt;0, "Understock","Okay")</f>
        <v>Okay</v>
      </c>
      <c r="O39" s="13" t="str">
        <f>IF(Table2[[#This Row],[Stock Gap]]&lt;0, "Yes", "No")</f>
        <v>No</v>
      </c>
      <c r="P39" s="13" t="str">
        <f>IF(Table2[[#This Row],[CurrentStock]]&lt;Table2[[#This Row],[ReorderLevel]],"Reorder", "Okay")</f>
        <v>Okay</v>
      </c>
      <c r="Q39" s="13" t="str">
        <f>IF(Table2[[#This Row],[CurrentStock]]&gt;Table2[[#This Row],[ReorderLevel]]*3, "Overstock", "Okay")</f>
        <v>Overstock</v>
      </c>
    </row>
    <row r="40" spans="1:17" x14ac:dyDescent="0.35">
      <c r="A40">
        <v>64021</v>
      </c>
      <c r="B40" t="s">
        <v>17</v>
      </c>
      <c r="C40" t="s">
        <v>27</v>
      </c>
      <c r="D40">
        <v>59</v>
      </c>
      <c r="E40">
        <v>50</v>
      </c>
      <c r="F40" s="2">
        <v>482.8</v>
      </c>
      <c r="G40" t="s">
        <v>35</v>
      </c>
      <c r="H40" s="1">
        <v>45394</v>
      </c>
      <c r="I40" s="1">
        <v>45402</v>
      </c>
      <c r="J40" t="s">
        <v>38</v>
      </c>
      <c r="K40" s="8">
        <f>Table2[[#This Row],[CurrentStock]]*Table2[[#This Row],[UnitPrice]]</f>
        <v>28485.200000000001</v>
      </c>
      <c r="L40" t="str">
        <f>IF(Table2[[#This Row],[CurrentStock]]&lt;=Table2[[#This Row],[ReorderLevel]], "Reorder Needed", "Okay")</f>
        <v>Okay</v>
      </c>
      <c r="M40" t="str">
        <f>IF(Table2[[#This Row],[CurrentStock]]-Table2[[#This Row],[ReorderLevel]]&lt;0,Table2[[#This Row],[CurrentStock]]-Table2[[#This Row],[ReorderLevel]],"")</f>
        <v/>
      </c>
      <c r="N40" t="str">
        <f>IF(Table2[[#This Row],[Stock Gap]]&lt;0, "Understock","Okay")</f>
        <v>Okay</v>
      </c>
      <c r="O40" s="13" t="str">
        <f>IF(Table2[[#This Row],[Stock Gap]]&lt;0, "Yes", "No")</f>
        <v>No</v>
      </c>
      <c r="P40" s="13" t="str">
        <f>IF(Table2[[#This Row],[CurrentStock]]&lt;Table2[[#This Row],[ReorderLevel]],"Reorder", "Okay")</f>
        <v>Okay</v>
      </c>
      <c r="Q40" s="13" t="str">
        <f>IF(Table2[[#This Row],[CurrentStock]]&gt;Table2[[#This Row],[ReorderLevel]]*3, "Overstock", "Okay")</f>
        <v>Okay</v>
      </c>
    </row>
    <row r="41" spans="1:17" x14ac:dyDescent="0.35">
      <c r="A41">
        <v>96672</v>
      </c>
      <c r="B41" t="s">
        <v>12</v>
      </c>
      <c r="C41" t="s">
        <v>28</v>
      </c>
      <c r="D41">
        <v>423</v>
      </c>
      <c r="E41">
        <v>50</v>
      </c>
      <c r="F41" s="2">
        <v>70.709999999999994</v>
      </c>
      <c r="G41" t="s">
        <v>31</v>
      </c>
      <c r="H41" s="1">
        <v>45415</v>
      </c>
      <c r="I41" s="1">
        <v>45449</v>
      </c>
      <c r="J41" t="s">
        <v>38</v>
      </c>
      <c r="K41" s="8">
        <f>Table2[[#This Row],[CurrentStock]]*Table2[[#This Row],[UnitPrice]]</f>
        <v>29910.329999999998</v>
      </c>
      <c r="L41" t="str">
        <f>IF(Table2[[#This Row],[CurrentStock]]&lt;=Table2[[#This Row],[ReorderLevel]], "Reorder Needed", "Okay")</f>
        <v>Okay</v>
      </c>
      <c r="M41" t="str">
        <f>IF(Table2[[#This Row],[CurrentStock]]-Table2[[#This Row],[ReorderLevel]]&lt;0,Table2[[#This Row],[CurrentStock]]-Table2[[#This Row],[ReorderLevel]],"")</f>
        <v/>
      </c>
      <c r="N41" t="str">
        <f>IF(Table2[[#This Row],[Stock Gap]]&lt;0, "Understock","Okay")</f>
        <v>Okay</v>
      </c>
      <c r="O41" s="13" t="str">
        <f>IF(Table2[[#This Row],[Stock Gap]]&lt;0, "Yes", "No")</f>
        <v>No</v>
      </c>
      <c r="P41" s="13" t="str">
        <f>IF(Table2[[#This Row],[CurrentStock]]&lt;Table2[[#This Row],[ReorderLevel]],"Reorder", "Okay")</f>
        <v>Okay</v>
      </c>
      <c r="Q41" s="13" t="str">
        <f>IF(Table2[[#This Row],[CurrentStock]]&gt;Table2[[#This Row],[ReorderLevel]]*3, "Overstock", "Okay")</f>
        <v>Overstock</v>
      </c>
    </row>
    <row r="42" spans="1:17" x14ac:dyDescent="0.35">
      <c r="A42">
        <v>84740</v>
      </c>
      <c r="B42" t="s">
        <v>23</v>
      </c>
      <c r="C42" t="s">
        <v>30</v>
      </c>
      <c r="D42">
        <v>473</v>
      </c>
      <c r="E42">
        <v>80</v>
      </c>
      <c r="F42" s="2">
        <v>45.03</v>
      </c>
      <c r="G42" t="s">
        <v>34</v>
      </c>
      <c r="H42" s="1">
        <v>45418</v>
      </c>
      <c r="I42" s="1">
        <v>45431</v>
      </c>
      <c r="J42" t="s">
        <v>38</v>
      </c>
      <c r="K42" s="8">
        <f>Table2[[#This Row],[CurrentStock]]*Table2[[#This Row],[UnitPrice]]</f>
        <v>21299.190000000002</v>
      </c>
      <c r="L42" t="str">
        <f>IF(Table2[[#This Row],[CurrentStock]]&lt;=Table2[[#This Row],[ReorderLevel]], "Reorder Needed", "Okay")</f>
        <v>Okay</v>
      </c>
      <c r="M42" t="str">
        <f>IF(Table2[[#This Row],[CurrentStock]]-Table2[[#This Row],[ReorderLevel]]&lt;0,Table2[[#This Row],[CurrentStock]]-Table2[[#This Row],[ReorderLevel]],"")</f>
        <v/>
      </c>
      <c r="N42" t="str">
        <f>IF(Table2[[#This Row],[Stock Gap]]&lt;0, "Understock","Okay")</f>
        <v>Okay</v>
      </c>
      <c r="O42" s="13" t="str">
        <f>IF(Table2[[#This Row],[Stock Gap]]&lt;0, "Yes", "No")</f>
        <v>No</v>
      </c>
      <c r="P42" s="13" t="str">
        <f>IF(Table2[[#This Row],[CurrentStock]]&lt;Table2[[#This Row],[ReorderLevel]],"Reorder", "Okay")</f>
        <v>Okay</v>
      </c>
      <c r="Q42" s="13" t="str">
        <f>IF(Table2[[#This Row],[CurrentStock]]&gt;Table2[[#This Row],[ReorderLevel]]*3, "Overstock", "Okay")</f>
        <v>Overstock</v>
      </c>
    </row>
    <row r="43" spans="1:17" x14ac:dyDescent="0.35">
      <c r="A43">
        <v>55543</v>
      </c>
      <c r="B43" t="s">
        <v>23</v>
      </c>
      <c r="C43" t="s">
        <v>30</v>
      </c>
      <c r="D43">
        <v>238</v>
      </c>
      <c r="E43">
        <v>30</v>
      </c>
      <c r="F43" s="2">
        <v>123.69</v>
      </c>
      <c r="G43" t="s">
        <v>35</v>
      </c>
      <c r="H43" s="1">
        <v>45409</v>
      </c>
      <c r="I43" s="1">
        <v>45438</v>
      </c>
      <c r="J43" t="s">
        <v>36</v>
      </c>
      <c r="K43" s="8">
        <f>Table2[[#This Row],[CurrentStock]]*Table2[[#This Row],[UnitPrice]]</f>
        <v>29438.22</v>
      </c>
      <c r="L43" t="str">
        <f>IF(Table2[[#This Row],[CurrentStock]]&lt;=Table2[[#This Row],[ReorderLevel]], "Reorder Needed", "Okay")</f>
        <v>Okay</v>
      </c>
      <c r="M43" t="str">
        <f>IF(Table2[[#This Row],[CurrentStock]]-Table2[[#This Row],[ReorderLevel]]&lt;0,Table2[[#This Row],[CurrentStock]]-Table2[[#This Row],[ReorderLevel]],"")</f>
        <v/>
      </c>
      <c r="N43" t="str">
        <f>IF(Table2[[#This Row],[Stock Gap]]&lt;0, "Understock","Okay")</f>
        <v>Okay</v>
      </c>
      <c r="O43" s="13" t="str">
        <f>IF(Table2[[#This Row],[Stock Gap]]&lt;0, "Yes", "No")</f>
        <v>No</v>
      </c>
      <c r="P43" s="13" t="str">
        <f>IF(Table2[[#This Row],[CurrentStock]]&lt;Table2[[#This Row],[ReorderLevel]],"Reorder", "Okay")</f>
        <v>Okay</v>
      </c>
      <c r="Q43" s="13" t="str">
        <f>IF(Table2[[#This Row],[CurrentStock]]&gt;Table2[[#This Row],[ReorderLevel]]*3, "Overstock", "Okay")</f>
        <v>Overstock</v>
      </c>
    </row>
    <row r="44" spans="1:17" x14ac:dyDescent="0.35">
      <c r="A44">
        <v>95067</v>
      </c>
      <c r="B44" t="s">
        <v>17</v>
      </c>
      <c r="C44" t="s">
        <v>27</v>
      </c>
      <c r="D44">
        <v>486</v>
      </c>
      <c r="E44">
        <v>150</v>
      </c>
      <c r="F44" s="2">
        <v>220.66</v>
      </c>
      <c r="G44" t="s">
        <v>32</v>
      </c>
      <c r="H44" s="1">
        <v>45640</v>
      </c>
      <c r="I44" s="1">
        <v>45647</v>
      </c>
      <c r="J44" t="s">
        <v>37</v>
      </c>
      <c r="K44" s="8">
        <f>Table2[[#This Row],[CurrentStock]]*Table2[[#This Row],[UnitPrice]]</f>
        <v>107240.76</v>
      </c>
      <c r="L44" t="str">
        <f>IF(Table2[[#This Row],[CurrentStock]]&lt;=Table2[[#This Row],[ReorderLevel]], "Reorder Needed", "Okay")</f>
        <v>Okay</v>
      </c>
      <c r="M44" t="str">
        <f>IF(Table2[[#This Row],[CurrentStock]]-Table2[[#This Row],[ReorderLevel]]&lt;0,Table2[[#This Row],[CurrentStock]]-Table2[[#This Row],[ReorderLevel]],"")</f>
        <v/>
      </c>
      <c r="N44" t="str">
        <f>IF(Table2[[#This Row],[Stock Gap]]&lt;0, "Understock","Okay")</f>
        <v>Okay</v>
      </c>
      <c r="O44" s="13" t="str">
        <f>IF(Table2[[#This Row],[Stock Gap]]&lt;0, "Yes", "No")</f>
        <v>No</v>
      </c>
      <c r="P44" s="13" t="str">
        <f>IF(Table2[[#This Row],[CurrentStock]]&lt;Table2[[#This Row],[ReorderLevel]],"Reorder", "Okay")</f>
        <v>Okay</v>
      </c>
      <c r="Q44" s="13" t="str">
        <f>IF(Table2[[#This Row],[CurrentStock]]&gt;Table2[[#This Row],[ReorderLevel]]*3, "Overstock", "Okay")</f>
        <v>Overstock</v>
      </c>
    </row>
    <row r="45" spans="1:17" x14ac:dyDescent="0.35">
      <c r="A45">
        <v>88781</v>
      </c>
      <c r="B45" t="s">
        <v>22</v>
      </c>
      <c r="C45" t="s">
        <v>29</v>
      </c>
      <c r="D45">
        <v>184</v>
      </c>
      <c r="E45">
        <v>80</v>
      </c>
      <c r="F45" s="2">
        <v>62.46</v>
      </c>
      <c r="G45" t="s">
        <v>33</v>
      </c>
      <c r="H45" s="1">
        <v>45360</v>
      </c>
      <c r="I45" s="1">
        <v>45394</v>
      </c>
      <c r="J45" t="s">
        <v>36</v>
      </c>
      <c r="K45" s="8">
        <f>Table2[[#This Row],[CurrentStock]]*Table2[[#This Row],[UnitPrice]]</f>
        <v>11492.64</v>
      </c>
      <c r="L45" t="str">
        <f>IF(Table2[[#This Row],[CurrentStock]]&lt;=Table2[[#This Row],[ReorderLevel]], "Reorder Needed", "Okay")</f>
        <v>Okay</v>
      </c>
      <c r="M45" t="str">
        <f>IF(Table2[[#This Row],[CurrentStock]]-Table2[[#This Row],[ReorderLevel]]&lt;0,Table2[[#This Row],[CurrentStock]]-Table2[[#This Row],[ReorderLevel]],"")</f>
        <v/>
      </c>
      <c r="N45" t="str">
        <f>IF(Table2[[#This Row],[Stock Gap]]&lt;0, "Understock","Okay")</f>
        <v>Okay</v>
      </c>
      <c r="O45" s="13" t="str">
        <f>IF(Table2[[#This Row],[Stock Gap]]&lt;0, "Yes", "No")</f>
        <v>No</v>
      </c>
      <c r="P45" s="13" t="str">
        <f>IF(Table2[[#This Row],[CurrentStock]]&lt;Table2[[#This Row],[ReorderLevel]],"Reorder", "Okay")</f>
        <v>Okay</v>
      </c>
      <c r="Q45" s="13" t="str">
        <f>IF(Table2[[#This Row],[CurrentStock]]&gt;Table2[[#This Row],[ReorderLevel]]*3, "Overstock", "Okay")</f>
        <v>Okay</v>
      </c>
    </row>
    <row r="46" spans="1:17" x14ac:dyDescent="0.35">
      <c r="A46">
        <v>66573</v>
      </c>
      <c r="B46" t="s">
        <v>10</v>
      </c>
      <c r="C46" t="s">
        <v>26</v>
      </c>
      <c r="D46">
        <v>217</v>
      </c>
      <c r="E46">
        <v>30</v>
      </c>
      <c r="F46" s="2">
        <v>248.35</v>
      </c>
      <c r="G46" t="s">
        <v>35</v>
      </c>
      <c r="H46" s="1">
        <v>45330</v>
      </c>
      <c r="I46" s="1">
        <v>45367</v>
      </c>
      <c r="J46" t="s">
        <v>37</v>
      </c>
      <c r="K46" s="8">
        <f>Table2[[#This Row],[CurrentStock]]*Table2[[#This Row],[UnitPrice]]</f>
        <v>53891.95</v>
      </c>
      <c r="L46" t="str">
        <f>IF(Table2[[#This Row],[CurrentStock]]&lt;=Table2[[#This Row],[ReorderLevel]], "Reorder Needed", "Okay")</f>
        <v>Okay</v>
      </c>
      <c r="M46" t="str">
        <f>IF(Table2[[#This Row],[CurrentStock]]-Table2[[#This Row],[ReorderLevel]]&lt;0,Table2[[#This Row],[CurrentStock]]-Table2[[#This Row],[ReorderLevel]],"")</f>
        <v/>
      </c>
      <c r="N46" t="str">
        <f>IF(Table2[[#This Row],[Stock Gap]]&lt;0, "Understock","Okay")</f>
        <v>Okay</v>
      </c>
      <c r="O46" s="13" t="str">
        <f>IF(Table2[[#This Row],[Stock Gap]]&lt;0, "Yes", "No")</f>
        <v>No</v>
      </c>
      <c r="P46" s="13" t="str">
        <f>IF(Table2[[#This Row],[CurrentStock]]&lt;Table2[[#This Row],[ReorderLevel]],"Reorder", "Okay")</f>
        <v>Okay</v>
      </c>
      <c r="Q46" s="13" t="str">
        <f>IF(Table2[[#This Row],[CurrentStock]]&gt;Table2[[#This Row],[ReorderLevel]]*3, "Overstock", "Okay")</f>
        <v>Overstock</v>
      </c>
    </row>
    <row r="47" spans="1:17" x14ac:dyDescent="0.35">
      <c r="A47">
        <v>75417</v>
      </c>
      <c r="B47" t="s">
        <v>20</v>
      </c>
      <c r="C47" t="s">
        <v>30</v>
      </c>
      <c r="D47">
        <v>245</v>
      </c>
      <c r="E47">
        <v>80</v>
      </c>
      <c r="F47" s="2">
        <v>443.91</v>
      </c>
      <c r="G47" t="s">
        <v>32</v>
      </c>
      <c r="H47" s="1">
        <v>45471</v>
      </c>
      <c r="I47" s="1">
        <v>45506</v>
      </c>
      <c r="J47" t="s">
        <v>37</v>
      </c>
      <c r="K47" s="8">
        <f>Table2[[#This Row],[CurrentStock]]*Table2[[#This Row],[UnitPrice]]</f>
        <v>108757.95000000001</v>
      </c>
      <c r="L47" t="str">
        <f>IF(Table2[[#This Row],[CurrentStock]]&lt;=Table2[[#This Row],[ReorderLevel]], "Reorder Needed", "Okay")</f>
        <v>Okay</v>
      </c>
      <c r="M47" t="str">
        <f>IF(Table2[[#This Row],[CurrentStock]]-Table2[[#This Row],[ReorderLevel]]&lt;0,Table2[[#This Row],[CurrentStock]]-Table2[[#This Row],[ReorderLevel]],"")</f>
        <v/>
      </c>
      <c r="N47" t="str">
        <f>IF(Table2[[#This Row],[Stock Gap]]&lt;0, "Understock","Okay")</f>
        <v>Okay</v>
      </c>
      <c r="O47" s="13" t="str">
        <f>IF(Table2[[#This Row],[Stock Gap]]&lt;0, "Yes", "No")</f>
        <v>No</v>
      </c>
      <c r="P47" s="13" t="str">
        <f>IF(Table2[[#This Row],[CurrentStock]]&lt;Table2[[#This Row],[ReorderLevel]],"Reorder", "Okay")</f>
        <v>Okay</v>
      </c>
      <c r="Q47" s="13" t="str">
        <f>IF(Table2[[#This Row],[CurrentStock]]&gt;Table2[[#This Row],[ReorderLevel]]*3, "Overstock", "Okay")</f>
        <v>Overstock</v>
      </c>
    </row>
    <row r="48" spans="1:17" x14ac:dyDescent="0.35">
      <c r="A48">
        <v>40977</v>
      </c>
      <c r="B48" t="s">
        <v>23</v>
      </c>
      <c r="C48" t="s">
        <v>30</v>
      </c>
      <c r="D48">
        <v>324</v>
      </c>
      <c r="E48">
        <v>80</v>
      </c>
      <c r="F48" s="2">
        <v>85.65</v>
      </c>
      <c r="G48" t="s">
        <v>34</v>
      </c>
      <c r="H48" s="1">
        <v>45571</v>
      </c>
      <c r="I48" s="1">
        <v>45591</v>
      </c>
      <c r="J48" t="s">
        <v>37</v>
      </c>
      <c r="K48" s="8">
        <f>Table2[[#This Row],[CurrentStock]]*Table2[[#This Row],[UnitPrice]]</f>
        <v>27750.600000000002</v>
      </c>
      <c r="L48" t="str">
        <f>IF(Table2[[#This Row],[CurrentStock]]&lt;=Table2[[#This Row],[ReorderLevel]], "Reorder Needed", "Okay")</f>
        <v>Okay</v>
      </c>
      <c r="M48" t="str">
        <f>IF(Table2[[#This Row],[CurrentStock]]-Table2[[#This Row],[ReorderLevel]]&lt;0,Table2[[#This Row],[CurrentStock]]-Table2[[#This Row],[ReorderLevel]],"")</f>
        <v/>
      </c>
      <c r="N48" t="str">
        <f>IF(Table2[[#This Row],[Stock Gap]]&lt;0, "Understock","Okay")</f>
        <v>Okay</v>
      </c>
      <c r="O48" s="13" t="str">
        <f>IF(Table2[[#This Row],[Stock Gap]]&lt;0, "Yes", "No")</f>
        <v>No</v>
      </c>
      <c r="P48" s="13" t="str">
        <f>IF(Table2[[#This Row],[CurrentStock]]&lt;Table2[[#This Row],[ReorderLevel]],"Reorder", "Okay")</f>
        <v>Okay</v>
      </c>
      <c r="Q48" s="13" t="str">
        <f>IF(Table2[[#This Row],[CurrentStock]]&gt;Table2[[#This Row],[ReorderLevel]]*3, "Overstock", "Okay")</f>
        <v>Overstock</v>
      </c>
    </row>
    <row r="49" spans="1:17" x14ac:dyDescent="0.35">
      <c r="A49">
        <v>80588</v>
      </c>
      <c r="B49" t="s">
        <v>10</v>
      </c>
      <c r="C49" t="s">
        <v>26</v>
      </c>
      <c r="D49">
        <v>395</v>
      </c>
      <c r="E49">
        <v>30</v>
      </c>
      <c r="F49" s="2">
        <v>288.82</v>
      </c>
      <c r="G49" t="s">
        <v>31</v>
      </c>
      <c r="H49" s="1">
        <v>45324</v>
      </c>
      <c r="I49" s="1">
        <v>45361</v>
      </c>
      <c r="J49" t="s">
        <v>37</v>
      </c>
      <c r="K49" s="8">
        <f>Table2[[#This Row],[CurrentStock]]*Table2[[#This Row],[UnitPrice]]</f>
        <v>114083.9</v>
      </c>
      <c r="L49" t="str">
        <f>IF(Table2[[#This Row],[CurrentStock]]&lt;=Table2[[#This Row],[ReorderLevel]], "Reorder Needed", "Okay")</f>
        <v>Okay</v>
      </c>
      <c r="M49" t="str">
        <f>IF(Table2[[#This Row],[CurrentStock]]-Table2[[#This Row],[ReorderLevel]]&lt;0,Table2[[#This Row],[CurrentStock]]-Table2[[#This Row],[ReorderLevel]],"")</f>
        <v/>
      </c>
      <c r="N49" t="str">
        <f>IF(Table2[[#This Row],[Stock Gap]]&lt;0, "Understock","Okay")</f>
        <v>Okay</v>
      </c>
      <c r="O49" s="13" t="str">
        <f>IF(Table2[[#This Row],[Stock Gap]]&lt;0, "Yes", "No")</f>
        <v>No</v>
      </c>
      <c r="P49" s="13" t="str">
        <f>IF(Table2[[#This Row],[CurrentStock]]&lt;Table2[[#This Row],[ReorderLevel]],"Reorder", "Okay")</f>
        <v>Okay</v>
      </c>
      <c r="Q49" s="13" t="str">
        <f>IF(Table2[[#This Row],[CurrentStock]]&gt;Table2[[#This Row],[ReorderLevel]]*3, "Overstock", "Okay")</f>
        <v>Overstock</v>
      </c>
    </row>
    <row r="50" spans="1:17" x14ac:dyDescent="0.35">
      <c r="A50">
        <v>96027</v>
      </c>
      <c r="B50" t="s">
        <v>16</v>
      </c>
      <c r="C50" t="s">
        <v>29</v>
      </c>
      <c r="D50">
        <v>322</v>
      </c>
      <c r="E50">
        <v>20</v>
      </c>
      <c r="F50" s="2">
        <v>480.79</v>
      </c>
      <c r="G50" t="s">
        <v>32</v>
      </c>
      <c r="H50" s="1">
        <v>45621</v>
      </c>
      <c r="I50" s="1">
        <v>45654</v>
      </c>
      <c r="J50" t="s">
        <v>36</v>
      </c>
      <c r="K50" s="8">
        <f>Table2[[#This Row],[CurrentStock]]*Table2[[#This Row],[UnitPrice]]</f>
        <v>154814.38</v>
      </c>
      <c r="L50" t="str">
        <f>IF(Table2[[#This Row],[CurrentStock]]&lt;=Table2[[#This Row],[ReorderLevel]], "Reorder Needed", "Okay")</f>
        <v>Okay</v>
      </c>
      <c r="M50" t="str">
        <f>IF(Table2[[#This Row],[CurrentStock]]-Table2[[#This Row],[ReorderLevel]]&lt;0,Table2[[#This Row],[CurrentStock]]-Table2[[#This Row],[ReorderLevel]],"")</f>
        <v/>
      </c>
      <c r="N50" t="str">
        <f>IF(Table2[[#This Row],[Stock Gap]]&lt;0, "Understock","Okay")</f>
        <v>Okay</v>
      </c>
      <c r="O50" s="13" t="str">
        <f>IF(Table2[[#This Row],[Stock Gap]]&lt;0, "Yes", "No")</f>
        <v>No</v>
      </c>
      <c r="P50" s="13" t="str">
        <f>IF(Table2[[#This Row],[CurrentStock]]&lt;Table2[[#This Row],[ReorderLevel]],"Reorder", "Okay")</f>
        <v>Okay</v>
      </c>
      <c r="Q50" s="13" t="str">
        <f>IF(Table2[[#This Row],[CurrentStock]]&gt;Table2[[#This Row],[ReorderLevel]]*3, "Overstock", "Okay")</f>
        <v>Overstock</v>
      </c>
    </row>
    <row r="51" spans="1:17" x14ac:dyDescent="0.35">
      <c r="A51">
        <v>25305</v>
      </c>
      <c r="B51" t="s">
        <v>14</v>
      </c>
      <c r="C51" t="s">
        <v>28</v>
      </c>
      <c r="D51">
        <v>34</v>
      </c>
      <c r="E51">
        <v>150</v>
      </c>
      <c r="F51" s="2">
        <v>40.24</v>
      </c>
      <c r="G51" t="s">
        <v>32</v>
      </c>
      <c r="H51" s="1">
        <v>45555</v>
      </c>
      <c r="I51" s="1">
        <v>45588</v>
      </c>
      <c r="J51" t="s">
        <v>38</v>
      </c>
      <c r="K51" s="8">
        <f>Table2[[#This Row],[CurrentStock]]*Table2[[#This Row],[UnitPrice]]</f>
        <v>1368.16</v>
      </c>
      <c r="L51" t="str">
        <f>IF(Table2[[#This Row],[CurrentStock]]&lt;=Table2[[#This Row],[ReorderLevel]], "Reorder Needed", "Okay")</f>
        <v>Reorder Needed</v>
      </c>
      <c r="M51" s="7">
        <f>IF(Table2[[#This Row],[CurrentStock]]-Table2[[#This Row],[ReorderLevel]]&lt;0,Table2[[#This Row],[CurrentStock]]-Table2[[#This Row],[ReorderLevel]],"")</f>
        <v>-116</v>
      </c>
      <c r="N51" t="str">
        <f>IF(Table2[[#This Row],[Stock Gap]]&lt;0, "Understock","Okay")</f>
        <v>Understock</v>
      </c>
      <c r="O51" s="13" t="str">
        <f>IF(Table2[[#This Row],[Stock Gap]]&lt;0, "Yes", "No")</f>
        <v>Yes</v>
      </c>
      <c r="P51" s="13" t="str">
        <f>IF(Table2[[#This Row],[CurrentStock]]&lt;Table2[[#This Row],[ReorderLevel]],"Reorder", "Okay")</f>
        <v>Reorder</v>
      </c>
      <c r="Q51" s="13" t="str">
        <f>IF(Table2[[#This Row],[CurrentStock]]&gt;Table2[[#This Row],[ReorderLevel]]*3, "Overstock", "Okay")</f>
        <v>Okay</v>
      </c>
    </row>
    <row r="52" spans="1:17" x14ac:dyDescent="0.35">
      <c r="A52">
        <v>10412</v>
      </c>
      <c r="B52" t="s">
        <v>24</v>
      </c>
      <c r="C52" t="s">
        <v>30</v>
      </c>
      <c r="D52">
        <v>104</v>
      </c>
      <c r="E52">
        <v>150</v>
      </c>
      <c r="F52" s="2">
        <v>63.49</v>
      </c>
      <c r="G52" t="s">
        <v>33</v>
      </c>
      <c r="H52" s="1">
        <v>45405</v>
      </c>
      <c r="I52" s="1">
        <v>45420</v>
      </c>
      <c r="J52" t="s">
        <v>36</v>
      </c>
      <c r="K52" s="8">
        <f>Table2[[#This Row],[CurrentStock]]*Table2[[#This Row],[UnitPrice]]</f>
        <v>6602.96</v>
      </c>
      <c r="L52" t="str">
        <f>IF(Table2[[#This Row],[CurrentStock]]&lt;=Table2[[#This Row],[ReorderLevel]], "Reorder Needed", "Okay")</f>
        <v>Reorder Needed</v>
      </c>
      <c r="M52" s="7">
        <f>IF(Table2[[#This Row],[CurrentStock]]-Table2[[#This Row],[ReorderLevel]]&lt;0,Table2[[#This Row],[CurrentStock]]-Table2[[#This Row],[ReorderLevel]],"")</f>
        <v>-46</v>
      </c>
      <c r="N52" t="str">
        <f>IF(Table2[[#This Row],[Stock Gap]]&lt;0, "Understock","Okay")</f>
        <v>Understock</v>
      </c>
      <c r="O52" s="13" t="str">
        <f>IF(Table2[[#This Row],[Stock Gap]]&lt;0, "Yes", "No")</f>
        <v>Yes</v>
      </c>
      <c r="P52" s="13" t="str">
        <f>IF(Table2[[#This Row],[CurrentStock]]&lt;Table2[[#This Row],[ReorderLevel]],"Reorder", "Okay")</f>
        <v>Reorder</v>
      </c>
      <c r="Q52" s="13" t="str">
        <f>IF(Table2[[#This Row],[CurrentStock]]&gt;Table2[[#This Row],[ReorderLevel]]*3, "Overstock", "Okay")</f>
        <v>Okay</v>
      </c>
    </row>
    <row r="53" spans="1:17" x14ac:dyDescent="0.35">
      <c r="A53">
        <v>93042</v>
      </c>
      <c r="B53" t="s">
        <v>25</v>
      </c>
      <c r="C53" t="s">
        <v>29</v>
      </c>
      <c r="D53">
        <v>248</v>
      </c>
      <c r="E53">
        <v>50</v>
      </c>
      <c r="F53" s="2">
        <v>92.83</v>
      </c>
      <c r="G53" t="s">
        <v>33</v>
      </c>
      <c r="H53" s="1">
        <v>45483</v>
      </c>
      <c r="I53" s="1">
        <v>45522</v>
      </c>
      <c r="J53" t="s">
        <v>38</v>
      </c>
      <c r="K53" s="8">
        <f>Table2[[#This Row],[CurrentStock]]*Table2[[#This Row],[UnitPrice]]</f>
        <v>23021.84</v>
      </c>
      <c r="L53" t="str">
        <f>IF(Table2[[#This Row],[CurrentStock]]&lt;=Table2[[#This Row],[ReorderLevel]], "Reorder Needed", "Okay")</f>
        <v>Okay</v>
      </c>
      <c r="M53" t="str">
        <f>IF(Table2[[#This Row],[CurrentStock]]-Table2[[#This Row],[ReorderLevel]]&lt;0,Table2[[#This Row],[CurrentStock]]-Table2[[#This Row],[ReorderLevel]],"")</f>
        <v/>
      </c>
      <c r="N53" t="str">
        <f>IF(Table2[[#This Row],[Stock Gap]]&lt;0, "Understock","Okay")</f>
        <v>Okay</v>
      </c>
      <c r="O53" s="13" t="str">
        <f>IF(Table2[[#This Row],[Stock Gap]]&lt;0, "Yes", "No")</f>
        <v>No</v>
      </c>
      <c r="P53" s="13" t="str">
        <f>IF(Table2[[#This Row],[CurrentStock]]&lt;Table2[[#This Row],[ReorderLevel]],"Reorder", "Okay")</f>
        <v>Okay</v>
      </c>
      <c r="Q53" s="13" t="str">
        <f>IF(Table2[[#This Row],[CurrentStock]]&gt;Table2[[#This Row],[ReorderLevel]]*3, "Overstock", "Okay")</f>
        <v>Overstock</v>
      </c>
    </row>
    <row r="54" spans="1:17" x14ac:dyDescent="0.35">
      <c r="A54">
        <v>46208</v>
      </c>
      <c r="B54" t="s">
        <v>18</v>
      </c>
      <c r="C54" t="s">
        <v>27</v>
      </c>
      <c r="D54">
        <v>95</v>
      </c>
      <c r="E54">
        <v>150</v>
      </c>
      <c r="F54" s="2">
        <v>465.72</v>
      </c>
      <c r="G54" t="s">
        <v>35</v>
      </c>
      <c r="H54" s="1">
        <v>45328</v>
      </c>
      <c r="I54" s="1">
        <v>45344</v>
      </c>
      <c r="J54" t="s">
        <v>37</v>
      </c>
      <c r="K54" s="8">
        <f>Table2[[#This Row],[CurrentStock]]*Table2[[#This Row],[UnitPrice]]</f>
        <v>44243.4</v>
      </c>
      <c r="L54" t="str">
        <f>IF(Table2[[#This Row],[CurrentStock]]&lt;=Table2[[#This Row],[ReorderLevel]], "Reorder Needed", "Okay")</f>
        <v>Reorder Needed</v>
      </c>
      <c r="M54" s="7">
        <f>IF(Table2[[#This Row],[CurrentStock]]-Table2[[#This Row],[ReorderLevel]]&lt;0,Table2[[#This Row],[CurrentStock]]-Table2[[#This Row],[ReorderLevel]],"")</f>
        <v>-55</v>
      </c>
      <c r="N54" t="str">
        <f>IF(Table2[[#This Row],[Stock Gap]]&lt;0, "Understock","Okay")</f>
        <v>Understock</v>
      </c>
      <c r="O54" s="13" t="str">
        <f>IF(Table2[[#This Row],[Stock Gap]]&lt;0, "Yes", "No")</f>
        <v>Yes</v>
      </c>
      <c r="P54" s="13" t="str">
        <f>IF(Table2[[#This Row],[CurrentStock]]&lt;Table2[[#This Row],[ReorderLevel]],"Reorder", "Okay")</f>
        <v>Reorder</v>
      </c>
      <c r="Q54" s="13" t="str">
        <f>IF(Table2[[#This Row],[CurrentStock]]&gt;Table2[[#This Row],[ReorderLevel]]*3, "Overstock", "Okay")</f>
        <v>Okay</v>
      </c>
    </row>
    <row r="55" spans="1:17" x14ac:dyDescent="0.35">
      <c r="A55">
        <v>56959</v>
      </c>
      <c r="B55" t="s">
        <v>18</v>
      </c>
      <c r="C55" t="s">
        <v>27</v>
      </c>
      <c r="D55">
        <v>360</v>
      </c>
      <c r="E55">
        <v>100</v>
      </c>
      <c r="F55" s="2">
        <v>451.76</v>
      </c>
      <c r="G55" t="s">
        <v>34</v>
      </c>
      <c r="H55" s="1">
        <v>45353</v>
      </c>
      <c r="I55" s="1">
        <v>45377</v>
      </c>
      <c r="J55" t="s">
        <v>38</v>
      </c>
      <c r="K55" s="8">
        <f>Table2[[#This Row],[CurrentStock]]*Table2[[#This Row],[UnitPrice]]</f>
        <v>162633.60000000001</v>
      </c>
      <c r="L55" t="str">
        <f>IF(Table2[[#This Row],[CurrentStock]]&lt;=Table2[[#This Row],[ReorderLevel]], "Reorder Needed", "Okay")</f>
        <v>Okay</v>
      </c>
      <c r="M55" t="str">
        <f>IF(Table2[[#This Row],[CurrentStock]]-Table2[[#This Row],[ReorderLevel]]&lt;0,Table2[[#This Row],[CurrentStock]]-Table2[[#This Row],[ReorderLevel]],"")</f>
        <v/>
      </c>
      <c r="N55" t="str">
        <f>IF(Table2[[#This Row],[Stock Gap]]&lt;0, "Understock","Okay")</f>
        <v>Okay</v>
      </c>
      <c r="O55" s="13" t="str">
        <f>IF(Table2[[#This Row],[Stock Gap]]&lt;0, "Yes", "No")</f>
        <v>No</v>
      </c>
      <c r="P55" s="13" t="str">
        <f>IF(Table2[[#This Row],[CurrentStock]]&lt;Table2[[#This Row],[ReorderLevel]],"Reorder", "Okay")</f>
        <v>Okay</v>
      </c>
      <c r="Q55" s="13" t="str">
        <f>IF(Table2[[#This Row],[CurrentStock]]&gt;Table2[[#This Row],[ReorderLevel]]*3, "Overstock", "Okay")</f>
        <v>Overstock</v>
      </c>
    </row>
    <row r="56" spans="1:17" x14ac:dyDescent="0.35">
      <c r="A56">
        <v>46939</v>
      </c>
      <c r="B56" t="s">
        <v>15</v>
      </c>
      <c r="C56" t="s">
        <v>29</v>
      </c>
      <c r="D56">
        <v>18</v>
      </c>
      <c r="E56">
        <v>20</v>
      </c>
      <c r="F56" s="2">
        <v>31.48</v>
      </c>
      <c r="G56" t="s">
        <v>34</v>
      </c>
      <c r="H56" s="1">
        <v>45524</v>
      </c>
      <c r="I56" s="1">
        <v>45547</v>
      </c>
      <c r="J56" t="s">
        <v>37</v>
      </c>
      <c r="K56" s="8">
        <f>Table2[[#This Row],[CurrentStock]]*Table2[[#This Row],[UnitPrice]]</f>
        <v>566.64</v>
      </c>
      <c r="L56" t="str">
        <f>IF(Table2[[#This Row],[CurrentStock]]&lt;=Table2[[#This Row],[ReorderLevel]], "Reorder Needed", "Okay")</f>
        <v>Reorder Needed</v>
      </c>
      <c r="M56" s="7">
        <f>IF(Table2[[#This Row],[CurrentStock]]-Table2[[#This Row],[ReorderLevel]]&lt;0,Table2[[#This Row],[CurrentStock]]-Table2[[#This Row],[ReorderLevel]],"")</f>
        <v>-2</v>
      </c>
      <c r="N56" t="str">
        <f>IF(Table2[[#This Row],[Stock Gap]]&lt;0, "Understock","Okay")</f>
        <v>Understock</v>
      </c>
      <c r="O56" s="13" t="str">
        <f>IF(Table2[[#This Row],[Stock Gap]]&lt;0, "Yes", "No")</f>
        <v>Yes</v>
      </c>
      <c r="P56" s="13" t="str">
        <f>IF(Table2[[#This Row],[CurrentStock]]&lt;Table2[[#This Row],[ReorderLevel]],"Reorder", "Okay")</f>
        <v>Reorder</v>
      </c>
      <c r="Q56" s="13" t="str">
        <f>IF(Table2[[#This Row],[CurrentStock]]&gt;Table2[[#This Row],[ReorderLevel]]*3, "Overstock", "Okay")</f>
        <v>Okay</v>
      </c>
    </row>
    <row r="57" spans="1:17" x14ac:dyDescent="0.35">
      <c r="A57">
        <v>99112</v>
      </c>
      <c r="B57" t="s">
        <v>13</v>
      </c>
      <c r="C57" t="s">
        <v>26</v>
      </c>
      <c r="D57">
        <v>222</v>
      </c>
      <c r="E57">
        <v>50</v>
      </c>
      <c r="F57" s="2">
        <v>288.85000000000002</v>
      </c>
      <c r="G57" t="s">
        <v>33</v>
      </c>
      <c r="H57" s="1">
        <v>45435</v>
      </c>
      <c r="I57" s="1">
        <v>45444</v>
      </c>
      <c r="J57" t="s">
        <v>37</v>
      </c>
      <c r="K57" s="8">
        <f>Table2[[#This Row],[CurrentStock]]*Table2[[#This Row],[UnitPrice]]</f>
        <v>64124.700000000004</v>
      </c>
      <c r="L57" t="str">
        <f>IF(Table2[[#This Row],[CurrentStock]]&lt;=Table2[[#This Row],[ReorderLevel]], "Reorder Needed", "Okay")</f>
        <v>Okay</v>
      </c>
      <c r="M57" t="str">
        <f>IF(Table2[[#This Row],[CurrentStock]]-Table2[[#This Row],[ReorderLevel]]&lt;0,Table2[[#This Row],[CurrentStock]]-Table2[[#This Row],[ReorderLevel]],"")</f>
        <v/>
      </c>
      <c r="N57" t="str">
        <f>IF(Table2[[#This Row],[Stock Gap]]&lt;0, "Understock","Okay")</f>
        <v>Okay</v>
      </c>
      <c r="O57" s="13" t="str">
        <f>IF(Table2[[#This Row],[Stock Gap]]&lt;0, "Yes", "No")</f>
        <v>No</v>
      </c>
      <c r="P57" s="13" t="str">
        <f>IF(Table2[[#This Row],[CurrentStock]]&lt;Table2[[#This Row],[ReorderLevel]],"Reorder", "Okay")</f>
        <v>Okay</v>
      </c>
      <c r="Q57" s="13" t="str">
        <f>IF(Table2[[#This Row],[CurrentStock]]&gt;Table2[[#This Row],[ReorderLevel]]*3, "Overstock", "Okay")</f>
        <v>Overstock</v>
      </c>
    </row>
    <row r="58" spans="1:17" x14ac:dyDescent="0.35">
      <c r="A58">
        <v>19348</v>
      </c>
      <c r="B58" t="s">
        <v>16</v>
      </c>
      <c r="C58" t="s">
        <v>29</v>
      </c>
      <c r="D58">
        <v>52</v>
      </c>
      <c r="E58">
        <v>150</v>
      </c>
      <c r="F58" s="2">
        <v>391.74</v>
      </c>
      <c r="G58" t="s">
        <v>31</v>
      </c>
      <c r="H58" s="1">
        <v>45330</v>
      </c>
      <c r="I58" s="1">
        <v>45348</v>
      </c>
      <c r="J58" t="s">
        <v>37</v>
      </c>
      <c r="K58" s="8">
        <f>Table2[[#This Row],[CurrentStock]]*Table2[[#This Row],[UnitPrice]]</f>
        <v>20370.48</v>
      </c>
      <c r="L58" t="str">
        <f>IF(Table2[[#This Row],[CurrentStock]]&lt;=Table2[[#This Row],[ReorderLevel]], "Reorder Needed", "Okay")</f>
        <v>Reorder Needed</v>
      </c>
      <c r="M58" s="7">
        <f>IF(Table2[[#This Row],[CurrentStock]]-Table2[[#This Row],[ReorderLevel]]&lt;0,Table2[[#This Row],[CurrentStock]]-Table2[[#This Row],[ReorderLevel]],"")</f>
        <v>-98</v>
      </c>
      <c r="N58" t="str">
        <f>IF(Table2[[#This Row],[Stock Gap]]&lt;0, "Understock","Okay")</f>
        <v>Understock</v>
      </c>
      <c r="O58" s="13" t="str">
        <f>IF(Table2[[#This Row],[Stock Gap]]&lt;0, "Yes", "No")</f>
        <v>Yes</v>
      </c>
      <c r="P58" s="13" t="str">
        <f>IF(Table2[[#This Row],[CurrentStock]]&lt;Table2[[#This Row],[ReorderLevel]],"Reorder", "Okay")</f>
        <v>Reorder</v>
      </c>
      <c r="Q58" s="13" t="str">
        <f>IF(Table2[[#This Row],[CurrentStock]]&gt;Table2[[#This Row],[ReorderLevel]]*3, "Overstock", "Okay")</f>
        <v>Okay</v>
      </c>
    </row>
    <row r="59" spans="1:17" x14ac:dyDescent="0.35">
      <c r="A59">
        <v>92873</v>
      </c>
      <c r="B59" t="s">
        <v>15</v>
      </c>
      <c r="C59" t="s">
        <v>29</v>
      </c>
      <c r="D59">
        <v>330</v>
      </c>
      <c r="E59">
        <v>30</v>
      </c>
      <c r="F59" s="2">
        <v>484.48</v>
      </c>
      <c r="G59" t="s">
        <v>33</v>
      </c>
      <c r="H59" s="1">
        <v>45300</v>
      </c>
      <c r="I59" s="1">
        <v>45314</v>
      </c>
      <c r="J59" t="s">
        <v>36</v>
      </c>
      <c r="K59" s="8">
        <f>Table2[[#This Row],[CurrentStock]]*Table2[[#This Row],[UnitPrice]]</f>
        <v>159878.39999999999</v>
      </c>
      <c r="L59" t="str">
        <f>IF(Table2[[#This Row],[CurrentStock]]&lt;=Table2[[#This Row],[ReorderLevel]], "Reorder Needed", "Okay")</f>
        <v>Okay</v>
      </c>
      <c r="M59" t="str">
        <f>IF(Table2[[#This Row],[CurrentStock]]-Table2[[#This Row],[ReorderLevel]]&lt;0,Table2[[#This Row],[CurrentStock]]-Table2[[#This Row],[ReorderLevel]],"")</f>
        <v/>
      </c>
      <c r="N59" t="str">
        <f>IF(Table2[[#This Row],[Stock Gap]]&lt;0, "Understock","Okay")</f>
        <v>Okay</v>
      </c>
      <c r="O59" s="13" t="str">
        <f>IF(Table2[[#This Row],[Stock Gap]]&lt;0, "Yes", "No")</f>
        <v>No</v>
      </c>
      <c r="P59" s="13" t="str">
        <f>IF(Table2[[#This Row],[CurrentStock]]&lt;Table2[[#This Row],[ReorderLevel]],"Reorder", "Okay")</f>
        <v>Okay</v>
      </c>
      <c r="Q59" s="13" t="str">
        <f>IF(Table2[[#This Row],[CurrentStock]]&gt;Table2[[#This Row],[ReorderLevel]]*3, "Overstock", "Okay")</f>
        <v>Overstock</v>
      </c>
    </row>
    <row r="60" spans="1:17" x14ac:dyDescent="0.35">
      <c r="A60">
        <v>98858</v>
      </c>
      <c r="B60" t="s">
        <v>22</v>
      </c>
      <c r="C60" t="s">
        <v>29</v>
      </c>
      <c r="D60">
        <v>6</v>
      </c>
      <c r="E60">
        <v>100</v>
      </c>
      <c r="F60" s="2">
        <v>351.98</v>
      </c>
      <c r="G60" t="s">
        <v>32</v>
      </c>
      <c r="H60" s="1">
        <v>45461</v>
      </c>
      <c r="I60" s="1">
        <v>45474</v>
      </c>
      <c r="J60" t="s">
        <v>38</v>
      </c>
      <c r="K60" s="8">
        <f>Table2[[#This Row],[CurrentStock]]*Table2[[#This Row],[UnitPrice]]</f>
        <v>2111.88</v>
      </c>
      <c r="L60" t="str">
        <f>IF(Table2[[#This Row],[CurrentStock]]&lt;=Table2[[#This Row],[ReorderLevel]], "Reorder Needed", "Okay")</f>
        <v>Reorder Needed</v>
      </c>
      <c r="M60" s="7">
        <f>IF(Table2[[#This Row],[CurrentStock]]-Table2[[#This Row],[ReorderLevel]]&lt;0,Table2[[#This Row],[CurrentStock]]-Table2[[#This Row],[ReorderLevel]],"")</f>
        <v>-94</v>
      </c>
      <c r="N60" t="str">
        <f>IF(Table2[[#This Row],[Stock Gap]]&lt;0, "Understock","Okay")</f>
        <v>Understock</v>
      </c>
      <c r="O60" s="13" t="str">
        <f>IF(Table2[[#This Row],[Stock Gap]]&lt;0, "Yes", "No")</f>
        <v>Yes</v>
      </c>
      <c r="P60" s="13" t="str">
        <f>IF(Table2[[#This Row],[CurrentStock]]&lt;Table2[[#This Row],[ReorderLevel]],"Reorder", "Okay")</f>
        <v>Reorder</v>
      </c>
      <c r="Q60" s="13" t="str">
        <f>IF(Table2[[#This Row],[CurrentStock]]&gt;Table2[[#This Row],[ReorderLevel]]*3, "Overstock", "Okay")</f>
        <v>Okay</v>
      </c>
    </row>
    <row r="61" spans="1:17" x14ac:dyDescent="0.35">
      <c r="A61">
        <v>93285</v>
      </c>
      <c r="B61" t="s">
        <v>25</v>
      </c>
      <c r="C61" t="s">
        <v>29</v>
      </c>
      <c r="D61">
        <v>164</v>
      </c>
      <c r="E61">
        <v>100</v>
      </c>
      <c r="F61" s="2">
        <v>493.39</v>
      </c>
      <c r="G61" t="s">
        <v>33</v>
      </c>
      <c r="H61" s="1">
        <v>45656</v>
      </c>
      <c r="I61" s="1">
        <v>45661</v>
      </c>
      <c r="J61" t="s">
        <v>36</v>
      </c>
      <c r="K61" s="8">
        <f>Table2[[#This Row],[CurrentStock]]*Table2[[#This Row],[UnitPrice]]</f>
        <v>80915.959999999992</v>
      </c>
      <c r="L61" t="str">
        <f>IF(Table2[[#This Row],[CurrentStock]]&lt;=Table2[[#This Row],[ReorderLevel]], "Reorder Needed", "Okay")</f>
        <v>Okay</v>
      </c>
      <c r="M61" t="str">
        <f>IF(Table2[[#This Row],[CurrentStock]]-Table2[[#This Row],[ReorderLevel]]&lt;0,Table2[[#This Row],[CurrentStock]]-Table2[[#This Row],[ReorderLevel]],"")</f>
        <v/>
      </c>
      <c r="N61" t="str">
        <f>IF(Table2[[#This Row],[Stock Gap]]&lt;0, "Understock","Okay")</f>
        <v>Okay</v>
      </c>
      <c r="O61" s="13" t="str">
        <f>IF(Table2[[#This Row],[Stock Gap]]&lt;0, "Yes", "No")</f>
        <v>No</v>
      </c>
      <c r="P61" s="13" t="str">
        <f>IF(Table2[[#This Row],[CurrentStock]]&lt;Table2[[#This Row],[ReorderLevel]],"Reorder", "Okay")</f>
        <v>Okay</v>
      </c>
      <c r="Q61" s="13" t="str">
        <f>IF(Table2[[#This Row],[CurrentStock]]&gt;Table2[[#This Row],[ReorderLevel]]*3, "Overstock", "Okay")</f>
        <v>Okay</v>
      </c>
    </row>
    <row r="62" spans="1:17" x14ac:dyDescent="0.35">
      <c r="A62">
        <v>35289</v>
      </c>
      <c r="B62" t="s">
        <v>17</v>
      </c>
      <c r="C62" t="s">
        <v>27</v>
      </c>
      <c r="D62">
        <v>131</v>
      </c>
      <c r="E62">
        <v>50</v>
      </c>
      <c r="F62" s="2">
        <v>191.25</v>
      </c>
      <c r="G62" t="s">
        <v>32</v>
      </c>
      <c r="H62" s="1">
        <v>45566</v>
      </c>
      <c r="I62" s="1">
        <v>45597</v>
      </c>
      <c r="J62" t="s">
        <v>37</v>
      </c>
      <c r="K62" s="8">
        <f>Table2[[#This Row],[CurrentStock]]*Table2[[#This Row],[UnitPrice]]</f>
        <v>25053.75</v>
      </c>
      <c r="L62" t="str">
        <f>IF(Table2[[#This Row],[CurrentStock]]&lt;=Table2[[#This Row],[ReorderLevel]], "Reorder Needed", "Okay")</f>
        <v>Okay</v>
      </c>
      <c r="M62" t="str">
        <f>IF(Table2[[#This Row],[CurrentStock]]-Table2[[#This Row],[ReorderLevel]]&lt;0,Table2[[#This Row],[CurrentStock]]-Table2[[#This Row],[ReorderLevel]],"")</f>
        <v/>
      </c>
      <c r="N62" t="str">
        <f>IF(Table2[[#This Row],[Stock Gap]]&lt;0, "Understock","Okay")</f>
        <v>Okay</v>
      </c>
      <c r="O62" s="13" t="str">
        <f>IF(Table2[[#This Row],[Stock Gap]]&lt;0, "Yes", "No")</f>
        <v>No</v>
      </c>
      <c r="P62" s="13" t="str">
        <f>IF(Table2[[#This Row],[CurrentStock]]&lt;Table2[[#This Row],[ReorderLevel]],"Reorder", "Okay")</f>
        <v>Okay</v>
      </c>
      <c r="Q62" s="13" t="str">
        <f>IF(Table2[[#This Row],[CurrentStock]]&gt;Table2[[#This Row],[ReorderLevel]]*3, "Overstock", "Okay")</f>
        <v>Okay</v>
      </c>
    </row>
    <row r="63" spans="1:17" x14ac:dyDescent="0.35">
      <c r="A63">
        <v>65771</v>
      </c>
      <c r="B63" t="s">
        <v>19</v>
      </c>
      <c r="C63" t="s">
        <v>28</v>
      </c>
      <c r="D63">
        <v>140</v>
      </c>
      <c r="E63">
        <v>30</v>
      </c>
      <c r="F63" s="2">
        <v>236.99</v>
      </c>
      <c r="G63" t="s">
        <v>35</v>
      </c>
      <c r="H63" s="1">
        <v>45349</v>
      </c>
      <c r="I63" s="1">
        <v>45373</v>
      </c>
      <c r="J63" t="s">
        <v>37</v>
      </c>
      <c r="K63" s="8">
        <f>Table2[[#This Row],[CurrentStock]]*Table2[[#This Row],[UnitPrice]]</f>
        <v>33178.6</v>
      </c>
      <c r="L63" t="str">
        <f>IF(Table2[[#This Row],[CurrentStock]]&lt;=Table2[[#This Row],[ReorderLevel]], "Reorder Needed", "Okay")</f>
        <v>Okay</v>
      </c>
      <c r="M63" t="str">
        <f>IF(Table2[[#This Row],[CurrentStock]]-Table2[[#This Row],[ReorderLevel]]&lt;0,Table2[[#This Row],[CurrentStock]]-Table2[[#This Row],[ReorderLevel]],"")</f>
        <v/>
      </c>
      <c r="N63" t="str">
        <f>IF(Table2[[#This Row],[Stock Gap]]&lt;0, "Understock","Okay")</f>
        <v>Okay</v>
      </c>
      <c r="O63" s="13" t="str">
        <f>IF(Table2[[#This Row],[Stock Gap]]&lt;0, "Yes", "No")</f>
        <v>No</v>
      </c>
      <c r="P63" s="13" t="str">
        <f>IF(Table2[[#This Row],[CurrentStock]]&lt;Table2[[#This Row],[ReorderLevel]],"Reorder", "Okay")</f>
        <v>Okay</v>
      </c>
      <c r="Q63" s="13" t="str">
        <f>IF(Table2[[#This Row],[CurrentStock]]&gt;Table2[[#This Row],[ReorderLevel]]*3, "Overstock", "Okay")</f>
        <v>Overstock</v>
      </c>
    </row>
    <row r="64" spans="1:17" x14ac:dyDescent="0.35">
      <c r="A64">
        <v>43591</v>
      </c>
      <c r="B64" t="s">
        <v>18</v>
      </c>
      <c r="C64" t="s">
        <v>27</v>
      </c>
      <c r="D64">
        <v>0</v>
      </c>
      <c r="E64">
        <v>40</v>
      </c>
      <c r="F64" s="2">
        <v>293.77</v>
      </c>
      <c r="G64" t="s">
        <v>34</v>
      </c>
      <c r="H64" s="1">
        <v>45481</v>
      </c>
      <c r="I64" s="1">
        <v>45510</v>
      </c>
      <c r="J64" t="s">
        <v>38</v>
      </c>
      <c r="K64" s="8">
        <f>Table2[[#This Row],[CurrentStock]]*Table2[[#This Row],[UnitPrice]]</f>
        <v>0</v>
      </c>
      <c r="L64" t="str">
        <f>IF(Table2[[#This Row],[CurrentStock]]&lt;=Table2[[#This Row],[ReorderLevel]], "Reorder Needed", "Okay")</f>
        <v>Reorder Needed</v>
      </c>
      <c r="M64" s="7">
        <f>IF(Table2[[#This Row],[CurrentStock]]-Table2[[#This Row],[ReorderLevel]]&lt;0,Table2[[#This Row],[CurrentStock]]-Table2[[#This Row],[ReorderLevel]],"")</f>
        <v>-40</v>
      </c>
      <c r="N64" t="str">
        <f>IF(Table2[[#This Row],[Stock Gap]]&lt;0, "Understock","Okay")</f>
        <v>Understock</v>
      </c>
      <c r="O64" s="13" t="str">
        <f>IF(Table2[[#This Row],[Stock Gap]]&lt;0, "Yes", "No")</f>
        <v>Yes</v>
      </c>
      <c r="P64" s="13" t="str">
        <f>IF(Table2[[#This Row],[CurrentStock]]&lt;Table2[[#This Row],[ReorderLevel]],"Reorder", "Okay")</f>
        <v>Reorder</v>
      </c>
      <c r="Q64" s="13" t="str">
        <f>IF(Table2[[#This Row],[CurrentStock]]&gt;Table2[[#This Row],[ReorderLevel]]*3, "Overstock", "Okay")</f>
        <v>Okay</v>
      </c>
    </row>
    <row r="65" spans="1:17" x14ac:dyDescent="0.35">
      <c r="A65">
        <v>30559</v>
      </c>
      <c r="B65" t="s">
        <v>22</v>
      </c>
      <c r="C65" t="s">
        <v>29</v>
      </c>
      <c r="D65">
        <v>57</v>
      </c>
      <c r="E65">
        <v>50</v>
      </c>
      <c r="F65" s="2">
        <v>489.06</v>
      </c>
      <c r="G65" t="s">
        <v>35</v>
      </c>
      <c r="H65" s="1">
        <v>45464</v>
      </c>
      <c r="I65" s="1">
        <v>45489</v>
      </c>
      <c r="J65" t="s">
        <v>37</v>
      </c>
      <c r="K65" s="8">
        <f>Table2[[#This Row],[CurrentStock]]*Table2[[#This Row],[UnitPrice]]</f>
        <v>27876.420000000002</v>
      </c>
      <c r="L65" t="str">
        <f>IF(Table2[[#This Row],[CurrentStock]]&lt;=Table2[[#This Row],[ReorderLevel]], "Reorder Needed", "Okay")</f>
        <v>Okay</v>
      </c>
      <c r="M65" t="str">
        <f>IF(Table2[[#This Row],[CurrentStock]]-Table2[[#This Row],[ReorderLevel]]&lt;0,Table2[[#This Row],[CurrentStock]]-Table2[[#This Row],[ReorderLevel]],"")</f>
        <v/>
      </c>
      <c r="N65" t="str">
        <f>IF(Table2[[#This Row],[Stock Gap]]&lt;0, "Understock","Okay")</f>
        <v>Okay</v>
      </c>
      <c r="O65" s="13" t="str">
        <f>IF(Table2[[#This Row],[Stock Gap]]&lt;0, "Yes", "No")</f>
        <v>No</v>
      </c>
      <c r="P65" s="13" t="str">
        <f>IF(Table2[[#This Row],[CurrentStock]]&lt;Table2[[#This Row],[ReorderLevel]],"Reorder", "Okay")</f>
        <v>Okay</v>
      </c>
      <c r="Q65" s="13" t="str">
        <f>IF(Table2[[#This Row],[CurrentStock]]&gt;Table2[[#This Row],[ReorderLevel]]*3, "Overstock", "Okay")</f>
        <v>Okay</v>
      </c>
    </row>
    <row r="66" spans="1:17" x14ac:dyDescent="0.35">
      <c r="A66">
        <v>62638</v>
      </c>
      <c r="B66" t="s">
        <v>9</v>
      </c>
      <c r="C66" t="s">
        <v>26</v>
      </c>
      <c r="D66">
        <v>163</v>
      </c>
      <c r="E66">
        <v>40</v>
      </c>
      <c r="F66" s="2">
        <v>349.23</v>
      </c>
      <c r="G66" t="s">
        <v>34</v>
      </c>
      <c r="H66" s="1">
        <v>45338</v>
      </c>
      <c r="I66" s="1">
        <v>45356</v>
      </c>
      <c r="J66" t="s">
        <v>36</v>
      </c>
      <c r="K66" s="8">
        <f>Table2[[#This Row],[CurrentStock]]*Table2[[#This Row],[UnitPrice]]</f>
        <v>56924.490000000005</v>
      </c>
      <c r="L66" t="str">
        <f>IF(Table2[[#This Row],[CurrentStock]]&lt;=Table2[[#This Row],[ReorderLevel]], "Reorder Needed", "Okay")</f>
        <v>Okay</v>
      </c>
      <c r="M66" t="str">
        <f>IF(Table2[[#This Row],[CurrentStock]]-Table2[[#This Row],[ReorderLevel]]&lt;0,Table2[[#This Row],[CurrentStock]]-Table2[[#This Row],[ReorderLevel]],"")</f>
        <v/>
      </c>
      <c r="N66" t="str">
        <f>IF(Table2[[#This Row],[Stock Gap]]&lt;0, "Understock","Okay")</f>
        <v>Okay</v>
      </c>
      <c r="O66" s="13" t="str">
        <f>IF(Table2[[#This Row],[Stock Gap]]&lt;0, "Yes", "No")</f>
        <v>No</v>
      </c>
      <c r="P66" s="13" t="str">
        <f>IF(Table2[[#This Row],[CurrentStock]]&lt;Table2[[#This Row],[ReorderLevel]],"Reorder", "Okay")</f>
        <v>Okay</v>
      </c>
      <c r="Q66" s="13" t="str">
        <f>IF(Table2[[#This Row],[CurrentStock]]&gt;Table2[[#This Row],[ReorderLevel]]*3, "Overstock", "Okay")</f>
        <v>Overstock</v>
      </c>
    </row>
    <row r="67" spans="1:17" x14ac:dyDescent="0.35">
      <c r="A67">
        <v>31447</v>
      </c>
      <c r="B67" t="s">
        <v>12</v>
      </c>
      <c r="C67" t="s">
        <v>28</v>
      </c>
      <c r="D67">
        <v>440</v>
      </c>
      <c r="E67">
        <v>40</v>
      </c>
      <c r="F67" s="2">
        <v>144.08000000000001</v>
      </c>
      <c r="G67" t="s">
        <v>33</v>
      </c>
      <c r="H67" s="1">
        <v>45515</v>
      </c>
      <c r="I67" s="1">
        <v>45535</v>
      </c>
      <c r="J67" t="s">
        <v>36</v>
      </c>
      <c r="K67" s="8">
        <f>Table2[[#This Row],[CurrentStock]]*Table2[[#This Row],[UnitPrice]]</f>
        <v>63395.200000000004</v>
      </c>
      <c r="L67" t="str">
        <f>IF(Table2[[#This Row],[CurrentStock]]&lt;=Table2[[#This Row],[ReorderLevel]], "Reorder Needed", "Okay")</f>
        <v>Okay</v>
      </c>
      <c r="M67" t="str">
        <f>IF(Table2[[#This Row],[CurrentStock]]-Table2[[#This Row],[ReorderLevel]]&lt;0,Table2[[#This Row],[CurrentStock]]-Table2[[#This Row],[ReorderLevel]],"")</f>
        <v/>
      </c>
      <c r="N67" t="str">
        <f>IF(Table2[[#This Row],[Stock Gap]]&lt;0, "Understock","Okay")</f>
        <v>Okay</v>
      </c>
      <c r="O67" s="13" t="str">
        <f>IF(Table2[[#This Row],[Stock Gap]]&lt;0, "Yes", "No")</f>
        <v>No</v>
      </c>
      <c r="P67" s="13" t="str">
        <f>IF(Table2[[#This Row],[CurrentStock]]&lt;Table2[[#This Row],[ReorderLevel]],"Reorder", "Okay")</f>
        <v>Okay</v>
      </c>
      <c r="Q67" s="13" t="str">
        <f>IF(Table2[[#This Row],[CurrentStock]]&gt;Table2[[#This Row],[ReorderLevel]]*3, "Overstock", "Okay")</f>
        <v>Overstock</v>
      </c>
    </row>
    <row r="68" spans="1:17" x14ac:dyDescent="0.35">
      <c r="A68">
        <v>14835</v>
      </c>
      <c r="B68" t="s">
        <v>20</v>
      </c>
      <c r="C68" t="s">
        <v>30</v>
      </c>
      <c r="D68">
        <v>135</v>
      </c>
      <c r="E68">
        <v>30</v>
      </c>
      <c r="F68" s="2">
        <v>118.55</v>
      </c>
      <c r="G68" t="s">
        <v>31</v>
      </c>
      <c r="H68" s="1">
        <v>45319</v>
      </c>
      <c r="I68" s="1">
        <v>45351</v>
      </c>
      <c r="J68" t="s">
        <v>38</v>
      </c>
      <c r="K68" s="8">
        <f>Table2[[#This Row],[CurrentStock]]*Table2[[#This Row],[UnitPrice]]</f>
        <v>16004.25</v>
      </c>
      <c r="L68" t="str">
        <f>IF(Table2[[#This Row],[CurrentStock]]&lt;=Table2[[#This Row],[ReorderLevel]], "Reorder Needed", "Okay")</f>
        <v>Okay</v>
      </c>
      <c r="M68" t="str">
        <f>IF(Table2[[#This Row],[CurrentStock]]-Table2[[#This Row],[ReorderLevel]]&lt;0,Table2[[#This Row],[CurrentStock]]-Table2[[#This Row],[ReorderLevel]],"")</f>
        <v/>
      </c>
      <c r="N68" t="str">
        <f>IF(Table2[[#This Row],[Stock Gap]]&lt;0, "Understock","Okay")</f>
        <v>Okay</v>
      </c>
      <c r="O68" s="13" t="str">
        <f>IF(Table2[[#This Row],[Stock Gap]]&lt;0, "Yes", "No")</f>
        <v>No</v>
      </c>
      <c r="P68" s="13" t="str">
        <f>IF(Table2[[#This Row],[CurrentStock]]&lt;Table2[[#This Row],[ReorderLevel]],"Reorder", "Okay")</f>
        <v>Okay</v>
      </c>
      <c r="Q68" s="13" t="str">
        <f>IF(Table2[[#This Row],[CurrentStock]]&gt;Table2[[#This Row],[ReorderLevel]]*3, "Overstock", "Okay")</f>
        <v>Overstock</v>
      </c>
    </row>
    <row r="69" spans="1:17" x14ac:dyDescent="0.35">
      <c r="A69">
        <v>37532</v>
      </c>
      <c r="B69" t="s">
        <v>17</v>
      </c>
      <c r="C69" t="s">
        <v>27</v>
      </c>
      <c r="D69">
        <v>416</v>
      </c>
      <c r="E69">
        <v>80</v>
      </c>
      <c r="F69" s="2">
        <v>407.83</v>
      </c>
      <c r="G69" t="s">
        <v>31</v>
      </c>
      <c r="H69" s="1">
        <v>45511</v>
      </c>
      <c r="I69" s="1">
        <v>45544</v>
      </c>
      <c r="J69" t="s">
        <v>36</v>
      </c>
      <c r="K69" s="8">
        <f>Table2[[#This Row],[CurrentStock]]*Table2[[#This Row],[UnitPrice]]</f>
        <v>169657.28</v>
      </c>
      <c r="L69" t="str">
        <f>IF(Table2[[#This Row],[CurrentStock]]&lt;=Table2[[#This Row],[ReorderLevel]], "Reorder Needed", "Okay")</f>
        <v>Okay</v>
      </c>
      <c r="M69" t="str">
        <f>IF(Table2[[#This Row],[CurrentStock]]-Table2[[#This Row],[ReorderLevel]]&lt;0,Table2[[#This Row],[CurrentStock]]-Table2[[#This Row],[ReorderLevel]],"")</f>
        <v/>
      </c>
      <c r="N69" t="str">
        <f>IF(Table2[[#This Row],[Stock Gap]]&lt;0, "Understock","Okay")</f>
        <v>Okay</v>
      </c>
      <c r="O69" s="13" t="str">
        <f>IF(Table2[[#This Row],[Stock Gap]]&lt;0, "Yes", "No")</f>
        <v>No</v>
      </c>
      <c r="P69" s="13" t="str">
        <f>IF(Table2[[#This Row],[CurrentStock]]&lt;Table2[[#This Row],[ReorderLevel]],"Reorder", "Okay")</f>
        <v>Okay</v>
      </c>
      <c r="Q69" s="13" t="str">
        <f>IF(Table2[[#This Row],[CurrentStock]]&gt;Table2[[#This Row],[ReorderLevel]]*3, "Overstock", "Okay")</f>
        <v>Overstock</v>
      </c>
    </row>
    <row r="70" spans="1:17" x14ac:dyDescent="0.35">
      <c r="A70">
        <v>33793</v>
      </c>
      <c r="B70" t="s">
        <v>24</v>
      </c>
      <c r="C70" t="s">
        <v>30</v>
      </c>
      <c r="D70">
        <v>255</v>
      </c>
      <c r="E70">
        <v>80</v>
      </c>
      <c r="F70" s="2">
        <v>308.64</v>
      </c>
      <c r="G70" t="s">
        <v>31</v>
      </c>
      <c r="H70" s="1">
        <v>45301</v>
      </c>
      <c r="I70" s="1">
        <v>45335</v>
      </c>
      <c r="J70" t="s">
        <v>36</v>
      </c>
      <c r="K70" s="8">
        <f>Table2[[#This Row],[CurrentStock]]*Table2[[#This Row],[UnitPrice]]</f>
        <v>78703.199999999997</v>
      </c>
      <c r="L70" t="str">
        <f>IF(Table2[[#This Row],[CurrentStock]]&lt;=Table2[[#This Row],[ReorderLevel]], "Reorder Needed", "Okay")</f>
        <v>Okay</v>
      </c>
      <c r="M70" t="str">
        <f>IF(Table2[[#This Row],[CurrentStock]]-Table2[[#This Row],[ReorderLevel]]&lt;0,Table2[[#This Row],[CurrentStock]]-Table2[[#This Row],[ReorderLevel]],"")</f>
        <v/>
      </c>
      <c r="N70" t="str">
        <f>IF(Table2[[#This Row],[Stock Gap]]&lt;0, "Understock","Okay")</f>
        <v>Okay</v>
      </c>
      <c r="O70" s="13" t="str">
        <f>IF(Table2[[#This Row],[Stock Gap]]&lt;0, "Yes", "No")</f>
        <v>No</v>
      </c>
      <c r="P70" s="13" t="str">
        <f>IF(Table2[[#This Row],[CurrentStock]]&lt;Table2[[#This Row],[ReorderLevel]],"Reorder", "Okay")</f>
        <v>Okay</v>
      </c>
      <c r="Q70" s="13" t="str">
        <f>IF(Table2[[#This Row],[CurrentStock]]&gt;Table2[[#This Row],[ReorderLevel]]*3, "Overstock", "Okay")</f>
        <v>Overstock</v>
      </c>
    </row>
    <row r="71" spans="1:17" x14ac:dyDescent="0.35">
      <c r="A71">
        <v>72292</v>
      </c>
      <c r="B71" t="s">
        <v>15</v>
      </c>
      <c r="C71" t="s">
        <v>29</v>
      </c>
      <c r="D71">
        <v>288</v>
      </c>
      <c r="E71">
        <v>100</v>
      </c>
      <c r="F71" s="2">
        <v>406.22</v>
      </c>
      <c r="G71" t="s">
        <v>32</v>
      </c>
      <c r="H71" s="1">
        <v>45515</v>
      </c>
      <c r="I71" s="1">
        <v>45530</v>
      </c>
      <c r="J71" t="s">
        <v>37</v>
      </c>
      <c r="K71" s="8">
        <f>Table2[[#This Row],[CurrentStock]]*Table2[[#This Row],[UnitPrice]]</f>
        <v>116991.36000000002</v>
      </c>
      <c r="L71" t="str">
        <f>IF(Table2[[#This Row],[CurrentStock]]&lt;=Table2[[#This Row],[ReorderLevel]], "Reorder Needed", "Okay")</f>
        <v>Okay</v>
      </c>
      <c r="M71" t="str">
        <f>IF(Table2[[#This Row],[CurrentStock]]-Table2[[#This Row],[ReorderLevel]]&lt;0,Table2[[#This Row],[CurrentStock]]-Table2[[#This Row],[ReorderLevel]],"")</f>
        <v/>
      </c>
      <c r="N71" t="str">
        <f>IF(Table2[[#This Row],[Stock Gap]]&lt;0, "Understock","Okay")</f>
        <v>Okay</v>
      </c>
      <c r="O71" s="13" t="str">
        <f>IF(Table2[[#This Row],[Stock Gap]]&lt;0, "Yes", "No")</f>
        <v>No</v>
      </c>
      <c r="P71" s="13" t="str">
        <f>IF(Table2[[#This Row],[CurrentStock]]&lt;Table2[[#This Row],[ReorderLevel]],"Reorder", "Okay")</f>
        <v>Okay</v>
      </c>
      <c r="Q71" s="13" t="str">
        <f>IF(Table2[[#This Row],[CurrentStock]]&gt;Table2[[#This Row],[ReorderLevel]]*3, "Overstock", "Okay")</f>
        <v>Okay</v>
      </c>
    </row>
    <row r="72" spans="1:17" x14ac:dyDescent="0.35">
      <c r="A72">
        <v>18702</v>
      </c>
      <c r="B72" t="s">
        <v>11</v>
      </c>
      <c r="C72" t="s">
        <v>27</v>
      </c>
      <c r="D72">
        <v>314</v>
      </c>
      <c r="E72">
        <v>40</v>
      </c>
      <c r="F72" s="2">
        <v>286.7</v>
      </c>
      <c r="G72" t="s">
        <v>34</v>
      </c>
      <c r="H72" s="1">
        <v>45389</v>
      </c>
      <c r="I72" s="1">
        <v>45428</v>
      </c>
      <c r="J72" t="s">
        <v>36</v>
      </c>
      <c r="K72" s="8">
        <f>Table2[[#This Row],[CurrentStock]]*Table2[[#This Row],[UnitPrice]]</f>
        <v>90023.8</v>
      </c>
      <c r="L72" t="str">
        <f>IF(Table2[[#This Row],[CurrentStock]]&lt;=Table2[[#This Row],[ReorderLevel]], "Reorder Needed", "Okay")</f>
        <v>Okay</v>
      </c>
      <c r="M72" t="str">
        <f>IF(Table2[[#This Row],[CurrentStock]]-Table2[[#This Row],[ReorderLevel]]&lt;0,Table2[[#This Row],[CurrentStock]]-Table2[[#This Row],[ReorderLevel]],"")</f>
        <v/>
      </c>
      <c r="N72" t="str">
        <f>IF(Table2[[#This Row],[Stock Gap]]&lt;0, "Understock","Okay")</f>
        <v>Okay</v>
      </c>
      <c r="O72" s="13" t="str">
        <f>IF(Table2[[#This Row],[Stock Gap]]&lt;0, "Yes", "No")</f>
        <v>No</v>
      </c>
      <c r="P72" s="13" t="str">
        <f>IF(Table2[[#This Row],[CurrentStock]]&lt;Table2[[#This Row],[ReorderLevel]],"Reorder", "Okay")</f>
        <v>Okay</v>
      </c>
      <c r="Q72" s="13" t="str">
        <f>IF(Table2[[#This Row],[CurrentStock]]&gt;Table2[[#This Row],[ReorderLevel]]*3, "Overstock", "Okay")</f>
        <v>Overstock</v>
      </c>
    </row>
    <row r="73" spans="1:17" x14ac:dyDescent="0.35">
      <c r="A73">
        <v>33524</v>
      </c>
      <c r="B73" t="s">
        <v>9</v>
      </c>
      <c r="C73" t="s">
        <v>26</v>
      </c>
      <c r="D73">
        <v>196</v>
      </c>
      <c r="E73">
        <v>150</v>
      </c>
      <c r="F73" s="2">
        <v>376.21</v>
      </c>
      <c r="G73" t="s">
        <v>35</v>
      </c>
      <c r="H73" s="1">
        <v>45550</v>
      </c>
      <c r="I73" s="1">
        <v>45577</v>
      </c>
      <c r="J73" t="s">
        <v>36</v>
      </c>
      <c r="K73" s="8">
        <f>Table2[[#This Row],[CurrentStock]]*Table2[[#This Row],[UnitPrice]]</f>
        <v>73737.159999999989</v>
      </c>
      <c r="L73" t="str">
        <f>IF(Table2[[#This Row],[CurrentStock]]&lt;=Table2[[#This Row],[ReorderLevel]], "Reorder Needed", "Okay")</f>
        <v>Okay</v>
      </c>
      <c r="M73" t="str">
        <f>IF(Table2[[#This Row],[CurrentStock]]-Table2[[#This Row],[ReorderLevel]]&lt;0,Table2[[#This Row],[CurrentStock]]-Table2[[#This Row],[ReorderLevel]],"")</f>
        <v/>
      </c>
      <c r="N73" t="str">
        <f>IF(Table2[[#This Row],[Stock Gap]]&lt;0, "Understock","Okay")</f>
        <v>Okay</v>
      </c>
      <c r="O73" s="13" t="str">
        <f>IF(Table2[[#This Row],[Stock Gap]]&lt;0, "Yes", "No")</f>
        <v>No</v>
      </c>
      <c r="P73" s="13" t="str">
        <f>IF(Table2[[#This Row],[CurrentStock]]&lt;Table2[[#This Row],[ReorderLevel]],"Reorder", "Okay")</f>
        <v>Okay</v>
      </c>
      <c r="Q73" s="13" t="str">
        <f>IF(Table2[[#This Row],[CurrentStock]]&gt;Table2[[#This Row],[ReorderLevel]]*3, "Overstock", "Okay")</f>
        <v>Okay</v>
      </c>
    </row>
    <row r="74" spans="1:17" x14ac:dyDescent="0.35">
      <c r="A74">
        <v>67091</v>
      </c>
      <c r="B74" t="s">
        <v>20</v>
      </c>
      <c r="C74" t="s">
        <v>30</v>
      </c>
      <c r="D74">
        <v>82</v>
      </c>
      <c r="E74">
        <v>20</v>
      </c>
      <c r="F74" s="2">
        <v>124.34</v>
      </c>
      <c r="G74" t="s">
        <v>34</v>
      </c>
      <c r="H74" s="1">
        <v>45292</v>
      </c>
      <c r="I74" s="1">
        <v>45309</v>
      </c>
      <c r="J74" t="s">
        <v>36</v>
      </c>
      <c r="K74" s="8">
        <f>Table2[[#This Row],[CurrentStock]]*Table2[[#This Row],[UnitPrice]]</f>
        <v>10195.880000000001</v>
      </c>
      <c r="L74" t="str">
        <f>IF(Table2[[#This Row],[CurrentStock]]&lt;=Table2[[#This Row],[ReorderLevel]], "Reorder Needed", "Okay")</f>
        <v>Okay</v>
      </c>
      <c r="M74" t="str">
        <f>IF(Table2[[#This Row],[CurrentStock]]-Table2[[#This Row],[ReorderLevel]]&lt;0,Table2[[#This Row],[CurrentStock]]-Table2[[#This Row],[ReorderLevel]],"")</f>
        <v/>
      </c>
      <c r="N74" t="str">
        <f>IF(Table2[[#This Row],[Stock Gap]]&lt;0, "Understock","Okay")</f>
        <v>Okay</v>
      </c>
      <c r="O74" s="13" t="str">
        <f>IF(Table2[[#This Row],[Stock Gap]]&lt;0, "Yes", "No")</f>
        <v>No</v>
      </c>
      <c r="P74" s="13" t="str">
        <f>IF(Table2[[#This Row],[CurrentStock]]&lt;Table2[[#This Row],[ReorderLevel]],"Reorder", "Okay")</f>
        <v>Okay</v>
      </c>
      <c r="Q74" s="13" t="str">
        <f>IF(Table2[[#This Row],[CurrentStock]]&gt;Table2[[#This Row],[ReorderLevel]]*3, "Overstock", "Okay")</f>
        <v>Overstock</v>
      </c>
    </row>
    <row r="75" spans="1:17" x14ac:dyDescent="0.35">
      <c r="A75">
        <v>42049</v>
      </c>
      <c r="B75" t="s">
        <v>24</v>
      </c>
      <c r="C75" t="s">
        <v>30</v>
      </c>
      <c r="D75">
        <v>71</v>
      </c>
      <c r="E75">
        <v>150</v>
      </c>
      <c r="F75" s="2">
        <v>337.43</v>
      </c>
      <c r="G75" t="s">
        <v>33</v>
      </c>
      <c r="H75" s="1">
        <v>45453</v>
      </c>
      <c r="I75" s="1">
        <v>45460</v>
      </c>
      <c r="J75" t="s">
        <v>36</v>
      </c>
      <c r="K75" s="8">
        <f>Table2[[#This Row],[CurrentStock]]*Table2[[#This Row],[UnitPrice]]</f>
        <v>23957.53</v>
      </c>
      <c r="L75" t="str">
        <f>IF(Table2[[#This Row],[CurrentStock]]&lt;=Table2[[#This Row],[ReorderLevel]], "Reorder Needed", "Okay")</f>
        <v>Reorder Needed</v>
      </c>
      <c r="M75" s="7">
        <f>IF(Table2[[#This Row],[CurrentStock]]-Table2[[#This Row],[ReorderLevel]]&lt;0,Table2[[#This Row],[CurrentStock]]-Table2[[#This Row],[ReorderLevel]],"")</f>
        <v>-79</v>
      </c>
      <c r="N75" t="str">
        <f>IF(Table2[[#This Row],[Stock Gap]]&lt;0, "Understock","Okay")</f>
        <v>Understock</v>
      </c>
      <c r="O75" s="13" t="str">
        <f>IF(Table2[[#This Row],[Stock Gap]]&lt;0, "Yes", "No")</f>
        <v>Yes</v>
      </c>
      <c r="P75" s="13" t="str">
        <f>IF(Table2[[#This Row],[CurrentStock]]&lt;Table2[[#This Row],[ReorderLevel]],"Reorder", "Okay")</f>
        <v>Reorder</v>
      </c>
      <c r="Q75" s="13" t="str">
        <f>IF(Table2[[#This Row],[CurrentStock]]&gt;Table2[[#This Row],[ReorderLevel]]*3, "Overstock", "Okay")</f>
        <v>Okay</v>
      </c>
    </row>
    <row r="76" spans="1:17" x14ac:dyDescent="0.35">
      <c r="A76">
        <v>54238</v>
      </c>
      <c r="B76" t="s">
        <v>9</v>
      </c>
      <c r="C76" t="s">
        <v>26</v>
      </c>
      <c r="D76">
        <v>477</v>
      </c>
      <c r="E76">
        <v>100</v>
      </c>
      <c r="F76" s="2">
        <v>396.95</v>
      </c>
      <c r="G76" t="s">
        <v>35</v>
      </c>
      <c r="H76" s="1">
        <v>45403</v>
      </c>
      <c r="I76" s="1">
        <v>45430</v>
      </c>
      <c r="J76" t="s">
        <v>36</v>
      </c>
      <c r="K76" s="8">
        <f>Table2[[#This Row],[CurrentStock]]*Table2[[#This Row],[UnitPrice]]</f>
        <v>189345.15</v>
      </c>
      <c r="L76" t="str">
        <f>IF(Table2[[#This Row],[CurrentStock]]&lt;=Table2[[#This Row],[ReorderLevel]], "Reorder Needed", "Okay")</f>
        <v>Okay</v>
      </c>
      <c r="M76" t="str">
        <f>IF(Table2[[#This Row],[CurrentStock]]-Table2[[#This Row],[ReorderLevel]]&lt;0,Table2[[#This Row],[CurrentStock]]-Table2[[#This Row],[ReorderLevel]],"")</f>
        <v/>
      </c>
      <c r="N76" t="str">
        <f>IF(Table2[[#This Row],[Stock Gap]]&lt;0, "Understock","Okay")</f>
        <v>Okay</v>
      </c>
      <c r="O76" s="13" t="str">
        <f>IF(Table2[[#This Row],[Stock Gap]]&lt;0, "Yes", "No")</f>
        <v>No</v>
      </c>
      <c r="P76" s="13" t="str">
        <f>IF(Table2[[#This Row],[CurrentStock]]&lt;Table2[[#This Row],[ReorderLevel]],"Reorder", "Okay")</f>
        <v>Okay</v>
      </c>
      <c r="Q76" s="13" t="str">
        <f>IF(Table2[[#This Row],[CurrentStock]]&gt;Table2[[#This Row],[ReorderLevel]]*3, "Overstock", "Okay")</f>
        <v>Overstock</v>
      </c>
    </row>
    <row r="77" spans="1:17" x14ac:dyDescent="0.35">
      <c r="A77">
        <v>16949</v>
      </c>
      <c r="B77" t="s">
        <v>24</v>
      </c>
      <c r="C77" t="s">
        <v>30</v>
      </c>
      <c r="D77">
        <v>434</v>
      </c>
      <c r="E77">
        <v>150</v>
      </c>
      <c r="F77" s="2">
        <v>72.5</v>
      </c>
      <c r="G77" t="s">
        <v>32</v>
      </c>
      <c r="H77" s="1">
        <v>45543</v>
      </c>
      <c r="I77" s="1">
        <v>45581</v>
      </c>
      <c r="J77" t="s">
        <v>38</v>
      </c>
      <c r="K77" s="8">
        <f>Table2[[#This Row],[CurrentStock]]*Table2[[#This Row],[UnitPrice]]</f>
        <v>31465</v>
      </c>
      <c r="L77" t="str">
        <f>IF(Table2[[#This Row],[CurrentStock]]&lt;=Table2[[#This Row],[ReorderLevel]], "Reorder Needed", "Okay")</f>
        <v>Okay</v>
      </c>
      <c r="M77" t="str">
        <f>IF(Table2[[#This Row],[CurrentStock]]-Table2[[#This Row],[ReorderLevel]]&lt;0,Table2[[#This Row],[CurrentStock]]-Table2[[#This Row],[ReorderLevel]],"")</f>
        <v/>
      </c>
      <c r="N77" t="str">
        <f>IF(Table2[[#This Row],[Stock Gap]]&lt;0, "Understock","Okay")</f>
        <v>Okay</v>
      </c>
      <c r="O77" s="13" t="str">
        <f>IF(Table2[[#This Row],[Stock Gap]]&lt;0, "Yes", "No")</f>
        <v>No</v>
      </c>
      <c r="P77" s="13" t="str">
        <f>IF(Table2[[#This Row],[CurrentStock]]&lt;Table2[[#This Row],[ReorderLevel]],"Reorder", "Okay")</f>
        <v>Okay</v>
      </c>
      <c r="Q77" s="13" t="str">
        <f>IF(Table2[[#This Row],[CurrentStock]]&gt;Table2[[#This Row],[ReorderLevel]]*3, "Overstock", "Okay")</f>
        <v>Okay</v>
      </c>
    </row>
    <row r="78" spans="1:17" x14ac:dyDescent="0.35">
      <c r="A78">
        <v>52318</v>
      </c>
      <c r="B78" t="s">
        <v>20</v>
      </c>
      <c r="C78" t="s">
        <v>30</v>
      </c>
      <c r="D78">
        <v>334</v>
      </c>
      <c r="E78">
        <v>40</v>
      </c>
      <c r="F78" s="2">
        <v>50.05</v>
      </c>
      <c r="G78" t="s">
        <v>33</v>
      </c>
      <c r="H78" s="1">
        <v>45599</v>
      </c>
      <c r="I78" s="1">
        <v>45636</v>
      </c>
      <c r="J78" t="s">
        <v>38</v>
      </c>
      <c r="K78" s="8">
        <f>Table2[[#This Row],[CurrentStock]]*Table2[[#This Row],[UnitPrice]]</f>
        <v>16716.7</v>
      </c>
      <c r="L78" t="str">
        <f>IF(Table2[[#This Row],[CurrentStock]]&lt;=Table2[[#This Row],[ReorderLevel]], "Reorder Needed", "Okay")</f>
        <v>Okay</v>
      </c>
      <c r="M78" t="str">
        <f>IF(Table2[[#This Row],[CurrentStock]]-Table2[[#This Row],[ReorderLevel]]&lt;0,Table2[[#This Row],[CurrentStock]]-Table2[[#This Row],[ReorderLevel]],"")</f>
        <v/>
      </c>
      <c r="N78" t="str">
        <f>IF(Table2[[#This Row],[Stock Gap]]&lt;0, "Understock","Okay")</f>
        <v>Okay</v>
      </c>
      <c r="O78" s="13" t="str">
        <f>IF(Table2[[#This Row],[Stock Gap]]&lt;0, "Yes", "No")</f>
        <v>No</v>
      </c>
      <c r="P78" s="13" t="str">
        <f>IF(Table2[[#This Row],[CurrentStock]]&lt;Table2[[#This Row],[ReorderLevel]],"Reorder", "Okay")</f>
        <v>Okay</v>
      </c>
      <c r="Q78" s="13" t="str">
        <f>IF(Table2[[#This Row],[CurrentStock]]&gt;Table2[[#This Row],[ReorderLevel]]*3, "Overstock", "Okay")</f>
        <v>Overstock</v>
      </c>
    </row>
    <row r="79" spans="1:17" x14ac:dyDescent="0.35">
      <c r="A79">
        <v>97369</v>
      </c>
      <c r="B79" t="s">
        <v>24</v>
      </c>
      <c r="C79" t="s">
        <v>30</v>
      </c>
      <c r="D79">
        <v>80</v>
      </c>
      <c r="E79">
        <v>80</v>
      </c>
      <c r="F79" s="2">
        <v>399.25</v>
      </c>
      <c r="G79" t="s">
        <v>34</v>
      </c>
      <c r="H79" s="1">
        <v>45429</v>
      </c>
      <c r="I79" s="1">
        <v>45450</v>
      </c>
      <c r="J79" t="s">
        <v>36</v>
      </c>
      <c r="K79" s="8">
        <f>Table2[[#This Row],[CurrentStock]]*Table2[[#This Row],[UnitPrice]]</f>
        <v>31940</v>
      </c>
      <c r="L79" t="str">
        <f>IF(Table2[[#This Row],[CurrentStock]]&lt;=Table2[[#This Row],[ReorderLevel]], "Reorder Needed", "Okay")</f>
        <v>Reorder Needed</v>
      </c>
      <c r="M79" s="7" t="str">
        <f>IF(Table2[[#This Row],[CurrentStock]]-Table2[[#This Row],[ReorderLevel]]&lt;0,Table2[[#This Row],[CurrentStock]]-Table2[[#This Row],[ReorderLevel]],"")</f>
        <v/>
      </c>
      <c r="N79" t="str">
        <f>IF(Table2[[#This Row],[Stock Gap]]&lt;0, "Understock","Okay")</f>
        <v>Okay</v>
      </c>
      <c r="O79" s="13" t="str">
        <f>IF(Table2[[#This Row],[Stock Gap]]&lt;0, "Yes", "No")</f>
        <v>No</v>
      </c>
      <c r="P79" s="13" t="str">
        <f>IF(Table2[[#This Row],[CurrentStock]]&lt;Table2[[#This Row],[ReorderLevel]],"Reorder", "Okay")</f>
        <v>Okay</v>
      </c>
      <c r="Q79" s="13" t="str">
        <f>IF(Table2[[#This Row],[CurrentStock]]&gt;Table2[[#This Row],[ReorderLevel]]*3, "Overstock", "Okay")</f>
        <v>Okay</v>
      </c>
    </row>
    <row r="80" spans="1:17" x14ac:dyDescent="0.35">
      <c r="A80">
        <v>16254</v>
      </c>
      <c r="B80" t="s">
        <v>20</v>
      </c>
      <c r="C80" t="s">
        <v>30</v>
      </c>
      <c r="D80">
        <v>52</v>
      </c>
      <c r="E80">
        <v>30</v>
      </c>
      <c r="F80" s="2">
        <v>167.73</v>
      </c>
      <c r="G80" t="s">
        <v>34</v>
      </c>
      <c r="H80" s="1">
        <v>45526</v>
      </c>
      <c r="I80" s="1">
        <v>45541</v>
      </c>
      <c r="J80" t="s">
        <v>37</v>
      </c>
      <c r="K80" s="8">
        <f>Table2[[#This Row],[CurrentStock]]*Table2[[#This Row],[UnitPrice]]</f>
        <v>8721.9599999999991</v>
      </c>
      <c r="L80" t="str">
        <f>IF(Table2[[#This Row],[CurrentStock]]&lt;=Table2[[#This Row],[ReorderLevel]], "Reorder Needed", "Okay")</f>
        <v>Okay</v>
      </c>
      <c r="M80" t="str">
        <f>IF(Table2[[#This Row],[CurrentStock]]-Table2[[#This Row],[ReorderLevel]]&lt;0,Table2[[#This Row],[CurrentStock]]-Table2[[#This Row],[ReorderLevel]],"")</f>
        <v/>
      </c>
      <c r="N80" t="str">
        <f>IF(Table2[[#This Row],[Stock Gap]]&lt;0, "Understock","Okay")</f>
        <v>Okay</v>
      </c>
      <c r="O80" s="13" t="str">
        <f>IF(Table2[[#This Row],[Stock Gap]]&lt;0, "Yes", "No")</f>
        <v>No</v>
      </c>
      <c r="P80" s="13" t="str">
        <f>IF(Table2[[#This Row],[CurrentStock]]&lt;Table2[[#This Row],[ReorderLevel]],"Reorder", "Okay")</f>
        <v>Okay</v>
      </c>
      <c r="Q80" s="13" t="str">
        <f>IF(Table2[[#This Row],[CurrentStock]]&gt;Table2[[#This Row],[ReorderLevel]]*3, "Overstock", "Okay")</f>
        <v>Okay</v>
      </c>
    </row>
    <row r="81" spans="1:17" x14ac:dyDescent="0.35">
      <c r="A81">
        <v>93807</v>
      </c>
      <c r="B81" t="s">
        <v>14</v>
      </c>
      <c r="C81" t="s">
        <v>28</v>
      </c>
      <c r="D81">
        <v>399</v>
      </c>
      <c r="E81">
        <v>50</v>
      </c>
      <c r="F81" s="2">
        <v>95.03</v>
      </c>
      <c r="G81" t="s">
        <v>31</v>
      </c>
      <c r="H81" s="1">
        <v>45475</v>
      </c>
      <c r="I81" s="1">
        <v>45504</v>
      </c>
      <c r="J81" t="s">
        <v>37</v>
      </c>
      <c r="K81" s="8">
        <f>Table2[[#This Row],[CurrentStock]]*Table2[[#This Row],[UnitPrice]]</f>
        <v>37916.97</v>
      </c>
      <c r="L81" t="str">
        <f>IF(Table2[[#This Row],[CurrentStock]]&lt;=Table2[[#This Row],[ReorderLevel]], "Reorder Needed", "Okay")</f>
        <v>Okay</v>
      </c>
      <c r="M81" t="str">
        <f>IF(Table2[[#This Row],[CurrentStock]]-Table2[[#This Row],[ReorderLevel]]&lt;0,Table2[[#This Row],[CurrentStock]]-Table2[[#This Row],[ReorderLevel]],"")</f>
        <v/>
      </c>
      <c r="N81" t="str">
        <f>IF(Table2[[#This Row],[Stock Gap]]&lt;0, "Understock","Okay")</f>
        <v>Okay</v>
      </c>
      <c r="O81" s="13" t="str">
        <f>IF(Table2[[#This Row],[Stock Gap]]&lt;0, "Yes", "No")</f>
        <v>No</v>
      </c>
      <c r="P81" s="13" t="str">
        <f>IF(Table2[[#This Row],[CurrentStock]]&lt;Table2[[#This Row],[ReorderLevel]],"Reorder", "Okay")</f>
        <v>Okay</v>
      </c>
      <c r="Q81" s="13" t="str">
        <f>IF(Table2[[#This Row],[CurrentStock]]&gt;Table2[[#This Row],[ReorderLevel]]*3, "Overstock", "Okay")</f>
        <v>Overstock</v>
      </c>
    </row>
    <row r="82" spans="1:17" x14ac:dyDescent="0.35">
      <c r="A82">
        <v>97505</v>
      </c>
      <c r="B82" t="s">
        <v>16</v>
      </c>
      <c r="C82" t="s">
        <v>29</v>
      </c>
      <c r="D82">
        <v>433</v>
      </c>
      <c r="E82">
        <v>80</v>
      </c>
      <c r="F82" s="2">
        <v>100.18</v>
      </c>
      <c r="G82" t="s">
        <v>33</v>
      </c>
      <c r="H82" s="1">
        <v>45568</v>
      </c>
      <c r="I82" s="1">
        <v>45577</v>
      </c>
      <c r="J82" t="s">
        <v>38</v>
      </c>
      <c r="K82" s="8">
        <f>Table2[[#This Row],[CurrentStock]]*Table2[[#This Row],[UnitPrice]]</f>
        <v>43377.94</v>
      </c>
      <c r="L82" t="str">
        <f>IF(Table2[[#This Row],[CurrentStock]]&lt;=Table2[[#This Row],[ReorderLevel]], "Reorder Needed", "Okay")</f>
        <v>Okay</v>
      </c>
      <c r="M82" t="str">
        <f>IF(Table2[[#This Row],[CurrentStock]]-Table2[[#This Row],[ReorderLevel]]&lt;0,Table2[[#This Row],[CurrentStock]]-Table2[[#This Row],[ReorderLevel]],"")</f>
        <v/>
      </c>
      <c r="N82" t="str">
        <f>IF(Table2[[#This Row],[Stock Gap]]&lt;0, "Understock","Okay")</f>
        <v>Okay</v>
      </c>
      <c r="O82" s="13" t="str">
        <f>IF(Table2[[#This Row],[Stock Gap]]&lt;0, "Yes", "No")</f>
        <v>No</v>
      </c>
      <c r="P82" s="13" t="str">
        <f>IF(Table2[[#This Row],[CurrentStock]]&lt;Table2[[#This Row],[ReorderLevel]],"Reorder", "Okay")</f>
        <v>Okay</v>
      </c>
      <c r="Q82" s="13" t="str">
        <f>IF(Table2[[#This Row],[CurrentStock]]&gt;Table2[[#This Row],[ReorderLevel]]*3, "Overstock", "Okay")</f>
        <v>Overstock</v>
      </c>
    </row>
    <row r="83" spans="1:17" x14ac:dyDescent="0.35">
      <c r="A83">
        <v>28777</v>
      </c>
      <c r="B83" t="s">
        <v>22</v>
      </c>
      <c r="C83" t="s">
        <v>29</v>
      </c>
      <c r="D83">
        <v>404</v>
      </c>
      <c r="E83">
        <v>100</v>
      </c>
      <c r="F83" s="2">
        <v>64.709999999999994</v>
      </c>
      <c r="G83" t="s">
        <v>32</v>
      </c>
      <c r="H83" s="1">
        <v>45524</v>
      </c>
      <c r="I83" s="1">
        <v>45540</v>
      </c>
      <c r="J83" t="s">
        <v>36</v>
      </c>
      <c r="K83" s="8">
        <f>Table2[[#This Row],[CurrentStock]]*Table2[[#This Row],[UnitPrice]]</f>
        <v>26142.839999999997</v>
      </c>
      <c r="L83" t="str">
        <f>IF(Table2[[#This Row],[CurrentStock]]&lt;=Table2[[#This Row],[ReorderLevel]], "Reorder Needed", "Okay")</f>
        <v>Okay</v>
      </c>
      <c r="M83" t="str">
        <f>IF(Table2[[#This Row],[CurrentStock]]-Table2[[#This Row],[ReorderLevel]]&lt;0,Table2[[#This Row],[CurrentStock]]-Table2[[#This Row],[ReorderLevel]],"")</f>
        <v/>
      </c>
      <c r="N83" t="str">
        <f>IF(Table2[[#This Row],[Stock Gap]]&lt;0, "Understock","Okay")</f>
        <v>Okay</v>
      </c>
      <c r="O83" s="13" t="str">
        <f>IF(Table2[[#This Row],[Stock Gap]]&lt;0, "Yes", "No")</f>
        <v>No</v>
      </c>
      <c r="P83" s="13" t="str">
        <f>IF(Table2[[#This Row],[CurrentStock]]&lt;Table2[[#This Row],[ReorderLevel]],"Reorder", "Okay")</f>
        <v>Okay</v>
      </c>
      <c r="Q83" s="13" t="str">
        <f>IF(Table2[[#This Row],[CurrentStock]]&gt;Table2[[#This Row],[ReorderLevel]]*3, "Overstock", "Okay")</f>
        <v>Overstock</v>
      </c>
    </row>
    <row r="84" spans="1:17" x14ac:dyDescent="0.35">
      <c r="A84">
        <v>20478</v>
      </c>
      <c r="B84" t="s">
        <v>23</v>
      </c>
      <c r="C84" t="s">
        <v>30</v>
      </c>
      <c r="D84">
        <v>410</v>
      </c>
      <c r="E84">
        <v>20</v>
      </c>
      <c r="F84" s="2">
        <v>50.68</v>
      </c>
      <c r="G84" t="s">
        <v>31</v>
      </c>
      <c r="H84" s="1">
        <v>45338</v>
      </c>
      <c r="I84" s="1">
        <v>45364</v>
      </c>
      <c r="J84" t="s">
        <v>37</v>
      </c>
      <c r="K84" s="8">
        <f>Table2[[#This Row],[CurrentStock]]*Table2[[#This Row],[UnitPrice]]</f>
        <v>20778.8</v>
      </c>
      <c r="L84" t="str">
        <f>IF(Table2[[#This Row],[CurrentStock]]&lt;=Table2[[#This Row],[ReorderLevel]], "Reorder Needed", "Okay")</f>
        <v>Okay</v>
      </c>
      <c r="M84" t="str">
        <f>IF(Table2[[#This Row],[CurrentStock]]-Table2[[#This Row],[ReorderLevel]]&lt;0,Table2[[#This Row],[CurrentStock]]-Table2[[#This Row],[ReorderLevel]],"")</f>
        <v/>
      </c>
      <c r="N84" t="str">
        <f>IF(Table2[[#This Row],[Stock Gap]]&lt;0, "Understock","Okay")</f>
        <v>Okay</v>
      </c>
      <c r="O84" s="13" t="str">
        <f>IF(Table2[[#This Row],[Stock Gap]]&lt;0, "Yes", "No")</f>
        <v>No</v>
      </c>
      <c r="P84" s="13" t="str">
        <f>IF(Table2[[#This Row],[CurrentStock]]&lt;Table2[[#This Row],[ReorderLevel]],"Reorder", "Okay")</f>
        <v>Okay</v>
      </c>
      <c r="Q84" s="13" t="str">
        <f>IF(Table2[[#This Row],[CurrentStock]]&gt;Table2[[#This Row],[ReorderLevel]]*3, "Overstock", "Okay")</f>
        <v>Overstock</v>
      </c>
    </row>
    <row r="85" spans="1:17" x14ac:dyDescent="0.35">
      <c r="A85">
        <v>60428</v>
      </c>
      <c r="B85" t="s">
        <v>25</v>
      </c>
      <c r="C85" t="s">
        <v>29</v>
      </c>
      <c r="D85">
        <v>25</v>
      </c>
      <c r="E85">
        <v>50</v>
      </c>
      <c r="F85" s="2">
        <v>404.07</v>
      </c>
      <c r="G85" t="s">
        <v>33</v>
      </c>
      <c r="H85" s="1">
        <v>45404</v>
      </c>
      <c r="I85" s="1">
        <v>45443</v>
      </c>
      <c r="J85" t="s">
        <v>37</v>
      </c>
      <c r="K85" s="8">
        <f>Table2[[#This Row],[CurrentStock]]*Table2[[#This Row],[UnitPrice]]</f>
        <v>10101.75</v>
      </c>
      <c r="L85" t="str">
        <f>IF(Table2[[#This Row],[CurrentStock]]&lt;=Table2[[#This Row],[ReorderLevel]], "Reorder Needed", "Okay")</f>
        <v>Reorder Needed</v>
      </c>
      <c r="M85" s="7">
        <f>IF(Table2[[#This Row],[CurrentStock]]-Table2[[#This Row],[ReorderLevel]]&lt;0,Table2[[#This Row],[CurrentStock]]-Table2[[#This Row],[ReorderLevel]],"")</f>
        <v>-25</v>
      </c>
      <c r="N85" t="str">
        <f>IF(Table2[[#This Row],[Stock Gap]]&lt;0, "Understock","Okay")</f>
        <v>Understock</v>
      </c>
      <c r="O85" s="13" t="str">
        <f>IF(Table2[[#This Row],[Stock Gap]]&lt;0, "Yes", "No")</f>
        <v>Yes</v>
      </c>
      <c r="P85" s="13" t="str">
        <f>IF(Table2[[#This Row],[CurrentStock]]&lt;Table2[[#This Row],[ReorderLevel]],"Reorder", "Okay")</f>
        <v>Reorder</v>
      </c>
      <c r="Q85" s="13" t="str">
        <f>IF(Table2[[#This Row],[CurrentStock]]&gt;Table2[[#This Row],[ReorderLevel]]*3, "Overstock", "Okay")</f>
        <v>Okay</v>
      </c>
    </row>
    <row r="86" spans="1:17" x14ac:dyDescent="0.35">
      <c r="A86">
        <v>15122</v>
      </c>
      <c r="B86" t="s">
        <v>24</v>
      </c>
      <c r="C86" t="s">
        <v>30</v>
      </c>
      <c r="D86">
        <v>77</v>
      </c>
      <c r="E86">
        <v>30</v>
      </c>
      <c r="F86" s="2">
        <v>375</v>
      </c>
      <c r="G86" t="s">
        <v>31</v>
      </c>
      <c r="H86" s="1">
        <v>45305</v>
      </c>
      <c r="I86" s="1">
        <v>45316</v>
      </c>
      <c r="J86" t="s">
        <v>37</v>
      </c>
      <c r="K86" s="8">
        <f>Table2[[#This Row],[CurrentStock]]*Table2[[#This Row],[UnitPrice]]</f>
        <v>28875</v>
      </c>
      <c r="L86" t="str">
        <f>IF(Table2[[#This Row],[CurrentStock]]&lt;=Table2[[#This Row],[ReorderLevel]], "Reorder Needed", "Okay")</f>
        <v>Okay</v>
      </c>
      <c r="M86" t="str">
        <f>IF(Table2[[#This Row],[CurrentStock]]-Table2[[#This Row],[ReorderLevel]]&lt;0,Table2[[#This Row],[CurrentStock]]-Table2[[#This Row],[ReorderLevel]],"")</f>
        <v/>
      </c>
      <c r="N86" t="str">
        <f>IF(Table2[[#This Row],[Stock Gap]]&lt;0, "Understock","Okay")</f>
        <v>Okay</v>
      </c>
      <c r="O86" s="13" t="str">
        <f>IF(Table2[[#This Row],[Stock Gap]]&lt;0, "Yes", "No")</f>
        <v>No</v>
      </c>
      <c r="P86" s="13" t="str">
        <f>IF(Table2[[#This Row],[CurrentStock]]&lt;Table2[[#This Row],[ReorderLevel]],"Reorder", "Okay")</f>
        <v>Okay</v>
      </c>
      <c r="Q86" s="13" t="str">
        <f>IF(Table2[[#This Row],[CurrentStock]]&gt;Table2[[#This Row],[ReorderLevel]]*3, "Overstock", "Okay")</f>
        <v>Okay</v>
      </c>
    </row>
    <row r="87" spans="1:17" x14ac:dyDescent="0.35">
      <c r="A87">
        <v>48518</v>
      </c>
      <c r="B87" t="s">
        <v>9</v>
      </c>
      <c r="C87" t="s">
        <v>26</v>
      </c>
      <c r="D87">
        <v>273</v>
      </c>
      <c r="E87">
        <v>30</v>
      </c>
      <c r="F87" s="2">
        <v>180.3</v>
      </c>
      <c r="G87" t="s">
        <v>35</v>
      </c>
      <c r="H87" s="1">
        <v>45306</v>
      </c>
      <c r="I87" s="1">
        <v>45335</v>
      </c>
      <c r="J87" t="s">
        <v>38</v>
      </c>
      <c r="K87" s="8">
        <f>Table2[[#This Row],[CurrentStock]]*Table2[[#This Row],[UnitPrice]]</f>
        <v>49221.9</v>
      </c>
      <c r="L87" t="str">
        <f>IF(Table2[[#This Row],[CurrentStock]]&lt;=Table2[[#This Row],[ReorderLevel]], "Reorder Needed", "Okay")</f>
        <v>Okay</v>
      </c>
      <c r="M87" t="str">
        <f>IF(Table2[[#This Row],[CurrentStock]]-Table2[[#This Row],[ReorderLevel]]&lt;0,Table2[[#This Row],[CurrentStock]]-Table2[[#This Row],[ReorderLevel]],"")</f>
        <v/>
      </c>
      <c r="N87" t="str">
        <f>IF(Table2[[#This Row],[Stock Gap]]&lt;0, "Understock","Okay")</f>
        <v>Okay</v>
      </c>
      <c r="O87" s="13" t="str">
        <f>IF(Table2[[#This Row],[Stock Gap]]&lt;0, "Yes", "No")</f>
        <v>No</v>
      </c>
      <c r="P87" s="13" t="str">
        <f>IF(Table2[[#This Row],[CurrentStock]]&lt;Table2[[#This Row],[ReorderLevel]],"Reorder", "Okay")</f>
        <v>Okay</v>
      </c>
      <c r="Q87" s="13" t="str">
        <f>IF(Table2[[#This Row],[CurrentStock]]&gt;Table2[[#This Row],[ReorderLevel]]*3, "Overstock", "Okay")</f>
        <v>Overstock</v>
      </c>
    </row>
    <row r="88" spans="1:17" x14ac:dyDescent="0.35">
      <c r="A88">
        <v>13596</v>
      </c>
      <c r="B88" t="s">
        <v>17</v>
      </c>
      <c r="C88" t="s">
        <v>27</v>
      </c>
      <c r="D88">
        <v>230</v>
      </c>
      <c r="E88">
        <v>100</v>
      </c>
      <c r="F88" s="2">
        <v>167.11</v>
      </c>
      <c r="G88" t="s">
        <v>33</v>
      </c>
      <c r="H88" s="1">
        <v>45591</v>
      </c>
      <c r="I88" s="1">
        <v>45620</v>
      </c>
      <c r="J88" t="s">
        <v>36</v>
      </c>
      <c r="K88" s="8">
        <f>Table2[[#This Row],[CurrentStock]]*Table2[[#This Row],[UnitPrice]]</f>
        <v>38435.300000000003</v>
      </c>
      <c r="L88" t="str">
        <f>IF(Table2[[#This Row],[CurrentStock]]&lt;=Table2[[#This Row],[ReorderLevel]], "Reorder Needed", "Okay")</f>
        <v>Okay</v>
      </c>
      <c r="M88" t="str">
        <f>IF(Table2[[#This Row],[CurrentStock]]-Table2[[#This Row],[ReorderLevel]]&lt;0,Table2[[#This Row],[CurrentStock]]-Table2[[#This Row],[ReorderLevel]],"")</f>
        <v/>
      </c>
      <c r="N88" t="str">
        <f>IF(Table2[[#This Row],[Stock Gap]]&lt;0, "Understock","Okay")</f>
        <v>Okay</v>
      </c>
      <c r="O88" s="13" t="str">
        <f>IF(Table2[[#This Row],[Stock Gap]]&lt;0, "Yes", "No")</f>
        <v>No</v>
      </c>
      <c r="P88" s="13" t="str">
        <f>IF(Table2[[#This Row],[CurrentStock]]&lt;Table2[[#This Row],[ReorderLevel]],"Reorder", "Okay")</f>
        <v>Okay</v>
      </c>
      <c r="Q88" s="13" t="str">
        <f>IF(Table2[[#This Row],[CurrentStock]]&gt;Table2[[#This Row],[ReorderLevel]]*3, "Overstock", "Okay")</f>
        <v>Okay</v>
      </c>
    </row>
    <row r="89" spans="1:17" x14ac:dyDescent="0.35">
      <c r="A89">
        <v>89905</v>
      </c>
      <c r="B89" t="s">
        <v>13</v>
      </c>
      <c r="C89" t="s">
        <v>26</v>
      </c>
      <c r="D89">
        <v>66</v>
      </c>
      <c r="E89">
        <v>20</v>
      </c>
      <c r="F89" s="2">
        <v>251.73</v>
      </c>
      <c r="G89" t="s">
        <v>34</v>
      </c>
      <c r="H89" s="1">
        <v>45402</v>
      </c>
      <c r="I89" s="1">
        <v>45428</v>
      </c>
      <c r="J89" t="s">
        <v>37</v>
      </c>
      <c r="K89" s="8">
        <f>Table2[[#This Row],[CurrentStock]]*Table2[[#This Row],[UnitPrice]]</f>
        <v>16614.18</v>
      </c>
      <c r="L89" t="str">
        <f>IF(Table2[[#This Row],[CurrentStock]]&lt;=Table2[[#This Row],[ReorderLevel]], "Reorder Needed", "Okay")</f>
        <v>Okay</v>
      </c>
      <c r="M89" t="str">
        <f>IF(Table2[[#This Row],[CurrentStock]]-Table2[[#This Row],[ReorderLevel]]&lt;0,Table2[[#This Row],[CurrentStock]]-Table2[[#This Row],[ReorderLevel]],"")</f>
        <v/>
      </c>
      <c r="N89" t="str">
        <f>IF(Table2[[#This Row],[Stock Gap]]&lt;0, "Understock","Okay")</f>
        <v>Okay</v>
      </c>
      <c r="O89" s="13" t="str">
        <f>IF(Table2[[#This Row],[Stock Gap]]&lt;0, "Yes", "No")</f>
        <v>No</v>
      </c>
      <c r="P89" s="13" t="str">
        <f>IF(Table2[[#This Row],[CurrentStock]]&lt;Table2[[#This Row],[ReorderLevel]],"Reorder", "Okay")</f>
        <v>Okay</v>
      </c>
      <c r="Q89" s="13" t="str">
        <f>IF(Table2[[#This Row],[CurrentStock]]&gt;Table2[[#This Row],[ReorderLevel]]*3, "Overstock", "Okay")</f>
        <v>Overstock</v>
      </c>
    </row>
    <row r="90" spans="1:17" x14ac:dyDescent="0.35">
      <c r="A90">
        <v>85703</v>
      </c>
      <c r="B90" t="s">
        <v>23</v>
      </c>
      <c r="C90" t="s">
        <v>30</v>
      </c>
      <c r="D90">
        <v>100</v>
      </c>
      <c r="E90">
        <v>100</v>
      </c>
      <c r="F90" s="2">
        <v>450.33</v>
      </c>
      <c r="G90" t="s">
        <v>31</v>
      </c>
      <c r="H90" s="1">
        <v>45611</v>
      </c>
      <c r="I90" s="1">
        <v>45649</v>
      </c>
      <c r="J90" t="s">
        <v>36</v>
      </c>
      <c r="K90" s="8">
        <f>Table2[[#This Row],[CurrentStock]]*Table2[[#This Row],[UnitPrice]]</f>
        <v>45033</v>
      </c>
      <c r="L90" t="str">
        <f>IF(Table2[[#This Row],[CurrentStock]]&lt;=Table2[[#This Row],[ReorderLevel]], "Reorder Needed", "Okay")</f>
        <v>Reorder Needed</v>
      </c>
      <c r="M90" s="7" t="str">
        <f>IF(Table2[[#This Row],[CurrentStock]]-Table2[[#This Row],[ReorderLevel]]&lt;0,Table2[[#This Row],[CurrentStock]]-Table2[[#This Row],[ReorderLevel]],"")</f>
        <v/>
      </c>
      <c r="N90" t="str">
        <f>IF(Table2[[#This Row],[Stock Gap]]&lt;0, "Understock","Okay")</f>
        <v>Okay</v>
      </c>
      <c r="O90" s="13" t="str">
        <f>IF(Table2[[#This Row],[Stock Gap]]&lt;0, "Yes", "No")</f>
        <v>No</v>
      </c>
      <c r="P90" s="13" t="str">
        <f>IF(Table2[[#This Row],[CurrentStock]]&lt;Table2[[#This Row],[ReorderLevel]],"Reorder", "Okay")</f>
        <v>Okay</v>
      </c>
      <c r="Q90" s="13" t="str">
        <f>IF(Table2[[#This Row],[CurrentStock]]&gt;Table2[[#This Row],[ReorderLevel]]*3, "Overstock", "Okay")</f>
        <v>Okay</v>
      </c>
    </row>
    <row r="91" spans="1:17" x14ac:dyDescent="0.35">
      <c r="A91">
        <v>81158</v>
      </c>
      <c r="B91" t="s">
        <v>25</v>
      </c>
      <c r="C91" t="s">
        <v>29</v>
      </c>
      <c r="D91">
        <v>288</v>
      </c>
      <c r="E91">
        <v>80</v>
      </c>
      <c r="F91" s="2">
        <v>55.38</v>
      </c>
      <c r="G91" t="s">
        <v>33</v>
      </c>
      <c r="H91" s="1">
        <v>45489</v>
      </c>
      <c r="I91" s="1">
        <v>45499</v>
      </c>
      <c r="J91" t="s">
        <v>38</v>
      </c>
      <c r="K91" s="8">
        <f>Table2[[#This Row],[CurrentStock]]*Table2[[#This Row],[UnitPrice]]</f>
        <v>15949.44</v>
      </c>
      <c r="L91" t="str">
        <f>IF(Table2[[#This Row],[CurrentStock]]&lt;=Table2[[#This Row],[ReorderLevel]], "Reorder Needed", "Okay")</f>
        <v>Okay</v>
      </c>
      <c r="M91" t="str">
        <f>IF(Table2[[#This Row],[CurrentStock]]-Table2[[#This Row],[ReorderLevel]]&lt;0,Table2[[#This Row],[CurrentStock]]-Table2[[#This Row],[ReorderLevel]],"")</f>
        <v/>
      </c>
      <c r="N91" t="str">
        <f>IF(Table2[[#This Row],[Stock Gap]]&lt;0, "Understock","Okay")</f>
        <v>Okay</v>
      </c>
      <c r="O91" s="13" t="str">
        <f>IF(Table2[[#This Row],[Stock Gap]]&lt;0, "Yes", "No")</f>
        <v>No</v>
      </c>
      <c r="P91" s="13" t="str">
        <f>IF(Table2[[#This Row],[CurrentStock]]&lt;Table2[[#This Row],[ReorderLevel]],"Reorder", "Okay")</f>
        <v>Okay</v>
      </c>
      <c r="Q91" s="13" t="str">
        <f>IF(Table2[[#This Row],[CurrentStock]]&gt;Table2[[#This Row],[ReorderLevel]]*3, "Overstock", "Okay")</f>
        <v>Overstock</v>
      </c>
    </row>
    <row r="92" spans="1:17" x14ac:dyDescent="0.35">
      <c r="A92">
        <v>23046</v>
      </c>
      <c r="B92" t="s">
        <v>14</v>
      </c>
      <c r="C92" t="s">
        <v>28</v>
      </c>
      <c r="D92">
        <v>317</v>
      </c>
      <c r="E92">
        <v>100</v>
      </c>
      <c r="F92" s="2">
        <v>90.82</v>
      </c>
      <c r="G92" t="s">
        <v>31</v>
      </c>
      <c r="H92" s="1">
        <v>45602</v>
      </c>
      <c r="I92" s="1">
        <v>45615</v>
      </c>
      <c r="J92" t="s">
        <v>37</v>
      </c>
      <c r="K92" s="8">
        <f>Table2[[#This Row],[CurrentStock]]*Table2[[#This Row],[UnitPrice]]</f>
        <v>28789.94</v>
      </c>
      <c r="L92" t="str">
        <f>IF(Table2[[#This Row],[CurrentStock]]&lt;=Table2[[#This Row],[ReorderLevel]], "Reorder Needed", "Okay")</f>
        <v>Okay</v>
      </c>
      <c r="M92" t="str">
        <f>IF(Table2[[#This Row],[CurrentStock]]-Table2[[#This Row],[ReorderLevel]]&lt;0,Table2[[#This Row],[CurrentStock]]-Table2[[#This Row],[ReorderLevel]],"")</f>
        <v/>
      </c>
      <c r="N92" t="str">
        <f>IF(Table2[[#This Row],[Stock Gap]]&lt;0, "Understock","Okay")</f>
        <v>Okay</v>
      </c>
      <c r="O92" s="13" t="str">
        <f>IF(Table2[[#This Row],[Stock Gap]]&lt;0, "Yes", "No")</f>
        <v>No</v>
      </c>
      <c r="P92" s="13" t="str">
        <f>IF(Table2[[#This Row],[CurrentStock]]&lt;Table2[[#This Row],[ReorderLevel]],"Reorder", "Okay")</f>
        <v>Okay</v>
      </c>
      <c r="Q92" s="13" t="str">
        <f>IF(Table2[[#This Row],[CurrentStock]]&gt;Table2[[#This Row],[ReorderLevel]]*3, "Overstock", "Okay")</f>
        <v>Overstock</v>
      </c>
    </row>
    <row r="93" spans="1:17" x14ac:dyDescent="0.35">
      <c r="A93">
        <v>97886</v>
      </c>
      <c r="B93" t="s">
        <v>16</v>
      </c>
      <c r="C93" t="s">
        <v>29</v>
      </c>
      <c r="D93">
        <v>407</v>
      </c>
      <c r="E93">
        <v>150</v>
      </c>
      <c r="F93" s="2">
        <v>448.82</v>
      </c>
      <c r="G93" t="s">
        <v>34</v>
      </c>
      <c r="H93" s="1">
        <v>45511</v>
      </c>
      <c r="I93" s="1">
        <v>45526</v>
      </c>
      <c r="J93" t="s">
        <v>38</v>
      </c>
      <c r="K93" s="8">
        <f>Table2[[#This Row],[CurrentStock]]*Table2[[#This Row],[UnitPrice]]</f>
        <v>182669.74</v>
      </c>
      <c r="L93" t="str">
        <f>IF(Table2[[#This Row],[CurrentStock]]&lt;=Table2[[#This Row],[ReorderLevel]], "Reorder Needed", "Okay")</f>
        <v>Okay</v>
      </c>
      <c r="M93" t="str">
        <f>IF(Table2[[#This Row],[CurrentStock]]-Table2[[#This Row],[ReorderLevel]]&lt;0,Table2[[#This Row],[CurrentStock]]-Table2[[#This Row],[ReorderLevel]],"")</f>
        <v/>
      </c>
      <c r="N93" t="str">
        <f>IF(Table2[[#This Row],[Stock Gap]]&lt;0, "Understock","Okay")</f>
        <v>Okay</v>
      </c>
      <c r="O93" s="13" t="str">
        <f>IF(Table2[[#This Row],[Stock Gap]]&lt;0, "Yes", "No")</f>
        <v>No</v>
      </c>
      <c r="P93" s="13" t="str">
        <f>IF(Table2[[#This Row],[CurrentStock]]&lt;Table2[[#This Row],[ReorderLevel]],"Reorder", "Okay")</f>
        <v>Okay</v>
      </c>
      <c r="Q93" s="13" t="str">
        <f>IF(Table2[[#This Row],[CurrentStock]]&gt;Table2[[#This Row],[ReorderLevel]]*3, "Overstock", "Okay")</f>
        <v>Okay</v>
      </c>
    </row>
    <row r="94" spans="1:17" x14ac:dyDescent="0.35">
      <c r="A94">
        <v>16469</v>
      </c>
      <c r="B94" t="s">
        <v>14</v>
      </c>
      <c r="C94" t="s">
        <v>28</v>
      </c>
      <c r="D94">
        <v>440</v>
      </c>
      <c r="E94">
        <v>30</v>
      </c>
      <c r="F94" s="2">
        <v>280.60000000000002</v>
      </c>
      <c r="G94" t="s">
        <v>32</v>
      </c>
      <c r="H94" s="1">
        <v>45317</v>
      </c>
      <c r="I94" s="1">
        <v>45326</v>
      </c>
      <c r="J94" t="s">
        <v>38</v>
      </c>
      <c r="K94" s="8">
        <f>Table2[[#This Row],[CurrentStock]]*Table2[[#This Row],[UnitPrice]]</f>
        <v>123464.00000000001</v>
      </c>
      <c r="L94" t="str">
        <f>IF(Table2[[#This Row],[CurrentStock]]&lt;=Table2[[#This Row],[ReorderLevel]], "Reorder Needed", "Okay")</f>
        <v>Okay</v>
      </c>
      <c r="M94" t="str">
        <f>IF(Table2[[#This Row],[CurrentStock]]-Table2[[#This Row],[ReorderLevel]]&lt;0,Table2[[#This Row],[CurrentStock]]-Table2[[#This Row],[ReorderLevel]],"")</f>
        <v/>
      </c>
      <c r="N94" t="str">
        <f>IF(Table2[[#This Row],[Stock Gap]]&lt;0, "Understock","Okay")</f>
        <v>Okay</v>
      </c>
      <c r="O94" s="13" t="str">
        <f>IF(Table2[[#This Row],[Stock Gap]]&lt;0, "Yes", "No")</f>
        <v>No</v>
      </c>
      <c r="P94" s="13" t="str">
        <f>IF(Table2[[#This Row],[CurrentStock]]&lt;Table2[[#This Row],[ReorderLevel]],"Reorder", "Okay")</f>
        <v>Okay</v>
      </c>
      <c r="Q94" s="13" t="str">
        <f>IF(Table2[[#This Row],[CurrentStock]]&gt;Table2[[#This Row],[ReorderLevel]]*3, "Overstock", "Okay")</f>
        <v>Overstock</v>
      </c>
    </row>
    <row r="95" spans="1:17" x14ac:dyDescent="0.35">
      <c r="A95">
        <v>88477</v>
      </c>
      <c r="B95" t="s">
        <v>21</v>
      </c>
      <c r="C95" t="s">
        <v>26</v>
      </c>
      <c r="D95">
        <v>211</v>
      </c>
      <c r="E95">
        <v>20</v>
      </c>
      <c r="F95" s="2">
        <v>369.44</v>
      </c>
      <c r="G95" t="s">
        <v>35</v>
      </c>
      <c r="H95" s="1">
        <v>45431</v>
      </c>
      <c r="I95" s="1">
        <v>45436</v>
      </c>
      <c r="J95" t="s">
        <v>38</v>
      </c>
      <c r="K95" s="8">
        <f>Table2[[#This Row],[CurrentStock]]*Table2[[#This Row],[UnitPrice]]</f>
        <v>77951.839999999997</v>
      </c>
      <c r="L95" t="str">
        <f>IF(Table2[[#This Row],[CurrentStock]]&lt;=Table2[[#This Row],[ReorderLevel]], "Reorder Needed", "Okay")</f>
        <v>Okay</v>
      </c>
      <c r="M95" t="str">
        <f>IF(Table2[[#This Row],[CurrentStock]]-Table2[[#This Row],[ReorderLevel]]&lt;0,Table2[[#This Row],[CurrentStock]]-Table2[[#This Row],[ReorderLevel]],"")</f>
        <v/>
      </c>
      <c r="N95" t="str">
        <f>IF(Table2[[#This Row],[Stock Gap]]&lt;0, "Understock","Okay")</f>
        <v>Okay</v>
      </c>
      <c r="O95" s="13" t="str">
        <f>IF(Table2[[#This Row],[Stock Gap]]&lt;0, "Yes", "No")</f>
        <v>No</v>
      </c>
      <c r="P95" s="13" t="str">
        <f>IF(Table2[[#This Row],[CurrentStock]]&lt;Table2[[#This Row],[ReorderLevel]],"Reorder", "Okay")</f>
        <v>Okay</v>
      </c>
      <c r="Q95" s="13" t="str">
        <f>IF(Table2[[#This Row],[CurrentStock]]&gt;Table2[[#This Row],[ReorderLevel]]*3, "Overstock", "Okay")</f>
        <v>Overstock</v>
      </c>
    </row>
    <row r="96" spans="1:17" x14ac:dyDescent="0.35">
      <c r="A96">
        <v>69383</v>
      </c>
      <c r="B96" t="s">
        <v>12</v>
      </c>
      <c r="C96" t="s">
        <v>28</v>
      </c>
      <c r="D96">
        <v>355</v>
      </c>
      <c r="E96">
        <v>80</v>
      </c>
      <c r="F96" s="2">
        <v>268.63</v>
      </c>
      <c r="G96" t="s">
        <v>32</v>
      </c>
      <c r="H96" s="1">
        <v>45452</v>
      </c>
      <c r="I96" s="1">
        <v>45462</v>
      </c>
      <c r="J96" t="s">
        <v>36</v>
      </c>
      <c r="K96" s="8">
        <f>Table2[[#This Row],[CurrentStock]]*Table2[[#This Row],[UnitPrice]]</f>
        <v>95363.65</v>
      </c>
      <c r="L96" t="str">
        <f>IF(Table2[[#This Row],[CurrentStock]]&lt;=Table2[[#This Row],[ReorderLevel]], "Reorder Needed", "Okay")</f>
        <v>Okay</v>
      </c>
      <c r="M96" t="str">
        <f>IF(Table2[[#This Row],[CurrentStock]]-Table2[[#This Row],[ReorderLevel]]&lt;0,Table2[[#This Row],[CurrentStock]]-Table2[[#This Row],[ReorderLevel]],"")</f>
        <v/>
      </c>
      <c r="N96" t="str">
        <f>IF(Table2[[#This Row],[Stock Gap]]&lt;0, "Understock","Okay")</f>
        <v>Okay</v>
      </c>
      <c r="O96" s="13" t="str">
        <f>IF(Table2[[#This Row],[Stock Gap]]&lt;0, "Yes", "No")</f>
        <v>No</v>
      </c>
      <c r="P96" s="13" t="str">
        <f>IF(Table2[[#This Row],[CurrentStock]]&lt;Table2[[#This Row],[ReorderLevel]],"Reorder", "Okay")</f>
        <v>Okay</v>
      </c>
      <c r="Q96" s="13" t="str">
        <f>IF(Table2[[#This Row],[CurrentStock]]&gt;Table2[[#This Row],[ReorderLevel]]*3, "Overstock", "Okay")</f>
        <v>Overstock</v>
      </c>
    </row>
    <row r="97" spans="1:17" x14ac:dyDescent="0.35">
      <c r="A97">
        <v>29216</v>
      </c>
      <c r="B97" t="s">
        <v>20</v>
      </c>
      <c r="C97" t="s">
        <v>30</v>
      </c>
      <c r="D97">
        <v>12</v>
      </c>
      <c r="E97">
        <v>30</v>
      </c>
      <c r="F97" s="2">
        <v>48.49</v>
      </c>
      <c r="G97" t="s">
        <v>34</v>
      </c>
      <c r="H97" s="1">
        <v>45610</v>
      </c>
      <c r="I97" s="1">
        <v>45623</v>
      </c>
      <c r="J97" t="s">
        <v>37</v>
      </c>
      <c r="K97" s="8">
        <f>Table2[[#This Row],[CurrentStock]]*Table2[[#This Row],[UnitPrice]]</f>
        <v>581.88</v>
      </c>
      <c r="L97" t="str">
        <f>IF(Table2[[#This Row],[CurrentStock]]&lt;=Table2[[#This Row],[ReorderLevel]], "Reorder Needed", "Okay")</f>
        <v>Reorder Needed</v>
      </c>
      <c r="M97" s="7">
        <f>IF(Table2[[#This Row],[CurrentStock]]-Table2[[#This Row],[ReorderLevel]]&lt;0,Table2[[#This Row],[CurrentStock]]-Table2[[#This Row],[ReorderLevel]],"")</f>
        <v>-18</v>
      </c>
      <c r="N97" t="str">
        <f>IF(Table2[[#This Row],[Stock Gap]]&lt;0, "Understock","Okay")</f>
        <v>Understock</v>
      </c>
      <c r="O97" s="13" t="str">
        <f>IF(Table2[[#This Row],[Stock Gap]]&lt;0, "Yes", "No")</f>
        <v>Yes</v>
      </c>
      <c r="P97" s="13" t="str">
        <f>IF(Table2[[#This Row],[CurrentStock]]&lt;Table2[[#This Row],[ReorderLevel]],"Reorder", "Okay")</f>
        <v>Reorder</v>
      </c>
      <c r="Q97" s="13" t="str">
        <f>IF(Table2[[#This Row],[CurrentStock]]&gt;Table2[[#This Row],[ReorderLevel]]*3, "Overstock", "Okay")</f>
        <v>Okay</v>
      </c>
    </row>
    <row r="98" spans="1:17" x14ac:dyDescent="0.35">
      <c r="A98">
        <v>77444</v>
      </c>
      <c r="B98" t="s">
        <v>14</v>
      </c>
      <c r="C98" t="s">
        <v>28</v>
      </c>
      <c r="D98">
        <v>94</v>
      </c>
      <c r="E98">
        <v>20</v>
      </c>
      <c r="F98" s="2">
        <v>426.11</v>
      </c>
      <c r="G98" t="s">
        <v>31</v>
      </c>
      <c r="H98" s="1">
        <v>45527</v>
      </c>
      <c r="I98" s="1">
        <v>45545</v>
      </c>
      <c r="J98" t="s">
        <v>36</v>
      </c>
      <c r="K98" s="8">
        <f>Table2[[#This Row],[CurrentStock]]*Table2[[#This Row],[UnitPrice]]</f>
        <v>40054.340000000004</v>
      </c>
      <c r="L98" t="str">
        <f>IF(Table2[[#This Row],[CurrentStock]]&lt;=Table2[[#This Row],[ReorderLevel]], "Reorder Needed", "Okay")</f>
        <v>Okay</v>
      </c>
      <c r="M98" t="str">
        <f>IF(Table2[[#This Row],[CurrentStock]]-Table2[[#This Row],[ReorderLevel]]&lt;0,Table2[[#This Row],[CurrentStock]]-Table2[[#This Row],[ReorderLevel]],"")</f>
        <v/>
      </c>
      <c r="N98" t="str">
        <f>IF(Table2[[#This Row],[Stock Gap]]&lt;0, "Understock","Okay")</f>
        <v>Okay</v>
      </c>
      <c r="O98" s="13" t="str">
        <f>IF(Table2[[#This Row],[Stock Gap]]&lt;0, "Yes", "No")</f>
        <v>No</v>
      </c>
      <c r="P98" s="13" t="str">
        <f>IF(Table2[[#This Row],[CurrentStock]]&lt;Table2[[#This Row],[ReorderLevel]],"Reorder", "Okay")</f>
        <v>Okay</v>
      </c>
      <c r="Q98" s="13" t="str">
        <f>IF(Table2[[#This Row],[CurrentStock]]&gt;Table2[[#This Row],[ReorderLevel]]*3, "Overstock", "Okay")</f>
        <v>Overstock</v>
      </c>
    </row>
    <row r="99" spans="1:17" x14ac:dyDescent="0.35">
      <c r="A99">
        <v>18007</v>
      </c>
      <c r="B99" t="s">
        <v>24</v>
      </c>
      <c r="C99" t="s">
        <v>30</v>
      </c>
      <c r="D99">
        <v>34</v>
      </c>
      <c r="E99">
        <v>20</v>
      </c>
      <c r="F99" s="2">
        <v>371.85</v>
      </c>
      <c r="G99" t="s">
        <v>31</v>
      </c>
      <c r="H99" s="1">
        <v>45351</v>
      </c>
      <c r="I99" s="1">
        <v>45384</v>
      </c>
      <c r="J99" t="s">
        <v>36</v>
      </c>
      <c r="K99" s="8">
        <f>Table2[[#This Row],[CurrentStock]]*Table2[[#This Row],[UnitPrice]]</f>
        <v>12642.900000000001</v>
      </c>
      <c r="L99" t="str">
        <f>IF(Table2[[#This Row],[CurrentStock]]&lt;=Table2[[#This Row],[ReorderLevel]], "Reorder Needed", "Okay")</f>
        <v>Okay</v>
      </c>
      <c r="M99" t="str">
        <f>IF(Table2[[#This Row],[CurrentStock]]-Table2[[#This Row],[ReorderLevel]]&lt;0,Table2[[#This Row],[CurrentStock]]-Table2[[#This Row],[ReorderLevel]],"")</f>
        <v/>
      </c>
      <c r="N99" t="str">
        <f>IF(Table2[[#This Row],[Stock Gap]]&lt;0, "Understock","Okay")</f>
        <v>Okay</v>
      </c>
      <c r="O99" s="13" t="str">
        <f>IF(Table2[[#This Row],[Stock Gap]]&lt;0, "Yes", "No")</f>
        <v>No</v>
      </c>
      <c r="P99" s="13" t="str">
        <f>IF(Table2[[#This Row],[CurrentStock]]&lt;Table2[[#This Row],[ReorderLevel]],"Reorder", "Okay")</f>
        <v>Okay</v>
      </c>
      <c r="Q99" s="13" t="str">
        <f>IF(Table2[[#This Row],[CurrentStock]]&gt;Table2[[#This Row],[ReorderLevel]]*3, "Overstock", "Okay")</f>
        <v>Okay</v>
      </c>
    </row>
    <row r="100" spans="1:17" x14ac:dyDescent="0.35">
      <c r="A100">
        <v>29282</v>
      </c>
      <c r="B100" t="s">
        <v>22</v>
      </c>
      <c r="C100" t="s">
        <v>29</v>
      </c>
      <c r="D100">
        <v>315</v>
      </c>
      <c r="E100">
        <v>100</v>
      </c>
      <c r="F100" s="2">
        <v>413.44</v>
      </c>
      <c r="G100" t="s">
        <v>31</v>
      </c>
      <c r="H100" s="1">
        <v>45456</v>
      </c>
      <c r="I100" s="1">
        <v>45465</v>
      </c>
      <c r="J100" t="s">
        <v>38</v>
      </c>
      <c r="K100" s="8">
        <f>Table2[[#This Row],[CurrentStock]]*Table2[[#This Row],[UnitPrice]]</f>
        <v>130233.60000000001</v>
      </c>
      <c r="L100" t="str">
        <f>IF(Table2[[#This Row],[CurrentStock]]&lt;=Table2[[#This Row],[ReorderLevel]], "Reorder Needed", "Okay")</f>
        <v>Okay</v>
      </c>
      <c r="M100" t="str">
        <f>IF(Table2[[#This Row],[CurrentStock]]-Table2[[#This Row],[ReorderLevel]]&lt;0,Table2[[#This Row],[CurrentStock]]-Table2[[#This Row],[ReorderLevel]],"")</f>
        <v/>
      </c>
      <c r="N100" t="str">
        <f>IF(Table2[[#This Row],[Stock Gap]]&lt;0, "Understock","Okay")</f>
        <v>Okay</v>
      </c>
      <c r="O100" s="13" t="str">
        <f>IF(Table2[[#This Row],[Stock Gap]]&lt;0, "Yes", "No")</f>
        <v>No</v>
      </c>
      <c r="P100" s="13" t="str">
        <f>IF(Table2[[#This Row],[CurrentStock]]&lt;Table2[[#This Row],[ReorderLevel]],"Reorder", "Okay")</f>
        <v>Okay</v>
      </c>
      <c r="Q100" s="13" t="str">
        <f>IF(Table2[[#This Row],[CurrentStock]]&gt;Table2[[#This Row],[ReorderLevel]]*3, "Overstock", "Okay")</f>
        <v>Overstock</v>
      </c>
    </row>
    <row r="101" spans="1:17" x14ac:dyDescent="0.35">
      <c r="A101">
        <v>53303</v>
      </c>
      <c r="B101" t="s">
        <v>20</v>
      </c>
      <c r="C101" t="s">
        <v>30</v>
      </c>
      <c r="D101">
        <v>131</v>
      </c>
      <c r="E101">
        <v>20</v>
      </c>
      <c r="F101" s="2">
        <v>439.21</v>
      </c>
      <c r="G101" t="s">
        <v>31</v>
      </c>
      <c r="H101" s="1">
        <v>45380</v>
      </c>
      <c r="I101" s="1">
        <v>45402</v>
      </c>
      <c r="J101" t="s">
        <v>36</v>
      </c>
      <c r="K101" s="8">
        <f>Table2[[#This Row],[CurrentStock]]*Table2[[#This Row],[UnitPrice]]</f>
        <v>57536.509999999995</v>
      </c>
      <c r="L101" t="str">
        <f>IF(Table2[[#This Row],[CurrentStock]]&lt;=Table2[[#This Row],[ReorderLevel]], "Reorder Needed", "Okay")</f>
        <v>Okay</v>
      </c>
      <c r="M101" t="str">
        <f>IF(Table2[[#This Row],[CurrentStock]]-Table2[[#This Row],[ReorderLevel]]&lt;0,Table2[[#This Row],[CurrentStock]]-Table2[[#This Row],[ReorderLevel]],"")</f>
        <v/>
      </c>
      <c r="N101" t="str">
        <f>IF(Table2[[#This Row],[Stock Gap]]&lt;0, "Understock","Okay")</f>
        <v>Okay</v>
      </c>
      <c r="O101" s="13" t="str">
        <f>IF(Table2[[#This Row],[Stock Gap]]&lt;0, "Yes", "No")</f>
        <v>No</v>
      </c>
      <c r="P101" s="13" t="str">
        <f>IF(Table2[[#This Row],[CurrentStock]]&lt;Table2[[#This Row],[ReorderLevel]],"Reorder", "Okay")</f>
        <v>Okay</v>
      </c>
      <c r="Q101" s="13" t="str">
        <f>IF(Table2[[#This Row],[CurrentStock]]&gt;Table2[[#This Row],[ReorderLevel]]*3, "Overstock", "Okay")</f>
        <v>Overstock</v>
      </c>
    </row>
    <row r="102" spans="1:17" x14ac:dyDescent="0.35">
      <c r="A102">
        <v>21246</v>
      </c>
      <c r="B102" t="s">
        <v>18</v>
      </c>
      <c r="C102" t="s">
        <v>27</v>
      </c>
      <c r="D102">
        <v>62</v>
      </c>
      <c r="E102">
        <v>150</v>
      </c>
      <c r="F102" s="2">
        <v>290.86</v>
      </c>
      <c r="G102" t="s">
        <v>32</v>
      </c>
      <c r="H102" s="1">
        <v>45436</v>
      </c>
      <c r="I102" s="1">
        <v>45473</v>
      </c>
      <c r="J102" t="s">
        <v>38</v>
      </c>
      <c r="K102" s="8">
        <f>Table2[[#This Row],[CurrentStock]]*Table2[[#This Row],[UnitPrice]]</f>
        <v>18033.32</v>
      </c>
      <c r="L102" t="str">
        <f>IF(Table2[[#This Row],[CurrentStock]]&lt;=Table2[[#This Row],[ReorderLevel]], "Reorder Needed", "Okay")</f>
        <v>Reorder Needed</v>
      </c>
      <c r="M102" s="7">
        <f>IF(Table2[[#This Row],[CurrentStock]]-Table2[[#This Row],[ReorderLevel]]&lt;0,Table2[[#This Row],[CurrentStock]]-Table2[[#This Row],[ReorderLevel]],"")</f>
        <v>-88</v>
      </c>
      <c r="N102" t="str">
        <f>IF(Table2[[#This Row],[Stock Gap]]&lt;0, "Understock","Okay")</f>
        <v>Understock</v>
      </c>
      <c r="O102" s="13" t="str">
        <f>IF(Table2[[#This Row],[Stock Gap]]&lt;0, "Yes", "No")</f>
        <v>Yes</v>
      </c>
      <c r="P102" s="13" t="str">
        <f>IF(Table2[[#This Row],[CurrentStock]]&lt;Table2[[#This Row],[ReorderLevel]],"Reorder", "Okay")</f>
        <v>Reorder</v>
      </c>
      <c r="Q102" s="13" t="str">
        <f>IF(Table2[[#This Row],[CurrentStock]]&gt;Table2[[#This Row],[ReorderLevel]]*3, "Overstock", "Okay")</f>
        <v>Okay</v>
      </c>
    </row>
    <row r="103" spans="1:17" x14ac:dyDescent="0.35">
      <c r="A103">
        <v>93122</v>
      </c>
      <c r="B103" t="s">
        <v>16</v>
      </c>
      <c r="C103" t="s">
        <v>29</v>
      </c>
      <c r="D103">
        <v>103</v>
      </c>
      <c r="E103">
        <v>40</v>
      </c>
      <c r="F103" s="2">
        <v>273.70999999999998</v>
      </c>
      <c r="G103" t="s">
        <v>32</v>
      </c>
      <c r="H103" s="1">
        <v>45489</v>
      </c>
      <c r="I103" s="1">
        <v>45499</v>
      </c>
      <c r="J103" t="s">
        <v>37</v>
      </c>
      <c r="K103" s="8">
        <f>Table2[[#This Row],[CurrentStock]]*Table2[[#This Row],[UnitPrice]]</f>
        <v>28192.129999999997</v>
      </c>
      <c r="L103" t="str">
        <f>IF(Table2[[#This Row],[CurrentStock]]&lt;=Table2[[#This Row],[ReorderLevel]], "Reorder Needed", "Okay")</f>
        <v>Okay</v>
      </c>
      <c r="M103" t="str">
        <f>IF(Table2[[#This Row],[CurrentStock]]-Table2[[#This Row],[ReorderLevel]]&lt;0,Table2[[#This Row],[CurrentStock]]-Table2[[#This Row],[ReorderLevel]],"")</f>
        <v/>
      </c>
      <c r="N103" t="str">
        <f>IF(Table2[[#This Row],[Stock Gap]]&lt;0, "Understock","Okay")</f>
        <v>Okay</v>
      </c>
      <c r="O103" s="13" t="str">
        <f>IF(Table2[[#This Row],[Stock Gap]]&lt;0, "Yes", "No")</f>
        <v>No</v>
      </c>
      <c r="P103" s="13" t="str">
        <f>IF(Table2[[#This Row],[CurrentStock]]&lt;Table2[[#This Row],[ReorderLevel]],"Reorder", "Okay")</f>
        <v>Okay</v>
      </c>
      <c r="Q103" s="13" t="str">
        <f>IF(Table2[[#This Row],[CurrentStock]]&gt;Table2[[#This Row],[ReorderLevel]]*3, "Overstock", "Okay")</f>
        <v>Okay</v>
      </c>
    </row>
    <row r="104" spans="1:17" x14ac:dyDescent="0.35">
      <c r="A104">
        <v>54028</v>
      </c>
      <c r="B104" t="s">
        <v>25</v>
      </c>
      <c r="C104" t="s">
        <v>29</v>
      </c>
      <c r="D104">
        <v>499</v>
      </c>
      <c r="E104">
        <v>100</v>
      </c>
      <c r="F104" s="2">
        <v>447.48</v>
      </c>
      <c r="G104" t="s">
        <v>35</v>
      </c>
      <c r="H104" s="1">
        <v>45448</v>
      </c>
      <c r="I104" s="1">
        <v>45485</v>
      </c>
      <c r="J104" t="s">
        <v>37</v>
      </c>
      <c r="K104" s="8">
        <f>Table2[[#This Row],[CurrentStock]]*Table2[[#This Row],[UnitPrice]]</f>
        <v>223292.52000000002</v>
      </c>
      <c r="L104" t="str">
        <f>IF(Table2[[#This Row],[CurrentStock]]&lt;=Table2[[#This Row],[ReorderLevel]], "Reorder Needed", "Okay")</f>
        <v>Okay</v>
      </c>
      <c r="M104" t="str">
        <f>IF(Table2[[#This Row],[CurrentStock]]-Table2[[#This Row],[ReorderLevel]]&lt;0,Table2[[#This Row],[CurrentStock]]-Table2[[#This Row],[ReorderLevel]],"")</f>
        <v/>
      </c>
      <c r="N104" t="str">
        <f>IF(Table2[[#This Row],[Stock Gap]]&lt;0, "Understock","Okay")</f>
        <v>Okay</v>
      </c>
      <c r="O104" s="13" t="str">
        <f>IF(Table2[[#This Row],[Stock Gap]]&lt;0, "Yes", "No")</f>
        <v>No</v>
      </c>
      <c r="P104" s="13" t="str">
        <f>IF(Table2[[#This Row],[CurrentStock]]&lt;Table2[[#This Row],[ReorderLevel]],"Reorder", "Okay")</f>
        <v>Okay</v>
      </c>
      <c r="Q104" s="13" t="str">
        <f>IF(Table2[[#This Row],[CurrentStock]]&gt;Table2[[#This Row],[ReorderLevel]]*3, "Overstock", "Okay")</f>
        <v>Overstock</v>
      </c>
    </row>
    <row r="105" spans="1:17" x14ac:dyDescent="0.35">
      <c r="A105">
        <v>53872</v>
      </c>
      <c r="B105" t="s">
        <v>11</v>
      </c>
      <c r="C105" t="s">
        <v>27</v>
      </c>
      <c r="D105">
        <v>195</v>
      </c>
      <c r="E105">
        <v>100</v>
      </c>
      <c r="F105" s="2">
        <v>358.46</v>
      </c>
      <c r="G105" t="s">
        <v>35</v>
      </c>
      <c r="H105" s="1">
        <v>45296</v>
      </c>
      <c r="I105" s="1">
        <v>45310</v>
      </c>
      <c r="J105" t="s">
        <v>37</v>
      </c>
      <c r="K105" s="8">
        <f>Table2[[#This Row],[CurrentStock]]*Table2[[#This Row],[UnitPrice]]</f>
        <v>69899.7</v>
      </c>
      <c r="L105" t="str">
        <f>IF(Table2[[#This Row],[CurrentStock]]&lt;=Table2[[#This Row],[ReorderLevel]], "Reorder Needed", "Okay")</f>
        <v>Okay</v>
      </c>
      <c r="M105" t="str">
        <f>IF(Table2[[#This Row],[CurrentStock]]-Table2[[#This Row],[ReorderLevel]]&lt;0,Table2[[#This Row],[CurrentStock]]-Table2[[#This Row],[ReorderLevel]],"")</f>
        <v/>
      </c>
      <c r="N105" t="str">
        <f>IF(Table2[[#This Row],[Stock Gap]]&lt;0, "Understock","Okay")</f>
        <v>Okay</v>
      </c>
      <c r="O105" s="13" t="str">
        <f>IF(Table2[[#This Row],[Stock Gap]]&lt;0, "Yes", "No")</f>
        <v>No</v>
      </c>
      <c r="P105" s="13" t="str">
        <f>IF(Table2[[#This Row],[CurrentStock]]&lt;Table2[[#This Row],[ReorderLevel]],"Reorder", "Okay")</f>
        <v>Okay</v>
      </c>
      <c r="Q105" s="13" t="str">
        <f>IF(Table2[[#This Row],[CurrentStock]]&gt;Table2[[#This Row],[ReorderLevel]]*3, "Overstock", "Okay")</f>
        <v>Okay</v>
      </c>
    </row>
    <row r="106" spans="1:17" x14ac:dyDescent="0.35">
      <c r="A106">
        <v>74772</v>
      </c>
      <c r="B106" t="s">
        <v>9</v>
      </c>
      <c r="C106" t="s">
        <v>26</v>
      </c>
      <c r="D106">
        <v>215</v>
      </c>
      <c r="E106">
        <v>50</v>
      </c>
      <c r="F106" s="2">
        <v>201.66</v>
      </c>
      <c r="G106" t="s">
        <v>35</v>
      </c>
      <c r="H106" s="1">
        <v>45448</v>
      </c>
      <c r="I106" s="1">
        <v>45460</v>
      </c>
      <c r="J106" t="s">
        <v>37</v>
      </c>
      <c r="K106" s="8">
        <f>Table2[[#This Row],[CurrentStock]]*Table2[[#This Row],[UnitPrice]]</f>
        <v>43356.9</v>
      </c>
      <c r="L106" t="str">
        <f>IF(Table2[[#This Row],[CurrentStock]]&lt;=Table2[[#This Row],[ReorderLevel]], "Reorder Needed", "Okay")</f>
        <v>Okay</v>
      </c>
      <c r="M106" t="str">
        <f>IF(Table2[[#This Row],[CurrentStock]]-Table2[[#This Row],[ReorderLevel]]&lt;0,Table2[[#This Row],[CurrentStock]]-Table2[[#This Row],[ReorderLevel]],"")</f>
        <v/>
      </c>
      <c r="N106" t="str">
        <f>IF(Table2[[#This Row],[Stock Gap]]&lt;0, "Understock","Okay")</f>
        <v>Okay</v>
      </c>
      <c r="O106" s="13" t="str">
        <f>IF(Table2[[#This Row],[Stock Gap]]&lt;0, "Yes", "No")</f>
        <v>No</v>
      </c>
      <c r="P106" s="13" t="str">
        <f>IF(Table2[[#This Row],[CurrentStock]]&lt;Table2[[#This Row],[ReorderLevel]],"Reorder", "Okay")</f>
        <v>Okay</v>
      </c>
      <c r="Q106" s="13" t="str">
        <f>IF(Table2[[#This Row],[CurrentStock]]&gt;Table2[[#This Row],[ReorderLevel]]*3, "Overstock", "Okay")</f>
        <v>Overstock</v>
      </c>
    </row>
    <row r="107" spans="1:17" x14ac:dyDescent="0.35">
      <c r="A107">
        <v>81315</v>
      </c>
      <c r="B107" t="s">
        <v>10</v>
      </c>
      <c r="C107" t="s">
        <v>26</v>
      </c>
      <c r="D107">
        <v>172</v>
      </c>
      <c r="E107">
        <v>30</v>
      </c>
      <c r="F107" s="2">
        <v>11.04</v>
      </c>
      <c r="G107" t="s">
        <v>31</v>
      </c>
      <c r="H107" s="1">
        <v>45406</v>
      </c>
      <c r="I107" s="1">
        <v>45436</v>
      </c>
      <c r="J107" t="s">
        <v>38</v>
      </c>
      <c r="K107" s="8">
        <f>Table2[[#This Row],[CurrentStock]]*Table2[[#This Row],[UnitPrice]]</f>
        <v>1898.8799999999999</v>
      </c>
      <c r="L107" t="str">
        <f>IF(Table2[[#This Row],[CurrentStock]]&lt;=Table2[[#This Row],[ReorderLevel]], "Reorder Needed", "Okay")</f>
        <v>Okay</v>
      </c>
      <c r="M107" t="str">
        <f>IF(Table2[[#This Row],[CurrentStock]]-Table2[[#This Row],[ReorderLevel]]&lt;0,Table2[[#This Row],[CurrentStock]]-Table2[[#This Row],[ReorderLevel]],"")</f>
        <v/>
      </c>
      <c r="N107" t="str">
        <f>IF(Table2[[#This Row],[Stock Gap]]&lt;0, "Understock","Okay")</f>
        <v>Okay</v>
      </c>
      <c r="O107" s="13" t="str">
        <f>IF(Table2[[#This Row],[Stock Gap]]&lt;0, "Yes", "No")</f>
        <v>No</v>
      </c>
      <c r="P107" s="13" t="str">
        <f>IF(Table2[[#This Row],[CurrentStock]]&lt;Table2[[#This Row],[ReorderLevel]],"Reorder", "Okay")</f>
        <v>Okay</v>
      </c>
      <c r="Q107" s="13" t="str">
        <f>IF(Table2[[#This Row],[CurrentStock]]&gt;Table2[[#This Row],[ReorderLevel]]*3, "Overstock", "Okay")</f>
        <v>Overstock</v>
      </c>
    </row>
    <row r="108" spans="1:17" x14ac:dyDescent="0.35">
      <c r="A108">
        <v>85993</v>
      </c>
      <c r="B108" t="s">
        <v>20</v>
      </c>
      <c r="C108" t="s">
        <v>30</v>
      </c>
      <c r="D108">
        <v>133</v>
      </c>
      <c r="E108">
        <v>150</v>
      </c>
      <c r="F108" s="2">
        <v>233.69</v>
      </c>
      <c r="G108" t="s">
        <v>35</v>
      </c>
      <c r="H108" s="1">
        <v>45593</v>
      </c>
      <c r="I108" s="1">
        <v>45609</v>
      </c>
      <c r="J108" t="s">
        <v>38</v>
      </c>
      <c r="K108" s="8">
        <f>Table2[[#This Row],[CurrentStock]]*Table2[[#This Row],[UnitPrice]]</f>
        <v>31080.77</v>
      </c>
      <c r="L108" t="str">
        <f>IF(Table2[[#This Row],[CurrentStock]]&lt;=Table2[[#This Row],[ReorderLevel]], "Reorder Needed", "Okay")</f>
        <v>Reorder Needed</v>
      </c>
      <c r="M108" s="7">
        <f>IF(Table2[[#This Row],[CurrentStock]]-Table2[[#This Row],[ReorderLevel]]&lt;0,Table2[[#This Row],[CurrentStock]]-Table2[[#This Row],[ReorderLevel]],"")</f>
        <v>-17</v>
      </c>
      <c r="N108" t="str">
        <f>IF(Table2[[#This Row],[Stock Gap]]&lt;0, "Understock","Okay")</f>
        <v>Understock</v>
      </c>
      <c r="O108" s="13" t="str">
        <f>IF(Table2[[#This Row],[Stock Gap]]&lt;0, "Yes", "No")</f>
        <v>Yes</v>
      </c>
      <c r="P108" s="13" t="str">
        <f>IF(Table2[[#This Row],[CurrentStock]]&lt;Table2[[#This Row],[ReorderLevel]],"Reorder", "Okay")</f>
        <v>Reorder</v>
      </c>
      <c r="Q108" s="13" t="str">
        <f>IF(Table2[[#This Row],[CurrentStock]]&gt;Table2[[#This Row],[ReorderLevel]]*3, "Overstock", "Okay")</f>
        <v>Okay</v>
      </c>
    </row>
    <row r="109" spans="1:17" x14ac:dyDescent="0.35">
      <c r="A109">
        <v>49915</v>
      </c>
      <c r="B109" t="s">
        <v>23</v>
      </c>
      <c r="C109" t="s">
        <v>30</v>
      </c>
      <c r="D109">
        <v>480</v>
      </c>
      <c r="E109">
        <v>150</v>
      </c>
      <c r="F109" s="2">
        <v>364.42</v>
      </c>
      <c r="G109" t="s">
        <v>33</v>
      </c>
      <c r="H109" s="1">
        <v>45462</v>
      </c>
      <c r="I109" s="1">
        <v>45478</v>
      </c>
      <c r="J109" t="s">
        <v>36</v>
      </c>
      <c r="K109" s="8">
        <f>Table2[[#This Row],[CurrentStock]]*Table2[[#This Row],[UnitPrice]]</f>
        <v>174921.60000000001</v>
      </c>
      <c r="L109" t="str">
        <f>IF(Table2[[#This Row],[CurrentStock]]&lt;=Table2[[#This Row],[ReorderLevel]], "Reorder Needed", "Okay")</f>
        <v>Okay</v>
      </c>
      <c r="M109" t="str">
        <f>IF(Table2[[#This Row],[CurrentStock]]-Table2[[#This Row],[ReorderLevel]]&lt;0,Table2[[#This Row],[CurrentStock]]-Table2[[#This Row],[ReorderLevel]],"")</f>
        <v/>
      </c>
      <c r="N109" t="str">
        <f>IF(Table2[[#This Row],[Stock Gap]]&lt;0, "Understock","Okay")</f>
        <v>Okay</v>
      </c>
      <c r="O109" s="13" t="str">
        <f>IF(Table2[[#This Row],[Stock Gap]]&lt;0, "Yes", "No")</f>
        <v>No</v>
      </c>
      <c r="P109" s="13" t="str">
        <f>IF(Table2[[#This Row],[CurrentStock]]&lt;Table2[[#This Row],[ReorderLevel]],"Reorder", "Okay")</f>
        <v>Okay</v>
      </c>
      <c r="Q109" s="13" t="str">
        <f>IF(Table2[[#This Row],[CurrentStock]]&gt;Table2[[#This Row],[ReorderLevel]]*3, "Overstock", "Okay")</f>
        <v>Overstock</v>
      </c>
    </row>
    <row r="110" spans="1:17" x14ac:dyDescent="0.35">
      <c r="A110">
        <v>96066</v>
      </c>
      <c r="B110" t="s">
        <v>16</v>
      </c>
      <c r="C110" t="s">
        <v>29</v>
      </c>
      <c r="D110">
        <v>126</v>
      </c>
      <c r="E110">
        <v>30</v>
      </c>
      <c r="F110" s="2">
        <v>386.77</v>
      </c>
      <c r="G110" t="s">
        <v>35</v>
      </c>
      <c r="H110" s="1">
        <v>45578</v>
      </c>
      <c r="I110" s="1">
        <v>45591</v>
      </c>
      <c r="J110" t="s">
        <v>38</v>
      </c>
      <c r="K110" s="8">
        <f>Table2[[#This Row],[CurrentStock]]*Table2[[#This Row],[UnitPrice]]</f>
        <v>48733.02</v>
      </c>
      <c r="L110" t="str">
        <f>IF(Table2[[#This Row],[CurrentStock]]&lt;=Table2[[#This Row],[ReorderLevel]], "Reorder Needed", "Okay")</f>
        <v>Okay</v>
      </c>
      <c r="M110" t="str">
        <f>IF(Table2[[#This Row],[CurrentStock]]-Table2[[#This Row],[ReorderLevel]]&lt;0,Table2[[#This Row],[CurrentStock]]-Table2[[#This Row],[ReorderLevel]],"")</f>
        <v/>
      </c>
      <c r="N110" t="str">
        <f>IF(Table2[[#This Row],[Stock Gap]]&lt;0, "Understock","Okay")</f>
        <v>Okay</v>
      </c>
      <c r="O110" s="13" t="str">
        <f>IF(Table2[[#This Row],[Stock Gap]]&lt;0, "Yes", "No")</f>
        <v>No</v>
      </c>
      <c r="P110" s="13" t="str">
        <f>IF(Table2[[#This Row],[CurrentStock]]&lt;Table2[[#This Row],[ReorderLevel]],"Reorder", "Okay")</f>
        <v>Okay</v>
      </c>
      <c r="Q110" s="13" t="str">
        <f>IF(Table2[[#This Row],[CurrentStock]]&gt;Table2[[#This Row],[ReorderLevel]]*3, "Overstock", "Okay")</f>
        <v>Overstock</v>
      </c>
    </row>
    <row r="111" spans="1:17" x14ac:dyDescent="0.35">
      <c r="A111">
        <v>11645</v>
      </c>
      <c r="B111" t="s">
        <v>11</v>
      </c>
      <c r="C111" t="s">
        <v>27</v>
      </c>
      <c r="D111">
        <v>266</v>
      </c>
      <c r="E111">
        <v>150</v>
      </c>
      <c r="F111" s="2">
        <v>65.790000000000006</v>
      </c>
      <c r="G111" t="s">
        <v>33</v>
      </c>
      <c r="H111" s="1">
        <v>45392</v>
      </c>
      <c r="I111" s="1">
        <v>45417</v>
      </c>
      <c r="J111" t="s">
        <v>38</v>
      </c>
      <c r="K111" s="8">
        <f>Table2[[#This Row],[CurrentStock]]*Table2[[#This Row],[UnitPrice]]</f>
        <v>17500.140000000003</v>
      </c>
      <c r="L111" t="str">
        <f>IF(Table2[[#This Row],[CurrentStock]]&lt;=Table2[[#This Row],[ReorderLevel]], "Reorder Needed", "Okay")</f>
        <v>Okay</v>
      </c>
      <c r="M111" t="str">
        <f>IF(Table2[[#This Row],[CurrentStock]]-Table2[[#This Row],[ReorderLevel]]&lt;0,Table2[[#This Row],[CurrentStock]]-Table2[[#This Row],[ReorderLevel]],"")</f>
        <v/>
      </c>
      <c r="N111" t="str">
        <f>IF(Table2[[#This Row],[Stock Gap]]&lt;0, "Understock","Okay")</f>
        <v>Okay</v>
      </c>
      <c r="O111" s="13" t="str">
        <f>IF(Table2[[#This Row],[Stock Gap]]&lt;0, "Yes", "No")</f>
        <v>No</v>
      </c>
      <c r="P111" s="13" t="str">
        <f>IF(Table2[[#This Row],[CurrentStock]]&lt;Table2[[#This Row],[ReorderLevel]],"Reorder", "Okay")</f>
        <v>Okay</v>
      </c>
      <c r="Q111" s="13" t="str">
        <f>IF(Table2[[#This Row],[CurrentStock]]&gt;Table2[[#This Row],[ReorderLevel]]*3, "Overstock", "Okay")</f>
        <v>Okay</v>
      </c>
    </row>
    <row r="112" spans="1:17" x14ac:dyDescent="0.35">
      <c r="A112">
        <v>85060</v>
      </c>
      <c r="B112" t="s">
        <v>17</v>
      </c>
      <c r="C112" t="s">
        <v>27</v>
      </c>
      <c r="D112">
        <v>318</v>
      </c>
      <c r="E112">
        <v>100</v>
      </c>
      <c r="F112" s="2">
        <v>261.82</v>
      </c>
      <c r="G112" t="s">
        <v>34</v>
      </c>
      <c r="H112" s="1">
        <v>45440</v>
      </c>
      <c r="I112" s="1">
        <v>45453</v>
      </c>
      <c r="J112" t="s">
        <v>38</v>
      </c>
      <c r="K112" s="8">
        <f>Table2[[#This Row],[CurrentStock]]*Table2[[#This Row],[UnitPrice]]</f>
        <v>83258.759999999995</v>
      </c>
      <c r="L112" t="str">
        <f>IF(Table2[[#This Row],[CurrentStock]]&lt;=Table2[[#This Row],[ReorderLevel]], "Reorder Needed", "Okay")</f>
        <v>Okay</v>
      </c>
      <c r="M112" t="str">
        <f>IF(Table2[[#This Row],[CurrentStock]]-Table2[[#This Row],[ReorderLevel]]&lt;0,Table2[[#This Row],[CurrentStock]]-Table2[[#This Row],[ReorderLevel]],"")</f>
        <v/>
      </c>
      <c r="N112" t="str">
        <f>IF(Table2[[#This Row],[Stock Gap]]&lt;0, "Understock","Okay")</f>
        <v>Okay</v>
      </c>
      <c r="O112" s="13" t="str">
        <f>IF(Table2[[#This Row],[Stock Gap]]&lt;0, "Yes", "No")</f>
        <v>No</v>
      </c>
      <c r="P112" s="13" t="str">
        <f>IF(Table2[[#This Row],[CurrentStock]]&lt;Table2[[#This Row],[ReorderLevel]],"Reorder", "Okay")</f>
        <v>Okay</v>
      </c>
      <c r="Q112" s="13" t="str">
        <f>IF(Table2[[#This Row],[CurrentStock]]&gt;Table2[[#This Row],[ReorderLevel]]*3, "Overstock", "Okay")</f>
        <v>Overstock</v>
      </c>
    </row>
    <row r="113" spans="1:17" x14ac:dyDescent="0.35">
      <c r="A113">
        <v>83509</v>
      </c>
      <c r="B113" t="s">
        <v>9</v>
      </c>
      <c r="C113" t="s">
        <v>26</v>
      </c>
      <c r="D113">
        <v>116</v>
      </c>
      <c r="E113">
        <v>30</v>
      </c>
      <c r="F113" s="2">
        <v>170.08</v>
      </c>
      <c r="G113" t="s">
        <v>32</v>
      </c>
      <c r="H113" s="1">
        <v>45354</v>
      </c>
      <c r="I113" s="1">
        <v>45383</v>
      </c>
      <c r="J113" t="s">
        <v>37</v>
      </c>
      <c r="K113" s="8">
        <f>Table2[[#This Row],[CurrentStock]]*Table2[[#This Row],[UnitPrice]]</f>
        <v>19729.280000000002</v>
      </c>
      <c r="L113" t="str">
        <f>IF(Table2[[#This Row],[CurrentStock]]&lt;=Table2[[#This Row],[ReorderLevel]], "Reorder Needed", "Okay")</f>
        <v>Okay</v>
      </c>
      <c r="M113" t="str">
        <f>IF(Table2[[#This Row],[CurrentStock]]-Table2[[#This Row],[ReorderLevel]]&lt;0,Table2[[#This Row],[CurrentStock]]-Table2[[#This Row],[ReorderLevel]],"")</f>
        <v/>
      </c>
      <c r="N113" t="str">
        <f>IF(Table2[[#This Row],[Stock Gap]]&lt;0, "Understock","Okay")</f>
        <v>Okay</v>
      </c>
      <c r="O113" s="13" t="str">
        <f>IF(Table2[[#This Row],[Stock Gap]]&lt;0, "Yes", "No")</f>
        <v>No</v>
      </c>
      <c r="P113" s="13" t="str">
        <f>IF(Table2[[#This Row],[CurrentStock]]&lt;Table2[[#This Row],[ReorderLevel]],"Reorder", "Okay")</f>
        <v>Okay</v>
      </c>
      <c r="Q113" s="13" t="str">
        <f>IF(Table2[[#This Row],[CurrentStock]]&gt;Table2[[#This Row],[ReorderLevel]]*3, "Overstock", "Okay")</f>
        <v>Overstock</v>
      </c>
    </row>
    <row r="114" spans="1:17" x14ac:dyDescent="0.35">
      <c r="A114">
        <v>77526</v>
      </c>
      <c r="B114" t="s">
        <v>24</v>
      </c>
      <c r="C114" t="s">
        <v>30</v>
      </c>
      <c r="D114">
        <v>417</v>
      </c>
      <c r="E114">
        <v>40</v>
      </c>
      <c r="F114" s="2">
        <v>228.85</v>
      </c>
      <c r="G114" t="s">
        <v>33</v>
      </c>
      <c r="H114" s="1">
        <v>45655</v>
      </c>
      <c r="I114" s="1">
        <v>45683</v>
      </c>
      <c r="J114" t="s">
        <v>38</v>
      </c>
      <c r="K114" s="8">
        <f>Table2[[#This Row],[CurrentStock]]*Table2[[#This Row],[UnitPrice]]</f>
        <v>95430.45</v>
      </c>
      <c r="L114" t="str">
        <f>IF(Table2[[#This Row],[CurrentStock]]&lt;=Table2[[#This Row],[ReorderLevel]], "Reorder Needed", "Okay")</f>
        <v>Okay</v>
      </c>
      <c r="M114" t="str">
        <f>IF(Table2[[#This Row],[CurrentStock]]-Table2[[#This Row],[ReorderLevel]]&lt;0,Table2[[#This Row],[CurrentStock]]-Table2[[#This Row],[ReorderLevel]],"")</f>
        <v/>
      </c>
      <c r="N114" t="str">
        <f>IF(Table2[[#This Row],[Stock Gap]]&lt;0, "Understock","Okay")</f>
        <v>Okay</v>
      </c>
      <c r="O114" s="13" t="str">
        <f>IF(Table2[[#This Row],[Stock Gap]]&lt;0, "Yes", "No")</f>
        <v>No</v>
      </c>
      <c r="P114" s="13" t="str">
        <f>IF(Table2[[#This Row],[CurrentStock]]&lt;Table2[[#This Row],[ReorderLevel]],"Reorder", "Okay")</f>
        <v>Okay</v>
      </c>
      <c r="Q114" s="13" t="str">
        <f>IF(Table2[[#This Row],[CurrentStock]]&gt;Table2[[#This Row],[ReorderLevel]]*3, "Overstock", "Okay")</f>
        <v>Overstock</v>
      </c>
    </row>
    <row r="115" spans="1:17" x14ac:dyDescent="0.35">
      <c r="A115">
        <v>20395</v>
      </c>
      <c r="B115" t="s">
        <v>16</v>
      </c>
      <c r="C115" t="s">
        <v>29</v>
      </c>
      <c r="D115">
        <v>160</v>
      </c>
      <c r="E115">
        <v>20</v>
      </c>
      <c r="F115" s="2">
        <v>391.35</v>
      </c>
      <c r="G115" t="s">
        <v>32</v>
      </c>
      <c r="H115" s="1">
        <v>45441</v>
      </c>
      <c r="I115" s="1">
        <v>45471</v>
      </c>
      <c r="J115" t="s">
        <v>36</v>
      </c>
      <c r="K115" s="8">
        <f>Table2[[#This Row],[CurrentStock]]*Table2[[#This Row],[UnitPrice]]</f>
        <v>62616</v>
      </c>
      <c r="L115" t="str">
        <f>IF(Table2[[#This Row],[CurrentStock]]&lt;=Table2[[#This Row],[ReorderLevel]], "Reorder Needed", "Okay")</f>
        <v>Okay</v>
      </c>
      <c r="M115" t="str">
        <f>IF(Table2[[#This Row],[CurrentStock]]-Table2[[#This Row],[ReorderLevel]]&lt;0,Table2[[#This Row],[CurrentStock]]-Table2[[#This Row],[ReorderLevel]],"")</f>
        <v/>
      </c>
      <c r="N115" t="str">
        <f>IF(Table2[[#This Row],[Stock Gap]]&lt;0, "Understock","Okay")</f>
        <v>Okay</v>
      </c>
      <c r="O115" s="13" t="str">
        <f>IF(Table2[[#This Row],[Stock Gap]]&lt;0, "Yes", "No")</f>
        <v>No</v>
      </c>
      <c r="P115" s="13" t="str">
        <f>IF(Table2[[#This Row],[CurrentStock]]&lt;Table2[[#This Row],[ReorderLevel]],"Reorder", "Okay")</f>
        <v>Okay</v>
      </c>
      <c r="Q115" s="13" t="str">
        <f>IF(Table2[[#This Row],[CurrentStock]]&gt;Table2[[#This Row],[ReorderLevel]]*3, "Overstock", "Okay")</f>
        <v>Overstock</v>
      </c>
    </row>
    <row r="116" spans="1:17" x14ac:dyDescent="0.35">
      <c r="A116">
        <v>31566</v>
      </c>
      <c r="B116" t="s">
        <v>18</v>
      </c>
      <c r="C116" t="s">
        <v>27</v>
      </c>
      <c r="D116">
        <v>336</v>
      </c>
      <c r="E116">
        <v>50</v>
      </c>
      <c r="F116" s="2">
        <v>232.2</v>
      </c>
      <c r="G116" t="s">
        <v>35</v>
      </c>
      <c r="H116" s="1">
        <v>45439</v>
      </c>
      <c r="I116" s="1">
        <v>45465</v>
      </c>
      <c r="J116" t="s">
        <v>36</v>
      </c>
      <c r="K116" s="8">
        <f>Table2[[#This Row],[CurrentStock]]*Table2[[#This Row],[UnitPrice]]</f>
        <v>78019.199999999997</v>
      </c>
      <c r="L116" t="str">
        <f>IF(Table2[[#This Row],[CurrentStock]]&lt;=Table2[[#This Row],[ReorderLevel]], "Reorder Needed", "Okay")</f>
        <v>Okay</v>
      </c>
      <c r="M116" t="str">
        <f>IF(Table2[[#This Row],[CurrentStock]]-Table2[[#This Row],[ReorderLevel]]&lt;0,Table2[[#This Row],[CurrentStock]]-Table2[[#This Row],[ReorderLevel]],"")</f>
        <v/>
      </c>
      <c r="N116" t="str">
        <f>IF(Table2[[#This Row],[Stock Gap]]&lt;0, "Understock","Okay")</f>
        <v>Okay</v>
      </c>
      <c r="O116" s="13" t="str">
        <f>IF(Table2[[#This Row],[Stock Gap]]&lt;0, "Yes", "No")</f>
        <v>No</v>
      </c>
      <c r="P116" s="13" t="str">
        <f>IF(Table2[[#This Row],[CurrentStock]]&lt;Table2[[#This Row],[ReorderLevel]],"Reorder", "Okay")</f>
        <v>Okay</v>
      </c>
      <c r="Q116" s="13" t="str">
        <f>IF(Table2[[#This Row],[CurrentStock]]&gt;Table2[[#This Row],[ReorderLevel]]*3, "Overstock", "Okay")</f>
        <v>Overstock</v>
      </c>
    </row>
    <row r="117" spans="1:17" x14ac:dyDescent="0.35">
      <c r="A117">
        <v>12717</v>
      </c>
      <c r="B117" t="s">
        <v>17</v>
      </c>
      <c r="C117" t="s">
        <v>27</v>
      </c>
      <c r="D117">
        <v>477</v>
      </c>
      <c r="E117">
        <v>150</v>
      </c>
      <c r="F117" s="2">
        <v>216.26</v>
      </c>
      <c r="G117" t="s">
        <v>35</v>
      </c>
      <c r="H117" s="1">
        <v>45502</v>
      </c>
      <c r="I117" s="1">
        <v>45538</v>
      </c>
      <c r="J117" t="s">
        <v>36</v>
      </c>
      <c r="K117" s="8">
        <f>Table2[[#This Row],[CurrentStock]]*Table2[[#This Row],[UnitPrice]]</f>
        <v>103156.01999999999</v>
      </c>
      <c r="L117" t="str">
        <f>IF(Table2[[#This Row],[CurrentStock]]&lt;=Table2[[#This Row],[ReorderLevel]], "Reorder Needed", "Okay")</f>
        <v>Okay</v>
      </c>
      <c r="M117" t="str">
        <f>IF(Table2[[#This Row],[CurrentStock]]-Table2[[#This Row],[ReorderLevel]]&lt;0,Table2[[#This Row],[CurrentStock]]-Table2[[#This Row],[ReorderLevel]],"")</f>
        <v/>
      </c>
      <c r="N117" t="str">
        <f>IF(Table2[[#This Row],[Stock Gap]]&lt;0, "Understock","Okay")</f>
        <v>Okay</v>
      </c>
      <c r="O117" s="13" t="str">
        <f>IF(Table2[[#This Row],[Stock Gap]]&lt;0, "Yes", "No")</f>
        <v>No</v>
      </c>
      <c r="P117" s="13" t="str">
        <f>IF(Table2[[#This Row],[CurrentStock]]&lt;Table2[[#This Row],[ReorderLevel]],"Reorder", "Okay")</f>
        <v>Okay</v>
      </c>
      <c r="Q117" s="13" t="str">
        <f>IF(Table2[[#This Row],[CurrentStock]]&gt;Table2[[#This Row],[ReorderLevel]]*3, "Overstock", "Okay")</f>
        <v>Overstock</v>
      </c>
    </row>
    <row r="118" spans="1:17" x14ac:dyDescent="0.35">
      <c r="A118">
        <v>16645</v>
      </c>
      <c r="B118" t="s">
        <v>25</v>
      </c>
      <c r="C118" t="s">
        <v>29</v>
      </c>
      <c r="D118">
        <v>285</v>
      </c>
      <c r="E118">
        <v>40</v>
      </c>
      <c r="F118" s="2">
        <v>37.53</v>
      </c>
      <c r="G118" t="s">
        <v>33</v>
      </c>
      <c r="H118" s="1">
        <v>45369</v>
      </c>
      <c r="I118" s="1">
        <v>45375</v>
      </c>
      <c r="J118" t="s">
        <v>36</v>
      </c>
      <c r="K118" s="8">
        <f>Table2[[#This Row],[CurrentStock]]*Table2[[#This Row],[UnitPrice]]</f>
        <v>10696.050000000001</v>
      </c>
      <c r="L118" t="str">
        <f>IF(Table2[[#This Row],[CurrentStock]]&lt;=Table2[[#This Row],[ReorderLevel]], "Reorder Needed", "Okay")</f>
        <v>Okay</v>
      </c>
      <c r="M118" t="str">
        <f>IF(Table2[[#This Row],[CurrentStock]]-Table2[[#This Row],[ReorderLevel]]&lt;0,Table2[[#This Row],[CurrentStock]]-Table2[[#This Row],[ReorderLevel]],"")</f>
        <v/>
      </c>
      <c r="N118" t="str">
        <f>IF(Table2[[#This Row],[Stock Gap]]&lt;0, "Understock","Okay")</f>
        <v>Okay</v>
      </c>
      <c r="O118" s="13" t="str">
        <f>IF(Table2[[#This Row],[Stock Gap]]&lt;0, "Yes", "No")</f>
        <v>No</v>
      </c>
      <c r="P118" s="13" t="str">
        <f>IF(Table2[[#This Row],[CurrentStock]]&lt;Table2[[#This Row],[ReorderLevel]],"Reorder", "Okay")</f>
        <v>Okay</v>
      </c>
      <c r="Q118" s="13" t="str">
        <f>IF(Table2[[#This Row],[CurrentStock]]&gt;Table2[[#This Row],[ReorderLevel]]*3, "Overstock", "Okay")</f>
        <v>Overstock</v>
      </c>
    </row>
    <row r="119" spans="1:17" x14ac:dyDescent="0.35">
      <c r="A119">
        <v>22342</v>
      </c>
      <c r="B119" t="s">
        <v>20</v>
      </c>
      <c r="C119" t="s">
        <v>30</v>
      </c>
      <c r="D119">
        <v>165</v>
      </c>
      <c r="E119">
        <v>40</v>
      </c>
      <c r="F119" s="2">
        <v>81.84</v>
      </c>
      <c r="G119" t="s">
        <v>31</v>
      </c>
      <c r="H119" s="1">
        <v>45555</v>
      </c>
      <c r="I119" s="1">
        <v>45588</v>
      </c>
      <c r="J119" t="s">
        <v>38</v>
      </c>
      <c r="K119" s="8">
        <f>Table2[[#This Row],[CurrentStock]]*Table2[[#This Row],[UnitPrice]]</f>
        <v>13503.6</v>
      </c>
      <c r="L119" t="str">
        <f>IF(Table2[[#This Row],[CurrentStock]]&lt;=Table2[[#This Row],[ReorderLevel]], "Reorder Needed", "Okay")</f>
        <v>Okay</v>
      </c>
      <c r="M119" t="str">
        <f>IF(Table2[[#This Row],[CurrentStock]]-Table2[[#This Row],[ReorderLevel]]&lt;0,Table2[[#This Row],[CurrentStock]]-Table2[[#This Row],[ReorderLevel]],"")</f>
        <v/>
      </c>
      <c r="N119" t="str">
        <f>IF(Table2[[#This Row],[Stock Gap]]&lt;0, "Understock","Okay")</f>
        <v>Okay</v>
      </c>
      <c r="O119" s="13" t="str">
        <f>IF(Table2[[#This Row],[Stock Gap]]&lt;0, "Yes", "No")</f>
        <v>No</v>
      </c>
      <c r="P119" s="13" t="str">
        <f>IF(Table2[[#This Row],[CurrentStock]]&lt;Table2[[#This Row],[ReorderLevel]],"Reorder", "Okay")</f>
        <v>Okay</v>
      </c>
      <c r="Q119" s="13" t="str">
        <f>IF(Table2[[#This Row],[CurrentStock]]&gt;Table2[[#This Row],[ReorderLevel]]*3, "Overstock", "Okay")</f>
        <v>Overstock</v>
      </c>
    </row>
    <row r="120" spans="1:17" x14ac:dyDescent="0.35">
      <c r="A120">
        <v>36399</v>
      </c>
      <c r="B120" t="s">
        <v>24</v>
      </c>
      <c r="C120" t="s">
        <v>30</v>
      </c>
      <c r="D120">
        <v>365</v>
      </c>
      <c r="E120">
        <v>30</v>
      </c>
      <c r="F120" s="2">
        <v>207.32</v>
      </c>
      <c r="G120" t="s">
        <v>32</v>
      </c>
      <c r="H120" s="1">
        <v>45378</v>
      </c>
      <c r="I120" s="1">
        <v>45410</v>
      </c>
      <c r="J120" t="s">
        <v>37</v>
      </c>
      <c r="K120" s="8">
        <f>Table2[[#This Row],[CurrentStock]]*Table2[[#This Row],[UnitPrice]]</f>
        <v>75671.8</v>
      </c>
      <c r="L120" t="str">
        <f>IF(Table2[[#This Row],[CurrentStock]]&lt;=Table2[[#This Row],[ReorderLevel]], "Reorder Needed", "Okay")</f>
        <v>Okay</v>
      </c>
      <c r="M120" t="str">
        <f>IF(Table2[[#This Row],[CurrentStock]]-Table2[[#This Row],[ReorderLevel]]&lt;0,Table2[[#This Row],[CurrentStock]]-Table2[[#This Row],[ReorderLevel]],"")</f>
        <v/>
      </c>
      <c r="N120" t="str">
        <f>IF(Table2[[#This Row],[Stock Gap]]&lt;0, "Understock","Okay")</f>
        <v>Okay</v>
      </c>
      <c r="O120" s="13" t="str">
        <f>IF(Table2[[#This Row],[Stock Gap]]&lt;0, "Yes", "No")</f>
        <v>No</v>
      </c>
      <c r="P120" s="13" t="str">
        <f>IF(Table2[[#This Row],[CurrentStock]]&lt;Table2[[#This Row],[ReorderLevel]],"Reorder", "Okay")</f>
        <v>Okay</v>
      </c>
      <c r="Q120" s="13" t="str">
        <f>IF(Table2[[#This Row],[CurrentStock]]&gt;Table2[[#This Row],[ReorderLevel]]*3, "Overstock", "Okay")</f>
        <v>Overstock</v>
      </c>
    </row>
    <row r="121" spans="1:17" x14ac:dyDescent="0.35">
      <c r="A121">
        <v>66373</v>
      </c>
      <c r="B121" t="s">
        <v>16</v>
      </c>
      <c r="C121" t="s">
        <v>29</v>
      </c>
      <c r="D121">
        <v>320</v>
      </c>
      <c r="E121">
        <v>20</v>
      </c>
      <c r="F121" s="2">
        <v>114.88</v>
      </c>
      <c r="G121" t="s">
        <v>34</v>
      </c>
      <c r="H121" s="1">
        <v>45546</v>
      </c>
      <c r="I121" s="1">
        <v>45558</v>
      </c>
      <c r="J121" t="s">
        <v>37</v>
      </c>
      <c r="K121" s="8">
        <f>Table2[[#This Row],[CurrentStock]]*Table2[[#This Row],[UnitPrice]]</f>
        <v>36761.599999999999</v>
      </c>
      <c r="L121" t="str">
        <f>IF(Table2[[#This Row],[CurrentStock]]&lt;=Table2[[#This Row],[ReorderLevel]], "Reorder Needed", "Okay")</f>
        <v>Okay</v>
      </c>
      <c r="M121" t="str">
        <f>IF(Table2[[#This Row],[CurrentStock]]-Table2[[#This Row],[ReorderLevel]]&lt;0,Table2[[#This Row],[CurrentStock]]-Table2[[#This Row],[ReorderLevel]],"")</f>
        <v/>
      </c>
      <c r="N121" t="str">
        <f>IF(Table2[[#This Row],[Stock Gap]]&lt;0, "Understock","Okay")</f>
        <v>Okay</v>
      </c>
      <c r="O121" s="13" t="str">
        <f>IF(Table2[[#This Row],[Stock Gap]]&lt;0, "Yes", "No")</f>
        <v>No</v>
      </c>
      <c r="P121" s="13" t="str">
        <f>IF(Table2[[#This Row],[CurrentStock]]&lt;Table2[[#This Row],[ReorderLevel]],"Reorder", "Okay")</f>
        <v>Okay</v>
      </c>
      <c r="Q121" s="13" t="str">
        <f>IF(Table2[[#This Row],[CurrentStock]]&gt;Table2[[#This Row],[ReorderLevel]]*3, "Overstock", "Okay")</f>
        <v>Overstock</v>
      </c>
    </row>
    <row r="122" spans="1:17" x14ac:dyDescent="0.35">
      <c r="A122">
        <v>83506</v>
      </c>
      <c r="B122" t="s">
        <v>15</v>
      </c>
      <c r="C122" t="s">
        <v>29</v>
      </c>
      <c r="D122">
        <v>50</v>
      </c>
      <c r="E122">
        <v>20</v>
      </c>
      <c r="F122" s="2">
        <v>280.58</v>
      </c>
      <c r="G122" t="s">
        <v>31</v>
      </c>
      <c r="H122" s="1">
        <v>45555</v>
      </c>
      <c r="I122" s="1">
        <v>45593</v>
      </c>
      <c r="J122" t="s">
        <v>36</v>
      </c>
      <c r="K122" s="8">
        <f>Table2[[#This Row],[CurrentStock]]*Table2[[#This Row],[UnitPrice]]</f>
        <v>14029</v>
      </c>
      <c r="L122" t="str">
        <f>IF(Table2[[#This Row],[CurrentStock]]&lt;=Table2[[#This Row],[ReorderLevel]], "Reorder Needed", "Okay")</f>
        <v>Okay</v>
      </c>
      <c r="M122" t="str">
        <f>IF(Table2[[#This Row],[CurrentStock]]-Table2[[#This Row],[ReorderLevel]]&lt;0,Table2[[#This Row],[CurrentStock]]-Table2[[#This Row],[ReorderLevel]],"")</f>
        <v/>
      </c>
      <c r="N122" t="str">
        <f>IF(Table2[[#This Row],[Stock Gap]]&lt;0, "Understock","Okay")</f>
        <v>Okay</v>
      </c>
      <c r="O122" s="13" t="str">
        <f>IF(Table2[[#This Row],[Stock Gap]]&lt;0, "Yes", "No")</f>
        <v>No</v>
      </c>
      <c r="P122" s="13" t="str">
        <f>IF(Table2[[#This Row],[CurrentStock]]&lt;Table2[[#This Row],[ReorderLevel]],"Reorder", "Okay")</f>
        <v>Okay</v>
      </c>
      <c r="Q122" s="13" t="str">
        <f>IF(Table2[[#This Row],[CurrentStock]]&gt;Table2[[#This Row],[ReorderLevel]]*3, "Overstock", "Okay")</f>
        <v>Okay</v>
      </c>
    </row>
    <row r="123" spans="1:17" x14ac:dyDescent="0.35">
      <c r="A123">
        <v>26032</v>
      </c>
      <c r="B123" t="s">
        <v>22</v>
      </c>
      <c r="C123" t="s">
        <v>29</v>
      </c>
      <c r="D123">
        <v>222</v>
      </c>
      <c r="E123">
        <v>150</v>
      </c>
      <c r="F123" s="2">
        <v>448.69</v>
      </c>
      <c r="G123" t="s">
        <v>35</v>
      </c>
      <c r="H123" s="1">
        <v>45298</v>
      </c>
      <c r="I123" s="1">
        <v>45312</v>
      </c>
      <c r="J123" t="s">
        <v>37</v>
      </c>
      <c r="K123" s="8">
        <f>Table2[[#This Row],[CurrentStock]]*Table2[[#This Row],[UnitPrice]]</f>
        <v>99609.18</v>
      </c>
      <c r="L123" t="str">
        <f>IF(Table2[[#This Row],[CurrentStock]]&lt;=Table2[[#This Row],[ReorderLevel]], "Reorder Needed", "Okay")</f>
        <v>Okay</v>
      </c>
      <c r="M123" t="str">
        <f>IF(Table2[[#This Row],[CurrentStock]]-Table2[[#This Row],[ReorderLevel]]&lt;0,Table2[[#This Row],[CurrentStock]]-Table2[[#This Row],[ReorderLevel]],"")</f>
        <v/>
      </c>
      <c r="N123" t="str">
        <f>IF(Table2[[#This Row],[Stock Gap]]&lt;0, "Understock","Okay")</f>
        <v>Okay</v>
      </c>
      <c r="O123" s="13" t="str">
        <f>IF(Table2[[#This Row],[Stock Gap]]&lt;0, "Yes", "No")</f>
        <v>No</v>
      </c>
      <c r="P123" s="13" t="str">
        <f>IF(Table2[[#This Row],[CurrentStock]]&lt;Table2[[#This Row],[ReorderLevel]],"Reorder", "Okay")</f>
        <v>Okay</v>
      </c>
      <c r="Q123" s="13" t="str">
        <f>IF(Table2[[#This Row],[CurrentStock]]&gt;Table2[[#This Row],[ReorderLevel]]*3, "Overstock", "Okay")</f>
        <v>Okay</v>
      </c>
    </row>
    <row r="124" spans="1:17" x14ac:dyDescent="0.35">
      <c r="A124">
        <v>33236</v>
      </c>
      <c r="B124" t="s">
        <v>15</v>
      </c>
      <c r="C124" t="s">
        <v>29</v>
      </c>
      <c r="D124">
        <v>35</v>
      </c>
      <c r="E124">
        <v>80</v>
      </c>
      <c r="F124" s="2">
        <v>213.61</v>
      </c>
      <c r="G124" t="s">
        <v>33</v>
      </c>
      <c r="H124" s="1">
        <v>45293</v>
      </c>
      <c r="I124" s="1">
        <v>45298</v>
      </c>
      <c r="J124" t="s">
        <v>37</v>
      </c>
      <c r="K124" s="8">
        <f>Table2[[#This Row],[CurrentStock]]*Table2[[#This Row],[UnitPrice]]</f>
        <v>7476.35</v>
      </c>
      <c r="L124" t="str">
        <f>IF(Table2[[#This Row],[CurrentStock]]&lt;=Table2[[#This Row],[ReorderLevel]], "Reorder Needed", "Okay")</f>
        <v>Reorder Needed</v>
      </c>
      <c r="M124" s="7">
        <f>IF(Table2[[#This Row],[CurrentStock]]-Table2[[#This Row],[ReorderLevel]]&lt;0,Table2[[#This Row],[CurrentStock]]-Table2[[#This Row],[ReorderLevel]],"")</f>
        <v>-45</v>
      </c>
      <c r="N124" t="str">
        <f>IF(Table2[[#This Row],[Stock Gap]]&lt;0, "Understock","Okay")</f>
        <v>Understock</v>
      </c>
      <c r="O124" s="13" t="str">
        <f>IF(Table2[[#This Row],[Stock Gap]]&lt;0, "Yes", "No")</f>
        <v>Yes</v>
      </c>
      <c r="P124" s="13" t="str">
        <f>IF(Table2[[#This Row],[CurrentStock]]&lt;Table2[[#This Row],[ReorderLevel]],"Reorder", "Okay")</f>
        <v>Reorder</v>
      </c>
      <c r="Q124" s="13" t="str">
        <f>IF(Table2[[#This Row],[CurrentStock]]&gt;Table2[[#This Row],[ReorderLevel]]*3, "Overstock", "Okay")</f>
        <v>Okay</v>
      </c>
    </row>
    <row r="125" spans="1:17" x14ac:dyDescent="0.35">
      <c r="A125">
        <v>43572</v>
      </c>
      <c r="B125" t="s">
        <v>24</v>
      </c>
      <c r="C125" t="s">
        <v>30</v>
      </c>
      <c r="D125">
        <v>385</v>
      </c>
      <c r="E125">
        <v>40</v>
      </c>
      <c r="F125" s="2">
        <v>297.2</v>
      </c>
      <c r="G125" t="s">
        <v>34</v>
      </c>
      <c r="H125" s="1">
        <v>45311</v>
      </c>
      <c r="I125" s="1">
        <v>45320</v>
      </c>
      <c r="J125" t="s">
        <v>38</v>
      </c>
      <c r="K125" s="8">
        <f>Table2[[#This Row],[CurrentStock]]*Table2[[#This Row],[UnitPrice]]</f>
        <v>114422</v>
      </c>
      <c r="L125" t="str">
        <f>IF(Table2[[#This Row],[CurrentStock]]&lt;=Table2[[#This Row],[ReorderLevel]], "Reorder Needed", "Okay")</f>
        <v>Okay</v>
      </c>
      <c r="M125" t="str">
        <f>IF(Table2[[#This Row],[CurrentStock]]-Table2[[#This Row],[ReorderLevel]]&lt;0,Table2[[#This Row],[CurrentStock]]-Table2[[#This Row],[ReorderLevel]],"")</f>
        <v/>
      </c>
      <c r="N125" t="str">
        <f>IF(Table2[[#This Row],[Stock Gap]]&lt;0, "Understock","Okay")</f>
        <v>Okay</v>
      </c>
      <c r="O125" s="13" t="str">
        <f>IF(Table2[[#This Row],[Stock Gap]]&lt;0, "Yes", "No")</f>
        <v>No</v>
      </c>
      <c r="P125" s="13" t="str">
        <f>IF(Table2[[#This Row],[CurrentStock]]&lt;Table2[[#This Row],[ReorderLevel]],"Reorder", "Okay")</f>
        <v>Okay</v>
      </c>
      <c r="Q125" s="13" t="str">
        <f>IF(Table2[[#This Row],[CurrentStock]]&gt;Table2[[#This Row],[ReorderLevel]]*3, "Overstock", "Okay")</f>
        <v>Overstock</v>
      </c>
    </row>
    <row r="126" spans="1:17" x14ac:dyDescent="0.35">
      <c r="A126">
        <v>55648</v>
      </c>
      <c r="B126" t="s">
        <v>16</v>
      </c>
      <c r="C126" t="s">
        <v>29</v>
      </c>
      <c r="D126">
        <v>354</v>
      </c>
      <c r="E126">
        <v>50</v>
      </c>
      <c r="F126" s="2">
        <v>487.4</v>
      </c>
      <c r="G126" t="s">
        <v>32</v>
      </c>
      <c r="H126" s="1">
        <v>45655</v>
      </c>
      <c r="I126" s="1">
        <v>45683</v>
      </c>
      <c r="J126" t="s">
        <v>38</v>
      </c>
      <c r="K126" s="8">
        <f>Table2[[#This Row],[CurrentStock]]*Table2[[#This Row],[UnitPrice]]</f>
        <v>172539.6</v>
      </c>
      <c r="L126" t="str">
        <f>IF(Table2[[#This Row],[CurrentStock]]&lt;=Table2[[#This Row],[ReorderLevel]], "Reorder Needed", "Okay")</f>
        <v>Okay</v>
      </c>
      <c r="M126" t="str">
        <f>IF(Table2[[#This Row],[CurrentStock]]-Table2[[#This Row],[ReorderLevel]]&lt;0,Table2[[#This Row],[CurrentStock]]-Table2[[#This Row],[ReorderLevel]],"")</f>
        <v/>
      </c>
      <c r="N126" t="str">
        <f>IF(Table2[[#This Row],[Stock Gap]]&lt;0, "Understock","Okay")</f>
        <v>Okay</v>
      </c>
      <c r="O126" s="13" t="str">
        <f>IF(Table2[[#This Row],[Stock Gap]]&lt;0, "Yes", "No")</f>
        <v>No</v>
      </c>
      <c r="P126" s="13" t="str">
        <f>IF(Table2[[#This Row],[CurrentStock]]&lt;Table2[[#This Row],[ReorderLevel]],"Reorder", "Okay")</f>
        <v>Okay</v>
      </c>
      <c r="Q126" s="13" t="str">
        <f>IF(Table2[[#This Row],[CurrentStock]]&gt;Table2[[#This Row],[ReorderLevel]]*3, "Overstock", "Okay")</f>
        <v>Overstock</v>
      </c>
    </row>
    <row r="127" spans="1:17" x14ac:dyDescent="0.35">
      <c r="A127">
        <v>88344</v>
      </c>
      <c r="B127" t="s">
        <v>14</v>
      </c>
      <c r="C127" t="s">
        <v>28</v>
      </c>
      <c r="D127">
        <v>214</v>
      </c>
      <c r="E127">
        <v>20</v>
      </c>
      <c r="F127" s="2">
        <v>244.97</v>
      </c>
      <c r="G127" t="s">
        <v>32</v>
      </c>
      <c r="H127" s="1">
        <v>45500</v>
      </c>
      <c r="I127" s="1">
        <v>45518</v>
      </c>
      <c r="J127" t="s">
        <v>36</v>
      </c>
      <c r="K127" s="8">
        <f>Table2[[#This Row],[CurrentStock]]*Table2[[#This Row],[UnitPrice]]</f>
        <v>52423.58</v>
      </c>
      <c r="L127" t="str">
        <f>IF(Table2[[#This Row],[CurrentStock]]&lt;=Table2[[#This Row],[ReorderLevel]], "Reorder Needed", "Okay")</f>
        <v>Okay</v>
      </c>
      <c r="M127" t="str">
        <f>IF(Table2[[#This Row],[CurrentStock]]-Table2[[#This Row],[ReorderLevel]]&lt;0,Table2[[#This Row],[CurrentStock]]-Table2[[#This Row],[ReorderLevel]],"")</f>
        <v/>
      </c>
      <c r="N127" t="str">
        <f>IF(Table2[[#This Row],[Stock Gap]]&lt;0, "Understock","Okay")</f>
        <v>Okay</v>
      </c>
      <c r="O127" s="13" t="str">
        <f>IF(Table2[[#This Row],[Stock Gap]]&lt;0, "Yes", "No")</f>
        <v>No</v>
      </c>
      <c r="P127" s="13" t="str">
        <f>IF(Table2[[#This Row],[CurrentStock]]&lt;Table2[[#This Row],[ReorderLevel]],"Reorder", "Okay")</f>
        <v>Okay</v>
      </c>
      <c r="Q127" s="13" t="str">
        <f>IF(Table2[[#This Row],[CurrentStock]]&gt;Table2[[#This Row],[ReorderLevel]]*3, "Overstock", "Okay")</f>
        <v>Overstock</v>
      </c>
    </row>
    <row r="128" spans="1:17" x14ac:dyDescent="0.35">
      <c r="A128">
        <v>86908</v>
      </c>
      <c r="B128" t="s">
        <v>18</v>
      </c>
      <c r="C128" t="s">
        <v>27</v>
      </c>
      <c r="D128">
        <v>200</v>
      </c>
      <c r="E128">
        <v>100</v>
      </c>
      <c r="F128" s="2">
        <v>324.3</v>
      </c>
      <c r="G128" t="s">
        <v>32</v>
      </c>
      <c r="H128" s="1">
        <v>45295</v>
      </c>
      <c r="I128" s="1">
        <v>45325</v>
      </c>
      <c r="J128" t="s">
        <v>37</v>
      </c>
      <c r="K128" s="8">
        <f>Table2[[#This Row],[CurrentStock]]*Table2[[#This Row],[UnitPrice]]</f>
        <v>64860</v>
      </c>
      <c r="L128" t="str">
        <f>IF(Table2[[#This Row],[CurrentStock]]&lt;=Table2[[#This Row],[ReorderLevel]], "Reorder Needed", "Okay")</f>
        <v>Okay</v>
      </c>
      <c r="M128" t="str">
        <f>IF(Table2[[#This Row],[CurrentStock]]-Table2[[#This Row],[ReorderLevel]]&lt;0,Table2[[#This Row],[CurrentStock]]-Table2[[#This Row],[ReorderLevel]],"")</f>
        <v/>
      </c>
      <c r="N128" t="str">
        <f>IF(Table2[[#This Row],[Stock Gap]]&lt;0, "Understock","Okay")</f>
        <v>Okay</v>
      </c>
      <c r="O128" s="13" t="str">
        <f>IF(Table2[[#This Row],[Stock Gap]]&lt;0, "Yes", "No")</f>
        <v>No</v>
      </c>
      <c r="P128" s="13" t="str">
        <f>IF(Table2[[#This Row],[CurrentStock]]&lt;Table2[[#This Row],[ReorderLevel]],"Reorder", "Okay")</f>
        <v>Okay</v>
      </c>
      <c r="Q128" s="13" t="str">
        <f>IF(Table2[[#This Row],[CurrentStock]]&gt;Table2[[#This Row],[ReorderLevel]]*3, "Overstock", "Okay")</f>
        <v>Okay</v>
      </c>
    </row>
    <row r="129" spans="1:17" x14ac:dyDescent="0.35">
      <c r="A129">
        <v>49952</v>
      </c>
      <c r="B129" t="s">
        <v>15</v>
      </c>
      <c r="C129" t="s">
        <v>29</v>
      </c>
      <c r="D129">
        <v>325</v>
      </c>
      <c r="E129">
        <v>30</v>
      </c>
      <c r="F129" s="2">
        <v>267.18</v>
      </c>
      <c r="G129" t="s">
        <v>35</v>
      </c>
      <c r="H129" s="1">
        <v>45333</v>
      </c>
      <c r="I129" s="1">
        <v>45371</v>
      </c>
      <c r="J129" t="s">
        <v>36</v>
      </c>
      <c r="K129" s="8">
        <f>Table2[[#This Row],[CurrentStock]]*Table2[[#This Row],[UnitPrice]]</f>
        <v>86833.5</v>
      </c>
      <c r="L129" t="str">
        <f>IF(Table2[[#This Row],[CurrentStock]]&lt;=Table2[[#This Row],[ReorderLevel]], "Reorder Needed", "Okay")</f>
        <v>Okay</v>
      </c>
      <c r="M129" t="str">
        <f>IF(Table2[[#This Row],[CurrentStock]]-Table2[[#This Row],[ReorderLevel]]&lt;0,Table2[[#This Row],[CurrentStock]]-Table2[[#This Row],[ReorderLevel]],"")</f>
        <v/>
      </c>
      <c r="N129" t="str">
        <f>IF(Table2[[#This Row],[Stock Gap]]&lt;0, "Understock","Okay")</f>
        <v>Okay</v>
      </c>
      <c r="O129" s="13" t="str">
        <f>IF(Table2[[#This Row],[Stock Gap]]&lt;0, "Yes", "No")</f>
        <v>No</v>
      </c>
      <c r="P129" s="13" t="str">
        <f>IF(Table2[[#This Row],[CurrentStock]]&lt;Table2[[#This Row],[ReorderLevel]],"Reorder", "Okay")</f>
        <v>Okay</v>
      </c>
      <c r="Q129" s="13" t="str">
        <f>IF(Table2[[#This Row],[CurrentStock]]&gt;Table2[[#This Row],[ReorderLevel]]*3, "Overstock", "Okay")</f>
        <v>Overstock</v>
      </c>
    </row>
    <row r="130" spans="1:17" x14ac:dyDescent="0.35">
      <c r="A130">
        <v>92565</v>
      </c>
      <c r="B130" t="s">
        <v>24</v>
      </c>
      <c r="C130" t="s">
        <v>30</v>
      </c>
      <c r="D130">
        <v>116</v>
      </c>
      <c r="E130">
        <v>30</v>
      </c>
      <c r="F130" s="2">
        <v>74.31</v>
      </c>
      <c r="G130" t="s">
        <v>31</v>
      </c>
      <c r="H130" s="1">
        <v>45318</v>
      </c>
      <c r="I130" s="1">
        <v>45353</v>
      </c>
      <c r="J130" t="s">
        <v>38</v>
      </c>
      <c r="K130" s="8">
        <f>Table2[[#This Row],[CurrentStock]]*Table2[[#This Row],[UnitPrice]]</f>
        <v>8619.9600000000009</v>
      </c>
      <c r="L130" t="str">
        <f>IF(Table2[[#This Row],[CurrentStock]]&lt;=Table2[[#This Row],[ReorderLevel]], "Reorder Needed", "Okay")</f>
        <v>Okay</v>
      </c>
      <c r="M130" t="str">
        <f>IF(Table2[[#This Row],[CurrentStock]]-Table2[[#This Row],[ReorderLevel]]&lt;0,Table2[[#This Row],[CurrentStock]]-Table2[[#This Row],[ReorderLevel]],"")</f>
        <v/>
      </c>
      <c r="N130" t="str">
        <f>IF(Table2[[#This Row],[Stock Gap]]&lt;0, "Understock","Okay")</f>
        <v>Okay</v>
      </c>
      <c r="O130" s="13" t="str">
        <f>IF(Table2[[#This Row],[Stock Gap]]&lt;0, "Yes", "No")</f>
        <v>No</v>
      </c>
      <c r="P130" s="13" t="str">
        <f>IF(Table2[[#This Row],[CurrentStock]]&lt;Table2[[#This Row],[ReorderLevel]],"Reorder", "Okay")</f>
        <v>Okay</v>
      </c>
      <c r="Q130" s="13" t="str">
        <f>IF(Table2[[#This Row],[CurrentStock]]&gt;Table2[[#This Row],[ReorderLevel]]*3, "Overstock", "Okay")</f>
        <v>Overstock</v>
      </c>
    </row>
    <row r="131" spans="1:17" x14ac:dyDescent="0.35">
      <c r="A131">
        <v>48709</v>
      </c>
      <c r="B131" t="s">
        <v>9</v>
      </c>
      <c r="C131" t="s">
        <v>26</v>
      </c>
      <c r="D131">
        <v>308</v>
      </c>
      <c r="E131">
        <v>150</v>
      </c>
      <c r="F131" s="2">
        <v>288.77999999999997</v>
      </c>
      <c r="G131" t="s">
        <v>31</v>
      </c>
      <c r="H131" s="1">
        <v>45481</v>
      </c>
      <c r="I131" s="1">
        <v>45487</v>
      </c>
      <c r="J131" t="s">
        <v>36</v>
      </c>
      <c r="K131" s="8">
        <f>Table2[[#This Row],[CurrentStock]]*Table2[[#This Row],[UnitPrice]]</f>
        <v>88944.239999999991</v>
      </c>
      <c r="L131" t="str">
        <f>IF(Table2[[#This Row],[CurrentStock]]&lt;=Table2[[#This Row],[ReorderLevel]], "Reorder Needed", "Okay")</f>
        <v>Okay</v>
      </c>
      <c r="M131" t="str">
        <f>IF(Table2[[#This Row],[CurrentStock]]-Table2[[#This Row],[ReorderLevel]]&lt;0,Table2[[#This Row],[CurrentStock]]-Table2[[#This Row],[ReorderLevel]],"")</f>
        <v/>
      </c>
      <c r="N131" t="str">
        <f>IF(Table2[[#This Row],[Stock Gap]]&lt;0, "Understock","Okay")</f>
        <v>Okay</v>
      </c>
      <c r="O131" s="13" t="str">
        <f>IF(Table2[[#This Row],[Stock Gap]]&lt;0, "Yes", "No")</f>
        <v>No</v>
      </c>
      <c r="P131" s="13" t="str">
        <f>IF(Table2[[#This Row],[CurrentStock]]&lt;Table2[[#This Row],[ReorderLevel]],"Reorder", "Okay")</f>
        <v>Okay</v>
      </c>
      <c r="Q131" s="13" t="str">
        <f>IF(Table2[[#This Row],[CurrentStock]]&gt;Table2[[#This Row],[ReorderLevel]]*3, "Overstock", "Okay")</f>
        <v>Okay</v>
      </c>
    </row>
    <row r="132" spans="1:17" x14ac:dyDescent="0.35">
      <c r="A132">
        <v>99599</v>
      </c>
      <c r="B132" t="s">
        <v>19</v>
      </c>
      <c r="C132" t="s">
        <v>28</v>
      </c>
      <c r="D132">
        <v>291</v>
      </c>
      <c r="E132">
        <v>40</v>
      </c>
      <c r="F132" s="2">
        <v>126.45</v>
      </c>
      <c r="G132" t="s">
        <v>33</v>
      </c>
      <c r="H132" s="1">
        <v>45440</v>
      </c>
      <c r="I132" s="1">
        <v>45455</v>
      </c>
      <c r="J132" t="s">
        <v>36</v>
      </c>
      <c r="K132" s="8">
        <f>Table2[[#This Row],[CurrentStock]]*Table2[[#This Row],[UnitPrice]]</f>
        <v>36796.950000000004</v>
      </c>
      <c r="L132" t="str">
        <f>IF(Table2[[#This Row],[CurrentStock]]&lt;=Table2[[#This Row],[ReorderLevel]], "Reorder Needed", "Okay")</f>
        <v>Okay</v>
      </c>
      <c r="M132" t="str">
        <f>IF(Table2[[#This Row],[CurrentStock]]-Table2[[#This Row],[ReorderLevel]]&lt;0,Table2[[#This Row],[CurrentStock]]-Table2[[#This Row],[ReorderLevel]],"")</f>
        <v/>
      </c>
      <c r="N132" t="str">
        <f>IF(Table2[[#This Row],[Stock Gap]]&lt;0, "Understock","Okay")</f>
        <v>Okay</v>
      </c>
      <c r="O132" s="13" t="str">
        <f>IF(Table2[[#This Row],[Stock Gap]]&lt;0, "Yes", "No")</f>
        <v>No</v>
      </c>
      <c r="P132" s="13" t="str">
        <f>IF(Table2[[#This Row],[CurrentStock]]&lt;Table2[[#This Row],[ReorderLevel]],"Reorder", "Okay")</f>
        <v>Okay</v>
      </c>
      <c r="Q132" s="13" t="str">
        <f>IF(Table2[[#This Row],[CurrentStock]]&gt;Table2[[#This Row],[ReorderLevel]]*3, "Overstock", "Okay")</f>
        <v>Overstock</v>
      </c>
    </row>
    <row r="133" spans="1:17" x14ac:dyDescent="0.35">
      <c r="A133">
        <v>14853</v>
      </c>
      <c r="B133" t="s">
        <v>12</v>
      </c>
      <c r="C133" t="s">
        <v>28</v>
      </c>
      <c r="D133">
        <v>231</v>
      </c>
      <c r="E133">
        <v>40</v>
      </c>
      <c r="F133" s="2">
        <v>474.91</v>
      </c>
      <c r="G133" t="s">
        <v>35</v>
      </c>
      <c r="H133" s="1">
        <v>45346</v>
      </c>
      <c r="I133" s="1">
        <v>45374</v>
      </c>
      <c r="J133" t="s">
        <v>36</v>
      </c>
      <c r="K133" s="8">
        <f>Table2[[#This Row],[CurrentStock]]*Table2[[#This Row],[UnitPrice]]</f>
        <v>109704.21</v>
      </c>
      <c r="L133" t="str">
        <f>IF(Table2[[#This Row],[CurrentStock]]&lt;=Table2[[#This Row],[ReorderLevel]], "Reorder Needed", "Okay")</f>
        <v>Okay</v>
      </c>
      <c r="M133" t="str">
        <f>IF(Table2[[#This Row],[CurrentStock]]-Table2[[#This Row],[ReorderLevel]]&lt;0,Table2[[#This Row],[CurrentStock]]-Table2[[#This Row],[ReorderLevel]],"")</f>
        <v/>
      </c>
      <c r="N133" t="str">
        <f>IF(Table2[[#This Row],[Stock Gap]]&lt;0, "Understock","Okay")</f>
        <v>Okay</v>
      </c>
      <c r="O133" s="13" t="str">
        <f>IF(Table2[[#This Row],[Stock Gap]]&lt;0, "Yes", "No")</f>
        <v>No</v>
      </c>
      <c r="P133" s="13" t="str">
        <f>IF(Table2[[#This Row],[CurrentStock]]&lt;Table2[[#This Row],[ReorderLevel]],"Reorder", "Okay")</f>
        <v>Okay</v>
      </c>
      <c r="Q133" s="13" t="str">
        <f>IF(Table2[[#This Row],[CurrentStock]]&gt;Table2[[#This Row],[ReorderLevel]]*3, "Overstock", "Okay")</f>
        <v>Overstock</v>
      </c>
    </row>
    <row r="134" spans="1:17" x14ac:dyDescent="0.35">
      <c r="A134">
        <v>57304</v>
      </c>
      <c r="B134" t="s">
        <v>24</v>
      </c>
      <c r="C134" t="s">
        <v>30</v>
      </c>
      <c r="D134">
        <v>147</v>
      </c>
      <c r="E134">
        <v>40</v>
      </c>
      <c r="F134" s="2">
        <v>299.56</v>
      </c>
      <c r="G134" t="s">
        <v>32</v>
      </c>
      <c r="H134" s="1">
        <v>45628</v>
      </c>
      <c r="I134" s="1">
        <v>45666</v>
      </c>
      <c r="J134" t="s">
        <v>38</v>
      </c>
      <c r="K134" s="8">
        <f>Table2[[#This Row],[CurrentStock]]*Table2[[#This Row],[UnitPrice]]</f>
        <v>44035.32</v>
      </c>
      <c r="L134" t="str">
        <f>IF(Table2[[#This Row],[CurrentStock]]&lt;=Table2[[#This Row],[ReorderLevel]], "Reorder Needed", "Okay")</f>
        <v>Okay</v>
      </c>
      <c r="M134" t="str">
        <f>IF(Table2[[#This Row],[CurrentStock]]-Table2[[#This Row],[ReorderLevel]]&lt;0,Table2[[#This Row],[CurrentStock]]-Table2[[#This Row],[ReorderLevel]],"")</f>
        <v/>
      </c>
      <c r="N134" t="str">
        <f>IF(Table2[[#This Row],[Stock Gap]]&lt;0, "Understock","Okay")</f>
        <v>Okay</v>
      </c>
      <c r="O134" s="13" t="str">
        <f>IF(Table2[[#This Row],[Stock Gap]]&lt;0, "Yes", "No")</f>
        <v>No</v>
      </c>
      <c r="P134" s="13" t="str">
        <f>IF(Table2[[#This Row],[CurrentStock]]&lt;Table2[[#This Row],[ReorderLevel]],"Reorder", "Okay")</f>
        <v>Okay</v>
      </c>
      <c r="Q134" s="13" t="str">
        <f>IF(Table2[[#This Row],[CurrentStock]]&gt;Table2[[#This Row],[ReorderLevel]]*3, "Overstock", "Okay")</f>
        <v>Overstock</v>
      </c>
    </row>
    <row r="135" spans="1:17" x14ac:dyDescent="0.35">
      <c r="A135">
        <v>23350</v>
      </c>
      <c r="B135" t="s">
        <v>25</v>
      </c>
      <c r="C135" t="s">
        <v>29</v>
      </c>
      <c r="D135">
        <v>200</v>
      </c>
      <c r="E135">
        <v>20</v>
      </c>
      <c r="F135" s="2">
        <v>209.33</v>
      </c>
      <c r="G135" t="s">
        <v>31</v>
      </c>
      <c r="H135" s="1">
        <v>45352</v>
      </c>
      <c r="I135" s="1">
        <v>45381</v>
      </c>
      <c r="J135" t="s">
        <v>37</v>
      </c>
      <c r="K135" s="8">
        <f>Table2[[#This Row],[CurrentStock]]*Table2[[#This Row],[UnitPrice]]</f>
        <v>41866</v>
      </c>
      <c r="L135" t="str">
        <f>IF(Table2[[#This Row],[CurrentStock]]&lt;=Table2[[#This Row],[ReorderLevel]], "Reorder Needed", "Okay")</f>
        <v>Okay</v>
      </c>
      <c r="M135" t="str">
        <f>IF(Table2[[#This Row],[CurrentStock]]-Table2[[#This Row],[ReorderLevel]]&lt;0,Table2[[#This Row],[CurrentStock]]-Table2[[#This Row],[ReorderLevel]],"")</f>
        <v/>
      </c>
      <c r="N135" t="str">
        <f>IF(Table2[[#This Row],[Stock Gap]]&lt;0, "Understock","Okay")</f>
        <v>Okay</v>
      </c>
      <c r="O135" s="13" t="str">
        <f>IF(Table2[[#This Row],[Stock Gap]]&lt;0, "Yes", "No")</f>
        <v>No</v>
      </c>
      <c r="P135" s="13" t="str">
        <f>IF(Table2[[#This Row],[CurrentStock]]&lt;Table2[[#This Row],[ReorderLevel]],"Reorder", "Okay")</f>
        <v>Okay</v>
      </c>
      <c r="Q135" s="13" t="str">
        <f>IF(Table2[[#This Row],[CurrentStock]]&gt;Table2[[#This Row],[ReorderLevel]]*3, "Overstock", "Okay")</f>
        <v>Overstock</v>
      </c>
    </row>
    <row r="136" spans="1:17" x14ac:dyDescent="0.35">
      <c r="A136">
        <v>33051</v>
      </c>
      <c r="B136" t="s">
        <v>23</v>
      </c>
      <c r="C136" t="s">
        <v>30</v>
      </c>
      <c r="D136">
        <v>107</v>
      </c>
      <c r="E136">
        <v>50</v>
      </c>
      <c r="F136" s="2">
        <v>484.01</v>
      </c>
      <c r="G136" t="s">
        <v>31</v>
      </c>
      <c r="H136" s="1">
        <v>45393</v>
      </c>
      <c r="I136" s="1">
        <v>45431</v>
      </c>
      <c r="J136" t="s">
        <v>36</v>
      </c>
      <c r="K136" s="8">
        <f>Table2[[#This Row],[CurrentStock]]*Table2[[#This Row],[UnitPrice]]</f>
        <v>51789.07</v>
      </c>
      <c r="L136" t="str">
        <f>IF(Table2[[#This Row],[CurrentStock]]&lt;=Table2[[#This Row],[ReorderLevel]], "Reorder Needed", "Okay")</f>
        <v>Okay</v>
      </c>
      <c r="M136" t="str">
        <f>IF(Table2[[#This Row],[CurrentStock]]-Table2[[#This Row],[ReorderLevel]]&lt;0,Table2[[#This Row],[CurrentStock]]-Table2[[#This Row],[ReorderLevel]],"")</f>
        <v/>
      </c>
      <c r="N136" t="str">
        <f>IF(Table2[[#This Row],[Stock Gap]]&lt;0, "Understock","Okay")</f>
        <v>Okay</v>
      </c>
      <c r="O136" s="13" t="str">
        <f>IF(Table2[[#This Row],[Stock Gap]]&lt;0, "Yes", "No")</f>
        <v>No</v>
      </c>
      <c r="P136" s="13" t="str">
        <f>IF(Table2[[#This Row],[CurrentStock]]&lt;Table2[[#This Row],[ReorderLevel]],"Reorder", "Okay")</f>
        <v>Okay</v>
      </c>
      <c r="Q136" s="13" t="str">
        <f>IF(Table2[[#This Row],[CurrentStock]]&gt;Table2[[#This Row],[ReorderLevel]]*3, "Overstock", "Okay")</f>
        <v>Okay</v>
      </c>
    </row>
    <row r="137" spans="1:17" x14ac:dyDescent="0.35">
      <c r="A137">
        <v>11341</v>
      </c>
      <c r="B137" t="s">
        <v>21</v>
      </c>
      <c r="C137" t="s">
        <v>26</v>
      </c>
      <c r="D137">
        <v>304</v>
      </c>
      <c r="E137">
        <v>80</v>
      </c>
      <c r="F137" s="2">
        <v>396.06</v>
      </c>
      <c r="G137" t="s">
        <v>31</v>
      </c>
      <c r="H137" s="1">
        <v>45348</v>
      </c>
      <c r="I137" s="1">
        <v>45364</v>
      </c>
      <c r="J137" t="s">
        <v>37</v>
      </c>
      <c r="K137" s="8">
        <f>Table2[[#This Row],[CurrentStock]]*Table2[[#This Row],[UnitPrice]]</f>
        <v>120402.24000000001</v>
      </c>
      <c r="L137" t="str">
        <f>IF(Table2[[#This Row],[CurrentStock]]&lt;=Table2[[#This Row],[ReorderLevel]], "Reorder Needed", "Okay")</f>
        <v>Okay</v>
      </c>
      <c r="M137" t="str">
        <f>IF(Table2[[#This Row],[CurrentStock]]-Table2[[#This Row],[ReorderLevel]]&lt;0,Table2[[#This Row],[CurrentStock]]-Table2[[#This Row],[ReorderLevel]],"")</f>
        <v/>
      </c>
      <c r="N137" t="str">
        <f>IF(Table2[[#This Row],[Stock Gap]]&lt;0, "Understock","Okay")</f>
        <v>Okay</v>
      </c>
      <c r="O137" s="13" t="str">
        <f>IF(Table2[[#This Row],[Stock Gap]]&lt;0, "Yes", "No")</f>
        <v>No</v>
      </c>
      <c r="P137" s="13" t="str">
        <f>IF(Table2[[#This Row],[CurrentStock]]&lt;Table2[[#This Row],[ReorderLevel]],"Reorder", "Okay")</f>
        <v>Okay</v>
      </c>
      <c r="Q137" s="13" t="str">
        <f>IF(Table2[[#This Row],[CurrentStock]]&gt;Table2[[#This Row],[ReorderLevel]]*3, "Overstock", "Okay")</f>
        <v>Overstock</v>
      </c>
    </row>
    <row r="138" spans="1:17" x14ac:dyDescent="0.35">
      <c r="A138">
        <v>25896</v>
      </c>
      <c r="B138" t="s">
        <v>25</v>
      </c>
      <c r="C138" t="s">
        <v>29</v>
      </c>
      <c r="D138">
        <v>214</v>
      </c>
      <c r="E138">
        <v>80</v>
      </c>
      <c r="F138" s="2">
        <v>347.68</v>
      </c>
      <c r="G138" t="s">
        <v>32</v>
      </c>
      <c r="H138" s="1">
        <v>45489</v>
      </c>
      <c r="I138" s="1">
        <v>45501</v>
      </c>
      <c r="J138" t="s">
        <v>36</v>
      </c>
      <c r="K138" s="8">
        <f>Table2[[#This Row],[CurrentStock]]*Table2[[#This Row],[UnitPrice]]</f>
        <v>74403.520000000004</v>
      </c>
      <c r="L138" t="str">
        <f>IF(Table2[[#This Row],[CurrentStock]]&lt;=Table2[[#This Row],[ReorderLevel]], "Reorder Needed", "Okay")</f>
        <v>Okay</v>
      </c>
      <c r="M138" t="str">
        <f>IF(Table2[[#This Row],[CurrentStock]]-Table2[[#This Row],[ReorderLevel]]&lt;0,Table2[[#This Row],[CurrentStock]]-Table2[[#This Row],[ReorderLevel]],"")</f>
        <v/>
      </c>
      <c r="N138" t="str">
        <f>IF(Table2[[#This Row],[Stock Gap]]&lt;0, "Understock","Okay")</f>
        <v>Okay</v>
      </c>
      <c r="O138" s="13" t="str">
        <f>IF(Table2[[#This Row],[Stock Gap]]&lt;0, "Yes", "No")</f>
        <v>No</v>
      </c>
      <c r="P138" s="13" t="str">
        <f>IF(Table2[[#This Row],[CurrentStock]]&lt;Table2[[#This Row],[ReorderLevel]],"Reorder", "Okay")</f>
        <v>Okay</v>
      </c>
      <c r="Q138" s="13" t="str">
        <f>IF(Table2[[#This Row],[CurrentStock]]&gt;Table2[[#This Row],[ReorderLevel]]*3, "Overstock", "Okay")</f>
        <v>Okay</v>
      </c>
    </row>
    <row r="139" spans="1:17" x14ac:dyDescent="0.35">
      <c r="A139">
        <v>47641</v>
      </c>
      <c r="B139" t="s">
        <v>21</v>
      </c>
      <c r="C139" t="s">
        <v>26</v>
      </c>
      <c r="D139">
        <v>58</v>
      </c>
      <c r="E139">
        <v>30</v>
      </c>
      <c r="F139" s="2">
        <v>30.54</v>
      </c>
      <c r="G139" t="s">
        <v>34</v>
      </c>
      <c r="H139" s="1">
        <v>45317</v>
      </c>
      <c r="I139" s="1">
        <v>45353</v>
      </c>
      <c r="J139" t="s">
        <v>37</v>
      </c>
      <c r="K139" s="8">
        <f>Table2[[#This Row],[CurrentStock]]*Table2[[#This Row],[UnitPrice]]</f>
        <v>1771.32</v>
      </c>
      <c r="L139" t="str">
        <f>IF(Table2[[#This Row],[CurrentStock]]&lt;=Table2[[#This Row],[ReorderLevel]], "Reorder Needed", "Okay")</f>
        <v>Okay</v>
      </c>
      <c r="M139" t="str">
        <f>IF(Table2[[#This Row],[CurrentStock]]-Table2[[#This Row],[ReorderLevel]]&lt;0,Table2[[#This Row],[CurrentStock]]-Table2[[#This Row],[ReorderLevel]],"")</f>
        <v/>
      </c>
      <c r="N139" t="str">
        <f>IF(Table2[[#This Row],[Stock Gap]]&lt;0, "Understock","Okay")</f>
        <v>Okay</v>
      </c>
      <c r="O139" s="13" t="str">
        <f>IF(Table2[[#This Row],[Stock Gap]]&lt;0, "Yes", "No")</f>
        <v>No</v>
      </c>
      <c r="P139" s="13" t="str">
        <f>IF(Table2[[#This Row],[CurrentStock]]&lt;Table2[[#This Row],[ReorderLevel]],"Reorder", "Okay")</f>
        <v>Okay</v>
      </c>
      <c r="Q139" s="13" t="str">
        <f>IF(Table2[[#This Row],[CurrentStock]]&gt;Table2[[#This Row],[ReorderLevel]]*3, "Overstock", "Okay")</f>
        <v>Okay</v>
      </c>
    </row>
    <row r="140" spans="1:17" x14ac:dyDescent="0.35">
      <c r="A140">
        <v>79768</v>
      </c>
      <c r="B140" t="s">
        <v>23</v>
      </c>
      <c r="C140" t="s">
        <v>30</v>
      </c>
      <c r="D140">
        <v>85</v>
      </c>
      <c r="E140">
        <v>30</v>
      </c>
      <c r="F140" s="2">
        <v>159.86000000000001</v>
      </c>
      <c r="G140" t="s">
        <v>31</v>
      </c>
      <c r="H140" s="1">
        <v>45626</v>
      </c>
      <c r="I140" s="1">
        <v>45637</v>
      </c>
      <c r="J140" t="s">
        <v>38</v>
      </c>
      <c r="K140" s="8">
        <f>Table2[[#This Row],[CurrentStock]]*Table2[[#This Row],[UnitPrice]]</f>
        <v>13588.1</v>
      </c>
      <c r="L140" t="str">
        <f>IF(Table2[[#This Row],[CurrentStock]]&lt;=Table2[[#This Row],[ReorderLevel]], "Reorder Needed", "Okay")</f>
        <v>Okay</v>
      </c>
      <c r="M140" t="str">
        <f>IF(Table2[[#This Row],[CurrentStock]]-Table2[[#This Row],[ReorderLevel]]&lt;0,Table2[[#This Row],[CurrentStock]]-Table2[[#This Row],[ReorderLevel]],"")</f>
        <v/>
      </c>
      <c r="N140" t="str">
        <f>IF(Table2[[#This Row],[Stock Gap]]&lt;0, "Understock","Okay")</f>
        <v>Okay</v>
      </c>
      <c r="O140" s="13" t="str">
        <f>IF(Table2[[#This Row],[Stock Gap]]&lt;0, "Yes", "No")</f>
        <v>No</v>
      </c>
      <c r="P140" s="13" t="str">
        <f>IF(Table2[[#This Row],[CurrentStock]]&lt;Table2[[#This Row],[ReorderLevel]],"Reorder", "Okay")</f>
        <v>Okay</v>
      </c>
      <c r="Q140" s="13" t="str">
        <f>IF(Table2[[#This Row],[CurrentStock]]&gt;Table2[[#This Row],[ReorderLevel]]*3, "Overstock", "Okay")</f>
        <v>Okay</v>
      </c>
    </row>
    <row r="141" spans="1:17" x14ac:dyDescent="0.35">
      <c r="A141">
        <v>99613</v>
      </c>
      <c r="B141" t="s">
        <v>12</v>
      </c>
      <c r="C141" t="s">
        <v>28</v>
      </c>
      <c r="D141">
        <v>476</v>
      </c>
      <c r="E141">
        <v>30</v>
      </c>
      <c r="F141" s="2">
        <v>373.81</v>
      </c>
      <c r="G141" t="s">
        <v>31</v>
      </c>
      <c r="H141" s="1">
        <v>45394</v>
      </c>
      <c r="I141" s="1">
        <v>45415</v>
      </c>
      <c r="J141" t="s">
        <v>36</v>
      </c>
      <c r="K141" s="8">
        <f>Table2[[#This Row],[CurrentStock]]*Table2[[#This Row],[UnitPrice]]</f>
        <v>177933.56</v>
      </c>
      <c r="L141" t="str">
        <f>IF(Table2[[#This Row],[CurrentStock]]&lt;=Table2[[#This Row],[ReorderLevel]], "Reorder Needed", "Okay")</f>
        <v>Okay</v>
      </c>
      <c r="M141" t="str">
        <f>IF(Table2[[#This Row],[CurrentStock]]-Table2[[#This Row],[ReorderLevel]]&lt;0,Table2[[#This Row],[CurrentStock]]-Table2[[#This Row],[ReorderLevel]],"")</f>
        <v/>
      </c>
      <c r="N141" t="str">
        <f>IF(Table2[[#This Row],[Stock Gap]]&lt;0, "Understock","Okay")</f>
        <v>Okay</v>
      </c>
      <c r="O141" s="13" t="str">
        <f>IF(Table2[[#This Row],[Stock Gap]]&lt;0, "Yes", "No")</f>
        <v>No</v>
      </c>
      <c r="P141" s="13" t="str">
        <f>IF(Table2[[#This Row],[CurrentStock]]&lt;Table2[[#This Row],[ReorderLevel]],"Reorder", "Okay")</f>
        <v>Okay</v>
      </c>
      <c r="Q141" s="13" t="str">
        <f>IF(Table2[[#This Row],[CurrentStock]]&gt;Table2[[#This Row],[ReorderLevel]]*3, "Overstock", "Okay")</f>
        <v>Overstock</v>
      </c>
    </row>
    <row r="142" spans="1:17" x14ac:dyDescent="0.35">
      <c r="A142">
        <v>88187</v>
      </c>
      <c r="B142" t="s">
        <v>24</v>
      </c>
      <c r="C142" t="s">
        <v>30</v>
      </c>
      <c r="D142">
        <v>292</v>
      </c>
      <c r="E142">
        <v>40</v>
      </c>
      <c r="F142" s="2">
        <v>173.24</v>
      </c>
      <c r="G142" t="s">
        <v>34</v>
      </c>
      <c r="H142" s="1">
        <v>45474</v>
      </c>
      <c r="I142" s="1">
        <v>45501</v>
      </c>
      <c r="J142" t="s">
        <v>36</v>
      </c>
      <c r="K142" s="8">
        <f>Table2[[#This Row],[CurrentStock]]*Table2[[#This Row],[UnitPrice]]</f>
        <v>50586.080000000002</v>
      </c>
      <c r="L142" t="str">
        <f>IF(Table2[[#This Row],[CurrentStock]]&lt;=Table2[[#This Row],[ReorderLevel]], "Reorder Needed", "Okay")</f>
        <v>Okay</v>
      </c>
      <c r="M142" t="str">
        <f>IF(Table2[[#This Row],[CurrentStock]]-Table2[[#This Row],[ReorderLevel]]&lt;0,Table2[[#This Row],[CurrentStock]]-Table2[[#This Row],[ReorderLevel]],"")</f>
        <v/>
      </c>
      <c r="N142" t="str">
        <f>IF(Table2[[#This Row],[Stock Gap]]&lt;0, "Understock","Okay")</f>
        <v>Okay</v>
      </c>
      <c r="O142" s="13" t="str">
        <f>IF(Table2[[#This Row],[Stock Gap]]&lt;0, "Yes", "No")</f>
        <v>No</v>
      </c>
      <c r="P142" s="13" t="str">
        <f>IF(Table2[[#This Row],[CurrentStock]]&lt;Table2[[#This Row],[ReorderLevel]],"Reorder", "Okay")</f>
        <v>Okay</v>
      </c>
      <c r="Q142" s="13" t="str">
        <f>IF(Table2[[#This Row],[CurrentStock]]&gt;Table2[[#This Row],[ReorderLevel]]*3, "Overstock", "Okay")</f>
        <v>Overstock</v>
      </c>
    </row>
    <row r="143" spans="1:17" x14ac:dyDescent="0.35">
      <c r="A143">
        <v>84038</v>
      </c>
      <c r="B143" t="s">
        <v>17</v>
      </c>
      <c r="C143" t="s">
        <v>27</v>
      </c>
      <c r="D143">
        <v>209</v>
      </c>
      <c r="E143">
        <v>20</v>
      </c>
      <c r="F143" s="2">
        <v>443.56</v>
      </c>
      <c r="G143" t="s">
        <v>31</v>
      </c>
      <c r="H143" s="1">
        <v>45399</v>
      </c>
      <c r="I143" s="1">
        <v>45405</v>
      </c>
      <c r="J143" t="s">
        <v>38</v>
      </c>
      <c r="K143" s="8">
        <f>Table2[[#This Row],[CurrentStock]]*Table2[[#This Row],[UnitPrice]]</f>
        <v>92704.04</v>
      </c>
      <c r="L143" t="str">
        <f>IF(Table2[[#This Row],[CurrentStock]]&lt;=Table2[[#This Row],[ReorderLevel]], "Reorder Needed", "Okay")</f>
        <v>Okay</v>
      </c>
      <c r="M143" t="str">
        <f>IF(Table2[[#This Row],[CurrentStock]]-Table2[[#This Row],[ReorderLevel]]&lt;0,Table2[[#This Row],[CurrentStock]]-Table2[[#This Row],[ReorderLevel]],"")</f>
        <v/>
      </c>
      <c r="N143" t="str">
        <f>IF(Table2[[#This Row],[Stock Gap]]&lt;0, "Understock","Okay")</f>
        <v>Okay</v>
      </c>
      <c r="O143" s="13" t="str">
        <f>IF(Table2[[#This Row],[Stock Gap]]&lt;0, "Yes", "No")</f>
        <v>No</v>
      </c>
      <c r="P143" s="13" t="str">
        <f>IF(Table2[[#This Row],[CurrentStock]]&lt;Table2[[#This Row],[ReorderLevel]],"Reorder", "Okay")</f>
        <v>Okay</v>
      </c>
      <c r="Q143" s="13" t="str">
        <f>IF(Table2[[#This Row],[CurrentStock]]&gt;Table2[[#This Row],[ReorderLevel]]*3, "Overstock", "Okay")</f>
        <v>Overstock</v>
      </c>
    </row>
    <row r="144" spans="1:17" x14ac:dyDescent="0.35">
      <c r="A144">
        <v>23919</v>
      </c>
      <c r="B144" t="s">
        <v>20</v>
      </c>
      <c r="C144" t="s">
        <v>30</v>
      </c>
      <c r="D144">
        <v>250</v>
      </c>
      <c r="E144">
        <v>150</v>
      </c>
      <c r="F144" s="2">
        <v>96.81</v>
      </c>
      <c r="G144" t="s">
        <v>31</v>
      </c>
      <c r="H144" s="1">
        <v>45565</v>
      </c>
      <c r="I144" s="1">
        <v>45601</v>
      </c>
      <c r="J144" t="s">
        <v>37</v>
      </c>
      <c r="K144" s="8">
        <f>Table2[[#This Row],[CurrentStock]]*Table2[[#This Row],[UnitPrice]]</f>
        <v>24202.5</v>
      </c>
      <c r="L144" t="str">
        <f>IF(Table2[[#This Row],[CurrentStock]]&lt;=Table2[[#This Row],[ReorderLevel]], "Reorder Needed", "Okay")</f>
        <v>Okay</v>
      </c>
      <c r="M144" t="str">
        <f>IF(Table2[[#This Row],[CurrentStock]]-Table2[[#This Row],[ReorderLevel]]&lt;0,Table2[[#This Row],[CurrentStock]]-Table2[[#This Row],[ReorderLevel]],"")</f>
        <v/>
      </c>
      <c r="N144" t="str">
        <f>IF(Table2[[#This Row],[Stock Gap]]&lt;0, "Understock","Okay")</f>
        <v>Okay</v>
      </c>
      <c r="O144" s="13" t="str">
        <f>IF(Table2[[#This Row],[Stock Gap]]&lt;0, "Yes", "No")</f>
        <v>No</v>
      </c>
      <c r="P144" s="13" t="str">
        <f>IF(Table2[[#This Row],[CurrentStock]]&lt;Table2[[#This Row],[ReorderLevel]],"Reorder", "Okay")</f>
        <v>Okay</v>
      </c>
      <c r="Q144" s="13" t="str">
        <f>IF(Table2[[#This Row],[CurrentStock]]&gt;Table2[[#This Row],[ReorderLevel]]*3, "Overstock", "Okay")</f>
        <v>Okay</v>
      </c>
    </row>
    <row r="145" spans="1:17" x14ac:dyDescent="0.35">
      <c r="A145">
        <v>95431</v>
      </c>
      <c r="B145" t="s">
        <v>9</v>
      </c>
      <c r="C145" t="s">
        <v>26</v>
      </c>
      <c r="D145">
        <v>445</v>
      </c>
      <c r="E145">
        <v>20</v>
      </c>
      <c r="F145" s="2">
        <v>203.96</v>
      </c>
      <c r="G145" t="s">
        <v>33</v>
      </c>
      <c r="H145" s="1">
        <v>45536</v>
      </c>
      <c r="I145" s="1">
        <v>45556</v>
      </c>
      <c r="J145" t="s">
        <v>37</v>
      </c>
      <c r="K145" s="8">
        <f>Table2[[#This Row],[CurrentStock]]*Table2[[#This Row],[UnitPrice]]</f>
        <v>90762.2</v>
      </c>
      <c r="L145" t="str">
        <f>IF(Table2[[#This Row],[CurrentStock]]&lt;=Table2[[#This Row],[ReorderLevel]], "Reorder Needed", "Okay")</f>
        <v>Okay</v>
      </c>
      <c r="M145" t="str">
        <f>IF(Table2[[#This Row],[CurrentStock]]-Table2[[#This Row],[ReorderLevel]]&lt;0,Table2[[#This Row],[CurrentStock]]-Table2[[#This Row],[ReorderLevel]],"")</f>
        <v/>
      </c>
      <c r="N145" t="str">
        <f>IF(Table2[[#This Row],[Stock Gap]]&lt;0, "Understock","Okay")</f>
        <v>Okay</v>
      </c>
      <c r="O145" s="13" t="str">
        <f>IF(Table2[[#This Row],[Stock Gap]]&lt;0, "Yes", "No")</f>
        <v>No</v>
      </c>
      <c r="P145" s="13" t="str">
        <f>IF(Table2[[#This Row],[CurrentStock]]&lt;Table2[[#This Row],[ReorderLevel]],"Reorder", "Okay")</f>
        <v>Okay</v>
      </c>
      <c r="Q145" s="13" t="str">
        <f>IF(Table2[[#This Row],[CurrentStock]]&gt;Table2[[#This Row],[ReorderLevel]]*3, "Overstock", "Okay")</f>
        <v>Overstock</v>
      </c>
    </row>
    <row r="146" spans="1:17" x14ac:dyDescent="0.35">
      <c r="A146">
        <v>20816</v>
      </c>
      <c r="B146" t="s">
        <v>11</v>
      </c>
      <c r="C146" t="s">
        <v>27</v>
      </c>
      <c r="D146">
        <v>413</v>
      </c>
      <c r="E146">
        <v>20</v>
      </c>
      <c r="F146" s="2">
        <v>171.5</v>
      </c>
      <c r="G146" t="s">
        <v>34</v>
      </c>
      <c r="H146" s="1">
        <v>45631</v>
      </c>
      <c r="I146" s="1">
        <v>45640</v>
      </c>
      <c r="J146" t="s">
        <v>37</v>
      </c>
      <c r="K146" s="8">
        <f>Table2[[#This Row],[CurrentStock]]*Table2[[#This Row],[UnitPrice]]</f>
        <v>70829.5</v>
      </c>
      <c r="L146" t="str">
        <f>IF(Table2[[#This Row],[CurrentStock]]&lt;=Table2[[#This Row],[ReorderLevel]], "Reorder Needed", "Okay")</f>
        <v>Okay</v>
      </c>
      <c r="M146" t="str">
        <f>IF(Table2[[#This Row],[CurrentStock]]-Table2[[#This Row],[ReorderLevel]]&lt;0,Table2[[#This Row],[CurrentStock]]-Table2[[#This Row],[ReorderLevel]],"")</f>
        <v/>
      </c>
      <c r="N146" t="str">
        <f>IF(Table2[[#This Row],[Stock Gap]]&lt;0, "Understock","Okay")</f>
        <v>Okay</v>
      </c>
      <c r="O146" s="13" t="str">
        <f>IF(Table2[[#This Row],[Stock Gap]]&lt;0, "Yes", "No")</f>
        <v>No</v>
      </c>
      <c r="P146" s="13" t="str">
        <f>IF(Table2[[#This Row],[CurrentStock]]&lt;Table2[[#This Row],[ReorderLevel]],"Reorder", "Okay")</f>
        <v>Okay</v>
      </c>
      <c r="Q146" s="13" t="str">
        <f>IF(Table2[[#This Row],[CurrentStock]]&gt;Table2[[#This Row],[ReorderLevel]]*3, "Overstock", "Okay")</f>
        <v>Overstock</v>
      </c>
    </row>
    <row r="147" spans="1:17" x14ac:dyDescent="0.35">
      <c r="A147">
        <v>67775</v>
      </c>
      <c r="B147" t="s">
        <v>22</v>
      </c>
      <c r="C147" t="s">
        <v>29</v>
      </c>
      <c r="D147">
        <v>375</v>
      </c>
      <c r="E147">
        <v>100</v>
      </c>
      <c r="F147" s="2">
        <v>427.15</v>
      </c>
      <c r="G147" t="s">
        <v>34</v>
      </c>
      <c r="H147" s="1">
        <v>45437</v>
      </c>
      <c r="I147" s="1">
        <v>45466</v>
      </c>
      <c r="J147" t="s">
        <v>36</v>
      </c>
      <c r="K147" s="8">
        <f>Table2[[#This Row],[CurrentStock]]*Table2[[#This Row],[UnitPrice]]</f>
        <v>160181.25</v>
      </c>
      <c r="L147" t="str">
        <f>IF(Table2[[#This Row],[CurrentStock]]&lt;=Table2[[#This Row],[ReorderLevel]], "Reorder Needed", "Okay")</f>
        <v>Okay</v>
      </c>
      <c r="M147" t="str">
        <f>IF(Table2[[#This Row],[CurrentStock]]-Table2[[#This Row],[ReorderLevel]]&lt;0,Table2[[#This Row],[CurrentStock]]-Table2[[#This Row],[ReorderLevel]],"")</f>
        <v/>
      </c>
      <c r="N147" t="str">
        <f>IF(Table2[[#This Row],[Stock Gap]]&lt;0, "Understock","Okay")</f>
        <v>Okay</v>
      </c>
      <c r="O147" s="13" t="str">
        <f>IF(Table2[[#This Row],[Stock Gap]]&lt;0, "Yes", "No")</f>
        <v>No</v>
      </c>
      <c r="P147" s="13" t="str">
        <f>IF(Table2[[#This Row],[CurrentStock]]&lt;Table2[[#This Row],[ReorderLevel]],"Reorder", "Okay")</f>
        <v>Okay</v>
      </c>
      <c r="Q147" s="13" t="str">
        <f>IF(Table2[[#This Row],[CurrentStock]]&gt;Table2[[#This Row],[ReorderLevel]]*3, "Overstock", "Okay")</f>
        <v>Overstock</v>
      </c>
    </row>
    <row r="148" spans="1:17" x14ac:dyDescent="0.35">
      <c r="A148">
        <v>10806</v>
      </c>
      <c r="B148" t="s">
        <v>18</v>
      </c>
      <c r="C148" t="s">
        <v>27</v>
      </c>
      <c r="D148">
        <v>304</v>
      </c>
      <c r="E148">
        <v>20</v>
      </c>
      <c r="F148" s="2">
        <v>341.43</v>
      </c>
      <c r="G148" t="s">
        <v>31</v>
      </c>
      <c r="H148" s="1">
        <v>45431</v>
      </c>
      <c r="I148" s="1">
        <v>45441</v>
      </c>
      <c r="J148" t="s">
        <v>38</v>
      </c>
      <c r="K148" s="8">
        <f>Table2[[#This Row],[CurrentStock]]*Table2[[#This Row],[UnitPrice]]</f>
        <v>103794.72</v>
      </c>
      <c r="L148" t="str">
        <f>IF(Table2[[#This Row],[CurrentStock]]&lt;=Table2[[#This Row],[ReorderLevel]], "Reorder Needed", "Okay")</f>
        <v>Okay</v>
      </c>
      <c r="M148" t="str">
        <f>IF(Table2[[#This Row],[CurrentStock]]-Table2[[#This Row],[ReorderLevel]]&lt;0,Table2[[#This Row],[CurrentStock]]-Table2[[#This Row],[ReorderLevel]],"")</f>
        <v/>
      </c>
      <c r="N148" t="str">
        <f>IF(Table2[[#This Row],[Stock Gap]]&lt;0, "Understock","Okay")</f>
        <v>Okay</v>
      </c>
      <c r="O148" s="13" t="str">
        <f>IF(Table2[[#This Row],[Stock Gap]]&lt;0, "Yes", "No")</f>
        <v>No</v>
      </c>
      <c r="P148" s="13" t="str">
        <f>IF(Table2[[#This Row],[CurrentStock]]&lt;Table2[[#This Row],[ReorderLevel]],"Reorder", "Okay")</f>
        <v>Okay</v>
      </c>
      <c r="Q148" s="13" t="str">
        <f>IF(Table2[[#This Row],[CurrentStock]]&gt;Table2[[#This Row],[ReorderLevel]]*3, "Overstock", "Okay")</f>
        <v>Overstock</v>
      </c>
    </row>
    <row r="149" spans="1:17" x14ac:dyDescent="0.35">
      <c r="A149">
        <v>66979</v>
      </c>
      <c r="B149" t="s">
        <v>22</v>
      </c>
      <c r="C149" t="s">
        <v>29</v>
      </c>
      <c r="D149">
        <v>152</v>
      </c>
      <c r="E149">
        <v>150</v>
      </c>
      <c r="F149" s="2">
        <v>495.63</v>
      </c>
      <c r="G149" t="s">
        <v>35</v>
      </c>
      <c r="H149" s="1">
        <v>45350</v>
      </c>
      <c r="I149" s="1">
        <v>45362</v>
      </c>
      <c r="J149" t="s">
        <v>37</v>
      </c>
      <c r="K149" s="8">
        <f>Table2[[#This Row],[CurrentStock]]*Table2[[#This Row],[UnitPrice]]</f>
        <v>75335.759999999995</v>
      </c>
      <c r="L149" t="str">
        <f>IF(Table2[[#This Row],[CurrentStock]]&lt;=Table2[[#This Row],[ReorderLevel]], "Reorder Needed", "Okay")</f>
        <v>Okay</v>
      </c>
      <c r="M149" t="str">
        <f>IF(Table2[[#This Row],[CurrentStock]]-Table2[[#This Row],[ReorderLevel]]&lt;0,Table2[[#This Row],[CurrentStock]]-Table2[[#This Row],[ReorderLevel]],"")</f>
        <v/>
      </c>
      <c r="N149" t="str">
        <f>IF(Table2[[#This Row],[Stock Gap]]&lt;0, "Understock","Okay")</f>
        <v>Okay</v>
      </c>
      <c r="O149" s="13" t="str">
        <f>IF(Table2[[#This Row],[Stock Gap]]&lt;0, "Yes", "No")</f>
        <v>No</v>
      </c>
      <c r="P149" s="13" t="str">
        <f>IF(Table2[[#This Row],[CurrentStock]]&lt;Table2[[#This Row],[ReorderLevel]],"Reorder", "Okay")</f>
        <v>Okay</v>
      </c>
      <c r="Q149" s="13" t="str">
        <f>IF(Table2[[#This Row],[CurrentStock]]&gt;Table2[[#This Row],[ReorderLevel]]*3, "Overstock", "Okay")</f>
        <v>Okay</v>
      </c>
    </row>
    <row r="150" spans="1:17" x14ac:dyDescent="0.35">
      <c r="A150">
        <v>92856</v>
      </c>
      <c r="B150" t="s">
        <v>15</v>
      </c>
      <c r="C150" t="s">
        <v>29</v>
      </c>
      <c r="D150">
        <v>492</v>
      </c>
      <c r="E150">
        <v>100</v>
      </c>
      <c r="F150" s="2">
        <v>119.18</v>
      </c>
      <c r="G150" t="s">
        <v>34</v>
      </c>
      <c r="H150" s="1">
        <v>45517</v>
      </c>
      <c r="I150" s="1">
        <v>45547</v>
      </c>
      <c r="J150" t="s">
        <v>38</v>
      </c>
      <c r="K150" s="8">
        <f>Table2[[#This Row],[CurrentStock]]*Table2[[#This Row],[UnitPrice]]</f>
        <v>58636.560000000005</v>
      </c>
      <c r="L150" t="str">
        <f>IF(Table2[[#This Row],[CurrentStock]]&lt;=Table2[[#This Row],[ReorderLevel]], "Reorder Needed", "Okay")</f>
        <v>Okay</v>
      </c>
      <c r="M150" t="str">
        <f>IF(Table2[[#This Row],[CurrentStock]]-Table2[[#This Row],[ReorderLevel]]&lt;0,Table2[[#This Row],[CurrentStock]]-Table2[[#This Row],[ReorderLevel]],"")</f>
        <v/>
      </c>
      <c r="N150" t="str">
        <f>IF(Table2[[#This Row],[Stock Gap]]&lt;0, "Understock","Okay")</f>
        <v>Okay</v>
      </c>
      <c r="O150" s="13" t="str">
        <f>IF(Table2[[#This Row],[Stock Gap]]&lt;0, "Yes", "No")</f>
        <v>No</v>
      </c>
      <c r="P150" s="13" t="str">
        <f>IF(Table2[[#This Row],[CurrentStock]]&lt;Table2[[#This Row],[ReorderLevel]],"Reorder", "Okay")</f>
        <v>Okay</v>
      </c>
      <c r="Q150" s="13" t="str">
        <f>IF(Table2[[#This Row],[CurrentStock]]&gt;Table2[[#This Row],[ReorderLevel]]*3, "Overstock", "Okay")</f>
        <v>Overstock</v>
      </c>
    </row>
    <row r="151" spans="1:17" x14ac:dyDescent="0.35">
      <c r="A151">
        <v>86898</v>
      </c>
      <c r="B151" t="s">
        <v>14</v>
      </c>
      <c r="C151" t="s">
        <v>28</v>
      </c>
      <c r="D151">
        <v>4</v>
      </c>
      <c r="E151">
        <v>80</v>
      </c>
      <c r="F151" s="2">
        <v>316.74</v>
      </c>
      <c r="G151" t="s">
        <v>33</v>
      </c>
      <c r="H151" s="1">
        <v>45506</v>
      </c>
      <c r="I151" s="1">
        <v>45519</v>
      </c>
      <c r="J151" t="s">
        <v>38</v>
      </c>
      <c r="K151" s="8">
        <f>Table2[[#This Row],[CurrentStock]]*Table2[[#This Row],[UnitPrice]]</f>
        <v>1266.96</v>
      </c>
      <c r="L151" t="str">
        <f>IF(Table2[[#This Row],[CurrentStock]]&lt;=Table2[[#This Row],[ReorderLevel]], "Reorder Needed", "Okay")</f>
        <v>Reorder Needed</v>
      </c>
      <c r="M151" s="7">
        <f>IF(Table2[[#This Row],[CurrentStock]]-Table2[[#This Row],[ReorderLevel]]&lt;0,Table2[[#This Row],[CurrentStock]]-Table2[[#This Row],[ReorderLevel]],"")</f>
        <v>-76</v>
      </c>
      <c r="N151" t="str">
        <f>IF(Table2[[#This Row],[Stock Gap]]&lt;0, "Understock","Okay")</f>
        <v>Understock</v>
      </c>
      <c r="O151" s="13" t="str">
        <f>IF(Table2[[#This Row],[Stock Gap]]&lt;0, "Yes", "No")</f>
        <v>Yes</v>
      </c>
      <c r="P151" s="13" t="str">
        <f>IF(Table2[[#This Row],[CurrentStock]]&lt;Table2[[#This Row],[ReorderLevel]],"Reorder", "Okay")</f>
        <v>Reorder</v>
      </c>
      <c r="Q151" s="13" t="str">
        <f>IF(Table2[[#This Row],[CurrentStock]]&gt;Table2[[#This Row],[ReorderLevel]]*3, "Overstock", "Okay")</f>
        <v>Okay</v>
      </c>
    </row>
    <row r="152" spans="1:17" x14ac:dyDescent="0.35">
      <c r="A152">
        <v>34578</v>
      </c>
      <c r="B152" t="s">
        <v>17</v>
      </c>
      <c r="C152" t="s">
        <v>27</v>
      </c>
      <c r="D152">
        <v>378</v>
      </c>
      <c r="E152">
        <v>30</v>
      </c>
      <c r="F152" s="2">
        <v>260.05</v>
      </c>
      <c r="G152" t="s">
        <v>31</v>
      </c>
      <c r="H152" s="1">
        <v>45629</v>
      </c>
      <c r="I152" s="1">
        <v>45650</v>
      </c>
      <c r="J152" t="s">
        <v>38</v>
      </c>
      <c r="K152" s="8">
        <f>Table2[[#This Row],[CurrentStock]]*Table2[[#This Row],[UnitPrice]]</f>
        <v>98298.900000000009</v>
      </c>
      <c r="L152" t="str">
        <f>IF(Table2[[#This Row],[CurrentStock]]&lt;=Table2[[#This Row],[ReorderLevel]], "Reorder Needed", "Okay")</f>
        <v>Okay</v>
      </c>
      <c r="M152" t="str">
        <f>IF(Table2[[#This Row],[CurrentStock]]-Table2[[#This Row],[ReorderLevel]]&lt;0,Table2[[#This Row],[CurrentStock]]-Table2[[#This Row],[ReorderLevel]],"")</f>
        <v/>
      </c>
      <c r="N152" t="str">
        <f>IF(Table2[[#This Row],[Stock Gap]]&lt;0, "Understock","Okay")</f>
        <v>Okay</v>
      </c>
      <c r="O152" s="13" t="str">
        <f>IF(Table2[[#This Row],[Stock Gap]]&lt;0, "Yes", "No")</f>
        <v>No</v>
      </c>
      <c r="P152" s="13" t="str">
        <f>IF(Table2[[#This Row],[CurrentStock]]&lt;Table2[[#This Row],[ReorderLevel]],"Reorder", "Okay")</f>
        <v>Okay</v>
      </c>
      <c r="Q152" s="13" t="str">
        <f>IF(Table2[[#This Row],[CurrentStock]]&gt;Table2[[#This Row],[ReorderLevel]]*3, "Overstock", "Okay")</f>
        <v>Overstock</v>
      </c>
    </row>
    <row r="153" spans="1:17" x14ac:dyDescent="0.35">
      <c r="A153">
        <v>93300</v>
      </c>
      <c r="B153" t="s">
        <v>16</v>
      </c>
      <c r="C153" t="s">
        <v>29</v>
      </c>
      <c r="D153">
        <v>380</v>
      </c>
      <c r="E153">
        <v>150</v>
      </c>
      <c r="F153" s="2">
        <v>22.26</v>
      </c>
      <c r="G153" t="s">
        <v>32</v>
      </c>
      <c r="H153" s="1">
        <v>45359</v>
      </c>
      <c r="I153" s="1">
        <v>45377</v>
      </c>
      <c r="J153" t="s">
        <v>37</v>
      </c>
      <c r="K153" s="8">
        <f>Table2[[#This Row],[CurrentStock]]*Table2[[#This Row],[UnitPrice]]</f>
        <v>8458.8000000000011</v>
      </c>
      <c r="L153" t="str">
        <f>IF(Table2[[#This Row],[CurrentStock]]&lt;=Table2[[#This Row],[ReorderLevel]], "Reorder Needed", "Okay")</f>
        <v>Okay</v>
      </c>
      <c r="M153" t="str">
        <f>IF(Table2[[#This Row],[CurrentStock]]-Table2[[#This Row],[ReorderLevel]]&lt;0,Table2[[#This Row],[CurrentStock]]-Table2[[#This Row],[ReorderLevel]],"")</f>
        <v/>
      </c>
      <c r="N153" t="str">
        <f>IF(Table2[[#This Row],[Stock Gap]]&lt;0, "Understock","Okay")</f>
        <v>Okay</v>
      </c>
      <c r="O153" s="13" t="str">
        <f>IF(Table2[[#This Row],[Stock Gap]]&lt;0, "Yes", "No")</f>
        <v>No</v>
      </c>
      <c r="P153" s="13" t="str">
        <f>IF(Table2[[#This Row],[CurrentStock]]&lt;Table2[[#This Row],[ReorderLevel]],"Reorder", "Okay")</f>
        <v>Okay</v>
      </c>
      <c r="Q153" s="13" t="str">
        <f>IF(Table2[[#This Row],[CurrentStock]]&gt;Table2[[#This Row],[ReorderLevel]]*3, "Overstock", "Okay")</f>
        <v>Okay</v>
      </c>
    </row>
    <row r="154" spans="1:17" x14ac:dyDescent="0.35">
      <c r="A154">
        <v>98801</v>
      </c>
      <c r="B154" t="s">
        <v>18</v>
      </c>
      <c r="C154" t="s">
        <v>27</v>
      </c>
      <c r="D154">
        <v>122</v>
      </c>
      <c r="E154">
        <v>50</v>
      </c>
      <c r="F154" s="2">
        <v>240.96</v>
      </c>
      <c r="G154" t="s">
        <v>33</v>
      </c>
      <c r="H154" s="1">
        <v>45486</v>
      </c>
      <c r="I154" s="1">
        <v>45515</v>
      </c>
      <c r="J154" t="s">
        <v>38</v>
      </c>
      <c r="K154" s="8">
        <f>Table2[[#This Row],[CurrentStock]]*Table2[[#This Row],[UnitPrice]]</f>
        <v>29397.120000000003</v>
      </c>
      <c r="L154" t="str">
        <f>IF(Table2[[#This Row],[CurrentStock]]&lt;=Table2[[#This Row],[ReorderLevel]], "Reorder Needed", "Okay")</f>
        <v>Okay</v>
      </c>
      <c r="M154" t="str">
        <f>IF(Table2[[#This Row],[CurrentStock]]-Table2[[#This Row],[ReorderLevel]]&lt;0,Table2[[#This Row],[CurrentStock]]-Table2[[#This Row],[ReorderLevel]],"")</f>
        <v/>
      </c>
      <c r="N154" t="str">
        <f>IF(Table2[[#This Row],[Stock Gap]]&lt;0, "Understock","Okay")</f>
        <v>Okay</v>
      </c>
      <c r="O154" s="13" t="str">
        <f>IF(Table2[[#This Row],[Stock Gap]]&lt;0, "Yes", "No")</f>
        <v>No</v>
      </c>
      <c r="P154" s="13" t="str">
        <f>IF(Table2[[#This Row],[CurrentStock]]&lt;Table2[[#This Row],[ReorderLevel]],"Reorder", "Okay")</f>
        <v>Okay</v>
      </c>
      <c r="Q154" s="13" t="str">
        <f>IF(Table2[[#This Row],[CurrentStock]]&gt;Table2[[#This Row],[ReorderLevel]]*3, "Overstock", "Okay")</f>
        <v>Okay</v>
      </c>
    </row>
    <row r="155" spans="1:17" x14ac:dyDescent="0.35">
      <c r="A155">
        <v>43742</v>
      </c>
      <c r="B155" t="s">
        <v>18</v>
      </c>
      <c r="C155" t="s">
        <v>27</v>
      </c>
      <c r="D155">
        <v>39</v>
      </c>
      <c r="E155">
        <v>20</v>
      </c>
      <c r="F155" s="2">
        <v>277.67</v>
      </c>
      <c r="G155" t="s">
        <v>31</v>
      </c>
      <c r="H155" s="1">
        <v>45517</v>
      </c>
      <c r="I155" s="1">
        <v>45545</v>
      </c>
      <c r="J155" t="s">
        <v>36</v>
      </c>
      <c r="K155" s="8">
        <f>Table2[[#This Row],[CurrentStock]]*Table2[[#This Row],[UnitPrice]]</f>
        <v>10829.130000000001</v>
      </c>
      <c r="L155" t="str">
        <f>IF(Table2[[#This Row],[CurrentStock]]&lt;=Table2[[#This Row],[ReorderLevel]], "Reorder Needed", "Okay")</f>
        <v>Okay</v>
      </c>
      <c r="M155" t="str">
        <f>IF(Table2[[#This Row],[CurrentStock]]-Table2[[#This Row],[ReorderLevel]]&lt;0,Table2[[#This Row],[CurrentStock]]-Table2[[#This Row],[ReorderLevel]],"")</f>
        <v/>
      </c>
      <c r="N155" t="str">
        <f>IF(Table2[[#This Row],[Stock Gap]]&lt;0, "Understock","Okay")</f>
        <v>Okay</v>
      </c>
      <c r="O155" s="13" t="str">
        <f>IF(Table2[[#This Row],[Stock Gap]]&lt;0, "Yes", "No")</f>
        <v>No</v>
      </c>
      <c r="P155" s="13" t="str">
        <f>IF(Table2[[#This Row],[CurrentStock]]&lt;Table2[[#This Row],[ReorderLevel]],"Reorder", "Okay")</f>
        <v>Okay</v>
      </c>
      <c r="Q155" s="13" t="str">
        <f>IF(Table2[[#This Row],[CurrentStock]]&gt;Table2[[#This Row],[ReorderLevel]]*3, "Overstock", "Okay")</f>
        <v>Okay</v>
      </c>
    </row>
    <row r="156" spans="1:17" x14ac:dyDescent="0.35">
      <c r="A156">
        <v>96988</v>
      </c>
      <c r="B156" t="s">
        <v>20</v>
      </c>
      <c r="C156" t="s">
        <v>30</v>
      </c>
      <c r="D156">
        <v>453</v>
      </c>
      <c r="E156">
        <v>80</v>
      </c>
      <c r="F156" s="2">
        <v>113.99</v>
      </c>
      <c r="G156" t="s">
        <v>34</v>
      </c>
      <c r="H156" s="1">
        <v>45575</v>
      </c>
      <c r="I156" s="1">
        <v>45584</v>
      </c>
      <c r="J156" t="s">
        <v>38</v>
      </c>
      <c r="K156" s="8">
        <f>Table2[[#This Row],[CurrentStock]]*Table2[[#This Row],[UnitPrice]]</f>
        <v>51637.47</v>
      </c>
      <c r="L156" t="str">
        <f>IF(Table2[[#This Row],[CurrentStock]]&lt;=Table2[[#This Row],[ReorderLevel]], "Reorder Needed", "Okay")</f>
        <v>Okay</v>
      </c>
      <c r="M156" t="str">
        <f>IF(Table2[[#This Row],[CurrentStock]]-Table2[[#This Row],[ReorderLevel]]&lt;0,Table2[[#This Row],[CurrentStock]]-Table2[[#This Row],[ReorderLevel]],"")</f>
        <v/>
      </c>
      <c r="N156" t="str">
        <f>IF(Table2[[#This Row],[Stock Gap]]&lt;0, "Understock","Okay")</f>
        <v>Okay</v>
      </c>
      <c r="O156" s="13" t="str">
        <f>IF(Table2[[#This Row],[Stock Gap]]&lt;0, "Yes", "No")</f>
        <v>No</v>
      </c>
      <c r="P156" s="13" t="str">
        <f>IF(Table2[[#This Row],[CurrentStock]]&lt;Table2[[#This Row],[ReorderLevel]],"Reorder", "Okay")</f>
        <v>Okay</v>
      </c>
      <c r="Q156" s="13" t="str">
        <f>IF(Table2[[#This Row],[CurrentStock]]&gt;Table2[[#This Row],[ReorderLevel]]*3, "Overstock", "Okay")</f>
        <v>Overstock</v>
      </c>
    </row>
    <row r="157" spans="1:17" x14ac:dyDescent="0.35">
      <c r="A157">
        <v>81719</v>
      </c>
      <c r="B157" t="s">
        <v>16</v>
      </c>
      <c r="C157" t="s">
        <v>29</v>
      </c>
      <c r="D157">
        <v>317</v>
      </c>
      <c r="E157">
        <v>80</v>
      </c>
      <c r="F157" s="2">
        <v>453.72</v>
      </c>
      <c r="G157" t="s">
        <v>31</v>
      </c>
      <c r="H157" s="1">
        <v>45614</v>
      </c>
      <c r="I157" s="1">
        <v>45652</v>
      </c>
      <c r="J157" t="s">
        <v>36</v>
      </c>
      <c r="K157" s="8">
        <f>Table2[[#This Row],[CurrentStock]]*Table2[[#This Row],[UnitPrice]]</f>
        <v>143829.24000000002</v>
      </c>
      <c r="L157" t="str">
        <f>IF(Table2[[#This Row],[CurrentStock]]&lt;=Table2[[#This Row],[ReorderLevel]], "Reorder Needed", "Okay")</f>
        <v>Okay</v>
      </c>
      <c r="M157" t="str">
        <f>IF(Table2[[#This Row],[CurrentStock]]-Table2[[#This Row],[ReorderLevel]]&lt;0,Table2[[#This Row],[CurrentStock]]-Table2[[#This Row],[ReorderLevel]],"")</f>
        <v/>
      </c>
      <c r="N157" t="str">
        <f>IF(Table2[[#This Row],[Stock Gap]]&lt;0, "Understock","Okay")</f>
        <v>Okay</v>
      </c>
      <c r="O157" s="13" t="str">
        <f>IF(Table2[[#This Row],[Stock Gap]]&lt;0, "Yes", "No")</f>
        <v>No</v>
      </c>
      <c r="P157" s="13" t="str">
        <f>IF(Table2[[#This Row],[CurrentStock]]&lt;Table2[[#This Row],[ReorderLevel]],"Reorder", "Okay")</f>
        <v>Okay</v>
      </c>
      <c r="Q157" s="13" t="str">
        <f>IF(Table2[[#This Row],[CurrentStock]]&gt;Table2[[#This Row],[ReorderLevel]]*3, "Overstock", "Okay")</f>
        <v>Overstock</v>
      </c>
    </row>
    <row r="158" spans="1:17" x14ac:dyDescent="0.35">
      <c r="A158">
        <v>75082</v>
      </c>
      <c r="B158" t="s">
        <v>25</v>
      </c>
      <c r="C158" t="s">
        <v>29</v>
      </c>
      <c r="D158">
        <v>261</v>
      </c>
      <c r="E158">
        <v>40</v>
      </c>
      <c r="F158" s="2">
        <v>434.74</v>
      </c>
      <c r="G158" t="s">
        <v>34</v>
      </c>
      <c r="H158" s="1">
        <v>45383</v>
      </c>
      <c r="I158" s="1">
        <v>45420</v>
      </c>
      <c r="J158" t="s">
        <v>36</v>
      </c>
      <c r="K158" s="8">
        <f>Table2[[#This Row],[CurrentStock]]*Table2[[#This Row],[UnitPrice]]</f>
        <v>113467.14</v>
      </c>
      <c r="L158" t="str">
        <f>IF(Table2[[#This Row],[CurrentStock]]&lt;=Table2[[#This Row],[ReorderLevel]], "Reorder Needed", "Okay")</f>
        <v>Okay</v>
      </c>
      <c r="M158" t="str">
        <f>IF(Table2[[#This Row],[CurrentStock]]-Table2[[#This Row],[ReorderLevel]]&lt;0,Table2[[#This Row],[CurrentStock]]-Table2[[#This Row],[ReorderLevel]],"")</f>
        <v/>
      </c>
      <c r="N158" t="str">
        <f>IF(Table2[[#This Row],[Stock Gap]]&lt;0, "Understock","Okay")</f>
        <v>Okay</v>
      </c>
      <c r="O158" s="13" t="str">
        <f>IF(Table2[[#This Row],[Stock Gap]]&lt;0, "Yes", "No")</f>
        <v>No</v>
      </c>
      <c r="P158" s="13" t="str">
        <f>IF(Table2[[#This Row],[CurrentStock]]&lt;Table2[[#This Row],[ReorderLevel]],"Reorder", "Okay")</f>
        <v>Okay</v>
      </c>
      <c r="Q158" s="13" t="str">
        <f>IF(Table2[[#This Row],[CurrentStock]]&gt;Table2[[#This Row],[ReorderLevel]]*3, "Overstock", "Okay")</f>
        <v>Overstock</v>
      </c>
    </row>
    <row r="159" spans="1:17" x14ac:dyDescent="0.35">
      <c r="A159">
        <v>12469</v>
      </c>
      <c r="B159" t="s">
        <v>19</v>
      </c>
      <c r="C159" t="s">
        <v>28</v>
      </c>
      <c r="D159">
        <v>344</v>
      </c>
      <c r="E159">
        <v>80</v>
      </c>
      <c r="F159" s="2">
        <v>341.67</v>
      </c>
      <c r="G159" t="s">
        <v>33</v>
      </c>
      <c r="H159" s="1">
        <v>45482</v>
      </c>
      <c r="I159" s="1">
        <v>45513</v>
      </c>
      <c r="J159" t="s">
        <v>37</v>
      </c>
      <c r="K159" s="8">
        <f>Table2[[#This Row],[CurrentStock]]*Table2[[#This Row],[UnitPrice]]</f>
        <v>117534.48000000001</v>
      </c>
      <c r="L159" t="str">
        <f>IF(Table2[[#This Row],[CurrentStock]]&lt;=Table2[[#This Row],[ReorderLevel]], "Reorder Needed", "Okay")</f>
        <v>Okay</v>
      </c>
      <c r="M159" t="str">
        <f>IF(Table2[[#This Row],[CurrentStock]]-Table2[[#This Row],[ReorderLevel]]&lt;0,Table2[[#This Row],[CurrentStock]]-Table2[[#This Row],[ReorderLevel]],"")</f>
        <v/>
      </c>
      <c r="N159" t="str">
        <f>IF(Table2[[#This Row],[Stock Gap]]&lt;0, "Understock","Okay")</f>
        <v>Okay</v>
      </c>
      <c r="O159" s="13" t="str">
        <f>IF(Table2[[#This Row],[Stock Gap]]&lt;0, "Yes", "No")</f>
        <v>No</v>
      </c>
      <c r="P159" s="13" t="str">
        <f>IF(Table2[[#This Row],[CurrentStock]]&lt;Table2[[#This Row],[ReorderLevel]],"Reorder", "Okay")</f>
        <v>Okay</v>
      </c>
      <c r="Q159" s="13" t="str">
        <f>IF(Table2[[#This Row],[CurrentStock]]&gt;Table2[[#This Row],[ReorderLevel]]*3, "Overstock", "Okay")</f>
        <v>Overstock</v>
      </c>
    </row>
    <row r="160" spans="1:17" x14ac:dyDescent="0.35">
      <c r="A160">
        <v>88249</v>
      </c>
      <c r="B160" t="s">
        <v>15</v>
      </c>
      <c r="C160" t="s">
        <v>29</v>
      </c>
      <c r="D160">
        <v>44</v>
      </c>
      <c r="E160">
        <v>30</v>
      </c>
      <c r="F160" s="2">
        <v>235.41</v>
      </c>
      <c r="G160" t="s">
        <v>32</v>
      </c>
      <c r="H160" s="1">
        <v>45322</v>
      </c>
      <c r="I160" s="1">
        <v>45349</v>
      </c>
      <c r="J160" t="s">
        <v>37</v>
      </c>
      <c r="K160" s="8">
        <f>Table2[[#This Row],[CurrentStock]]*Table2[[#This Row],[UnitPrice]]</f>
        <v>10358.039999999999</v>
      </c>
      <c r="L160" t="str">
        <f>IF(Table2[[#This Row],[CurrentStock]]&lt;=Table2[[#This Row],[ReorderLevel]], "Reorder Needed", "Okay")</f>
        <v>Okay</v>
      </c>
      <c r="M160" t="str">
        <f>IF(Table2[[#This Row],[CurrentStock]]-Table2[[#This Row],[ReorderLevel]]&lt;0,Table2[[#This Row],[CurrentStock]]-Table2[[#This Row],[ReorderLevel]],"")</f>
        <v/>
      </c>
      <c r="N160" t="str">
        <f>IF(Table2[[#This Row],[Stock Gap]]&lt;0, "Understock","Okay")</f>
        <v>Okay</v>
      </c>
      <c r="O160" s="13" t="str">
        <f>IF(Table2[[#This Row],[Stock Gap]]&lt;0, "Yes", "No")</f>
        <v>No</v>
      </c>
      <c r="P160" s="13" t="str">
        <f>IF(Table2[[#This Row],[CurrentStock]]&lt;Table2[[#This Row],[ReorderLevel]],"Reorder", "Okay")</f>
        <v>Okay</v>
      </c>
      <c r="Q160" s="13" t="str">
        <f>IF(Table2[[#This Row],[CurrentStock]]&gt;Table2[[#This Row],[ReorderLevel]]*3, "Overstock", "Okay")</f>
        <v>Okay</v>
      </c>
    </row>
    <row r="161" spans="1:17" x14ac:dyDescent="0.35">
      <c r="A161">
        <v>67932</v>
      </c>
      <c r="B161" t="s">
        <v>22</v>
      </c>
      <c r="C161" t="s">
        <v>29</v>
      </c>
      <c r="D161">
        <v>38</v>
      </c>
      <c r="E161">
        <v>150</v>
      </c>
      <c r="F161" s="2">
        <v>5.55</v>
      </c>
      <c r="G161" t="s">
        <v>35</v>
      </c>
      <c r="H161" s="1">
        <v>45549</v>
      </c>
      <c r="I161" s="1">
        <v>45567</v>
      </c>
      <c r="J161" t="s">
        <v>37</v>
      </c>
      <c r="K161" s="8">
        <f>Table2[[#This Row],[CurrentStock]]*Table2[[#This Row],[UnitPrice]]</f>
        <v>210.9</v>
      </c>
      <c r="L161" t="str">
        <f>IF(Table2[[#This Row],[CurrentStock]]&lt;=Table2[[#This Row],[ReorderLevel]], "Reorder Needed", "Okay")</f>
        <v>Reorder Needed</v>
      </c>
      <c r="M161" s="7">
        <f>IF(Table2[[#This Row],[CurrentStock]]-Table2[[#This Row],[ReorderLevel]]&lt;0,Table2[[#This Row],[CurrentStock]]-Table2[[#This Row],[ReorderLevel]],"")</f>
        <v>-112</v>
      </c>
      <c r="N161" t="str">
        <f>IF(Table2[[#This Row],[Stock Gap]]&lt;0, "Understock","Okay")</f>
        <v>Understock</v>
      </c>
      <c r="O161" s="13" t="str">
        <f>IF(Table2[[#This Row],[Stock Gap]]&lt;0, "Yes", "No")</f>
        <v>Yes</v>
      </c>
      <c r="P161" s="13" t="str">
        <f>IF(Table2[[#This Row],[CurrentStock]]&lt;Table2[[#This Row],[ReorderLevel]],"Reorder", "Okay")</f>
        <v>Reorder</v>
      </c>
      <c r="Q161" s="13" t="str">
        <f>IF(Table2[[#This Row],[CurrentStock]]&gt;Table2[[#This Row],[ReorderLevel]]*3, "Overstock", "Okay")</f>
        <v>Okay</v>
      </c>
    </row>
    <row r="162" spans="1:17" x14ac:dyDescent="0.35">
      <c r="A162">
        <v>82545</v>
      </c>
      <c r="B162" t="s">
        <v>23</v>
      </c>
      <c r="C162" t="s">
        <v>30</v>
      </c>
      <c r="D162">
        <v>45</v>
      </c>
      <c r="E162">
        <v>40</v>
      </c>
      <c r="F162" s="2">
        <v>490.69</v>
      </c>
      <c r="G162" t="s">
        <v>33</v>
      </c>
      <c r="H162" s="1">
        <v>45308</v>
      </c>
      <c r="I162" s="1">
        <v>45343</v>
      </c>
      <c r="J162" t="s">
        <v>36</v>
      </c>
      <c r="K162" s="8">
        <f>Table2[[#This Row],[CurrentStock]]*Table2[[#This Row],[UnitPrice]]</f>
        <v>22081.05</v>
      </c>
      <c r="L162" t="str">
        <f>IF(Table2[[#This Row],[CurrentStock]]&lt;=Table2[[#This Row],[ReorderLevel]], "Reorder Needed", "Okay")</f>
        <v>Okay</v>
      </c>
      <c r="M162" t="str">
        <f>IF(Table2[[#This Row],[CurrentStock]]-Table2[[#This Row],[ReorderLevel]]&lt;0,Table2[[#This Row],[CurrentStock]]-Table2[[#This Row],[ReorderLevel]],"")</f>
        <v/>
      </c>
      <c r="N162" t="str">
        <f>IF(Table2[[#This Row],[Stock Gap]]&lt;0, "Understock","Okay")</f>
        <v>Okay</v>
      </c>
      <c r="O162" s="13" t="str">
        <f>IF(Table2[[#This Row],[Stock Gap]]&lt;0, "Yes", "No")</f>
        <v>No</v>
      </c>
      <c r="P162" s="13" t="str">
        <f>IF(Table2[[#This Row],[CurrentStock]]&lt;Table2[[#This Row],[ReorderLevel]],"Reorder", "Okay")</f>
        <v>Okay</v>
      </c>
      <c r="Q162" s="13" t="str">
        <f>IF(Table2[[#This Row],[CurrentStock]]&gt;Table2[[#This Row],[ReorderLevel]]*3, "Overstock", "Okay")</f>
        <v>Okay</v>
      </c>
    </row>
    <row r="163" spans="1:17" x14ac:dyDescent="0.35">
      <c r="A163">
        <v>23281</v>
      </c>
      <c r="B163" t="s">
        <v>14</v>
      </c>
      <c r="C163" t="s">
        <v>28</v>
      </c>
      <c r="D163">
        <v>466</v>
      </c>
      <c r="E163">
        <v>100</v>
      </c>
      <c r="F163" s="2">
        <v>14.12</v>
      </c>
      <c r="G163" t="s">
        <v>33</v>
      </c>
      <c r="H163" s="1">
        <v>45524</v>
      </c>
      <c r="I163" s="1">
        <v>45560</v>
      </c>
      <c r="J163" t="s">
        <v>37</v>
      </c>
      <c r="K163" s="8">
        <f>Table2[[#This Row],[CurrentStock]]*Table2[[#This Row],[UnitPrice]]</f>
        <v>6579.92</v>
      </c>
      <c r="L163" t="str">
        <f>IF(Table2[[#This Row],[CurrentStock]]&lt;=Table2[[#This Row],[ReorderLevel]], "Reorder Needed", "Okay")</f>
        <v>Okay</v>
      </c>
      <c r="M163" t="str">
        <f>IF(Table2[[#This Row],[CurrentStock]]-Table2[[#This Row],[ReorderLevel]]&lt;0,Table2[[#This Row],[CurrentStock]]-Table2[[#This Row],[ReorderLevel]],"")</f>
        <v/>
      </c>
      <c r="N163" t="str">
        <f>IF(Table2[[#This Row],[Stock Gap]]&lt;0, "Understock","Okay")</f>
        <v>Okay</v>
      </c>
      <c r="O163" s="13" t="str">
        <f>IF(Table2[[#This Row],[Stock Gap]]&lt;0, "Yes", "No")</f>
        <v>No</v>
      </c>
      <c r="P163" s="13" t="str">
        <f>IF(Table2[[#This Row],[CurrentStock]]&lt;Table2[[#This Row],[ReorderLevel]],"Reorder", "Okay")</f>
        <v>Okay</v>
      </c>
      <c r="Q163" s="13" t="str">
        <f>IF(Table2[[#This Row],[CurrentStock]]&gt;Table2[[#This Row],[ReorderLevel]]*3, "Overstock", "Okay")</f>
        <v>Overstock</v>
      </c>
    </row>
    <row r="164" spans="1:17" x14ac:dyDescent="0.35">
      <c r="A164">
        <v>60192</v>
      </c>
      <c r="B164" t="s">
        <v>25</v>
      </c>
      <c r="C164" t="s">
        <v>29</v>
      </c>
      <c r="D164">
        <v>277</v>
      </c>
      <c r="E164">
        <v>50</v>
      </c>
      <c r="F164" s="2">
        <v>91.01</v>
      </c>
      <c r="G164" t="s">
        <v>33</v>
      </c>
      <c r="H164" s="1">
        <v>45533</v>
      </c>
      <c r="I164" s="1">
        <v>45541</v>
      </c>
      <c r="J164" t="s">
        <v>38</v>
      </c>
      <c r="K164" s="8">
        <f>Table2[[#This Row],[CurrentStock]]*Table2[[#This Row],[UnitPrice]]</f>
        <v>25209.77</v>
      </c>
      <c r="L164" t="str">
        <f>IF(Table2[[#This Row],[CurrentStock]]&lt;=Table2[[#This Row],[ReorderLevel]], "Reorder Needed", "Okay")</f>
        <v>Okay</v>
      </c>
      <c r="M164" t="str">
        <f>IF(Table2[[#This Row],[CurrentStock]]-Table2[[#This Row],[ReorderLevel]]&lt;0,Table2[[#This Row],[CurrentStock]]-Table2[[#This Row],[ReorderLevel]],"")</f>
        <v/>
      </c>
      <c r="N164" t="str">
        <f>IF(Table2[[#This Row],[Stock Gap]]&lt;0, "Understock","Okay")</f>
        <v>Okay</v>
      </c>
      <c r="O164" s="13" t="str">
        <f>IF(Table2[[#This Row],[Stock Gap]]&lt;0, "Yes", "No")</f>
        <v>No</v>
      </c>
      <c r="P164" s="13" t="str">
        <f>IF(Table2[[#This Row],[CurrentStock]]&lt;Table2[[#This Row],[ReorderLevel]],"Reorder", "Okay")</f>
        <v>Okay</v>
      </c>
      <c r="Q164" s="13" t="str">
        <f>IF(Table2[[#This Row],[CurrentStock]]&gt;Table2[[#This Row],[ReorderLevel]]*3, "Overstock", "Okay")</f>
        <v>Overstock</v>
      </c>
    </row>
    <row r="165" spans="1:17" x14ac:dyDescent="0.35">
      <c r="A165">
        <v>77889</v>
      </c>
      <c r="B165" t="s">
        <v>11</v>
      </c>
      <c r="C165" t="s">
        <v>27</v>
      </c>
      <c r="D165">
        <v>373</v>
      </c>
      <c r="E165">
        <v>20</v>
      </c>
      <c r="F165" s="2">
        <v>33.67</v>
      </c>
      <c r="G165" t="s">
        <v>35</v>
      </c>
      <c r="H165" s="1">
        <v>45411</v>
      </c>
      <c r="I165" s="1">
        <v>45433</v>
      </c>
      <c r="J165" t="s">
        <v>37</v>
      </c>
      <c r="K165" s="8">
        <f>Table2[[#This Row],[CurrentStock]]*Table2[[#This Row],[UnitPrice]]</f>
        <v>12558.91</v>
      </c>
      <c r="L165" t="str">
        <f>IF(Table2[[#This Row],[CurrentStock]]&lt;=Table2[[#This Row],[ReorderLevel]], "Reorder Needed", "Okay")</f>
        <v>Okay</v>
      </c>
      <c r="M165" t="str">
        <f>IF(Table2[[#This Row],[CurrentStock]]-Table2[[#This Row],[ReorderLevel]]&lt;0,Table2[[#This Row],[CurrentStock]]-Table2[[#This Row],[ReorderLevel]],"")</f>
        <v/>
      </c>
      <c r="N165" t="str">
        <f>IF(Table2[[#This Row],[Stock Gap]]&lt;0, "Understock","Okay")</f>
        <v>Okay</v>
      </c>
      <c r="O165" s="13" t="str">
        <f>IF(Table2[[#This Row],[Stock Gap]]&lt;0, "Yes", "No")</f>
        <v>No</v>
      </c>
      <c r="P165" s="13" t="str">
        <f>IF(Table2[[#This Row],[CurrentStock]]&lt;Table2[[#This Row],[ReorderLevel]],"Reorder", "Okay")</f>
        <v>Okay</v>
      </c>
      <c r="Q165" s="13" t="str">
        <f>IF(Table2[[#This Row],[CurrentStock]]&gt;Table2[[#This Row],[ReorderLevel]]*3, "Overstock", "Okay")</f>
        <v>Overstock</v>
      </c>
    </row>
    <row r="166" spans="1:17" x14ac:dyDescent="0.35">
      <c r="A166">
        <v>41598</v>
      </c>
      <c r="B166" t="s">
        <v>19</v>
      </c>
      <c r="C166" t="s">
        <v>28</v>
      </c>
      <c r="D166">
        <v>459</v>
      </c>
      <c r="E166">
        <v>150</v>
      </c>
      <c r="F166" s="2">
        <v>37.479999999999997</v>
      </c>
      <c r="G166" t="s">
        <v>31</v>
      </c>
      <c r="H166" s="1">
        <v>45324</v>
      </c>
      <c r="I166" s="1">
        <v>45334</v>
      </c>
      <c r="J166" t="s">
        <v>37</v>
      </c>
      <c r="K166" s="8">
        <f>Table2[[#This Row],[CurrentStock]]*Table2[[#This Row],[UnitPrice]]</f>
        <v>17203.32</v>
      </c>
      <c r="L166" t="str">
        <f>IF(Table2[[#This Row],[CurrentStock]]&lt;=Table2[[#This Row],[ReorderLevel]], "Reorder Needed", "Okay")</f>
        <v>Okay</v>
      </c>
      <c r="M166" t="str">
        <f>IF(Table2[[#This Row],[CurrentStock]]-Table2[[#This Row],[ReorderLevel]]&lt;0,Table2[[#This Row],[CurrentStock]]-Table2[[#This Row],[ReorderLevel]],"")</f>
        <v/>
      </c>
      <c r="N166" t="str">
        <f>IF(Table2[[#This Row],[Stock Gap]]&lt;0, "Understock","Okay")</f>
        <v>Okay</v>
      </c>
      <c r="O166" s="13" t="str">
        <f>IF(Table2[[#This Row],[Stock Gap]]&lt;0, "Yes", "No")</f>
        <v>No</v>
      </c>
      <c r="P166" s="13" t="str">
        <f>IF(Table2[[#This Row],[CurrentStock]]&lt;Table2[[#This Row],[ReorderLevel]],"Reorder", "Okay")</f>
        <v>Okay</v>
      </c>
      <c r="Q166" s="13" t="str">
        <f>IF(Table2[[#This Row],[CurrentStock]]&gt;Table2[[#This Row],[ReorderLevel]]*3, "Overstock", "Okay")</f>
        <v>Overstock</v>
      </c>
    </row>
    <row r="167" spans="1:17" x14ac:dyDescent="0.35">
      <c r="A167">
        <v>24288</v>
      </c>
      <c r="B167" t="s">
        <v>24</v>
      </c>
      <c r="C167" t="s">
        <v>30</v>
      </c>
      <c r="D167">
        <v>25</v>
      </c>
      <c r="E167">
        <v>30</v>
      </c>
      <c r="F167" s="2">
        <v>140.44999999999999</v>
      </c>
      <c r="G167" t="s">
        <v>31</v>
      </c>
      <c r="H167" s="1">
        <v>45576</v>
      </c>
      <c r="I167" s="1">
        <v>45584</v>
      </c>
      <c r="J167" t="s">
        <v>36</v>
      </c>
      <c r="K167" s="8">
        <f>Table2[[#This Row],[CurrentStock]]*Table2[[#This Row],[UnitPrice]]</f>
        <v>3511.2499999999995</v>
      </c>
      <c r="L167" t="str">
        <f>IF(Table2[[#This Row],[CurrentStock]]&lt;=Table2[[#This Row],[ReorderLevel]], "Reorder Needed", "Okay")</f>
        <v>Reorder Needed</v>
      </c>
      <c r="M167" s="7">
        <f>IF(Table2[[#This Row],[CurrentStock]]-Table2[[#This Row],[ReorderLevel]]&lt;0,Table2[[#This Row],[CurrentStock]]-Table2[[#This Row],[ReorderLevel]],"")</f>
        <v>-5</v>
      </c>
      <c r="N167" t="str">
        <f>IF(Table2[[#This Row],[Stock Gap]]&lt;0, "Understock","Okay")</f>
        <v>Understock</v>
      </c>
      <c r="O167" s="13" t="str">
        <f>IF(Table2[[#This Row],[Stock Gap]]&lt;0, "Yes", "No")</f>
        <v>Yes</v>
      </c>
      <c r="P167" s="13" t="str">
        <f>IF(Table2[[#This Row],[CurrentStock]]&lt;Table2[[#This Row],[ReorderLevel]],"Reorder", "Okay")</f>
        <v>Reorder</v>
      </c>
      <c r="Q167" s="13" t="str">
        <f>IF(Table2[[#This Row],[CurrentStock]]&gt;Table2[[#This Row],[ReorderLevel]]*3, "Overstock", "Okay")</f>
        <v>Okay</v>
      </c>
    </row>
    <row r="168" spans="1:17" x14ac:dyDescent="0.35">
      <c r="A168">
        <v>70545</v>
      </c>
      <c r="B168" t="s">
        <v>18</v>
      </c>
      <c r="C168" t="s">
        <v>27</v>
      </c>
      <c r="D168">
        <v>270</v>
      </c>
      <c r="E168">
        <v>150</v>
      </c>
      <c r="F168" s="2">
        <v>413.83</v>
      </c>
      <c r="G168" t="s">
        <v>33</v>
      </c>
      <c r="H168" s="1">
        <v>45366</v>
      </c>
      <c r="I168" s="1">
        <v>45402</v>
      </c>
      <c r="J168" t="s">
        <v>38</v>
      </c>
      <c r="K168" s="8">
        <f>Table2[[#This Row],[CurrentStock]]*Table2[[#This Row],[UnitPrice]]</f>
        <v>111734.09999999999</v>
      </c>
      <c r="L168" t="str">
        <f>IF(Table2[[#This Row],[CurrentStock]]&lt;=Table2[[#This Row],[ReorderLevel]], "Reorder Needed", "Okay")</f>
        <v>Okay</v>
      </c>
      <c r="M168" t="str">
        <f>IF(Table2[[#This Row],[CurrentStock]]-Table2[[#This Row],[ReorderLevel]]&lt;0,Table2[[#This Row],[CurrentStock]]-Table2[[#This Row],[ReorderLevel]],"")</f>
        <v/>
      </c>
      <c r="N168" t="str">
        <f>IF(Table2[[#This Row],[Stock Gap]]&lt;0, "Understock","Okay")</f>
        <v>Okay</v>
      </c>
      <c r="O168" s="13" t="str">
        <f>IF(Table2[[#This Row],[Stock Gap]]&lt;0, "Yes", "No")</f>
        <v>No</v>
      </c>
      <c r="P168" s="13" t="str">
        <f>IF(Table2[[#This Row],[CurrentStock]]&lt;Table2[[#This Row],[ReorderLevel]],"Reorder", "Okay")</f>
        <v>Okay</v>
      </c>
      <c r="Q168" s="13" t="str">
        <f>IF(Table2[[#This Row],[CurrentStock]]&gt;Table2[[#This Row],[ReorderLevel]]*3, "Overstock", "Okay")</f>
        <v>Okay</v>
      </c>
    </row>
    <row r="169" spans="1:17" x14ac:dyDescent="0.35">
      <c r="A169">
        <v>63268</v>
      </c>
      <c r="B169" t="s">
        <v>12</v>
      </c>
      <c r="C169" t="s">
        <v>28</v>
      </c>
      <c r="D169">
        <v>194</v>
      </c>
      <c r="E169">
        <v>20</v>
      </c>
      <c r="F169" s="2">
        <v>481.8</v>
      </c>
      <c r="G169" t="s">
        <v>35</v>
      </c>
      <c r="H169" s="1">
        <v>45383</v>
      </c>
      <c r="I169" s="1">
        <v>45416</v>
      </c>
      <c r="J169" t="s">
        <v>37</v>
      </c>
      <c r="K169" s="8">
        <f>Table2[[#This Row],[CurrentStock]]*Table2[[#This Row],[UnitPrice]]</f>
        <v>93469.2</v>
      </c>
      <c r="L169" t="str">
        <f>IF(Table2[[#This Row],[CurrentStock]]&lt;=Table2[[#This Row],[ReorderLevel]], "Reorder Needed", "Okay")</f>
        <v>Okay</v>
      </c>
      <c r="M169" t="str">
        <f>IF(Table2[[#This Row],[CurrentStock]]-Table2[[#This Row],[ReorderLevel]]&lt;0,Table2[[#This Row],[CurrentStock]]-Table2[[#This Row],[ReorderLevel]],"")</f>
        <v/>
      </c>
      <c r="N169" t="str">
        <f>IF(Table2[[#This Row],[Stock Gap]]&lt;0, "Understock","Okay")</f>
        <v>Okay</v>
      </c>
      <c r="O169" s="13" t="str">
        <f>IF(Table2[[#This Row],[Stock Gap]]&lt;0, "Yes", "No")</f>
        <v>No</v>
      </c>
      <c r="P169" s="13" t="str">
        <f>IF(Table2[[#This Row],[CurrentStock]]&lt;Table2[[#This Row],[ReorderLevel]],"Reorder", "Okay")</f>
        <v>Okay</v>
      </c>
      <c r="Q169" s="13" t="str">
        <f>IF(Table2[[#This Row],[CurrentStock]]&gt;Table2[[#This Row],[ReorderLevel]]*3, "Overstock", "Okay")</f>
        <v>Overstock</v>
      </c>
    </row>
    <row r="170" spans="1:17" x14ac:dyDescent="0.35">
      <c r="A170">
        <v>86961</v>
      </c>
      <c r="B170" t="s">
        <v>13</v>
      </c>
      <c r="C170" t="s">
        <v>26</v>
      </c>
      <c r="D170">
        <v>146</v>
      </c>
      <c r="E170">
        <v>20</v>
      </c>
      <c r="F170" s="2">
        <v>223.94</v>
      </c>
      <c r="G170" t="s">
        <v>35</v>
      </c>
      <c r="H170" s="1">
        <v>45548</v>
      </c>
      <c r="I170" s="1">
        <v>45567</v>
      </c>
      <c r="J170" t="s">
        <v>37</v>
      </c>
      <c r="K170" s="8">
        <f>Table2[[#This Row],[CurrentStock]]*Table2[[#This Row],[UnitPrice]]</f>
        <v>32695.239999999998</v>
      </c>
      <c r="L170" t="str">
        <f>IF(Table2[[#This Row],[CurrentStock]]&lt;=Table2[[#This Row],[ReorderLevel]], "Reorder Needed", "Okay")</f>
        <v>Okay</v>
      </c>
      <c r="M170" t="str">
        <f>IF(Table2[[#This Row],[CurrentStock]]-Table2[[#This Row],[ReorderLevel]]&lt;0,Table2[[#This Row],[CurrentStock]]-Table2[[#This Row],[ReorderLevel]],"")</f>
        <v/>
      </c>
      <c r="N170" t="str">
        <f>IF(Table2[[#This Row],[Stock Gap]]&lt;0, "Understock","Okay")</f>
        <v>Okay</v>
      </c>
      <c r="O170" s="13" t="str">
        <f>IF(Table2[[#This Row],[Stock Gap]]&lt;0, "Yes", "No")</f>
        <v>No</v>
      </c>
      <c r="P170" s="13" t="str">
        <f>IF(Table2[[#This Row],[CurrentStock]]&lt;Table2[[#This Row],[ReorderLevel]],"Reorder", "Okay")</f>
        <v>Okay</v>
      </c>
      <c r="Q170" s="13" t="str">
        <f>IF(Table2[[#This Row],[CurrentStock]]&gt;Table2[[#This Row],[ReorderLevel]]*3, "Overstock", "Okay")</f>
        <v>Overstock</v>
      </c>
    </row>
    <row r="171" spans="1:17" x14ac:dyDescent="0.35">
      <c r="A171">
        <v>31563</v>
      </c>
      <c r="B171" t="s">
        <v>17</v>
      </c>
      <c r="C171" t="s">
        <v>27</v>
      </c>
      <c r="D171">
        <v>279</v>
      </c>
      <c r="E171">
        <v>50</v>
      </c>
      <c r="F171" s="2">
        <v>283.56</v>
      </c>
      <c r="G171" t="s">
        <v>34</v>
      </c>
      <c r="H171" s="1">
        <v>45499</v>
      </c>
      <c r="I171" s="1">
        <v>45530</v>
      </c>
      <c r="J171" t="s">
        <v>36</v>
      </c>
      <c r="K171" s="8">
        <f>Table2[[#This Row],[CurrentStock]]*Table2[[#This Row],[UnitPrice]]</f>
        <v>79113.240000000005</v>
      </c>
      <c r="L171" t="str">
        <f>IF(Table2[[#This Row],[CurrentStock]]&lt;=Table2[[#This Row],[ReorderLevel]], "Reorder Needed", "Okay")</f>
        <v>Okay</v>
      </c>
      <c r="M171" t="str">
        <f>IF(Table2[[#This Row],[CurrentStock]]-Table2[[#This Row],[ReorderLevel]]&lt;0,Table2[[#This Row],[CurrentStock]]-Table2[[#This Row],[ReorderLevel]],"")</f>
        <v/>
      </c>
      <c r="N171" t="str">
        <f>IF(Table2[[#This Row],[Stock Gap]]&lt;0, "Understock","Okay")</f>
        <v>Okay</v>
      </c>
      <c r="O171" s="13" t="str">
        <f>IF(Table2[[#This Row],[Stock Gap]]&lt;0, "Yes", "No")</f>
        <v>No</v>
      </c>
      <c r="P171" s="13" t="str">
        <f>IF(Table2[[#This Row],[CurrentStock]]&lt;Table2[[#This Row],[ReorderLevel]],"Reorder", "Okay")</f>
        <v>Okay</v>
      </c>
      <c r="Q171" s="13" t="str">
        <f>IF(Table2[[#This Row],[CurrentStock]]&gt;Table2[[#This Row],[ReorderLevel]]*3, "Overstock", "Okay")</f>
        <v>Overstock</v>
      </c>
    </row>
    <row r="172" spans="1:17" x14ac:dyDescent="0.35">
      <c r="A172">
        <v>71788</v>
      </c>
      <c r="B172" t="s">
        <v>25</v>
      </c>
      <c r="C172" t="s">
        <v>29</v>
      </c>
      <c r="D172">
        <v>7</v>
      </c>
      <c r="E172">
        <v>150</v>
      </c>
      <c r="F172" s="2">
        <v>229.58</v>
      </c>
      <c r="G172" t="s">
        <v>33</v>
      </c>
      <c r="H172" s="1">
        <v>45341</v>
      </c>
      <c r="I172" s="1">
        <v>45352</v>
      </c>
      <c r="J172" t="s">
        <v>36</v>
      </c>
      <c r="K172" s="8">
        <f>Table2[[#This Row],[CurrentStock]]*Table2[[#This Row],[UnitPrice]]</f>
        <v>1607.0600000000002</v>
      </c>
      <c r="L172" t="str">
        <f>IF(Table2[[#This Row],[CurrentStock]]&lt;=Table2[[#This Row],[ReorderLevel]], "Reorder Needed", "Okay")</f>
        <v>Reorder Needed</v>
      </c>
      <c r="M172" s="7">
        <f>IF(Table2[[#This Row],[CurrentStock]]-Table2[[#This Row],[ReorderLevel]]&lt;0,Table2[[#This Row],[CurrentStock]]-Table2[[#This Row],[ReorderLevel]],"")</f>
        <v>-143</v>
      </c>
      <c r="N172" t="str">
        <f>IF(Table2[[#This Row],[Stock Gap]]&lt;0, "Understock","Okay")</f>
        <v>Understock</v>
      </c>
      <c r="O172" s="13" t="str">
        <f>IF(Table2[[#This Row],[Stock Gap]]&lt;0, "Yes", "No")</f>
        <v>Yes</v>
      </c>
      <c r="P172" s="13" t="str">
        <f>IF(Table2[[#This Row],[CurrentStock]]&lt;Table2[[#This Row],[ReorderLevel]],"Reorder", "Okay")</f>
        <v>Reorder</v>
      </c>
      <c r="Q172" s="13" t="str">
        <f>IF(Table2[[#This Row],[CurrentStock]]&gt;Table2[[#This Row],[ReorderLevel]]*3, "Overstock", "Okay")</f>
        <v>Okay</v>
      </c>
    </row>
    <row r="173" spans="1:17" x14ac:dyDescent="0.35">
      <c r="A173">
        <v>21536</v>
      </c>
      <c r="B173" t="s">
        <v>13</v>
      </c>
      <c r="C173" t="s">
        <v>26</v>
      </c>
      <c r="D173">
        <v>386</v>
      </c>
      <c r="E173">
        <v>50</v>
      </c>
      <c r="F173" s="2">
        <v>399.29</v>
      </c>
      <c r="G173" t="s">
        <v>33</v>
      </c>
      <c r="H173" s="1">
        <v>45444</v>
      </c>
      <c r="I173" s="1">
        <v>45478</v>
      </c>
      <c r="J173" t="s">
        <v>36</v>
      </c>
      <c r="K173" s="8">
        <f>Table2[[#This Row],[CurrentStock]]*Table2[[#This Row],[UnitPrice]]</f>
        <v>154125.94</v>
      </c>
      <c r="L173" t="str">
        <f>IF(Table2[[#This Row],[CurrentStock]]&lt;=Table2[[#This Row],[ReorderLevel]], "Reorder Needed", "Okay")</f>
        <v>Okay</v>
      </c>
      <c r="M173" t="str">
        <f>IF(Table2[[#This Row],[CurrentStock]]-Table2[[#This Row],[ReorderLevel]]&lt;0,Table2[[#This Row],[CurrentStock]]-Table2[[#This Row],[ReorderLevel]],"")</f>
        <v/>
      </c>
      <c r="N173" t="str">
        <f>IF(Table2[[#This Row],[Stock Gap]]&lt;0, "Understock","Okay")</f>
        <v>Okay</v>
      </c>
      <c r="O173" s="13" t="str">
        <f>IF(Table2[[#This Row],[Stock Gap]]&lt;0, "Yes", "No")</f>
        <v>No</v>
      </c>
      <c r="P173" s="13" t="str">
        <f>IF(Table2[[#This Row],[CurrentStock]]&lt;Table2[[#This Row],[ReorderLevel]],"Reorder", "Okay")</f>
        <v>Okay</v>
      </c>
      <c r="Q173" s="13" t="str">
        <f>IF(Table2[[#This Row],[CurrentStock]]&gt;Table2[[#This Row],[ReorderLevel]]*3, "Overstock", "Okay")</f>
        <v>Overstock</v>
      </c>
    </row>
    <row r="174" spans="1:17" x14ac:dyDescent="0.35">
      <c r="A174">
        <v>39759</v>
      </c>
      <c r="B174" t="s">
        <v>18</v>
      </c>
      <c r="C174" t="s">
        <v>27</v>
      </c>
      <c r="D174">
        <v>213</v>
      </c>
      <c r="E174">
        <v>100</v>
      </c>
      <c r="F174" s="2">
        <v>166.33</v>
      </c>
      <c r="G174" t="s">
        <v>35</v>
      </c>
      <c r="H174" s="1">
        <v>45635</v>
      </c>
      <c r="I174" s="1">
        <v>45647</v>
      </c>
      <c r="J174" t="s">
        <v>36</v>
      </c>
      <c r="K174" s="8">
        <f>Table2[[#This Row],[CurrentStock]]*Table2[[#This Row],[UnitPrice]]</f>
        <v>35428.29</v>
      </c>
      <c r="L174" t="str">
        <f>IF(Table2[[#This Row],[CurrentStock]]&lt;=Table2[[#This Row],[ReorderLevel]], "Reorder Needed", "Okay")</f>
        <v>Okay</v>
      </c>
      <c r="M174" t="str">
        <f>IF(Table2[[#This Row],[CurrentStock]]-Table2[[#This Row],[ReorderLevel]]&lt;0,Table2[[#This Row],[CurrentStock]]-Table2[[#This Row],[ReorderLevel]],"")</f>
        <v/>
      </c>
      <c r="N174" t="str">
        <f>IF(Table2[[#This Row],[Stock Gap]]&lt;0, "Understock","Okay")</f>
        <v>Okay</v>
      </c>
      <c r="O174" s="13" t="str">
        <f>IF(Table2[[#This Row],[Stock Gap]]&lt;0, "Yes", "No")</f>
        <v>No</v>
      </c>
      <c r="P174" s="13" t="str">
        <f>IF(Table2[[#This Row],[CurrentStock]]&lt;Table2[[#This Row],[ReorderLevel]],"Reorder", "Okay")</f>
        <v>Okay</v>
      </c>
      <c r="Q174" s="13" t="str">
        <f>IF(Table2[[#This Row],[CurrentStock]]&gt;Table2[[#This Row],[ReorderLevel]]*3, "Overstock", "Okay")</f>
        <v>Okay</v>
      </c>
    </row>
    <row r="175" spans="1:17" x14ac:dyDescent="0.35">
      <c r="A175">
        <v>16154</v>
      </c>
      <c r="B175" t="s">
        <v>22</v>
      </c>
      <c r="C175" t="s">
        <v>29</v>
      </c>
      <c r="D175">
        <v>477</v>
      </c>
      <c r="E175">
        <v>30</v>
      </c>
      <c r="F175" s="2">
        <v>242.57</v>
      </c>
      <c r="G175" t="s">
        <v>35</v>
      </c>
      <c r="H175" s="1">
        <v>45386</v>
      </c>
      <c r="I175" s="1">
        <v>45422</v>
      </c>
      <c r="J175" t="s">
        <v>36</v>
      </c>
      <c r="K175" s="8">
        <f>Table2[[#This Row],[CurrentStock]]*Table2[[#This Row],[UnitPrice]]</f>
        <v>115705.89</v>
      </c>
      <c r="L175" t="str">
        <f>IF(Table2[[#This Row],[CurrentStock]]&lt;=Table2[[#This Row],[ReorderLevel]], "Reorder Needed", "Okay")</f>
        <v>Okay</v>
      </c>
      <c r="M175" t="str">
        <f>IF(Table2[[#This Row],[CurrentStock]]-Table2[[#This Row],[ReorderLevel]]&lt;0,Table2[[#This Row],[CurrentStock]]-Table2[[#This Row],[ReorderLevel]],"")</f>
        <v/>
      </c>
      <c r="N175" t="str">
        <f>IF(Table2[[#This Row],[Stock Gap]]&lt;0, "Understock","Okay")</f>
        <v>Okay</v>
      </c>
      <c r="O175" s="13" t="str">
        <f>IF(Table2[[#This Row],[Stock Gap]]&lt;0, "Yes", "No")</f>
        <v>No</v>
      </c>
      <c r="P175" s="13" t="str">
        <f>IF(Table2[[#This Row],[CurrentStock]]&lt;Table2[[#This Row],[ReorderLevel]],"Reorder", "Okay")</f>
        <v>Okay</v>
      </c>
      <c r="Q175" s="13" t="str">
        <f>IF(Table2[[#This Row],[CurrentStock]]&gt;Table2[[#This Row],[ReorderLevel]]*3, "Overstock", "Okay")</f>
        <v>Overstock</v>
      </c>
    </row>
    <row r="176" spans="1:17" x14ac:dyDescent="0.35">
      <c r="A176">
        <v>49499</v>
      </c>
      <c r="B176" t="s">
        <v>11</v>
      </c>
      <c r="C176" t="s">
        <v>27</v>
      </c>
      <c r="D176">
        <v>424</v>
      </c>
      <c r="E176">
        <v>40</v>
      </c>
      <c r="F176" s="2">
        <v>242.85</v>
      </c>
      <c r="G176" t="s">
        <v>34</v>
      </c>
      <c r="H176" s="1">
        <v>45379</v>
      </c>
      <c r="I176" s="1">
        <v>45400</v>
      </c>
      <c r="J176" t="s">
        <v>38</v>
      </c>
      <c r="K176" s="8">
        <f>Table2[[#This Row],[CurrentStock]]*Table2[[#This Row],[UnitPrice]]</f>
        <v>102968.4</v>
      </c>
      <c r="L176" t="str">
        <f>IF(Table2[[#This Row],[CurrentStock]]&lt;=Table2[[#This Row],[ReorderLevel]], "Reorder Needed", "Okay")</f>
        <v>Okay</v>
      </c>
      <c r="M176" t="str">
        <f>IF(Table2[[#This Row],[CurrentStock]]-Table2[[#This Row],[ReorderLevel]]&lt;0,Table2[[#This Row],[CurrentStock]]-Table2[[#This Row],[ReorderLevel]],"")</f>
        <v/>
      </c>
      <c r="N176" t="str">
        <f>IF(Table2[[#This Row],[Stock Gap]]&lt;0, "Understock","Okay")</f>
        <v>Okay</v>
      </c>
      <c r="O176" s="13" t="str">
        <f>IF(Table2[[#This Row],[Stock Gap]]&lt;0, "Yes", "No")</f>
        <v>No</v>
      </c>
      <c r="P176" s="13" t="str">
        <f>IF(Table2[[#This Row],[CurrentStock]]&lt;Table2[[#This Row],[ReorderLevel]],"Reorder", "Okay")</f>
        <v>Okay</v>
      </c>
      <c r="Q176" s="13" t="str">
        <f>IF(Table2[[#This Row],[CurrentStock]]&gt;Table2[[#This Row],[ReorderLevel]]*3, "Overstock", "Okay")</f>
        <v>Overstock</v>
      </c>
    </row>
    <row r="177" spans="1:17" x14ac:dyDescent="0.35">
      <c r="A177">
        <v>59153</v>
      </c>
      <c r="B177" t="s">
        <v>10</v>
      </c>
      <c r="C177" t="s">
        <v>26</v>
      </c>
      <c r="D177">
        <v>160</v>
      </c>
      <c r="E177">
        <v>30</v>
      </c>
      <c r="F177" s="2">
        <v>389.02</v>
      </c>
      <c r="G177" t="s">
        <v>34</v>
      </c>
      <c r="H177" s="1">
        <v>45533</v>
      </c>
      <c r="I177" s="1">
        <v>45570</v>
      </c>
      <c r="J177" t="s">
        <v>36</v>
      </c>
      <c r="K177" s="8">
        <f>Table2[[#This Row],[CurrentStock]]*Table2[[#This Row],[UnitPrice]]</f>
        <v>62243.199999999997</v>
      </c>
      <c r="L177" t="str">
        <f>IF(Table2[[#This Row],[CurrentStock]]&lt;=Table2[[#This Row],[ReorderLevel]], "Reorder Needed", "Okay")</f>
        <v>Okay</v>
      </c>
      <c r="M177" t="str">
        <f>IF(Table2[[#This Row],[CurrentStock]]-Table2[[#This Row],[ReorderLevel]]&lt;0,Table2[[#This Row],[CurrentStock]]-Table2[[#This Row],[ReorderLevel]],"")</f>
        <v/>
      </c>
      <c r="N177" t="str">
        <f>IF(Table2[[#This Row],[Stock Gap]]&lt;0, "Understock","Okay")</f>
        <v>Okay</v>
      </c>
      <c r="O177" s="13" t="str">
        <f>IF(Table2[[#This Row],[Stock Gap]]&lt;0, "Yes", "No")</f>
        <v>No</v>
      </c>
      <c r="P177" s="13" t="str">
        <f>IF(Table2[[#This Row],[CurrentStock]]&lt;Table2[[#This Row],[ReorderLevel]],"Reorder", "Okay")</f>
        <v>Okay</v>
      </c>
      <c r="Q177" s="13" t="str">
        <f>IF(Table2[[#This Row],[CurrentStock]]&gt;Table2[[#This Row],[ReorderLevel]]*3, "Overstock", "Okay")</f>
        <v>Overstock</v>
      </c>
    </row>
    <row r="178" spans="1:17" x14ac:dyDescent="0.35">
      <c r="A178">
        <v>62326</v>
      </c>
      <c r="B178" t="s">
        <v>17</v>
      </c>
      <c r="C178" t="s">
        <v>27</v>
      </c>
      <c r="D178">
        <v>413</v>
      </c>
      <c r="E178">
        <v>20</v>
      </c>
      <c r="F178" s="2">
        <v>413.13</v>
      </c>
      <c r="G178" t="s">
        <v>32</v>
      </c>
      <c r="H178" s="1">
        <v>45445</v>
      </c>
      <c r="I178" s="1">
        <v>45471</v>
      </c>
      <c r="J178" t="s">
        <v>38</v>
      </c>
      <c r="K178" s="8">
        <f>Table2[[#This Row],[CurrentStock]]*Table2[[#This Row],[UnitPrice]]</f>
        <v>170622.69</v>
      </c>
      <c r="L178" t="str">
        <f>IF(Table2[[#This Row],[CurrentStock]]&lt;=Table2[[#This Row],[ReorderLevel]], "Reorder Needed", "Okay")</f>
        <v>Okay</v>
      </c>
      <c r="M178" t="str">
        <f>IF(Table2[[#This Row],[CurrentStock]]-Table2[[#This Row],[ReorderLevel]]&lt;0,Table2[[#This Row],[CurrentStock]]-Table2[[#This Row],[ReorderLevel]],"")</f>
        <v/>
      </c>
      <c r="N178" t="str">
        <f>IF(Table2[[#This Row],[Stock Gap]]&lt;0, "Understock","Okay")</f>
        <v>Okay</v>
      </c>
      <c r="O178" s="13" t="str">
        <f>IF(Table2[[#This Row],[Stock Gap]]&lt;0, "Yes", "No")</f>
        <v>No</v>
      </c>
      <c r="P178" s="13" t="str">
        <f>IF(Table2[[#This Row],[CurrentStock]]&lt;Table2[[#This Row],[ReorderLevel]],"Reorder", "Okay")</f>
        <v>Okay</v>
      </c>
      <c r="Q178" s="13" t="str">
        <f>IF(Table2[[#This Row],[CurrentStock]]&gt;Table2[[#This Row],[ReorderLevel]]*3, "Overstock", "Okay")</f>
        <v>Overstock</v>
      </c>
    </row>
    <row r="179" spans="1:17" x14ac:dyDescent="0.35">
      <c r="A179">
        <v>67660</v>
      </c>
      <c r="B179" t="s">
        <v>20</v>
      </c>
      <c r="C179" t="s">
        <v>30</v>
      </c>
      <c r="D179">
        <v>121</v>
      </c>
      <c r="E179">
        <v>30</v>
      </c>
      <c r="F179" s="2">
        <v>411.61</v>
      </c>
      <c r="G179" t="s">
        <v>31</v>
      </c>
      <c r="H179" s="1">
        <v>45397</v>
      </c>
      <c r="I179" s="1">
        <v>45412</v>
      </c>
      <c r="J179" t="s">
        <v>37</v>
      </c>
      <c r="K179" s="8">
        <f>Table2[[#This Row],[CurrentStock]]*Table2[[#This Row],[UnitPrice]]</f>
        <v>49804.810000000005</v>
      </c>
      <c r="L179" t="str">
        <f>IF(Table2[[#This Row],[CurrentStock]]&lt;=Table2[[#This Row],[ReorderLevel]], "Reorder Needed", "Okay")</f>
        <v>Okay</v>
      </c>
      <c r="M179" t="str">
        <f>IF(Table2[[#This Row],[CurrentStock]]-Table2[[#This Row],[ReorderLevel]]&lt;0,Table2[[#This Row],[CurrentStock]]-Table2[[#This Row],[ReorderLevel]],"")</f>
        <v/>
      </c>
      <c r="N179" t="str">
        <f>IF(Table2[[#This Row],[Stock Gap]]&lt;0, "Understock","Okay")</f>
        <v>Okay</v>
      </c>
      <c r="O179" s="13" t="str">
        <f>IF(Table2[[#This Row],[Stock Gap]]&lt;0, "Yes", "No")</f>
        <v>No</v>
      </c>
      <c r="P179" s="13" t="str">
        <f>IF(Table2[[#This Row],[CurrentStock]]&lt;Table2[[#This Row],[ReorderLevel]],"Reorder", "Okay")</f>
        <v>Okay</v>
      </c>
      <c r="Q179" s="13" t="str">
        <f>IF(Table2[[#This Row],[CurrentStock]]&gt;Table2[[#This Row],[ReorderLevel]]*3, "Overstock", "Okay")</f>
        <v>Overstock</v>
      </c>
    </row>
    <row r="180" spans="1:17" x14ac:dyDescent="0.35">
      <c r="A180">
        <v>36289</v>
      </c>
      <c r="B180" t="s">
        <v>11</v>
      </c>
      <c r="C180" t="s">
        <v>27</v>
      </c>
      <c r="D180">
        <v>72</v>
      </c>
      <c r="E180">
        <v>150</v>
      </c>
      <c r="F180" s="2">
        <v>308.41000000000003</v>
      </c>
      <c r="G180" t="s">
        <v>33</v>
      </c>
      <c r="H180" s="1">
        <v>45332</v>
      </c>
      <c r="I180" s="1">
        <v>45348</v>
      </c>
      <c r="J180" t="s">
        <v>38</v>
      </c>
      <c r="K180" s="8">
        <f>Table2[[#This Row],[CurrentStock]]*Table2[[#This Row],[UnitPrice]]</f>
        <v>22205.52</v>
      </c>
      <c r="L180" t="str">
        <f>IF(Table2[[#This Row],[CurrentStock]]&lt;=Table2[[#This Row],[ReorderLevel]], "Reorder Needed", "Okay")</f>
        <v>Reorder Needed</v>
      </c>
      <c r="M180" s="7">
        <f>IF(Table2[[#This Row],[CurrentStock]]-Table2[[#This Row],[ReorderLevel]]&lt;0,Table2[[#This Row],[CurrentStock]]-Table2[[#This Row],[ReorderLevel]],"")</f>
        <v>-78</v>
      </c>
      <c r="N180" t="str">
        <f>IF(Table2[[#This Row],[Stock Gap]]&lt;0, "Understock","Okay")</f>
        <v>Understock</v>
      </c>
      <c r="O180" s="13" t="str">
        <f>IF(Table2[[#This Row],[Stock Gap]]&lt;0, "Yes", "No")</f>
        <v>Yes</v>
      </c>
      <c r="P180" s="13" t="str">
        <f>IF(Table2[[#This Row],[CurrentStock]]&lt;Table2[[#This Row],[ReorderLevel]],"Reorder", "Okay")</f>
        <v>Reorder</v>
      </c>
      <c r="Q180" s="13" t="str">
        <f>IF(Table2[[#This Row],[CurrentStock]]&gt;Table2[[#This Row],[ReorderLevel]]*3, "Overstock", "Okay")</f>
        <v>Okay</v>
      </c>
    </row>
    <row r="181" spans="1:17" x14ac:dyDescent="0.35">
      <c r="A181">
        <v>76435</v>
      </c>
      <c r="B181" t="s">
        <v>13</v>
      </c>
      <c r="C181" t="s">
        <v>26</v>
      </c>
      <c r="D181">
        <v>110</v>
      </c>
      <c r="E181">
        <v>40</v>
      </c>
      <c r="F181" s="2">
        <v>244.78</v>
      </c>
      <c r="G181" t="s">
        <v>32</v>
      </c>
      <c r="H181" s="1">
        <v>45375</v>
      </c>
      <c r="I181" s="1">
        <v>45395</v>
      </c>
      <c r="J181" t="s">
        <v>38</v>
      </c>
      <c r="K181" s="8">
        <f>Table2[[#This Row],[CurrentStock]]*Table2[[#This Row],[UnitPrice]]</f>
        <v>26925.8</v>
      </c>
      <c r="L181" t="str">
        <f>IF(Table2[[#This Row],[CurrentStock]]&lt;=Table2[[#This Row],[ReorderLevel]], "Reorder Needed", "Okay")</f>
        <v>Okay</v>
      </c>
      <c r="M181" t="str">
        <f>IF(Table2[[#This Row],[CurrentStock]]-Table2[[#This Row],[ReorderLevel]]&lt;0,Table2[[#This Row],[CurrentStock]]-Table2[[#This Row],[ReorderLevel]],"")</f>
        <v/>
      </c>
      <c r="N181" t="str">
        <f>IF(Table2[[#This Row],[Stock Gap]]&lt;0, "Understock","Okay")</f>
        <v>Okay</v>
      </c>
      <c r="O181" s="13" t="str">
        <f>IF(Table2[[#This Row],[Stock Gap]]&lt;0, "Yes", "No")</f>
        <v>No</v>
      </c>
      <c r="P181" s="13" t="str">
        <f>IF(Table2[[#This Row],[CurrentStock]]&lt;Table2[[#This Row],[ReorderLevel]],"Reorder", "Okay")</f>
        <v>Okay</v>
      </c>
      <c r="Q181" s="13" t="str">
        <f>IF(Table2[[#This Row],[CurrentStock]]&gt;Table2[[#This Row],[ReorderLevel]]*3, "Overstock", "Okay")</f>
        <v>Okay</v>
      </c>
    </row>
    <row r="182" spans="1:17" x14ac:dyDescent="0.35">
      <c r="A182">
        <v>25313</v>
      </c>
      <c r="B182" t="s">
        <v>24</v>
      </c>
      <c r="C182" t="s">
        <v>30</v>
      </c>
      <c r="D182">
        <v>2</v>
      </c>
      <c r="E182">
        <v>150</v>
      </c>
      <c r="F182" s="2">
        <v>265.57</v>
      </c>
      <c r="G182" t="s">
        <v>33</v>
      </c>
      <c r="H182" s="1">
        <v>45653</v>
      </c>
      <c r="I182" s="1">
        <v>45671</v>
      </c>
      <c r="J182" t="s">
        <v>37</v>
      </c>
      <c r="K182" s="8">
        <f>Table2[[#This Row],[CurrentStock]]*Table2[[#This Row],[UnitPrice]]</f>
        <v>531.14</v>
      </c>
      <c r="L182" t="str">
        <f>IF(Table2[[#This Row],[CurrentStock]]&lt;=Table2[[#This Row],[ReorderLevel]], "Reorder Needed", "Okay")</f>
        <v>Reorder Needed</v>
      </c>
      <c r="M182" s="7">
        <f>IF(Table2[[#This Row],[CurrentStock]]-Table2[[#This Row],[ReorderLevel]]&lt;0,Table2[[#This Row],[CurrentStock]]-Table2[[#This Row],[ReorderLevel]],"")</f>
        <v>-148</v>
      </c>
      <c r="N182" t="str">
        <f>IF(Table2[[#This Row],[Stock Gap]]&lt;0, "Understock","Okay")</f>
        <v>Understock</v>
      </c>
      <c r="O182" s="13" t="str">
        <f>IF(Table2[[#This Row],[Stock Gap]]&lt;0, "Yes", "No")</f>
        <v>Yes</v>
      </c>
      <c r="P182" s="13" t="str">
        <f>IF(Table2[[#This Row],[CurrentStock]]&lt;Table2[[#This Row],[ReorderLevel]],"Reorder", "Okay")</f>
        <v>Reorder</v>
      </c>
      <c r="Q182" s="13" t="str">
        <f>IF(Table2[[#This Row],[CurrentStock]]&gt;Table2[[#This Row],[ReorderLevel]]*3, "Overstock", "Okay")</f>
        <v>Okay</v>
      </c>
    </row>
    <row r="183" spans="1:17" x14ac:dyDescent="0.35">
      <c r="A183">
        <v>38380</v>
      </c>
      <c r="B183" t="s">
        <v>9</v>
      </c>
      <c r="C183" t="s">
        <v>26</v>
      </c>
      <c r="D183">
        <v>24</v>
      </c>
      <c r="E183">
        <v>80</v>
      </c>
      <c r="F183" s="2">
        <v>309.79000000000002</v>
      </c>
      <c r="G183" t="s">
        <v>35</v>
      </c>
      <c r="H183" s="1">
        <v>45438</v>
      </c>
      <c r="I183" s="1">
        <v>45450</v>
      </c>
      <c r="J183" t="s">
        <v>37</v>
      </c>
      <c r="K183" s="8">
        <f>Table2[[#This Row],[CurrentStock]]*Table2[[#This Row],[UnitPrice]]</f>
        <v>7434.9600000000009</v>
      </c>
      <c r="L183" t="str">
        <f>IF(Table2[[#This Row],[CurrentStock]]&lt;=Table2[[#This Row],[ReorderLevel]], "Reorder Needed", "Okay")</f>
        <v>Reorder Needed</v>
      </c>
      <c r="M183" s="7">
        <f>IF(Table2[[#This Row],[CurrentStock]]-Table2[[#This Row],[ReorderLevel]]&lt;0,Table2[[#This Row],[CurrentStock]]-Table2[[#This Row],[ReorderLevel]],"")</f>
        <v>-56</v>
      </c>
      <c r="N183" t="str">
        <f>IF(Table2[[#This Row],[Stock Gap]]&lt;0, "Understock","Okay")</f>
        <v>Understock</v>
      </c>
      <c r="O183" s="13" t="str">
        <f>IF(Table2[[#This Row],[Stock Gap]]&lt;0, "Yes", "No")</f>
        <v>Yes</v>
      </c>
      <c r="P183" s="13" t="str">
        <f>IF(Table2[[#This Row],[CurrentStock]]&lt;Table2[[#This Row],[ReorderLevel]],"Reorder", "Okay")</f>
        <v>Reorder</v>
      </c>
      <c r="Q183" s="13" t="str">
        <f>IF(Table2[[#This Row],[CurrentStock]]&gt;Table2[[#This Row],[ReorderLevel]]*3, "Overstock", "Okay")</f>
        <v>Okay</v>
      </c>
    </row>
    <row r="184" spans="1:17" x14ac:dyDescent="0.35">
      <c r="A184">
        <v>12920</v>
      </c>
      <c r="B184" t="s">
        <v>14</v>
      </c>
      <c r="C184" t="s">
        <v>28</v>
      </c>
      <c r="D184">
        <v>453</v>
      </c>
      <c r="E184">
        <v>30</v>
      </c>
      <c r="F184" s="2">
        <v>328.37</v>
      </c>
      <c r="G184" t="s">
        <v>31</v>
      </c>
      <c r="H184" s="1">
        <v>45328</v>
      </c>
      <c r="I184" s="1">
        <v>45364</v>
      </c>
      <c r="J184" t="s">
        <v>37</v>
      </c>
      <c r="K184" s="8">
        <f>Table2[[#This Row],[CurrentStock]]*Table2[[#This Row],[UnitPrice]]</f>
        <v>148751.61000000002</v>
      </c>
      <c r="L184" t="str">
        <f>IF(Table2[[#This Row],[CurrentStock]]&lt;=Table2[[#This Row],[ReorderLevel]], "Reorder Needed", "Okay")</f>
        <v>Okay</v>
      </c>
      <c r="M184" t="str">
        <f>IF(Table2[[#This Row],[CurrentStock]]-Table2[[#This Row],[ReorderLevel]]&lt;0,Table2[[#This Row],[CurrentStock]]-Table2[[#This Row],[ReorderLevel]],"")</f>
        <v/>
      </c>
      <c r="N184" t="str">
        <f>IF(Table2[[#This Row],[Stock Gap]]&lt;0, "Understock","Okay")</f>
        <v>Okay</v>
      </c>
      <c r="O184" s="13" t="str">
        <f>IF(Table2[[#This Row],[Stock Gap]]&lt;0, "Yes", "No")</f>
        <v>No</v>
      </c>
      <c r="P184" s="13" t="str">
        <f>IF(Table2[[#This Row],[CurrentStock]]&lt;Table2[[#This Row],[ReorderLevel]],"Reorder", "Okay")</f>
        <v>Okay</v>
      </c>
      <c r="Q184" s="13" t="str">
        <f>IF(Table2[[#This Row],[CurrentStock]]&gt;Table2[[#This Row],[ReorderLevel]]*3, "Overstock", "Okay")</f>
        <v>Overstock</v>
      </c>
    </row>
    <row r="185" spans="1:17" x14ac:dyDescent="0.35">
      <c r="A185">
        <v>40027</v>
      </c>
      <c r="B185" t="s">
        <v>13</v>
      </c>
      <c r="C185" t="s">
        <v>26</v>
      </c>
      <c r="D185">
        <v>242</v>
      </c>
      <c r="E185">
        <v>40</v>
      </c>
      <c r="F185" s="2">
        <v>114.18</v>
      </c>
      <c r="G185" t="s">
        <v>34</v>
      </c>
      <c r="H185" s="1">
        <v>45498</v>
      </c>
      <c r="I185" s="1">
        <v>45535</v>
      </c>
      <c r="J185" t="s">
        <v>38</v>
      </c>
      <c r="K185" s="8">
        <f>Table2[[#This Row],[CurrentStock]]*Table2[[#This Row],[UnitPrice]]</f>
        <v>27631.56</v>
      </c>
      <c r="L185" t="str">
        <f>IF(Table2[[#This Row],[CurrentStock]]&lt;=Table2[[#This Row],[ReorderLevel]], "Reorder Needed", "Okay")</f>
        <v>Okay</v>
      </c>
      <c r="M185" t="str">
        <f>IF(Table2[[#This Row],[CurrentStock]]-Table2[[#This Row],[ReorderLevel]]&lt;0,Table2[[#This Row],[CurrentStock]]-Table2[[#This Row],[ReorderLevel]],"")</f>
        <v/>
      </c>
      <c r="N185" t="str">
        <f>IF(Table2[[#This Row],[Stock Gap]]&lt;0, "Understock","Okay")</f>
        <v>Okay</v>
      </c>
      <c r="O185" s="13" t="str">
        <f>IF(Table2[[#This Row],[Stock Gap]]&lt;0, "Yes", "No")</f>
        <v>No</v>
      </c>
      <c r="P185" s="13" t="str">
        <f>IF(Table2[[#This Row],[CurrentStock]]&lt;Table2[[#This Row],[ReorderLevel]],"Reorder", "Okay")</f>
        <v>Okay</v>
      </c>
      <c r="Q185" s="13" t="str">
        <f>IF(Table2[[#This Row],[CurrentStock]]&gt;Table2[[#This Row],[ReorderLevel]]*3, "Overstock", "Okay")</f>
        <v>Overstock</v>
      </c>
    </row>
    <row r="186" spans="1:17" x14ac:dyDescent="0.35">
      <c r="A186">
        <v>35963</v>
      </c>
      <c r="B186" t="s">
        <v>15</v>
      </c>
      <c r="C186" t="s">
        <v>29</v>
      </c>
      <c r="D186">
        <v>441</v>
      </c>
      <c r="E186">
        <v>80</v>
      </c>
      <c r="F186" s="2">
        <v>423.89</v>
      </c>
      <c r="G186" t="s">
        <v>33</v>
      </c>
      <c r="H186" s="1">
        <v>45584</v>
      </c>
      <c r="I186" s="1">
        <v>45592</v>
      </c>
      <c r="J186" t="s">
        <v>38</v>
      </c>
      <c r="K186" s="8">
        <f>Table2[[#This Row],[CurrentStock]]*Table2[[#This Row],[UnitPrice]]</f>
        <v>186935.49</v>
      </c>
      <c r="L186" t="str">
        <f>IF(Table2[[#This Row],[CurrentStock]]&lt;=Table2[[#This Row],[ReorderLevel]], "Reorder Needed", "Okay")</f>
        <v>Okay</v>
      </c>
      <c r="M186" t="str">
        <f>IF(Table2[[#This Row],[CurrentStock]]-Table2[[#This Row],[ReorderLevel]]&lt;0,Table2[[#This Row],[CurrentStock]]-Table2[[#This Row],[ReorderLevel]],"")</f>
        <v/>
      </c>
      <c r="N186" t="str">
        <f>IF(Table2[[#This Row],[Stock Gap]]&lt;0, "Understock","Okay")</f>
        <v>Okay</v>
      </c>
      <c r="O186" s="13" t="str">
        <f>IF(Table2[[#This Row],[Stock Gap]]&lt;0, "Yes", "No")</f>
        <v>No</v>
      </c>
      <c r="P186" s="13" t="str">
        <f>IF(Table2[[#This Row],[CurrentStock]]&lt;Table2[[#This Row],[ReorderLevel]],"Reorder", "Okay")</f>
        <v>Okay</v>
      </c>
      <c r="Q186" s="13" t="str">
        <f>IF(Table2[[#This Row],[CurrentStock]]&gt;Table2[[#This Row],[ReorderLevel]]*3, "Overstock", "Okay")</f>
        <v>Overstock</v>
      </c>
    </row>
    <row r="187" spans="1:17" x14ac:dyDescent="0.35">
      <c r="A187">
        <v>32015</v>
      </c>
      <c r="B187" t="s">
        <v>18</v>
      </c>
      <c r="C187" t="s">
        <v>27</v>
      </c>
      <c r="D187">
        <v>95</v>
      </c>
      <c r="E187">
        <v>20</v>
      </c>
      <c r="F187" s="2">
        <v>222.11</v>
      </c>
      <c r="G187" t="s">
        <v>33</v>
      </c>
      <c r="H187" s="1">
        <v>45408</v>
      </c>
      <c r="I187" s="1">
        <v>45446</v>
      </c>
      <c r="J187" t="s">
        <v>38</v>
      </c>
      <c r="K187" s="8">
        <f>Table2[[#This Row],[CurrentStock]]*Table2[[#This Row],[UnitPrice]]</f>
        <v>21100.45</v>
      </c>
      <c r="L187" t="str">
        <f>IF(Table2[[#This Row],[CurrentStock]]&lt;=Table2[[#This Row],[ReorderLevel]], "Reorder Needed", "Okay")</f>
        <v>Okay</v>
      </c>
      <c r="M187" t="str">
        <f>IF(Table2[[#This Row],[CurrentStock]]-Table2[[#This Row],[ReorderLevel]]&lt;0,Table2[[#This Row],[CurrentStock]]-Table2[[#This Row],[ReorderLevel]],"")</f>
        <v/>
      </c>
      <c r="N187" t="str">
        <f>IF(Table2[[#This Row],[Stock Gap]]&lt;0, "Understock","Okay")</f>
        <v>Okay</v>
      </c>
      <c r="O187" s="13" t="str">
        <f>IF(Table2[[#This Row],[Stock Gap]]&lt;0, "Yes", "No")</f>
        <v>No</v>
      </c>
      <c r="P187" s="13" t="str">
        <f>IF(Table2[[#This Row],[CurrentStock]]&lt;Table2[[#This Row],[ReorderLevel]],"Reorder", "Okay")</f>
        <v>Okay</v>
      </c>
      <c r="Q187" s="13" t="str">
        <f>IF(Table2[[#This Row],[CurrentStock]]&gt;Table2[[#This Row],[ReorderLevel]]*3, "Overstock", "Okay")</f>
        <v>Overstock</v>
      </c>
    </row>
    <row r="188" spans="1:17" x14ac:dyDescent="0.35">
      <c r="A188">
        <v>58364</v>
      </c>
      <c r="B188" t="s">
        <v>20</v>
      </c>
      <c r="C188" t="s">
        <v>30</v>
      </c>
      <c r="D188">
        <v>294</v>
      </c>
      <c r="E188">
        <v>30</v>
      </c>
      <c r="F188" s="2">
        <v>496.11</v>
      </c>
      <c r="G188" t="s">
        <v>32</v>
      </c>
      <c r="H188" s="1">
        <v>45477</v>
      </c>
      <c r="I188" s="1">
        <v>45493</v>
      </c>
      <c r="J188" t="s">
        <v>36</v>
      </c>
      <c r="K188" s="8">
        <f>Table2[[#This Row],[CurrentStock]]*Table2[[#This Row],[UnitPrice]]</f>
        <v>145856.34</v>
      </c>
      <c r="L188" t="str">
        <f>IF(Table2[[#This Row],[CurrentStock]]&lt;=Table2[[#This Row],[ReorderLevel]], "Reorder Needed", "Okay")</f>
        <v>Okay</v>
      </c>
      <c r="M188" t="str">
        <f>IF(Table2[[#This Row],[CurrentStock]]-Table2[[#This Row],[ReorderLevel]]&lt;0,Table2[[#This Row],[CurrentStock]]-Table2[[#This Row],[ReorderLevel]],"")</f>
        <v/>
      </c>
      <c r="N188" t="str">
        <f>IF(Table2[[#This Row],[Stock Gap]]&lt;0, "Understock","Okay")</f>
        <v>Okay</v>
      </c>
      <c r="O188" s="13" t="str">
        <f>IF(Table2[[#This Row],[Stock Gap]]&lt;0, "Yes", "No")</f>
        <v>No</v>
      </c>
      <c r="P188" s="13" t="str">
        <f>IF(Table2[[#This Row],[CurrentStock]]&lt;Table2[[#This Row],[ReorderLevel]],"Reorder", "Okay")</f>
        <v>Okay</v>
      </c>
      <c r="Q188" s="13" t="str">
        <f>IF(Table2[[#This Row],[CurrentStock]]&gt;Table2[[#This Row],[ReorderLevel]]*3, "Overstock", "Okay")</f>
        <v>Overstock</v>
      </c>
    </row>
    <row r="189" spans="1:17" x14ac:dyDescent="0.35">
      <c r="A189">
        <v>98397</v>
      </c>
      <c r="B189" t="s">
        <v>18</v>
      </c>
      <c r="C189" t="s">
        <v>27</v>
      </c>
      <c r="D189">
        <v>281</v>
      </c>
      <c r="E189">
        <v>50</v>
      </c>
      <c r="F189" s="2">
        <v>454.97</v>
      </c>
      <c r="G189" t="s">
        <v>32</v>
      </c>
      <c r="H189" s="1">
        <v>45378</v>
      </c>
      <c r="I189" s="1">
        <v>45396</v>
      </c>
      <c r="J189" t="s">
        <v>37</v>
      </c>
      <c r="K189" s="8">
        <f>Table2[[#This Row],[CurrentStock]]*Table2[[#This Row],[UnitPrice]]</f>
        <v>127846.57</v>
      </c>
      <c r="L189" t="str">
        <f>IF(Table2[[#This Row],[CurrentStock]]&lt;=Table2[[#This Row],[ReorderLevel]], "Reorder Needed", "Okay")</f>
        <v>Okay</v>
      </c>
      <c r="M189" t="str">
        <f>IF(Table2[[#This Row],[CurrentStock]]-Table2[[#This Row],[ReorderLevel]]&lt;0,Table2[[#This Row],[CurrentStock]]-Table2[[#This Row],[ReorderLevel]],"")</f>
        <v/>
      </c>
      <c r="N189" t="str">
        <f>IF(Table2[[#This Row],[Stock Gap]]&lt;0, "Understock","Okay")</f>
        <v>Okay</v>
      </c>
      <c r="O189" s="13" t="str">
        <f>IF(Table2[[#This Row],[Stock Gap]]&lt;0, "Yes", "No")</f>
        <v>No</v>
      </c>
      <c r="P189" s="13" t="str">
        <f>IF(Table2[[#This Row],[CurrentStock]]&lt;Table2[[#This Row],[ReorderLevel]],"Reorder", "Okay")</f>
        <v>Okay</v>
      </c>
      <c r="Q189" s="13" t="str">
        <f>IF(Table2[[#This Row],[CurrentStock]]&gt;Table2[[#This Row],[ReorderLevel]]*3, "Overstock", "Okay")</f>
        <v>Overstock</v>
      </c>
    </row>
    <row r="190" spans="1:17" x14ac:dyDescent="0.35">
      <c r="A190">
        <v>80135</v>
      </c>
      <c r="B190" t="s">
        <v>25</v>
      </c>
      <c r="C190" t="s">
        <v>29</v>
      </c>
      <c r="D190">
        <v>421</v>
      </c>
      <c r="E190">
        <v>80</v>
      </c>
      <c r="F190" s="2">
        <v>221.4</v>
      </c>
      <c r="G190" t="s">
        <v>34</v>
      </c>
      <c r="H190" s="1">
        <v>45607</v>
      </c>
      <c r="I190" s="1">
        <v>45625</v>
      </c>
      <c r="J190" t="s">
        <v>38</v>
      </c>
      <c r="K190" s="8">
        <f>Table2[[#This Row],[CurrentStock]]*Table2[[#This Row],[UnitPrice]]</f>
        <v>93209.400000000009</v>
      </c>
      <c r="L190" t="str">
        <f>IF(Table2[[#This Row],[CurrentStock]]&lt;=Table2[[#This Row],[ReorderLevel]], "Reorder Needed", "Okay")</f>
        <v>Okay</v>
      </c>
      <c r="M190" t="str">
        <f>IF(Table2[[#This Row],[CurrentStock]]-Table2[[#This Row],[ReorderLevel]]&lt;0,Table2[[#This Row],[CurrentStock]]-Table2[[#This Row],[ReorderLevel]],"")</f>
        <v/>
      </c>
      <c r="N190" t="str">
        <f>IF(Table2[[#This Row],[Stock Gap]]&lt;0, "Understock","Okay")</f>
        <v>Okay</v>
      </c>
      <c r="O190" s="13" t="str">
        <f>IF(Table2[[#This Row],[Stock Gap]]&lt;0, "Yes", "No")</f>
        <v>No</v>
      </c>
      <c r="P190" s="13" t="str">
        <f>IF(Table2[[#This Row],[CurrentStock]]&lt;Table2[[#This Row],[ReorderLevel]],"Reorder", "Okay")</f>
        <v>Okay</v>
      </c>
      <c r="Q190" s="13" t="str">
        <f>IF(Table2[[#This Row],[CurrentStock]]&gt;Table2[[#This Row],[ReorderLevel]]*3, "Overstock", "Okay")</f>
        <v>Overstock</v>
      </c>
    </row>
    <row r="191" spans="1:17" x14ac:dyDescent="0.35">
      <c r="A191">
        <v>23760</v>
      </c>
      <c r="B191" t="s">
        <v>18</v>
      </c>
      <c r="C191" t="s">
        <v>27</v>
      </c>
      <c r="D191">
        <v>344</v>
      </c>
      <c r="E191">
        <v>20</v>
      </c>
      <c r="F191" s="2">
        <v>202.53</v>
      </c>
      <c r="G191" t="s">
        <v>33</v>
      </c>
      <c r="H191" s="1">
        <v>45454</v>
      </c>
      <c r="I191" s="1">
        <v>45463</v>
      </c>
      <c r="J191" t="s">
        <v>36</v>
      </c>
      <c r="K191" s="8">
        <f>Table2[[#This Row],[CurrentStock]]*Table2[[#This Row],[UnitPrice]]</f>
        <v>69670.320000000007</v>
      </c>
      <c r="L191" t="str">
        <f>IF(Table2[[#This Row],[CurrentStock]]&lt;=Table2[[#This Row],[ReorderLevel]], "Reorder Needed", "Okay")</f>
        <v>Okay</v>
      </c>
      <c r="M191" t="str">
        <f>IF(Table2[[#This Row],[CurrentStock]]-Table2[[#This Row],[ReorderLevel]]&lt;0,Table2[[#This Row],[CurrentStock]]-Table2[[#This Row],[ReorderLevel]],"")</f>
        <v/>
      </c>
      <c r="N191" t="str">
        <f>IF(Table2[[#This Row],[Stock Gap]]&lt;0, "Understock","Okay")</f>
        <v>Okay</v>
      </c>
      <c r="O191" s="13" t="str">
        <f>IF(Table2[[#This Row],[Stock Gap]]&lt;0, "Yes", "No")</f>
        <v>No</v>
      </c>
      <c r="P191" s="13" t="str">
        <f>IF(Table2[[#This Row],[CurrentStock]]&lt;Table2[[#This Row],[ReorderLevel]],"Reorder", "Okay")</f>
        <v>Okay</v>
      </c>
      <c r="Q191" s="13" t="str">
        <f>IF(Table2[[#This Row],[CurrentStock]]&gt;Table2[[#This Row],[ReorderLevel]]*3, "Overstock", "Okay")</f>
        <v>Overstock</v>
      </c>
    </row>
    <row r="192" spans="1:17" x14ac:dyDescent="0.35">
      <c r="A192">
        <v>86619</v>
      </c>
      <c r="B192" t="s">
        <v>14</v>
      </c>
      <c r="C192" t="s">
        <v>28</v>
      </c>
      <c r="D192">
        <v>194</v>
      </c>
      <c r="E192">
        <v>100</v>
      </c>
      <c r="F192" s="2">
        <v>89.03</v>
      </c>
      <c r="G192" t="s">
        <v>34</v>
      </c>
      <c r="H192" s="1">
        <v>45384</v>
      </c>
      <c r="I192" s="1">
        <v>45398</v>
      </c>
      <c r="J192" t="s">
        <v>36</v>
      </c>
      <c r="K192" s="8">
        <f>Table2[[#This Row],[CurrentStock]]*Table2[[#This Row],[UnitPrice]]</f>
        <v>17271.82</v>
      </c>
      <c r="L192" t="str">
        <f>IF(Table2[[#This Row],[CurrentStock]]&lt;=Table2[[#This Row],[ReorderLevel]], "Reorder Needed", "Okay")</f>
        <v>Okay</v>
      </c>
      <c r="M192" t="str">
        <f>IF(Table2[[#This Row],[CurrentStock]]-Table2[[#This Row],[ReorderLevel]]&lt;0,Table2[[#This Row],[CurrentStock]]-Table2[[#This Row],[ReorderLevel]],"")</f>
        <v/>
      </c>
      <c r="N192" t="str">
        <f>IF(Table2[[#This Row],[Stock Gap]]&lt;0, "Understock","Okay")</f>
        <v>Okay</v>
      </c>
      <c r="O192" s="13" t="str">
        <f>IF(Table2[[#This Row],[Stock Gap]]&lt;0, "Yes", "No")</f>
        <v>No</v>
      </c>
      <c r="P192" s="13" t="str">
        <f>IF(Table2[[#This Row],[CurrentStock]]&lt;Table2[[#This Row],[ReorderLevel]],"Reorder", "Okay")</f>
        <v>Okay</v>
      </c>
      <c r="Q192" s="13" t="str">
        <f>IF(Table2[[#This Row],[CurrentStock]]&gt;Table2[[#This Row],[ReorderLevel]]*3, "Overstock", "Okay")</f>
        <v>Okay</v>
      </c>
    </row>
    <row r="193" spans="1:17" x14ac:dyDescent="0.35">
      <c r="A193">
        <v>95112</v>
      </c>
      <c r="B193" t="s">
        <v>16</v>
      </c>
      <c r="C193" t="s">
        <v>29</v>
      </c>
      <c r="D193">
        <v>263</v>
      </c>
      <c r="E193">
        <v>40</v>
      </c>
      <c r="F193" s="2">
        <v>474.55</v>
      </c>
      <c r="G193" t="s">
        <v>31</v>
      </c>
      <c r="H193" s="1">
        <v>45604</v>
      </c>
      <c r="I193" s="1">
        <v>45628</v>
      </c>
      <c r="J193" t="s">
        <v>36</v>
      </c>
      <c r="K193" s="8">
        <f>Table2[[#This Row],[CurrentStock]]*Table2[[#This Row],[UnitPrice]]</f>
        <v>124806.65000000001</v>
      </c>
      <c r="L193" t="str">
        <f>IF(Table2[[#This Row],[CurrentStock]]&lt;=Table2[[#This Row],[ReorderLevel]], "Reorder Needed", "Okay")</f>
        <v>Okay</v>
      </c>
      <c r="M193" t="str">
        <f>IF(Table2[[#This Row],[CurrentStock]]-Table2[[#This Row],[ReorderLevel]]&lt;0,Table2[[#This Row],[CurrentStock]]-Table2[[#This Row],[ReorderLevel]],"")</f>
        <v/>
      </c>
      <c r="N193" t="str">
        <f>IF(Table2[[#This Row],[Stock Gap]]&lt;0, "Understock","Okay")</f>
        <v>Okay</v>
      </c>
      <c r="O193" s="13" t="str">
        <f>IF(Table2[[#This Row],[Stock Gap]]&lt;0, "Yes", "No")</f>
        <v>No</v>
      </c>
      <c r="P193" s="13" t="str">
        <f>IF(Table2[[#This Row],[CurrentStock]]&lt;Table2[[#This Row],[ReorderLevel]],"Reorder", "Okay")</f>
        <v>Okay</v>
      </c>
      <c r="Q193" s="13" t="str">
        <f>IF(Table2[[#This Row],[CurrentStock]]&gt;Table2[[#This Row],[ReorderLevel]]*3, "Overstock", "Okay")</f>
        <v>Overstock</v>
      </c>
    </row>
    <row r="194" spans="1:17" x14ac:dyDescent="0.35">
      <c r="A194">
        <v>93310</v>
      </c>
      <c r="B194" t="s">
        <v>16</v>
      </c>
      <c r="C194" t="s">
        <v>29</v>
      </c>
      <c r="D194">
        <v>164</v>
      </c>
      <c r="E194">
        <v>20</v>
      </c>
      <c r="F194" s="2">
        <v>422.86</v>
      </c>
      <c r="G194" t="s">
        <v>33</v>
      </c>
      <c r="H194" s="1">
        <v>45335</v>
      </c>
      <c r="I194" s="1">
        <v>45367</v>
      </c>
      <c r="J194" t="s">
        <v>37</v>
      </c>
      <c r="K194" s="8">
        <f>Table2[[#This Row],[CurrentStock]]*Table2[[#This Row],[UnitPrice]]</f>
        <v>69349.040000000008</v>
      </c>
      <c r="L194" t="str">
        <f>IF(Table2[[#This Row],[CurrentStock]]&lt;=Table2[[#This Row],[ReorderLevel]], "Reorder Needed", "Okay")</f>
        <v>Okay</v>
      </c>
      <c r="M194" t="str">
        <f>IF(Table2[[#This Row],[CurrentStock]]-Table2[[#This Row],[ReorderLevel]]&lt;0,Table2[[#This Row],[CurrentStock]]-Table2[[#This Row],[ReorderLevel]],"")</f>
        <v/>
      </c>
      <c r="N194" t="str">
        <f>IF(Table2[[#This Row],[Stock Gap]]&lt;0, "Understock","Okay")</f>
        <v>Okay</v>
      </c>
      <c r="O194" s="13" t="str">
        <f>IF(Table2[[#This Row],[Stock Gap]]&lt;0, "Yes", "No")</f>
        <v>No</v>
      </c>
      <c r="P194" s="13" t="str">
        <f>IF(Table2[[#This Row],[CurrentStock]]&lt;Table2[[#This Row],[ReorderLevel]],"Reorder", "Okay")</f>
        <v>Okay</v>
      </c>
      <c r="Q194" s="13" t="str">
        <f>IF(Table2[[#This Row],[CurrentStock]]&gt;Table2[[#This Row],[ReorderLevel]]*3, "Overstock", "Okay")</f>
        <v>Overstock</v>
      </c>
    </row>
    <row r="195" spans="1:17" x14ac:dyDescent="0.35">
      <c r="A195">
        <v>10281</v>
      </c>
      <c r="B195" t="s">
        <v>16</v>
      </c>
      <c r="C195" t="s">
        <v>29</v>
      </c>
      <c r="D195">
        <v>369</v>
      </c>
      <c r="E195">
        <v>100</v>
      </c>
      <c r="F195" s="2">
        <v>33.26</v>
      </c>
      <c r="G195" t="s">
        <v>35</v>
      </c>
      <c r="H195" s="1">
        <v>45584</v>
      </c>
      <c r="I195" s="1">
        <v>45608</v>
      </c>
      <c r="J195" t="s">
        <v>36</v>
      </c>
      <c r="K195" s="8">
        <f>Table2[[#This Row],[CurrentStock]]*Table2[[#This Row],[UnitPrice]]</f>
        <v>12272.939999999999</v>
      </c>
      <c r="L195" t="str">
        <f>IF(Table2[[#This Row],[CurrentStock]]&lt;=Table2[[#This Row],[ReorderLevel]], "Reorder Needed", "Okay")</f>
        <v>Okay</v>
      </c>
      <c r="M195" t="str">
        <f>IF(Table2[[#This Row],[CurrentStock]]-Table2[[#This Row],[ReorderLevel]]&lt;0,Table2[[#This Row],[CurrentStock]]-Table2[[#This Row],[ReorderLevel]],"")</f>
        <v/>
      </c>
      <c r="N195" t="str">
        <f>IF(Table2[[#This Row],[Stock Gap]]&lt;0, "Understock","Okay")</f>
        <v>Okay</v>
      </c>
      <c r="O195" s="13" t="str">
        <f>IF(Table2[[#This Row],[Stock Gap]]&lt;0, "Yes", "No")</f>
        <v>No</v>
      </c>
      <c r="P195" s="13" t="str">
        <f>IF(Table2[[#This Row],[CurrentStock]]&lt;Table2[[#This Row],[ReorderLevel]],"Reorder", "Okay")</f>
        <v>Okay</v>
      </c>
      <c r="Q195" s="13" t="str">
        <f>IF(Table2[[#This Row],[CurrentStock]]&gt;Table2[[#This Row],[ReorderLevel]]*3, "Overstock", "Okay")</f>
        <v>Overstock</v>
      </c>
    </row>
    <row r="196" spans="1:17" x14ac:dyDescent="0.35">
      <c r="A196">
        <v>35611</v>
      </c>
      <c r="B196" t="s">
        <v>14</v>
      </c>
      <c r="C196" t="s">
        <v>28</v>
      </c>
      <c r="D196">
        <v>484</v>
      </c>
      <c r="E196">
        <v>80</v>
      </c>
      <c r="F196" s="2">
        <v>48.84</v>
      </c>
      <c r="G196" t="s">
        <v>32</v>
      </c>
      <c r="H196" s="1">
        <v>45452</v>
      </c>
      <c r="I196" s="1">
        <v>45470</v>
      </c>
      <c r="J196" t="s">
        <v>36</v>
      </c>
      <c r="K196" s="8">
        <f>Table2[[#This Row],[CurrentStock]]*Table2[[#This Row],[UnitPrice]]</f>
        <v>23638.560000000001</v>
      </c>
      <c r="L196" t="str">
        <f>IF(Table2[[#This Row],[CurrentStock]]&lt;=Table2[[#This Row],[ReorderLevel]], "Reorder Needed", "Okay")</f>
        <v>Okay</v>
      </c>
      <c r="M196" t="str">
        <f>IF(Table2[[#This Row],[CurrentStock]]-Table2[[#This Row],[ReorderLevel]]&lt;0,Table2[[#This Row],[CurrentStock]]-Table2[[#This Row],[ReorderLevel]],"")</f>
        <v/>
      </c>
      <c r="N196" t="str">
        <f>IF(Table2[[#This Row],[Stock Gap]]&lt;0, "Understock","Okay")</f>
        <v>Okay</v>
      </c>
      <c r="O196" s="13" t="str">
        <f>IF(Table2[[#This Row],[Stock Gap]]&lt;0, "Yes", "No")</f>
        <v>No</v>
      </c>
      <c r="P196" s="13" t="str">
        <f>IF(Table2[[#This Row],[CurrentStock]]&lt;Table2[[#This Row],[ReorderLevel]],"Reorder", "Okay")</f>
        <v>Okay</v>
      </c>
      <c r="Q196" s="13" t="str">
        <f>IF(Table2[[#This Row],[CurrentStock]]&gt;Table2[[#This Row],[ReorderLevel]]*3, "Overstock", "Okay")</f>
        <v>Overstock</v>
      </c>
    </row>
    <row r="197" spans="1:17" x14ac:dyDescent="0.35">
      <c r="A197">
        <v>25398</v>
      </c>
      <c r="B197" t="s">
        <v>24</v>
      </c>
      <c r="C197" t="s">
        <v>30</v>
      </c>
      <c r="D197">
        <v>298</v>
      </c>
      <c r="E197">
        <v>100</v>
      </c>
      <c r="F197" s="2">
        <v>476.15</v>
      </c>
      <c r="G197" t="s">
        <v>31</v>
      </c>
      <c r="H197" s="1">
        <v>45597</v>
      </c>
      <c r="I197" s="1">
        <v>45630</v>
      </c>
      <c r="J197" t="s">
        <v>38</v>
      </c>
      <c r="K197" s="8">
        <f>Table2[[#This Row],[CurrentStock]]*Table2[[#This Row],[UnitPrice]]</f>
        <v>141892.69999999998</v>
      </c>
      <c r="L197" t="str">
        <f>IF(Table2[[#This Row],[CurrentStock]]&lt;=Table2[[#This Row],[ReorderLevel]], "Reorder Needed", "Okay")</f>
        <v>Okay</v>
      </c>
      <c r="M197" t="str">
        <f>IF(Table2[[#This Row],[CurrentStock]]-Table2[[#This Row],[ReorderLevel]]&lt;0,Table2[[#This Row],[CurrentStock]]-Table2[[#This Row],[ReorderLevel]],"")</f>
        <v/>
      </c>
      <c r="N197" t="str">
        <f>IF(Table2[[#This Row],[Stock Gap]]&lt;0, "Understock","Okay")</f>
        <v>Okay</v>
      </c>
      <c r="O197" s="13" t="str">
        <f>IF(Table2[[#This Row],[Stock Gap]]&lt;0, "Yes", "No")</f>
        <v>No</v>
      </c>
      <c r="P197" s="13" t="str">
        <f>IF(Table2[[#This Row],[CurrentStock]]&lt;Table2[[#This Row],[ReorderLevel]],"Reorder", "Okay")</f>
        <v>Okay</v>
      </c>
      <c r="Q197" s="13" t="str">
        <f>IF(Table2[[#This Row],[CurrentStock]]&gt;Table2[[#This Row],[ReorderLevel]]*3, "Overstock", "Okay")</f>
        <v>Okay</v>
      </c>
    </row>
    <row r="198" spans="1:17" x14ac:dyDescent="0.35">
      <c r="A198">
        <v>11969</v>
      </c>
      <c r="B198" t="s">
        <v>13</v>
      </c>
      <c r="C198" t="s">
        <v>26</v>
      </c>
      <c r="D198">
        <v>339</v>
      </c>
      <c r="E198">
        <v>150</v>
      </c>
      <c r="F198" s="2">
        <v>19.84</v>
      </c>
      <c r="G198" t="s">
        <v>32</v>
      </c>
      <c r="H198" s="1">
        <v>45592</v>
      </c>
      <c r="I198" s="1">
        <v>45612</v>
      </c>
      <c r="J198" t="s">
        <v>37</v>
      </c>
      <c r="K198" s="8">
        <f>Table2[[#This Row],[CurrentStock]]*Table2[[#This Row],[UnitPrice]]</f>
        <v>6725.76</v>
      </c>
      <c r="L198" t="str">
        <f>IF(Table2[[#This Row],[CurrentStock]]&lt;=Table2[[#This Row],[ReorderLevel]], "Reorder Needed", "Okay")</f>
        <v>Okay</v>
      </c>
      <c r="M198" t="str">
        <f>IF(Table2[[#This Row],[CurrentStock]]-Table2[[#This Row],[ReorderLevel]]&lt;0,Table2[[#This Row],[CurrentStock]]-Table2[[#This Row],[ReorderLevel]],"")</f>
        <v/>
      </c>
      <c r="N198" t="str">
        <f>IF(Table2[[#This Row],[Stock Gap]]&lt;0, "Understock","Okay")</f>
        <v>Okay</v>
      </c>
      <c r="O198" s="13" t="str">
        <f>IF(Table2[[#This Row],[Stock Gap]]&lt;0, "Yes", "No")</f>
        <v>No</v>
      </c>
      <c r="P198" s="13" t="str">
        <f>IF(Table2[[#This Row],[CurrentStock]]&lt;Table2[[#This Row],[ReorderLevel]],"Reorder", "Okay")</f>
        <v>Okay</v>
      </c>
      <c r="Q198" s="13" t="str">
        <f>IF(Table2[[#This Row],[CurrentStock]]&gt;Table2[[#This Row],[ReorderLevel]]*3, "Overstock", "Okay")</f>
        <v>Okay</v>
      </c>
    </row>
    <row r="199" spans="1:17" x14ac:dyDescent="0.35">
      <c r="A199">
        <v>58320</v>
      </c>
      <c r="B199" t="s">
        <v>23</v>
      </c>
      <c r="C199" t="s">
        <v>30</v>
      </c>
      <c r="D199">
        <v>128</v>
      </c>
      <c r="E199">
        <v>150</v>
      </c>
      <c r="F199" s="2">
        <v>337.94</v>
      </c>
      <c r="G199" t="s">
        <v>32</v>
      </c>
      <c r="H199" s="1">
        <v>45643</v>
      </c>
      <c r="I199" s="1">
        <v>45652</v>
      </c>
      <c r="J199" t="s">
        <v>37</v>
      </c>
      <c r="K199" s="8">
        <f>Table2[[#This Row],[CurrentStock]]*Table2[[#This Row],[UnitPrice]]</f>
        <v>43256.32</v>
      </c>
      <c r="L199" t="str">
        <f>IF(Table2[[#This Row],[CurrentStock]]&lt;=Table2[[#This Row],[ReorderLevel]], "Reorder Needed", "Okay")</f>
        <v>Reorder Needed</v>
      </c>
      <c r="M199" s="7">
        <f>IF(Table2[[#This Row],[CurrentStock]]-Table2[[#This Row],[ReorderLevel]]&lt;0,Table2[[#This Row],[CurrentStock]]-Table2[[#This Row],[ReorderLevel]],"")</f>
        <v>-22</v>
      </c>
      <c r="N199" t="str">
        <f>IF(Table2[[#This Row],[Stock Gap]]&lt;0, "Understock","Okay")</f>
        <v>Understock</v>
      </c>
      <c r="O199" s="13" t="str">
        <f>IF(Table2[[#This Row],[Stock Gap]]&lt;0, "Yes", "No")</f>
        <v>Yes</v>
      </c>
      <c r="P199" s="13" t="str">
        <f>IF(Table2[[#This Row],[CurrentStock]]&lt;Table2[[#This Row],[ReorderLevel]],"Reorder", "Okay")</f>
        <v>Reorder</v>
      </c>
      <c r="Q199" s="13" t="str">
        <f>IF(Table2[[#This Row],[CurrentStock]]&gt;Table2[[#This Row],[ReorderLevel]]*3, "Overstock", "Okay")</f>
        <v>Okay</v>
      </c>
    </row>
    <row r="200" spans="1:17" x14ac:dyDescent="0.35">
      <c r="A200">
        <v>60138</v>
      </c>
      <c r="B200" t="s">
        <v>20</v>
      </c>
      <c r="C200" t="s">
        <v>30</v>
      </c>
      <c r="D200">
        <v>113</v>
      </c>
      <c r="E200">
        <v>30</v>
      </c>
      <c r="F200" s="2">
        <v>310.83</v>
      </c>
      <c r="G200" t="s">
        <v>34</v>
      </c>
      <c r="H200" s="1">
        <v>45427</v>
      </c>
      <c r="I200" s="1">
        <v>45443</v>
      </c>
      <c r="J200" t="s">
        <v>38</v>
      </c>
      <c r="K200" s="8">
        <f>Table2[[#This Row],[CurrentStock]]*Table2[[#This Row],[UnitPrice]]</f>
        <v>35123.79</v>
      </c>
      <c r="L200" t="str">
        <f>IF(Table2[[#This Row],[CurrentStock]]&lt;=Table2[[#This Row],[ReorderLevel]], "Reorder Needed", "Okay")</f>
        <v>Okay</v>
      </c>
      <c r="M200" t="str">
        <f>IF(Table2[[#This Row],[CurrentStock]]-Table2[[#This Row],[ReorderLevel]]&lt;0,Table2[[#This Row],[CurrentStock]]-Table2[[#This Row],[ReorderLevel]],"")</f>
        <v/>
      </c>
      <c r="N200" t="str">
        <f>IF(Table2[[#This Row],[Stock Gap]]&lt;0, "Understock","Okay")</f>
        <v>Okay</v>
      </c>
      <c r="O200" s="13" t="str">
        <f>IF(Table2[[#This Row],[Stock Gap]]&lt;0, "Yes", "No")</f>
        <v>No</v>
      </c>
      <c r="P200" s="13" t="str">
        <f>IF(Table2[[#This Row],[CurrentStock]]&lt;Table2[[#This Row],[ReorderLevel]],"Reorder", "Okay")</f>
        <v>Okay</v>
      </c>
      <c r="Q200" s="13" t="str">
        <f>IF(Table2[[#This Row],[CurrentStock]]&gt;Table2[[#This Row],[ReorderLevel]]*3, "Overstock", "Okay")</f>
        <v>Overstock</v>
      </c>
    </row>
    <row r="201" spans="1:17" x14ac:dyDescent="0.35">
      <c r="A201">
        <v>36984</v>
      </c>
      <c r="B201" t="s">
        <v>9</v>
      </c>
      <c r="C201" t="s">
        <v>26</v>
      </c>
      <c r="D201">
        <v>0</v>
      </c>
      <c r="E201">
        <v>40</v>
      </c>
      <c r="F201" s="2">
        <v>470.73</v>
      </c>
      <c r="G201" t="s">
        <v>32</v>
      </c>
      <c r="H201" s="1">
        <v>45433</v>
      </c>
      <c r="I201" s="1">
        <v>45442</v>
      </c>
      <c r="J201" t="s">
        <v>38</v>
      </c>
      <c r="K201" s="8">
        <f>Table2[[#This Row],[CurrentStock]]*Table2[[#This Row],[UnitPrice]]</f>
        <v>0</v>
      </c>
      <c r="L201" t="str">
        <f>IF(Table2[[#This Row],[CurrentStock]]&lt;=Table2[[#This Row],[ReorderLevel]], "Reorder Needed", "Okay")</f>
        <v>Reorder Needed</v>
      </c>
      <c r="M201" s="7">
        <f>IF(Table2[[#This Row],[CurrentStock]]-Table2[[#This Row],[ReorderLevel]]&lt;0,Table2[[#This Row],[CurrentStock]]-Table2[[#This Row],[ReorderLevel]],"")</f>
        <v>-40</v>
      </c>
      <c r="N201" t="str">
        <f>IF(Table2[[#This Row],[Stock Gap]]&lt;0, "Understock","Okay")</f>
        <v>Understock</v>
      </c>
      <c r="O201" s="13" t="str">
        <f>IF(Table2[[#This Row],[Stock Gap]]&lt;0, "Yes", "No")</f>
        <v>Yes</v>
      </c>
      <c r="P201" s="13" t="str">
        <f>IF(Table2[[#This Row],[CurrentStock]]&lt;Table2[[#This Row],[ReorderLevel]],"Reorder", "Okay")</f>
        <v>Reorder</v>
      </c>
      <c r="Q201" s="13" t="str">
        <f>IF(Table2[[#This Row],[CurrentStock]]&gt;Table2[[#This Row],[ReorderLevel]]*3, "Overstock", "Okay")</f>
        <v>Okay</v>
      </c>
    </row>
    <row r="202" spans="1:17" x14ac:dyDescent="0.35">
      <c r="A202">
        <v>82460</v>
      </c>
      <c r="B202" t="s">
        <v>13</v>
      </c>
      <c r="C202" t="s">
        <v>26</v>
      </c>
      <c r="D202">
        <v>497</v>
      </c>
      <c r="E202">
        <v>100</v>
      </c>
      <c r="F202" s="2">
        <v>162.47</v>
      </c>
      <c r="G202" t="s">
        <v>34</v>
      </c>
      <c r="H202" s="1">
        <v>45452</v>
      </c>
      <c r="I202" s="1">
        <v>45481</v>
      </c>
      <c r="J202" t="s">
        <v>36</v>
      </c>
      <c r="K202" s="8">
        <f>Table2[[#This Row],[CurrentStock]]*Table2[[#This Row],[UnitPrice]]</f>
        <v>80747.59</v>
      </c>
      <c r="L202" t="str">
        <f>IF(Table2[[#This Row],[CurrentStock]]&lt;=Table2[[#This Row],[ReorderLevel]], "Reorder Needed", "Okay")</f>
        <v>Okay</v>
      </c>
      <c r="M202" t="str">
        <f>IF(Table2[[#This Row],[CurrentStock]]-Table2[[#This Row],[ReorderLevel]]&lt;0,Table2[[#This Row],[CurrentStock]]-Table2[[#This Row],[ReorderLevel]],"")</f>
        <v/>
      </c>
      <c r="N202" t="str">
        <f>IF(Table2[[#This Row],[Stock Gap]]&lt;0, "Understock","Okay")</f>
        <v>Okay</v>
      </c>
      <c r="O202" s="13" t="str">
        <f>IF(Table2[[#This Row],[Stock Gap]]&lt;0, "Yes", "No")</f>
        <v>No</v>
      </c>
      <c r="P202" s="13" t="str">
        <f>IF(Table2[[#This Row],[CurrentStock]]&lt;Table2[[#This Row],[ReorderLevel]],"Reorder", "Okay")</f>
        <v>Okay</v>
      </c>
      <c r="Q202" s="13" t="str">
        <f>IF(Table2[[#This Row],[CurrentStock]]&gt;Table2[[#This Row],[ReorderLevel]]*3, "Overstock", "Okay")</f>
        <v>Overstock</v>
      </c>
    </row>
    <row r="203" spans="1:17" x14ac:dyDescent="0.35">
      <c r="A203">
        <v>14114</v>
      </c>
      <c r="B203" t="s">
        <v>15</v>
      </c>
      <c r="C203" t="s">
        <v>29</v>
      </c>
      <c r="D203">
        <v>488</v>
      </c>
      <c r="E203">
        <v>40</v>
      </c>
      <c r="F203" s="2">
        <v>439.87</v>
      </c>
      <c r="G203" t="s">
        <v>32</v>
      </c>
      <c r="H203" s="1">
        <v>45393</v>
      </c>
      <c r="I203" s="1">
        <v>45401</v>
      </c>
      <c r="J203" t="s">
        <v>38</v>
      </c>
      <c r="K203" s="8">
        <f>Table2[[#This Row],[CurrentStock]]*Table2[[#This Row],[UnitPrice]]</f>
        <v>214656.56</v>
      </c>
      <c r="L203" t="str">
        <f>IF(Table2[[#This Row],[CurrentStock]]&lt;=Table2[[#This Row],[ReorderLevel]], "Reorder Needed", "Okay")</f>
        <v>Okay</v>
      </c>
      <c r="M203" t="str">
        <f>IF(Table2[[#This Row],[CurrentStock]]-Table2[[#This Row],[ReorderLevel]]&lt;0,Table2[[#This Row],[CurrentStock]]-Table2[[#This Row],[ReorderLevel]],"")</f>
        <v/>
      </c>
      <c r="N203" t="str">
        <f>IF(Table2[[#This Row],[Stock Gap]]&lt;0, "Understock","Okay")</f>
        <v>Okay</v>
      </c>
      <c r="O203" s="13" t="str">
        <f>IF(Table2[[#This Row],[Stock Gap]]&lt;0, "Yes", "No")</f>
        <v>No</v>
      </c>
      <c r="P203" s="13" t="str">
        <f>IF(Table2[[#This Row],[CurrentStock]]&lt;Table2[[#This Row],[ReorderLevel]],"Reorder", "Okay")</f>
        <v>Okay</v>
      </c>
      <c r="Q203" s="13" t="str">
        <f>IF(Table2[[#This Row],[CurrentStock]]&gt;Table2[[#This Row],[ReorderLevel]]*3, "Overstock", "Okay")</f>
        <v>Overstock</v>
      </c>
    </row>
    <row r="204" spans="1:17" x14ac:dyDescent="0.35">
      <c r="A204">
        <v>61924</v>
      </c>
      <c r="B204" t="s">
        <v>25</v>
      </c>
      <c r="C204" t="s">
        <v>29</v>
      </c>
      <c r="D204">
        <v>278</v>
      </c>
      <c r="E204">
        <v>40</v>
      </c>
      <c r="F204" s="2">
        <v>435.11</v>
      </c>
      <c r="G204" t="s">
        <v>34</v>
      </c>
      <c r="H204" s="1">
        <v>45420</v>
      </c>
      <c r="I204" s="1">
        <v>45448</v>
      </c>
      <c r="J204" t="s">
        <v>38</v>
      </c>
      <c r="K204" s="8">
        <f>Table2[[#This Row],[CurrentStock]]*Table2[[#This Row],[UnitPrice]]</f>
        <v>120960.58</v>
      </c>
      <c r="L204" t="str">
        <f>IF(Table2[[#This Row],[CurrentStock]]&lt;=Table2[[#This Row],[ReorderLevel]], "Reorder Needed", "Okay")</f>
        <v>Okay</v>
      </c>
      <c r="M204" t="str">
        <f>IF(Table2[[#This Row],[CurrentStock]]-Table2[[#This Row],[ReorderLevel]]&lt;0,Table2[[#This Row],[CurrentStock]]-Table2[[#This Row],[ReorderLevel]],"")</f>
        <v/>
      </c>
      <c r="N204" t="str">
        <f>IF(Table2[[#This Row],[Stock Gap]]&lt;0, "Understock","Okay")</f>
        <v>Okay</v>
      </c>
      <c r="O204" s="13" t="str">
        <f>IF(Table2[[#This Row],[Stock Gap]]&lt;0, "Yes", "No")</f>
        <v>No</v>
      </c>
      <c r="P204" s="13" t="str">
        <f>IF(Table2[[#This Row],[CurrentStock]]&lt;Table2[[#This Row],[ReorderLevel]],"Reorder", "Okay")</f>
        <v>Okay</v>
      </c>
      <c r="Q204" s="13" t="str">
        <f>IF(Table2[[#This Row],[CurrentStock]]&gt;Table2[[#This Row],[ReorderLevel]]*3, "Overstock", "Okay")</f>
        <v>Overstock</v>
      </c>
    </row>
    <row r="205" spans="1:17" x14ac:dyDescent="0.35">
      <c r="A205">
        <v>32443</v>
      </c>
      <c r="B205" t="s">
        <v>15</v>
      </c>
      <c r="C205" t="s">
        <v>29</v>
      </c>
      <c r="D205">
        <v>315</v>
      </c>
      <c r="E205">
        <v>80</v>
      </c>
      <c r="F205" s="2">
        <v>227.1</v>
      </c>
      <c r="G205" t="s">
        <v>32</v>
      </c>
      <c r="H205" s="1">
        <v>45596</v>
      </c>
      <c r="I205" s="1">
        <v>45632</v>
      </c>
      <c r="J205" t="s">
        <v>37</v>
      </c>
      <c r="K205" s="8">
        <f>Table2[[#This Row],[CurrentStock]]*Table2[[#This Row],[UnitPrice]]</f>
        <v>71536.5</v>
      </c>
      <c r="L205" t="str">
        <f>IF(Table2[[#This Row],[CurrentStock]]&lt;=Table2[[#This Row],[ReorderLevel]], "Reorder Needed", "Okay")</f>
        <v>Okay</v>
      </c>
      <c r="M205" t="str">
        <f>IF(Table2[[#This Row],[CurrentStock]]-Table2[[#This Row],[ReorderLevel]]&lt;0,Table2[[#This Row],[CurrentStock]]-Table2[[#This Row],[ReorderLevel]],"")</f>
        <v/>
      </c>
      <c r="N205" t="str">
        <f>IF(Table2[[#This Row],[Stock Gap]]&lt;0, "Understock","Okay")</f>
        <v>Okay</v>
      </c>
      <c r="O205" s="13" t="str">
        <f>IF(Table2[[#This Row],[Stock Gap]]&lt;0, "Yes", "No")</f>
        <v>No</v>
      </c>
      <c r="P205" s="13" t="str">
        <f>IF(Table2[[#This Row],[CurrentStock]]&lt;Table2[[#This Row],[ReorderLevel]],"Reorder", "Okay")</f>
        <v>Okay</v>
      </c>
      <c r="Q205" s="13" t="str">
        <f>IF(Table2[[#This Row],[CurrentStock]]&gt;Table2[[#This Row],[ReorderLevel]]*3, "Overstock", "Okay")</f>
        <v>Overstock</v>
      </c>
    </row>
    <row r="206" spans="1:17" x14ac:dyDescent="0.35">
      <c r="A206">
        <v>32612</v>
      </c>
      <c r="B206" t="s">
        <v>14</v>
      </c>
      <c r="C206" t="s">
        <v>28</v>
      </c>
      <c r="D206">
        <v>461</v>
      </c>
      <c r="E206">
        <v>30</v>
      </c>
      <c r="F206" s="2">
        <v>380.88</v>
      </c>
      <c r="G206" t="s">
        <v>32</v>
      </c>
      <c r="H206" s="1">
        <v>45556</v>
      </c>
      <c r="I206" s="1">
        <v>45563</v>
      </c>
      <c r="J206" t="s">
        <v>38</v>
      </c>
      <c r="K206" s="8">
        <f>Table2[[#This Row],[CurrentStock]]*Table2[[#This Row],[UnitPrice]]</f>
        <v>175585.68</v>
      </c>
      <c r="L206" t="str">
        <f>IF(Table2[[#This Row],[CurrentStock]]&lt;=Table2[[#This Row],[ReorderLevel]], "Reorder Needed", "Okay")</f>
        <v>Okay</v>
      </c>
      <c r="M206" t="str">
        <f>IF(Table2[[#This Row],[CurrentStock]]-Table2[[#This Row],[ReorderLevel]]&lt;0,Table2[[#This Row],[CurrentStock]]-Table2[[#This Row],[ReorderLevel]],"")</f>
        <v/>
      </c>
      <c r="N206" t="str">
        <f>IF(Table2[[#This Row],[Stock Gap]]&lt;0, "Understock","Okay")</f>
        <v>Okay</v>
      </c>
      <c r="O206" s="13" t="str">
        <f>IF(Table2[[#This Row],[Stock Gap]]&lt;0, "Yes", "No")</f>
        <v>No</v>
      </c>
      <c r="P206" s="13" t="str">
        <f>IF(Table2[[#This Row],[CurrentStock]]&lt;Table2[[#This Row],[ReorderLevel]],"Reorder", "Okay")</f>
        <v>Okay</v>
      </c>
      <c r="Q206" s="13" t="str">
        <f>IF(Table2[[#This Row],[CurrentStock]]&gt;Table2[[#This Row],[ReorderLevel]]*3, "Overstock", "Okay")</f>
        <v>Overstock</v>
      </c>
    </row>
    <row r="207" spans="1:17" x14ac:dyDescent="0.35">
      <c r="A207">
        <v>63551</v>
      </c>
      <c r="B207" t="s">
        <v>9</v>
      </c>
      <c r="C207" t="s">
        <v>26</v>
      </c>
      <c r="D207">
        <v>220</v>
      </c>
      <c r="E207">
        <v>30</v>
      </c>
      <c r="F207" s="2">
        <v>58.91</v>
      </c>
      <c r="G207" t="s">
        <v>35</v>
      </c>
      <c r="H207" s="1">
        <v>45424</v>
      </c>
      <c r="I207" s="1">
        <v>45462</v>
      </c>
      <c r="J207" t="s">
        <v>37</v>
      </c>
      <c r="K207" s="8">
        <f>Table2[[#This Row],[CurrentStock]]*Table2[[#This Row],[UnitPrice]]</f>
        <v>12960.199999999999</v>
      </c>
      <c r="L207" t="str">
        <f>IF(Table2[[#This Row],[CurrentStock]]&lt;=Table2[[#This Row],[ReorderLevel]], "Reorder Needed", "Okay")</f>
        <v>Okay</v>
      </c>
      <c r="M207" t="str">
        <f>IF(Table2[[#This Row],[CurrentStock]]-Table2[[#This Row],[ReorderLevel]]&lt;0,Table2[[#This Row],[CurrentStock]]-Table2[[#This Row],[ReorderLevel]],"")</f>
        <v/>
      </c>
      <c r="N207" t="str">
        <f>IF(Table2[[#This Row],[Stock Gap]]&lt;0, "Understock","Okay")</f>
        <v>Okay</v>
      </c>
      <c r="O207" s="13" t="str">
        <f>IF(Table2[[#This Row],[Stock Gap]]&lt;0, "Yes", "No")</f>
        <v>No</v>
      </c>
      <c r="P207" s="13" t="str">
        <f>IF(Table2[[#This Row],[CurrentStock]]&lt;Table2[[#This Row],[ReorderLevel]],"Reorder", "Okay")</f>
        <v>Okay</v>
      </c>
      <c r="Q207" s="13" t="str">
        <f>IF(Table2[[#This Row],[CurrentStock]]&gt;Table2[[#This Row],[ReorderLevel]]*3, "Overstock", "Okay")</f>
        <v>Overstock</v>
      </c>
    </row>
    <row r="208" spans="1:17" x14ac:dyDescent="0.35">
      <c r="A208">
        <v>43174</v>
      </c>
      <c r="B208" t="s">
        <v>10</v>
      </c>
      <c r="C208" t="s">
        <v>26</v>
      </c>
      <c r="D208">
        <v>270</v>
      </c>
      <c r="E208">
        <v>40</v>
      </c>
      <c r="F208" s="2">
        <v>383.62</v>
      </c>
      <c r="G208" t="s">
        <v>31</v>
      </c>
      <c r="H208" s="1">
        <v>45617</v>
      </c>
      <c r="I208" s="1">
        <v>45642</v>
      </c>
      <c r="J208" t="s">
        <v>37</v>
      </c>
      <c r="K208" s="8">
        <f>Table2[[#This Row],[CurrentStock]]*Table2[[#This Row],[UnitPrice]]</f>
        <v>103577.4</v>
      </c>
      <c r="L208" t="str">
        <f>IF(Table2[[#This Row],[CurrentStock]]&lt;=Table2[[#This Row],[ReorderLevel]], "Reorder Needed", "Okay")</f>
        <v>Okay</v>
      </c>
      <c r="M208" t="str">
        <f>IF(Table2[[#This Row],[CurrentStock]]-Table2[[#This Row],[ReorderLevel]]&lt;0,Table2[[#This Row],[CurrentStock]]-Table2[[#This Row],[ReorderLevel]],"")</f>
        <v/>
      </c>
      <c r="N208" t="str">
        <f>IF(Table2[[#This Row],[Stock Gap]]&lt;0, "Understock","Okay")</f>
        <v>Okay</v>
      </c>
      <c r="O208" s="13" t="str">
        <f>IF(Table2[[#This Row],[Stock Gap]]&lt;0, "Yes", "No")</f>
        <v>No</v>
      </c>
      <c r="P208" s="13" t="str">
        <f>IF(Table2[[#This Row],[CurrentStock]]&lt;Table2[[#This Row],[ReorderLevel]],"Reorder", "Okay")</f>
        <v>Okay</v>
      </c>
      <c r="Q208" s="13" t="str">
        <f>IF(Table2[[#This Row],[CurrentStock]]&gt;Table2[[#This Row],[ReorderLevel]]*3, "Overstock", "Okay")</f>
        <v>Overstock</v>
      </c>
    </row>
    <row r="209" spans="1:17" x14ac:dyDescent="0.35">
      <c r="A209">
        <v>55379</v>
      </c>
      <c r="B209" t="s">
        <v>16</v>
      </c>
      <c r="C209" t="s">
        <v>29</v>
      </c>
      <c r="D209">
        <v>398</v>
      </c>
      <c r="E209">
        <v>20</v>
      </c>
      <c r="F209" s="2">
        <v>329.07</v>
      </c>
      <c r="G209" t="s">
        <v>35</v>
      </c>
      <c r="H209" s="1">
        <v>45342</v>
      </c>
      <c r="I209" s="1">
        <v>45361</v>
      </c>
      <c r="J209" t="s">
        <v>36</v>
      </c>
      <c r="K209" s="8">
        <f>Table2[[#This Row],[CurrentStock]]*Table2[[#This Row],[UnitPrice]]</f>
        <v>130969.86</v>
      </c>
      <c r="L209" t="str">
        <f>IF(Table2[[#This Row],[CurrentStock]]&lt;=Table2[[#This Row],[ReorderLevel]], "Reorder Needed", "Okay")</f>
        <v>Okay</v>
      </c>
      <c r="M209" t="str">
        <f>IF(Table2[[#This Row],[CurrentStock]]-Table2[[#This Row],[ReorderLevel]]&lt;0,Table2[[#This Row],[CurrentStock]]-Table2[[#This Row],[ReorderLevel]],"")</f>
        <v/>
      </c>
      <c r="N209" t="str">
        <f>IF(Table2[[#This Row],[Stock Gap]]&lt;0, "Understock","Okay")</f>
        <v>Okay</v>
      </c>
      <c r="O209" s="13" t="str">
        <f>IF(Table2[[#This Row],[Stock Gap]]&lt;0, "Yes", "No")</f>
        <v>No</v>
      </c>
      <c r="P209" s="13" t="str">
        <f>IF(Table2[[#This Row],[CurrentStock]]&lt;Table2[[#This Row],[ReorderLevel]],"Reorder", "Okay")</f>
        <v>Okay</v>
      </c>
      <c r="Q209" s="13" t="str">
        <f>IF(Table2[[#This Row],[CurrentStock]]&gt;Table2[[#This Row],[ReorderLevel]]*3, "Overstock", "Okay")</f>
        <v>Overstock</v>
      </c>
    </row>
    <row r="210" spans="1:17" x14ac:dyDescent="0.35">
      <c r="A210">
        <v>52652</v>
      </c>
      <c r="B210" t="s">
        <v>14</v>
      </c>
      <c r="C210" t="s">
        <v>28</v>
      </c>
      <c r="D210">
        <v>333</v>
      </c>
      <c r="E210">
        <v>80</v>
      </c>
      <c r="F210" s="2">
        <v>310.58999999999997</v>
      </c>
      <c r="G210" t="s">
        <v>33</v>
      </c>
      <c r="H210" s="1">
        <v>45343</v>
      </c>
      <c r="I210" s="1">
        <v>45374</v>
      </c>
      <c r="J210" t="s">
        <v>37</v>
      </c>
      <c r="K210" s="8">
        <f>Table2[[#This Row],[CurrentStock]]*Table2[[#This Row],[UnitPrice]]</f>
        <v>103426.46999999999</v>
      </c>
      <c r="L210" t="str">
        <f>IF(Table2[[#This Row],[CurrentStock]]&lt;=Table2[[#This Row],[ReorderLevel]], "Reorder Needed", "Okay")</f>
        <v>Okay</v>
      </c>
      <c r="M210" t="str">
        <f>IF(Table2[[#This Row],[CurrentStock]]-Table2[[#This Row],[ReorderLevel]]&lt;0,Table2[[#This Row],[CurrentStock]]-Table2[[#This Row],[ReorderLevel]],"")</f>
        <v/>
      </c>
      <c r="N210" t="str">
        <f>IF(Table2[[#This Row],[Stock Gap]]&lt;0, "Understock","Okay")</f>
        <v>Okay</v>
      </c>
      <c r="O210" s="13" t="str">
        <f>IF(Table2[[#This Row],[Stock Gap]]&lt;0, "Yes", "No")</f>
        <v>No</v>
      </c>
      <c r="P210" s="13" t="str">
        <f>IF(Table2[[#This Row],[CurrentStock]]&lt;Table2[[#This Row],[ReorderLevel]],"Reorder", "Okay")</f>
        <v>Okay</v>
      </c>
      <c r="Q210" s="13" t="str">
        <f>IF(Table2[[#This Row],[CurrentStock]]&gt;Table2[[#This Row],[ReorderLevel]]*3, "Overstock", "Okay")</f>
        <v>Overstock</v>
      </c>
    </row>
    <row r="211" spans="1:17" x14ac:dyDescent="0.35">
      <c r="A211">
        <v>96365</v>
      </c>
      <c r="B211" t="s">
        <v>20</v>
      </c>
      <c r="C211" t="s">
        <v>30</v>
      </c>
      <c r="D211">
        <v>145</v>
      </c>
      <c r="E211">
        <v>30</v>
      </c>
      <c r="F211" s="2">
        <v>139.94999999999999</v>
      </c>
      <c r="G211" t="s">
        <v>31</v>
      </c>
      <c r="H211" s="1">
        <v>45423</v>
      </c>
      <c r="I211" s="1">
        <v>45453</v>
      </c>
      <c r="J211" t="s">
        <v>37</v>
      </c>
      <c r="K211" s="8">
        <f>Table2[[#This Row],[CurrentStock]]*Table2[[#This Row],[UnitPrice]]</f>
        <v>20292.75</v>
      </c>
      <c r="L211" t="str">
        <f>IF(Table2[[#This Row],[CurrentStock]]&lt;=Table2[[#This Row],[ReorderLevel]], "Reorder Needed", "Okay")</f>
        <v>Okay</v>
      </c>
      <c r="M211" t="str">
        <f>IF(Table2[[#This Row],[CurrentStock]]-Table2[[#This Row],[ReorderLevel]]&lt;0,Table2[[#This Row],[CurrentStock]]-Table2[[#This Row],[ReorderLevel]],"")</f>
        <v/>
      </c>
      <c r="N211" t="str">
        <f>IF(Table2[[#This Row],[Stock Gap]]&lt;0, "Understock","Okay")</f>
        <v>Okay</v>
      </c>
      <c r="O211" s="13" t="str">
        <f>IF(Table2[[#This Row],[Stock Gap]]&lt;0, "Yes", "No")</f>
        <v>No</v>
      </c>
      <c r="P211" s="13" t="str">
        <f>IF(Table2[[#This Row],[CurrentStock]]&lt;Table2[[#This Row],[ReorderLevel]],"Reorder", "Okay")</f>
        <v>Okay</v>
      </c>
      <c r="Q211" s="13" t="str">
        <f>IF(Table2[[#This Row],[CurrentStock]]&gt;Table2[[#This Row],[ReorderLevel]]*3, "Overstock", "Okay")</f>
        <v>Overstock</v>
      </c>
    </row>
    <row r="212" spans="1:17" x14ac:dyDescent="0.35">
      <c r="A212">
        <v>22149</v>
      </c>
      <c r="B212" t="s">
        <v>13</v>
      </c>
      <c r="C212" t="s">
        <v>26</v>
      </c>
      <c r="D212">
        <v>38</v>
      </c>
      <c r="E212">
        <v>80</v>
      </c>
      <c r="F212" s="2">
        <v>96.37</v>
      </c>
      <c r="G212" t="s">
        <v>34</v>
      </c>
      <c r="H212" s="1">
        <v>45603</v>
      </c>
      <c r="I212" s="1">
        <v>45627</v>
      </c>
      <c r="J212" t="s">
        <v>36</v>
      </c>
      <c r="K212" s="8">
        <f>Table2[[#This Row],[CurrentStock]]*Table2[[#This Row],[UnitPrice]]</f>
        <v>3662.0600000000004</v>
      </c>
      <c r="L212" t="str">
        <f>IF(Table2[[#This Row],[CurrentStock]]&lt;=Table2[[#This Row],[ReorderLevel]], "Reorder Needed", "Okay")</f>
        <v>Reorder Needed</v>
      </c>
      <c r="M212" s="7">
        <f>IF(Table2[[#This Row],[CurrentStock]]-Table2[[#This Row],[ReorderLevel]]&lt;0,Table2[[#This Row],[CurrentStock]]-Table2[[#This Row],[ReorderLevel]],"")</f>
        <v>-42</v>
      </c>
      <c r="N212" t="str">
        <f>IF(Table2[[#This Row],[Stock Gap]]&lt;0, "Understock","Okay")</f>
        <v>Understock</v>
      </c>
      <c r="O212" s="13" t="str">
        <f>IF(Table2[[#This Row],[Stock Gap]]&lt;0, "Yes", "No")</f>
        <v>Yes</v>
      </c>
      <c r="P212" s="13" t="str">
        <f>IF(Table2[[#This Row],[CurrentStock]]&lt;Table2[[#This Row],[ReorderLevel]],"Reorder", "Okay")</f>
        <v>Reorder</v>
      </c>
      <c r="Q212" s="13" t="str">
        <f>IF(Table2[[#This Row],[CurrentStock]]&gt;Table2[[#This Row],[ReorderLevel]]*3, "Overstock", "Okay")</f>
        <v>Okay</v>
      </c>
    </row>
    <row r="213" spans="1:17" x14ac:dyDescent="0.35">
      <c r="A213">
        <v>98789</v>
      </c>
      <c r="B213" t="s">
        <v>24</v>
      </c>
      <c r="C213" t="s">
        <v>30</v>
      </c>
      <c r="D213">
        <v>378</v>
      </c>
      <c r="E213">
        <v>80</v>
      </c>
      <c r="F213" s="2">
        <v>302.8</v>
      </c>
      <c r="G213" t="s">
        <v>33</v>
      </c>
      <c r="H213" s="1">
        <v>45409</v>
      </c>
      <c r="I213" s="1">
        <v>45434</v>
      </c>
      <c r="J213" t="s">
        <v>36</v>
      </c>
      <c r="K213" s="8">
        <f>Table2[[#This Row],[CurrentStock]]*Table2[[#This Row],[UnitPrice]]</f>
        <v>114458.40000000001</v>
      </c>
      <c r="L213" t="str">
        <f>IF(Table2[[#This Row],[CurrentStock]]&lt;=Table2[[#This Row],[ReorderLevel]], "Reorder Needed", "Okay")</f>
        <v>Okay</v>
      </c>
      <c r="M213" t="str">
        <f>IF(Table2[[#This Row],[CurrentStock]]-Table2[[#This Row],[ReorderLevel]]&lt;0,Table2[[#This Row],[CurrentStock]]-Table2[[#This Row],[ReorderLevel]],"")</f>
        <v/>
      </c>
      <c r="N213" t="str">
        <f>IF(Table2[[#This Row],[Stock Gap]]&lt;0, "Understock","Okay")</f>
        <v>Okay</v>
      </c>
      <c r="O213" s="13" t="str">
        <f>IF(Table2[[#This Row],[Stock Gap]]&lt;0, "Yes", "No")</f>
        <v>No</v>
      </c>
      <c r="P213" s="13" t="str">
        <f>IF(Table2[[#This Row],[CurrentStock]]&lt;Table2[[#This Row],[ReorderLevel]],"Reorder", "Okay")</f>
        <v>Okay</v>
      </c>
      <c r="Q213" s="13" t="str">
        <f>IF(Table2[[#This Row],[CurrentStock]]&gt;Table2[[#This Row],[ReorderLevel]]*3, "Overstock", "Okay")</f>
        <v>Overstock</v>
      </c>
    </row>
    <row r="214" spans="1:17" x14ac:dyDescent="0.35">
      <c r="A214">
        <v>81831</v>
      </c>
      <c r="B214" t="s">
        <v>23</v>
      </c>
      <c r="C214" t="s">
        <v>30</v>
      </c>
      <c r="D214">
        <v>270</v>
      </c>
      <c r="E214">
        <v>30</v>
      </c>
      <c r="F214" s="2">
        <v>91.51</v>
      </c>
      <c r="G214" t="s">
        <v>34</v>
      </c>
      <c r="H214" s="1">
        <v>45412</v>
      </c>
      <c r="I214" s="1">
        <v>45424</v>
      </c>
      <c r="J214" t="s">
        <v>38</v>
      </c>
      <c r="K214" s="8">
        <f>Table2[[#This Row],[CurrentStock]]*Table2[[#This Row],[UnitPrice]]</f>
        <v>24707.7</v>
      </c>
      <c r="L214" t="str">
        <f>IF(Table2[[#This Row],[CurrentStock]]&lt;=Table2[[#This Row],[ReorderLevel]], "Reorder Needed", "Okay")</f>
        <v>Okay</v>
      </c>
      <c r="M214" t="str">
        <f>IF(Table2[[#This Row],[CurrentStock]]-Table2[[#This Row],[ReorderLevel]]&lt;0,Table2[[#This Row],[CurrentStock]]-Table2[[#This Row],[ReorderLevel]],"")</f>
        <v/>
      </c>
      <c r="N214" t="str">
        <f>IF(Table2[[#This Row],[Stock Gap]]&lt;0, "Understock","Okay")</f>
        <v>Okay</v>
      </c>
      <c r="O214" s="13" t="str">
        <f>IF(Table2[[#This Row],[Stock Gap]]&lt;0, "Yes", "No")</f>
        <v>No</v>
      </c>
      <c r="P214" s="13" t="str">
        <f>IF(Table2[[#This Row],[CurrentStock]]&lt;Table2[[#This Row],[ReorderLevel]],"Reorder", "Okay")</f>
        <v>Okay</v>
      </c>
      <c r="Q214" s="13" t="str">
        <f>IF(Table2[[#This Row],[CurrentStock]]&gt;Table2[[#This Row],[ReorderLevel]]*3, "Overstock", "Okay")</f>
        <v>Overstock</v>
      </c>
    </row>
    <row r="215" spans="1:17" x14ac:dyDescent="0.35">
      <c r="A215">
        <v>98920</v>
      </c>
      <c r="B215" t="s">
        <v>19</v>
      </c>
      <c r="C215" t="s">
        <v>28</v>
      </c>
      <c r="D215">
        <v>67</v>
      </c>
      <c r="E215">
        <v>30</v>
      </c>
      <c r="F215" s="2">
        <v>367.32</v>
      </c>
      <c r="G215" t="s">
        <v>32</v>
      </c>
      <c r="H215" s="1">
        <v>45391</v>
      </c>
      <c r="I215" s="1">
        <v>45405</v>
      </c>
      <c r="J215" t="s">
        <v>37</v>
      </c>
      <c r="K215" s="8">
        <f>Table2[[#This Row],[CurrentStock]]*Table2[[#This Row],[UnitPrice]]</f>
        <v>24610.44</v>
      </c>
      <c r="L215" t="str">
        <f>IF(Table2[[#This Row],[CurrentStock]]&lt;=Table2[[#This Row],[ReorderLevel]], "Reorder Needed", "Okay")</f>
        <v>Okay</v>
      </c>
      <c r="M215" t="str">
        <f>IF(Table2[[#This Row],[CurrentStock]]-Table2[[#This Row],[ReorderLevel]]&lt;0,Table2[[#This Row],[CurrentStock]]-Table2[[#This Row],[ReorderLevel]],"")</f>
        <v/>
      </c>
      <c r="N215" t="str">
        <f>IF(Table2[[#This Row],[Stock Gap]]&lt;0, "Understock","Okay")</f>
        <v>Okay</v>
      </c>
      <c r="O215" s="13" t="str">
        <f>IF(Table2[[#This Row],[Stock Gap]]&lt;0, "Yes", "No")</f>
        <v>No</v>
      </c>
      <c r="P215" s="13" t="str">
        <f>IF(Table2[[#This Row],[CurrentStock]]&lt;Table2[[#This Row],[ReorderLevel]],"Reorder", "Okay")</f>
        <v>Okay</v>
      </c>
      <c r="Q215" s="13" t="str">
        <f>IF(Table2[[#This Row],[CurrentStock]]&gt;Table2[[#This Row],[ReorderLevel]]*3, "Overstock", "Okay")</f>
        <v>Okay</v>
      </c>
    </row>
    <row r="216" spans="1:17" x14ac:dyDescent="0.35">
      <c r="A216">
        <v>27633</v>
      </c>
      <c r="B216" t="s">
        <v>13</v>
      </c>
      <c r="C216" t="s">
        <v>26</v>
      </c>
      <c r="D216">
        <v>480</v>
      </c>
      <c r="E216">
        <v>150</v>
      </c>
      <c r="F216" s="2">
        <v>295.37</v>
      </c>
      <c r="G216" t="s">
        <v>34</v>
      </c>
      <c r="H216" s="1">
        <v>45466</v>
      </c>
      <c r="I216" s="1">
        <v>45505</v>
      </c>
      <c r="J216" t="s">
        <v>37</v>
      </c>
      <c r="K216" s="8">
        <f>Table2[[#This Row],[CurrentStock]]*Table2[[#This Row],[UnitPrice]]</f>
        <v>141777.60000000001</v>
      </c>
      <c r="L216" t="str">
        <f>IF(Table2[[#This Row],[CurrentStock]]&lt;=Table2[[#This Row],[ReorderLevel]], "Reorder Needed", "Okay")</f>
        <v>Okay</v>
      </c>
      <c r="M216" t="str">
        <f>IF(Table2[[#This Row],[CurrentStock]]-Table2[[#This Row],[ReorderLevel]]&lt;0,Table2[[#This Row],[CurrentStock]]-Table2[[#This Row],[ReorderLevel]],"")</f>
        <v/>
      </c>
      <c r="N216" t="str">
        <f>IF(Table2[[#This Row],[Stock Gap]]&lt;0, "Understock","Okay")</f>
        <v>Okay</v>
      </c>
      <c r="O216" s="13" t="str">
        <f>IF(Table2[[#This Row],[Stock Gap]]&lt;0, "Yes", "No")</f>
        <v>No</v>
      </c>
      <c r="P216" s="13" t="str">
        <f>IF(Table2[[#This Row],[CurrentStock]]&lt;Table2[[#This Row],[ReorderLevel]],"Reorder", "Okay")</f>
        <v>Okay</v>
      </c>
      <c r="Q216" s="13" t="str">
        <f>IF(Table2[[#This Row],[CurrentStock]]&gt;Table2[[#This Row],[ReorderLevel]]*3, "Overstock", "Okay")</f>
        <v>Overstock</v>
      </c>
    </row>
    <row r="217" spans="1:17" x14ac:dyDescent="0.35">
      <c r="A217">
        <v>67993</v>
      </c>
      <c r="B217" t="s">
        <v>25</v>
      </c>
      <c r="C217" t="s">
        <v>29</v>
      </c>
      <c r="D217">
        <v>149</v>
      </c>
      <c r="E217">
        <v>80</v>
      </c>
      <c r="F217" s="2">
        <v>322.77999999999997</v>
      </c>
      <c r="G217" t="s">
        <v>34</v>
      </c>
      <c r="H217" s="1">
        <v>45451</v>
      </c>
      <c r="I217" s="1">
        <v>45466</v>
      </c>
      <c r="J217" t="s">
        <v>38</v>
      </c>
      <c r="K217" s="8">
        <f>Table2[[#This Row],[CurrentStock]]*Table2[[#This Row],[UnitPrice]]</f>
        <v>48094.219999999994</v>
      </c>
      <c r="L217" t="str">
        <f>IF(Table2[[#This Row],[CurrentStock]]&lt;=Table2[[#This Row],[ReorderLevel]], "Reorder Needed", "Okay")</f>
        <v>Okay</v>
      </c>
      <c r="M217" t="str">
        <f>IF(Table2[[#This Row],[CurrentStock]]-Table2[[#This Row],[ReorderLevel]]&lt;0,Table2[[#This Row],[CurrentStock]]-Table2[[#This Row],[ReorderLevel]],"")</f>
        <v/>
      </c>
      <c r="N217" t="str">
        <f>IF(Table2[[#This Row],[Stock Gap]]&lt;0, "Understock","Okay")</f>
        <v>Okay</v>
      </c>
      <c r="O217" s="13" t="str">
        <f>IF(Table2[[#This Row],[Stock Gap]]&lt;0, "Yes", "No")</f>
        <v>No</v>
      </c>
      <c r="P217" s="13" t="str">
        <f>IF(Table2[[#This Row],[CurrentStock]]&lt;Table2[[#This Row],[ReorderLevel]],"Reorder", "Okay")</f>
        <v>Okay</v>
      </c>
      <c r="Q217" s="13" t="str">
        <f>IF(Table2[[#This Row],[CurrentStock]]&gt;Table2[[#This Row],[ReorderLevel]]*3, "Overstock", "Okay")</f>
        <v>Okay</v>
      </c>
    </row>
    <row r="218" spans="1:17" x14ac:dyDescent="0.35">
      <c r="A218">
        <v>14358</v>
      </c>
      <c r="B218" t="s">
        <v>25</v>
      </c>
      <c r="C218" t="s">
        <v>29</v>
      </c>
      <c r="D218">
        <v>440</v>
      </c>
      <c r="E218">
        <v>100</v>
      </c>
      <c r="F218" s="2">
        <v>75.180000000000007</v>
      </c>
      <c r="G218" t="s">
        <v>35</v>
      </c>
      <c r="H218" s="1">
        <v>45611</v>
      </c>
      <c r="I218" s="1">
        <v>45650</v>
      </c>
      <c r="J218" t="s">
        <v>38</v>
      </c>
      <c r="K218" s="8">
        <f>Table2[[#This Row],[CurrentStock]]*Table2[[#This Row],[UnitPrice]]</f>
        <v>33079.200000000004</v>
      </c>
      <c r="L218" t="str">
        <f>IF(Table2[[#This Row],[CurrentStock]]&lt;=Table2[[#This Row],[ReorderLevel]], "Reorder Needed", "Okay")</f>
        <v>Okay</v>
      </c>
      <c r="M218" t="str">
        <f>IF(Table2[[#This Row],[CurrentStock]]-Table2[[#This Row],[ReorderLevel]]&lt;0,Table2[[#This Row],[CurrentStock]]-Table2[[#This Row],[ReorderLevel]],"")</f>
        <v/>
      </c>
      <c r="N218" t="str">
        <f>IF(Table2[[#This Row],[Stock Gap]]&lt;0, "Understock","Okay")</f>
        <v>Okay</v>
      </c>
      <c r="O218" s="13" t="str">
        <f>IF(Table2[[#This Row],[Stock Gap]]&lt;0, "Yes", "No")</f>
        <v>No</v>
      </c>
      <c r="P218" s="13" t="str">
        <f>IF(Table2[[#This Row],[CurrentStock]]&lt;Table2[[#This Row],[ReorderLevel]],"Reorder", "Okay")</f>
        <v>Okay</v>
      </c>
      <c r="Q218" s="13" t="str">
        <f>IF(Table2[[#This Row],[CurrentStock]]&gt;Table2[[#This Row],[ReorderLevel]]*3, "Overstock", "Okay")</f>
        <v>Overstock</v>
      </c>
    </row>
    <row r="219" spans="1:17" x14ac:dyDescent="0.35">
      <c r="A219">
        <v>72438</v>
      </c>
      <c r="B219" t="s">
        <v>14</v>
      </c>
      <c r="C219" t="s">
        <v>28</v>
      </c>
      <c r="D219">
        <v>373</v>
      </c>
      <c r="E219">
        <v>80</v>
      </c>
      <c r="F219" s="2">
        <v>360.21</v>
      </c>
      <c r="G219" t="s">
        <v>33</v>
      </c>
      <c r="H219" s="1">
        <v>45532</v>
      </c>
      <c r="I219" s="1">
        <v>45547</v>
      </c>
      <c r="J219" t="s">
        <v>38</v>
      </c>
      <c r="K219" s="8">
        <f>Table2[[#This Row],[CurrentStock]]*Table2[[#This Row],[UnitPrice]]</f>
        <v>134358.32999999999</v>
      </c>
      <c r="L219" t="str">
        <f>IF(Table2[[#This Row],[CurrentStock]]&lt;=Table2[[#This Row],[ReorderLevel]], "Reorder Needed", "Okay")</f>
        <v>Okay</v>
      </c>
      <c r="M219" t="str">
        <f>IF(Table2[[#This Row],[CurrentStock]]-Table2[[#This Row],[ReorderLevel]]&lt;0,Table2[[#This Row],[CurrentStock]]-Table2[[#This Row],[ReorderLevel]],"")</f>
        <v/>
      </c>
      <c r="N219" t="str">
        <f>IF(Table2[[#This Row],[Stock Gap]]&lt;0, "Understock","Okay")</f>
        <v>Okay</v>
      </c>
      <c r="O219" s="13" t="str">
        <f>IF(Table2[[#This Row],[Stock Gap]]&lt;0, "Yes", "No")</f>
        <v>No</v>
      </c>
      <c r="P219" s="13" t="str">
        <f>IF(Table2[[#This Row],[CurrentStock]]&lt;Table2[[#This Row],[ReorderLevel]],"Reorder", "Okay")</f>
        <v>Okay</v>
      </c>
      <c r="Q219" s="13" t="str">
        <f>IF(Table2[[#This Row],[CurrentStock]]&gt;Table2[[#This Row],[ReorderLevel]]*3, "Overstock", "Okay")</f>
        <v>Overstock</v>
      </c>
    </row>
    <row r="220" spans="1:17" x14ac:dyDescent="0.35">
      <c r="A220">
        <v>83379</v>
      </c>
      <c r="B220" t="s">
        <v>14</v>
      </c>
      <c r="C220" t="s">
        <v>28</v>
      </c>
      <c r="D220">
        <v>101</v>
      </c>
      <c r="E220">
        <v>30</v>
      </c>
      <c r="F220" s="2">
        <v>453.23</v>
      </c>
      <c r="G220" t="s">
        <v>31</v>
      </c>
      <c r="H220" s="1">
        <v>45400</v>
      </c>
      <c r="I220" s="1">
        <v>45437</v>
      </c>
      <c r="J220" t="s">
        <v>36</v>
      </c>
      <c r="K220" s="8">
        <f>Table2[[#This Row],[CurrentStock]]*Table2[[#This Row],[UnitPrice]]</f>
        <v>45776.23</v>
      </c>
      <c r="L220" t="str">
        <f>IF(Table2[[#This Row],[CurrentStock]]&lt;=Table2[[#This Row],[ReorderLevel]], "Reorder Needed", "Okay")</f>
        <v>Okay</v>
      </c>
      <c r="M220" t="str">
        <f>IF(Table2[[#This Row],[CurrentStock]]-Table2[[#This Row],[ReorderLevel]]&lt;0,Table2[[#This Row],[CurrentStock]]-Table2[[#This Row],[ReorderLevel]],"")</f>
        <v/>
      </c>
      <c r="N220" t="str">
        <f>IF(Table2[[#This Row],[Stock Gap]]&lt;0, "Understock","Okay")</f>
        <v>Okay</v>
      </c>
      <c r="O220" s="13" t="str">
        <f>IF(Table2[[#This Row],[Stock Gap]]&lt;0, "Yes", "No")</f>
        <v>No</v>
      </c>
      <c r="P220" s="13" t="str">
        <f>IF(Table2[[#This Row],[CurrentStock]]&lt;Table2[[#This Row],[ReorderLevel]],"Reorder", "Okay")</f>
        <v>Okay</v>
      </c>
      <c r="Q220" s="13" t="str">
        <f>IF(Table2[[#This Row],[CurrentStock]]&gt;Table2[[#This Row],[ReorderLevel]]*3, "Overstock", "Okay")</f>
        <v>Overstock</v>
      </c>
    </row>
    <row r="221" spans="1:17" x14ac:dyDescent="0.35">
      <c r="A221">
        <v>80587</v>
      </c>
      <c r="B221" t="s">
        <v>18</v>
      </c>
      <c r="C221" t="s">
        <v>27</v>
      </c>
      <c r="D221">
        <v>69</v>
      </c>
      <c r="E221">
        <v>20</v>
      </c>
      <c r="F221" s="2">
        <v>310.49</v>
      </c>
      <c r="G221" t="s">
        <v>35</v>
      </c>
      <c r="H221" s="1">
        <v>45560</v>
      </c>
      <c r="I221" s="1">
        <v>45566</v>
      </c>
      <c r="J221" t="s">
        <v>37</v>
      </c>
      <c r="K221" s="8">
        <f>Table2[[#This Row],[CurrentStock]]*Table2[[#This Row],[UnitPrice]]</f>
        <v>21423.81</v>
      </c>
      <c r="L221" t="str">
        <f>IF(Table2[[#This Row],[CurrentStock]]&lt;=Table2[[#This Row],[ReorderLevel]], "Reorder Needed", "Okay")</f>
        <v>Okay</v>
      </c>
      <c r="M221" t="str">
        <f>IF(Table2[[#This Row],[CurrentStock]]-Table2[[#This Row],[ReorderLevel]]&lt;0,Table2[[#This Row],[CurrentStock]]-Table2[[#This Row],[ReorderLevel]],"")</f>
        <v/>
      </c>
      <c r="N221" t="str">
        <f>IF(Table2[[#This Row],[Stock Gap]]&lt;0, "Understock","Okay")</f>
        <v>Okay</v>
      </c>
      <c r="O221" s="13" t="str">
        <f>IF(Table2[[#This Row],[Stock Gap]]&lt;0, "Yes", "No")</f>
        <v>No</v>
      </c>
      <c r="P221" s="13" t="str">
        <f>IF(Table2[[#This Row],[CurrentStock]]&lt;Table2[[#This Row],[ReorderLevel]],"Reorder", "Okay")</f>
        <v>Okay</v>
      </c>
      <c r="Q221" s="13" t="str">
        <f>IF(Table2[[#This Row],[CurrentStock]]&gt;Table2[[#This Row],[ReorderLevel]]*3, "Overstock", "Okay")</f>
        <v>Overstock</v>
      </c>
    </row>
    <row r="222" spans="1:17" x14ac:dyDescent="0.35">
      <c r="A222">
        <v>84069</v>
      </c>
      <c r="B222" t="s">
        <v>16</v>
      </c>
      <c r="C222" t="s">
        <v>29</v>
      </c>
      <c r="D222">
        <v>229</v>
      </c>
      <c r="E222">
        <v>30</v>
      </c>
      <c r="F222" s="2">
        <v>341.67</v>
      </c>
      <c r="G222" t="s">
        <v>32</v>
      </c>
      <c r="H222" s="1">
        <v>45591</v>
      </c>
      <c r="I222" s="1">
        <v>45598</v>
      </c>
      <c r="J222" t="s">
        <v>37</v>
      </c>
      <c r="K222" s="8">
        <f>Table2[[#This Row],[CurrentStock]]*Table2[[#This Row],[UnitPrice]]</f>
        <v>78242.430000000008</v>
      </c>
      <c r="L222" t="str">
        <f>IF(Table2[[#This Row],[CurrentStock]]&lt;=Table2[[#This Row],[ReorderLevel]], "Reorder Needed", "Okay")</f>
        <v>Okay</v>
      </c>
      <c r="M222" t="str">
        <f>IF(Table2[[#This Row],[CurrentStock]]-Table2[[#This Row],[ReorderLevel]]&lt;0,Table2[[#This Row],[CurrentStock]]-Table2[[#This Row],[ReorderLevel]],"")</f>
        <v/>
      </c>
      <c r="N222" t="str">
        <f>IF(Table2[[#This Row],[Stock Gap]]&lt;0, "Understock","Okay")</f>
        <v>Okay</v>
      </c>
      <c r="O222" s="13" t="str">
        <f>IF(Table2[[#This Row],[Stock Gap]]&lt;0, "Yes", "No")</f>
        <v>No</v>
      </c>
      <c r="P222" s="13" t="str">
        <f>IF(Table2[[#This Row],[CurrentStock]]&lt;Table2[[#This Row],[ReorderLevel]],"Reorder", "Okay")</f>
        <v>Okay</v>
      </c>
      <c r="Q222" s="13" t="str">
        <f>IF(Table2[[#This Row],[CurrentStock]]&gt;Table2[[#This Row],[ReorderLevel]]*3, "Overstock", "Okay")</f>
        <v>Overstock</v>
      </c>
    </row>
    <row r="223" spans="1:17" x14ac:dyDescent="0.35">
      <c r="A223">
        <v>10661</v>
      </c>
      <c r="B223" t="s">
        <v>13</v>
      </c>
      <c r="C223" t="s">
        <v>26</v>
      </c>
      <c r="D223">
        <v>101</v>
      </c>
      <c r="E223">
        <v>20</v>
      </c>
      <c r="F223" s="2">
        <v>497.76</v>
      </c>
      <c r="G223" t="s">
        <v>33</v>
      </c>
      <c r="H223" s="1">
        <v>45577</v>
      </c>
      <c r="I223" s="1">
        <v>45589</v>
      </c>
      <c r="J223" t="s">
        <v>38</v>
      </c>
      <c r="K223" s="8">
        <f>Table2[[#This Row],[CurrentStock]]*Table2[[#This Row],[UnitPrice]]</f>
        <v>50273.760000000002</v>
      </c>
      <c r="L223" t="str">
        <f>IF(Table2[[#This Row],[CurrentStock]]&lt;=Table2[[#This Row],[ReorderLevel]], "Reorder Needed", "Okay")</f>
        <v>Okay</v>
      </c>
      <c r="M223" t="str">
        <f>IF(Table2[[#This Row],[CurrentStock]]-Table2[[#This Row],[ReorderLevel]]&lt;0,Table2[[#This Row],[CurrentStock]]-Table2[[#This Row],[ReorderLevel]],"")</f>
        <v/>
      </c>
      <c r="N223" t="str">
        <f>IF(Table2[[#This Row],[Stock Gap]]&lt;0, "Understock","Okay")</f>
        <v>Okay</v>
      </c>
      <c r="O223" s="13" t="str">
        <f>IF(Table2[[#This Row],[Stock Gap]]&lt;0, "Yes", "No")</f>
        <v>No</v>
      </c>
      <c r="P223" s="13" t="str">
        <f>IF(Table2[[#This Row],[CurrentStock]]&lt;Table2[[#This Row],[ReorderLevel]],"Reorder", "Okay")</f>
        <v>Okay</v>
      </c>
      <c r="Q223" s="13" t="str">
        <f>IF(Table2[[#This Row],[CurrentStock]]&gt;Table2[[#This Row],[ReorderLevel]]*3, "Overstock", "Okay")</f>
        <v>Overstock</v>
      </c>
    </row>
    <row r="224" spans="1:17" x14ac:dyDescent="0.35">
      <c r="A224">
        <v>98733</v>
      </c>
      <c r="B224" t="s">
        <v>9</v>
      </c>
      <c r="C224" t="s">
        <v>26</v>
      </c>
      <c r="D224">
        <v>332</v>
      </c>
      <c r="E224">
        <v>80</v>
      </c>
      <c r="F224" s="2">
        <v>346.55</v>
      </c>
      <c r="G224" t="s">
        <v>34</v>
      </c>
      <c r="H224" s="1">
        <v>45602</v>
      </c>
      <c r="I224" s="1">
        <v>45622</v>
      </c>
      <c r="J224" t="s">
        <v>37</v>
      </c>
      <c r="K224" s="8">
        <f>Table2[[#This Row],[CurrentStock]]*Table2[[#This Row],[UnitPrice]]</f>
        <v>115054.6</v>
      </c>
      <c r="L224" t="str">
        <f>IF(Table2[[#This Row],[CurrentStock]]&lt;=Table2[[#This Row],[ReorderLevel]], "Reorder Needed", "Okay")</f>
        <v>Okay</v>
      </c>
      <c r="M224" t="str">
        <f>IF(Table2[[#This Row],[CurrentStock]]-Table2[[#This Row],[ReorderLevel]]&lt;0,Table2[[#This Row],[CurrentStock]]-Table2[[#This Row],[ReorderLevel]],"")</f>
        <v/>
      </c>
      <c r="N224" t="str">
        <f>IF(Table2[[#This Row],[Stock Gap]]&lt;0, "Understock","Okay")</f>
        <v>Okay</v>
      </c>
      <c r="O224" s="13" t="str">
        <f>IF(Table2[[#This Row],[Stock Gap]]&lt;0, "Yes", "No")</f>
        <v>No</v>
      </c>
      <c r="P224" s="13" t="str">
        <f>IF(Table2[[#This Row],[CurrentStock]]&lt;Table2[[#This Row],[ReorderLevel]],"Reorder", "Okay")</f>
        <v>Okay</v>
      </c>
      <c r="Q224" s="13" t="str">
        <f>IF(Table2[[#This Row],[CurrentStock]]&gt;Table2[[#This Row],[ReorderLevel]]*3, "Overstock", "Okay")</f>
        <v>Overstock</v>
      </c>
    </row>
    <row r="225" spans="1:17" x14ac:dyDescent="0.35">
      <c r="A225">
        <v>91437</v>
      </c>
      <c r="B225" t="s">
        <v>9</v>
      </c>
      <c r="C225" t="s">
        <v>26</v>
      </c>
      <c r="D225">
        <v>399</v>
      </c>
      <c r="E225">
        <v>50</v>
      </c>
      <c r="F225" s="2">
        <v>490.71</v>
      </c>
      <c r="G225" t="s">
        <v>35</v>
      </c>
      <c r="H225" s="1">
        <v>45294</v>
      </c>
      <c r="I225" s="1">
        <v>45314</v>
      </c>
      <c r="J225" t="s">
        <v>37</v>
      </c>
      <c r="K225" s="8">
        <f>Table2[[#This Row],[CurrentStock]]*Table2[[#This Row],[UnitPrice]]</f>
        <v>195793.28999999998</v>
      </c>
      <c r="L225" t="str">
        <f>IF(Table2[[#This Row],[CurrentStock]]&lt;=Table2[[#This Row],[ReorderLevel]], "Reorder Needed", "Okay")</f>
        <v>Okay</v>
      </c>
      <c r="M225" t="str">
        <f>IF(Table2[[#This Row],[CurrentStock]]-Table2[[#This Row],[ReorderLevel]]&lt;0,Table2[[#This Row],[CurrentStock]]-Table2[[#This Row],[ReorderLevel]],"")</f>
        <v/>
      </c>
      <c r="N225" t="str">
        <f>IF(Table2[[#This Row],[Stock Gap]]&lt;0, "Understock","Okay")</f>
        <v>Okay</v>
      </c>
      <c r="O225" s="13" t="str">
        <f>IF(Table2[[#This Row],[Stock Gap]]&lt;0, "Yes", "No")</f>
        <v>No</v>
      </c>
      <c r="P225" s="13" t="str">
        <f>IF(Table2[[#This Row],[CurrentStock]]&lt;Table2[[#This Row],[ReorderLevel]],"Reorder", "Okay")</f>
        <v>Okay</v>
      </c>
      <c r="Q225" s="13" t="str">
        <f>IF(Table2[[#This Row],[CurrentStock]]&gt;Table2[[#This Row],[ReorderLevel]]*3, "Overstock", "Okay")</f>
        <v>Overstock</v>
      </c>
    </row>
    <row r="226" spans="1:17" x14ac:dyDescent="0.35">
      <c r="A226">
        <v>92205</v>
      </c>
      <c r="B226" t="s">
        <v>21</v>
      </c>
      <c r="C226" t="s">
        <v>26</v>
      </c>
      <c r="D226">
        <v>103</v>
      </c>
      <c r="E226">
        <v>100</v>
      </c>
      <c r="F226" s="2">
        <v>496.28</v>
      </c>
      <c r="G226" t="s">
        <v>35</v>
      </c>
      <c r="H226" s="1">
        <v>45651</v>
      </c>
      <c r="I226" s="1">
        <v>45656</v>
      </c>
      <c r="J226" t="s">
        <v>38</v>
      </c>
      <c r="K226" s="8">
        <f>Table2[[#This Row],[CurrentStock]]*Table2[[#This Row],[UnitPrice]]</f>
        <v>51116.84</v>
      </c>
      <c r="L226" t="str">
        <f>IF(Table2[[#This Row],[CurrentStock]]&lt;=Table2[[#This Row],[ReorderLevel]], "Reorder Needed", "Okay")</f>
        <v>Okay</v>
      </c>
      <c r="M226" t="str">
        <f>IF(Table2[[#This Row],[CurrentStock]]-Table2[[#This Row],[ReorderLevel]]&lt;0,Table2[[#This Row],[CurrentStock]]-Table2[[#This Row],[ReorderLevel]],"")</f>
        <v/>
      </c>
      <c r="N226" t="str">
        <f>IF(Table2[[#This Row],[Stock Gap]]&lt;0, "Understock","Okay")</f>
        <v>Okay</v>
      </c>
      <c r="O226" s="13" t="str">
        <f>IF(Table2[[#This Row],[Stock Gap]]&lt;0, "Yes", "No")</f>
        <v>No</v>
      </c>
      <c r="P226" s="13" t="str">
        <f>IF(Table2[[#This Row],[CurrentStock]]&lt;Table2[[#This Row],[ReorderLevel]],"Reorder", "Okay")</f>
        <v>Okay</v>
      </c>
      <c r="Q226" s="13" t="str">
        <f>IF(Table2[[#This Row],[CurrentStock]]&gt;Table2[[#This Row],[ReorderLevel]]*3, "Overstock", "Okay")</f>
        <v>Okay</v>
      </c>
    </row>
    <row r="227" spans="1:17" x14ac:dyDescent="0.35">
      <c r="A227">
        <v>26163</v>
      </c>
      <c r="B227" t="s">
        <v>24</v>
      </c>
      <c r="C227" t="s">
        <v>30</v>
      </c>
      <c r="D227">
        <v>287</v>
      </c>
      <c r="E227">
        <v>20</v>
      </c>
      <c r="F227" s="2">
        <v>306.2</v>
      </c>
      <c r="G227" t="s">
        <v>34</v>
      </c>
      <c r="H227" s="1">
        <v>45329</v>
      </c>
      <c r="I227" s="1">
        <v>45367</v>
      </c>
      <c r="J227" t="s">
        <v>37</v>
      </c>
      <c r="K227" s="8">
        <f>Table2[[#This Row],[CurrentStock]]*Table2[[#This Row],[UnitPrice]]</f>
        <v>87879.4</v>
      </c>
      <c r="L227" t="str">
        <f>IF(Table2[[#This Row],[CurrentStock]]&lt;=Table2[[#This Row],[ReorderLevel]], "Reorder Needed", "Okay")</f>
        <v>Okay</v>
      </c>
      <c r="M227" t="str">
        <f>IF(Table2[[#This Row],[CurrentStock]]-Table2[[#This Row],[ReorderLevel]]&lt;0,Table2[[#This Row],[CurrentStock]]-Table2[[#This Row],[ReorderLevel]],"")</f>
        <v/>
      </c>
      <c r="N227" t="str">
        <f>IF(Table2[[#This Row],[Stock Gap]]&lt;0, "Understock","Okay")</f>
        <v>Okay</v>
      </c>
      <c r="O227" s="13" t="str">
        <f>IF(Table2[[#This Row],[Stock Gap]]&lt;0, "Yes", "No")</f>
        <v>No</v>
      </c>
      <c r="P227" s="13" t="str">
        <f>IF(Table2[[#This Row],[CurrentStock]]&lt;Table2[[#This Row],[ReorderLevel]],"Reorder", "Okay")</f>
        <v>Okay</v>
      </c>
      <c r="Q227" s="13" t="str">
        <f>IF(Table2[[#This Row],[CurrentStock]]&gt;Table2[[#This Row],[ReorderLevel]]*3, "Overstock", "Okay")</f>
        <v>Overstock</v>
      </c>
    </row>
    <row r="228" spans="1:17" x14ac:dyDescent="0.35">
      <c r="A228">
        <v>94416</v>
      </c>
      <c r="B228" t="s">
        <v>23</v>
      </c>
      <c r="C228" t="s">
        <v>30</v>
      </c>
      <c r="D228">
        <v>65</v>
      </c>
      <c r="E228">
        <v>20</v>
      </c>
      <c r="F228" s="2">
        <v>48.38</v>
      </c>
      <c r="G228" t="s">
        <v>31</v>
      </c>
      <c r="H228" s="1">
        <v>45540</v>
      </c>
      <c r="I228" s="1">
        <v>45553</v>
      </c>
      <c r="J228" t="s">
        <v>37</v>
      </c>
      <c r="K228" s="8">
        <f>Table2[[#This Row],[CurrentStock]]*Table2[[#This Row],[UnitPrice]]</f>
        <v>3144.7000000000003</v>
      </c>
      <c r="L228" t="str">
        <f>IF(Table2[[#This Row],[CurrentStock]]&lt;=Table2[[#This Row],[ReorderLevel]], "Reorder Needed", "Okay")</f>
        <v>Okay</v>
      </c>
      <c r="M228" t="str">
        <f>IF(Table2[[#This Row],[CurrentStock]]-Table2[[#This Row],[ReorderLevel]]&lt;0,Table2[[#This Row],[CurrentStock]]-Table2[[#This Row],[ReorderLevel]],"")</f>
        <v/>
      </c>
      <c r="N228" t="str">
        <f>IF(Table2[[#This Row],[Stock Gap]]&lt;0, "Understock","Okay")</f>
        <v>Okay</v>
      </c>
      <c r="O228" s="13" t="str">
        <f>IF(Table2[[#This Row],[Stock Gap]]&lt;0, "Yes", "No")</f>
        <v>No</v>
      </c>
      <c r="P228" s="13" t="str">
        <f>IF(Table2[[#This Row],[CurrentStock]]&lt;Table2[[#This Row],[ReorderLevel]],"Reorder", "Okay")</f>
        <v>Okay</v>
      </c>
      <c r="Q228" s="13" t="str">
        <f>IF(Table2[[#This Row],[CurrentStock]]&gt;Table2[[#This Row],[ReorderLevel]]*3, "Overstock", "Okay")</f>
        <v>Overstock</v>
      </c>
    </row>
    <row r="229" spans="1:17" x14ac:dyDescent="0.35">
      <c r="A229">
        <v>93362</v>
      </c>
      <c r="B229" t="s">
        <v>13</v>
      </c>
      <c r="C229" t="s">
        <v>26</v>
      </c>
      <c r="D229">
        <v>406</v>
      </c>
      <c r="E229">
        <v>30</v>
      </c>
      <c r="F229" s="2">
        <v>302.29000000000002</v>
      </c>
      <c r="G229" t="s">
        <v>31</v>
      </c>
      <c r="H229" s="1">
        <v>45602</v>
      </c>
      <c r="I229" s="1">
        <v>45612</v>
      </c>
      <c r="J229" t="s">
        <v>37</v>
      </c>
      <c r="K229" s="8">
        <f>Table2[[#This Row],[CurrentStock]]*Table2[[#This Row],[UnitPrice]]</f>
        <v>122729.74</v>
      </c>
      <c r="L229" t="str">
        <f>IF(Table2[[#This Row],[CurrentStock]]&lt;=Table2[[#This Row],[ReorderLevel]], "Reorder Needed", "Okay")</f>
        <v>Okay</v>
      </c>
      <c r="M229" t="str">
        <f>IF(Table2[[#This Row],[CurrentStock]]-Table2[[#This Row],[ReorderLevel]]&lt;0,Table2[[#This Row],[CurrentStock]]-Table2[[#This Row],[ReorderLevel]],"")</f>
        <v/>
      </c>
      <c r="N229" t="str">
        <f>IF(Table2[[#This Row],[Stock Gap]]&lt;0, "Understock","Okay")</f>
        <v>Okay</v>
      </c>
      <c r="O229" s="13" t="str">
        <f>IF(Table2[[#This Row],[Stock Gap]]&lt;0, "Yes", "No")</f>
        <v>No</v>
      </c>
      <c r="P229" s="13" t="str">
        <f>IF(Table2[[#This Row],[CurrentStock]]&lt;Table2[[#This Row],[ReorderLevel]],"Reorder", "Okay")</f>
        <v>Okay</v>
      </c>
      <c r="Q229" s="13" t="str">
        <f>IF(Table2[[#This Row],[CurrentStock]]&gt;Table2[[#This Row],[ReorderLevel]]*3, "Overstock", "Okay")</f>
        <v>Overstock</v>
      </c>
    </row>
    <row r="230" spans="1:17" x14ac:dyDescent="0.35">
      <c r="A230">
        <v>97468</v>
      </c>
      <c r="B230" t="s">
        <v>9</v>
      </c>
      <c r="C230" t="s">
        <v>26</v>
      </c>
      <c r="D230">
        <v>243</v>
      </c>
      <c r="E230">
        <v>30</v>
      </c>
      <c r="F230" s="2">
        <v>253.07</v>
      </c>
      <c r="G230" t="s">
        <v>31</v>
      </c>
      <c r="H230" s="1">
        <v>45340</v>
      </c>
      <c r="I230" s="1">
        <v>45362</v>
      </c>
      <c r="J230" t="s">
        <v>38</v>
      </c>
      <c r="K230" s="8">
        <f>Table2[[#This Row],[CurrentStock]]*Table2[[#This Row],[UnitPrice]]</f>
        <v>61496.009999999995</v>
      </c>
      <c r="L230" t="str">
        <f>IF(Table2[[#This Row],[CurrentStock]]&lt;=Table2[[#This Row],[ReorderLevel]], "Reorder Needed", "Okay")</f>
        <v>Okay</v>
      </c>
      <c r="M230" t="str">
        <f>IF(Table2[[#This Row],[CurrentStock]]-Table2[[#This Row],[ReorderLevel]]&lt;0,Table2[[#This Row],[CurrentStock]]-Table2[[#This Row],[ReorderLevel]],"")</f>
        <v/>
      </c>
      <c r="N230" t="str">
        <f>IF(Table2[[#This Row],[Stock Gap]]&lt;0, "Understock","Okay")</f>
        <v>Okay</v>
      </c>
      <c r="O230" s="13" t="str">
        <f>IF(Table2[[#This Row],[Stock Gap]]&lt;0, "Yes", "No")</f>
        <v>No</v>
      </c>
      <c r="P230" s="13" t="str">
        <f>IF(Table2[[#This Row],[CurrentStock]]&lt;Table2[[#This Row],[ReorderLevel]],"Reorder", "Okay")</f>
        <v>Okay</v>
      </c>
      <c r="Q230" s="13" t="str">
        <f>IF(Table2[[#This Row],[CurrentStock]]&gt;Table2[[#This Row],[ReorderLevel]]*3, "Overstock", "Okay")</f>
        <v>Overstock</v>
      </c>
    </row>
    <row r="231" spans="1:17" x14ac:dyDescent="0.35">
      <c r="A231">
        <v>83800</v>
      </c>
      <c r="B231" t="s">
        <v>20</v>
      </c>
      <c r="C231" t="s">
        <v>30</v>
      </c>
      <c r="D231">
        <v>461</v>
      </c>
      <c r="E231">
        <v>100</v>
      </c>
      <c r="F231" s="2">
        <v>74.930000000000007</v>
      </c>
      <c r="G231" t="s">
        <v>35</v>
      </c>
      <c r="H231" s="1">
        <v>45298</v>
      </c>
      <c r="I231" s="1">
        <v>45316</v>
      </c>
      <c r="J231" t="s">
        <v>37</v>
      </c>
      <c r="K231" s="8">
        <f>Table2[[#This Row],[CurrentStock]]*Table2[[#This Row],[UnitPrice]]</f>
        <v>34542.730000000003</v>
      </c>
      <c r="L231" t="str">
        <f>IF(Table2[[#This Row],[CurrentStock]]&lt;=Table2[[#This Row],[ReorderLevel]], "Reorder Needed", "Okay")</f>
        <v>Okay</v>
      </c>
      <c r="M231" t="str">
        <f>IF(Table2[[#This Row],[CurrentStock]]-Table2[[#This Row],[ReorderLevel]]&lt;0,Table2[[#This Row],[CurrentStock]]-Table2[[#This Row],[ReorderLevel]],"")</f>
        <v/>
      </c>
      <c r="N231" t="str">
        <f>IF(Table2[[#This Row],[Stock Gap]]&lt;0, "Understock","Okay")</f>
        <v>Okay</v>
      </c>
      <c r="O231" s="13" t="str">
        <f>IF(Table2[[#This Row],[Stock Gap]]&lt;0, "Yes", "No")</f>
        <v>No</v>
      </c>
      <c r="P231" s="13" t="str">
        <f>IF(Table2[[#This Row],[CurrentStock]]&lt;Table2[[#This Row],[ReorderLevel]],"Reorder", "Okay")</f>
        <v>Okay</v>
      </c>
      <c r="Q231" s="13" t="str">
        <f>IF(Table2[[#This Row],[CurrentStock]]&gt;Table2[[#This Row],[ReorderLevel]]*3, "Overstock", "Okay")</f>
        <v>Overstock</v>
      </c>
    </row>
    <row r="232" spans="1:17" x14ac:dyDescent="0.35">
      <c r="A232">
        <v>58895</v>
      </c>
      <c r="B232" t="s">
        <v>24</v>
      </c>
      <c r="C232" t="s">
        <v>30</v>
      </c>
      <c r="D232">
        <v>129</v>
      </c>
      <c r="E232">
        <v>40</v>
      </c>
      <c r="F232" s="2">
        <v>176.32</v>
      </c>
      <c r="G232" t="s">
        <v>32</v>
      </c>
      <c r="H232" s="1">
        <v>45567</v>
      </c>
      <c r="I232" s="1">
        <v>45589</v>
      </c>
      <c r="J232" t="s">
        <v>36</v>
      </c>
      <c r="K232" s="8">
        <f>Table2[[#This Row],[CurrentStock]]*Table2[[#This Row],[UnitPrice]]</f>
        <v>22745.279999999999</v>
      </c>
      <c r="L232" t="str">
        <f>IF(Table2[[#This Row],[CurrentStock]]&lt;=Table2[[#This Row],[ReorderLevel]], "Reorder Needed", "Okay")</f>
        <v>Okay</v>
      </c>
      <c r="M232" t="str">
        <f>IF(Table2[[#This Row],[CurrentStock]]-Table2[[#This Row],[ReorderLevel]]&lt;0,Table2[[#This Row],[CurrentStock]]-Table2[[#This Row],[ReorderLevel]],"")</f>
        <v/>
      </c>
      <c r="N232" t="str">
        <f>IF(Table2[[#This Row],[Stock Gap]]&lt;0, "Understock","Okay")</f>
        <v>Okay</v>
      </c>
      <c r="O232" s="13" t="str">
        <f>IF(Table2[[#This Row],[Stock Gap]]&lt;0, "Yes", "No")</f>
        <v>No</v>
      </c>
      <c r="P232" s="13" t="str">
        <f>IF(Table2[[#This Row],[CurrentStock]]&lt;Table2[[#This Row],[ReorderLevel]],"Reorder", "Okay")</f>
        <v>Okay</v>
      </c>
      <c r="Q232" s="13" t="str">
        <f>IF(Table2[[#This Row],[CurrentStock]]&gt;Table2[[#This Row],[ReorderLevel]]*3, "Overstock", "Okay")</f>
        <v>Overstock</v>
      </c>
    </row>
    <row r="233" spans="1:17" x14ac:dyDescent="0.35">
      <c r="A233">
        <v>41552</v>
      </c>
      <c r="B233" t="s">
        <v>23</v>
      </c>
      <c r="C233" t="s">
        <v>30</v>
      </c>
      <c r="D233">
        <v>252</v>
      </c>
      <c r="E233">
        <v>100</v>
      </c>
      <c r="F233" s="2">
        <v>160.30000000000001</v>
      </c>
      <c r="G233" t="s">
        <v>35</v>
      </c>
      <c r="H233" s="1">
        <v>45386</v>
      </c>
      <c r="I233" s="1">
        <v>45404</v>
      </c>
      <c r="J233" t="s">
        <v>37</v>
      </c>
      <c r="K233" s="8">
        <f>Table2[[#This Row],[CurrentStock]]*Table2[[#This Row],[UnitPrice]]</f>
        <v>40395.600000000006</v>
      </c>
      <c r="L233" t="str">
        <f>IF(Table2[[#This Row],[CurrentStock]]&lt;=Table2[[#This Row],[ReorderLevel]], "Reorder Needed", "Okay")</f>
        <v>Okay</v>
      </c>
      <c r="M233" t="str">
        <f>IF(Table2[[#This Row],[CurrentStock]]-Table2[[#This Row],[ReorderLevel]]&lt;0,Table2[[#This Row],[CurrentStock]]-Table2[[#This Row],[ReorderLevel]],"")</f>
        <v/>
      </c>
      <c r="N233" t="str">
        <f>IF(Table2[[#This Row],[Stock Gap]]&lt;0, "Understock","Okay")</f>
        <v>Okay</v>
      </c>
      <c r="O233" s="13" t="str">
        <f>IF(Table2[[#This Row],[Stock Gap]]&lt;0, "Yes", "No")</f>
        <v>No</v>
      </c>
      <c r="P233" s="13" t="str">
        <f>IF(Table2[[#This Row],[CurrentStock]]&lt;Table2[[#This Row],[ReorderLevel]],"Reorder", "Okay")</f>
        <v>Okay</v>
      </c>
      <c r="Q233" s="13" t="str">
        <f>IF(Table2[[#This Row],[CurrentStock]]&gt;Table2[[#This Row],[ReorderLevel]]*3, "Overstock", "Okay")</f>
        <v>Okay</v>
      </c>
    </row>
    <row r="234" spans="1:17" x14ac:dyDescent="0.35">
      <c r="A234">
        <v>56659</v>
      </c>
      <c r="B234" t="s">
        <v>19</v>
      </c>
      <c r="C234" t="s">
        <v>28</v>
      </c>
      <c r="D234">
        <v>389</v>
      </c>
      <c r="E234">
        <v>20</v>
      </c>
      <c r="F234" s="2">
        <v>334.82</v>
      </c>
      <c r="G234" t="s">
        <v>35</v>
      </c>
      <c r="H234" s="1">
        <v>45316</v>
      </c>
      <c r="I234" s="1">
        <v>45335</v>
      </c>
      <c r="J234" t="s">
        <v>36</v>
      </c>
      <c r="K234" s="8">
        <f>Table2[[#This Row],[CurrentStock]]*Table2[[#This Row],[UnitPrice]]</f>
        <v>130244.98</v>
      </c>
      <c r="L234" t="str">
        <f>IF(Table2[[#This Row],[CurrentStock]]&lt;=Table2[[#This Row],[ReorderLevel]], "Reorder Needed", "Okay")</f>
        <v>Okay</v>
      </c>
      <c r="M234" t="str">
        <f>IF(Table2[[#This Row],[CurrentStock]]-Table2[[#This Row],[ReorderLevel]]&lt;0,Table2[[#This Row],[CurrentStock]]-Table2[[#This Row],[ReorderLevel]],"")</f>
        <v/>
      </c>
      <c r="N234" t="str">
        <f>IF(Table2[[#This Row],[Stock Gap]]&lt;0, "Understock","Okay")</f>
        <v>Okay</v>
      </c>
      <c r="O234" s="13" t="str">
        <f>IF(Table2[[#This Row],[Stock Gap]]&lt;0, "Yes", "No")</f>
        <v>No</v>
      </c>
      <c r="P234" s="13" t="str">
        <f>IF(Table2[[#This Row],[CurrentStock]]&lt;Table2[[#This Row],[ReorderLevel]],"Reorder", "Okay")</f>
        <v>Okay</v>
      </c>
      <c r="Q234" s="13" t="str">
        <f>IF(Table2[[#This Row],[CurrentStock]]&gt;Table2[[#This Row],[ReorderLevel]]*3, "Overstock", "Okay")</f>
        <v>Overstock</v>
      </c>
    </row>
    <row r="235" spans="1:17" x14ac:dyDescent="0.35">
      <c r="A235">
        <v>87866</v>
      </c>
      <c r="B235" t="s">
        <v>13</v>
      </c>
      <c r="C235" t="s">
        <v>26</v>
      </c>
      <c r="D235">
        <v>476</v>
      </c>
      <c r="E235">
        <v>50</v>
      </c>
      <c r="F235" s="2">
        <v>426.47</v>
      </c>
      <c r="G235" t="s">
        <v>32</v>
      </c>
      <c r="H235" s="1">
        <v>45451</v>
      </c>
      <c r="I235" s="1">
        <v>45484</v>
      </c>
      <c r="J235" t="s">
        <v>37</v>
      </c>
      <c r="K235" s="8">
        <f>Table2[[#This Row],[CurrentStock]]*Table2[[#This Row],[UnitPrice]]</f>
        <v>202999.72</v>
      </c>
      <c r="L235" t="str">
        <f>IF(Table2[[#This Row],[CurrentStock]]&lt;=Table2[[#This Row],[ReorderLevel]], "Reorder Needed", "Okay")</f>
        <v>Okay</v>
      </c>
      <c r="M235" t="str">
        <f>IF(Table2[[#This Row],[CurrentStock]]-Table2[[#This Row],[ReorderLevel]]&lt;0,Table2[[#This Row],[CurrentStock]]-Table2[[#This Row],[ReorderLevel]],"")</f>
        <v/>
      </c>
      <c r="N235" t="str">
        <f>IF(Table2[[#This Row],[Stock Gap]]&lt;0, "Understock","Okay")</f>
        <v>Okay</v>
      </c>
      <c r="O235" s="13" t="str">
        <f>IF(Table2[[#This Row],[Stock Gap]]&lt;0, "Yes", "No")</f>
        <v>No</v>
      </c>
      <c r="P235" s="13" t="str">
        <f>IF(Table2[[#This Row],[CurrentStock]]&lt;Table2[[#This Row],[ReorderLevel]],"Reorder", "Okay")</f>
        <v>Okay</v>
      </c>
      <c r="Q235" s="13" t="str">
        <f>IF(Table2[[#This Row],[CurrentStock]]&gt;Table2[[#This Row],[ReorderLevel]]*3, "Overstock", "Okay")</f>
        <v>Overstock</v>
      </c>
    </row>
    <row r="236" spans="1:17" x14ac:dyDescent="0.35">
      <c r="A236">
        <v>65677</v>
      </c>
      <c r="B236" t="s">
        <v>12</v>
      </c>
      <c r="C236" t="s">
        <v>28</v>
      </c>
      <c r="D236">
        <v>498</v>
      </c>
      <c r="E236">
        <v>80</v>
      </c>
      <c r="F236" s="2">
        <v>391.48</v>
      </c>
      <c r="G236" t="s">
        <v>31</v>
      </c>
      <c r="H236" s="1">
        <v>45557</v>
      </c>
      <c r="I236" s="1">
        <v>45586</v>
      </c>
      <c r="J236" t="s">
        <v>38</v>
      </c>
      <c r="K236" s="8">
        <f>Table2[[#This Row],[CurrentStock]]*Table2[[#This Row],[UnitPrice]]</f>
        <v>194957.04</v>
      </c>
      <c r="L236" t="str">
        <f>IF(Table2[[#This Row],[CurrentStock]]&lt;=Table2[[#This Row],[ReorderLevel]], "Reorder Needed", "Okay")</f>
        <v>Okay</v>
      </c>
      <c r="M236" t="str">
        <f>IF(Table2[[#This Row],[CurrentStock]]-Table2[[#This Row],[ReorderLevel]]&lt;0,Table2[[#This Row],[CurrentStock]]-Table2[[#This Row],[ReorderLevel]],"")</f>
        <v/>
      </c>
      <c r="N236" t="str">
        <f>IF(Table2[[#This Row],[Stock Gap]]&lt;0, "Understock","Okay")</f>
        <v>Okay</v>
      </c>
      <c r="O236" s="13" t="str">
        <f>IF(Table2[[#This Row],[Stock Gap]]&lt;0, "Yes", "No")</f>
        <v>No</v>
      </c>
      <c r="P236" s="13" t="str">
        <f>IF(Table2[[#This Row],[CurrentStock]]&lt;Table2[[#This Row],[ReorderLevel]],"Reorder", "Okay")</f>
        <v>Okay</v>
      </c>
      <c r="Q236" s="13" t="str">
        <f>IF(Table2[[#This Row],[CurrentStock]]&gt;Table2[[#This Row],[ReorderLevel]]*3, "Overstock", "Okay")</f>
        <v>Overstock</v>
      </c>
    </row>
    <row r="237" spans="1:17" x14ac:dyDescent="0.35">
      <c r="A237">
        <v>39794</v>
      </c>
      <c r="B237" t="s">
        <v>15</v>
      </c>
      <c r="C237" t="s">
        <v>29</v>
      </c>
      <c r="D237">
        <v>55</v>
      </c>
      <c r="E237">
        <v>150</v>
      </c>
      <c r="F237" s="2">
        <v>491.92</v>
      </c>
      <c r="G237" t="s">
        <v>35</v>
      </c>
      <c r="H237" s="1">
        <v>45374</v>
      </c>
      <c r="I237" s="1">
        <v>45387</v>
      </c>
      <c r="J237" t="s">
        <v>36</v>
      </c>
      <c r="K237" s="8">
        <f>Table2[[#This Row],[CurrentStock]]*Table2[[#This Row],[UnitPrice]]</f>
        <v>27055.600000000002</v>
      </c>
      <c r="L237" t="str">
        <f>IF(Table2[[#This Row],[CurrentStock]]&lt;=Table2[[#This Row],[ReorderLevel]], "Reorder Needed", "Okay")</f>
        <v>Reorder Needed</v>
      </c>
      <c r="M237" s="7">
        <f>IF(Table2[[#This Row],[CurrentStock]]-Table2[[#This Row],[ReorderLevel]]&lt;0,Table2[[#This Row],[CurrentStock]]-Table2[[#This Row],[ReorderLevel]],"")</f>
        <v>-95</v>
      </c>
      <c r="N237" t="str">
        <f>IF(Table2[[#This Row],[Stock Gap]]&lt;0, "Understock","Okay")</f>
        <v>Understock</v>
      </c>
      <c r="O237" s="13" t="str">
        <f>IF(Table2[[#This Row],[Stock Gap]]&lt;0, "Yes", "No")</f>
        <v>Yes</v>
      </c>
      <c r="P237" s="13" t="str">
        <f>IF(Table2[[#This Row],[CurrentStock]]&lt;Table2[[#This Row],[ReorderLevel]],"Reorder", "Okay")</f>
        <v>Reorder</v>
      </c>
      <c r="Q237" s="13" t="str">
        <f>IF(Table2[[#This Row],[CurrentStock]]&gt;Table2[[#This Row],[ReorderLevel]]*3, "Overstock", "Okay")</f>
        <v>Okay</v>
      </c>
    </row>
    <row r="238" spans="1:17" x14ac:dyDescent="0.35">
      <c r="A238">
        <v>56851</v>
      </c>
      <c r="B238" t="s">
        <v>13</v>
      </c>
      <c r="C238" t="s">
        <v>26</v>
      </c>
      <c r="D238">
        <v>493</v>
      </c>
      <c r="E238">
        <v>40</v>
      </c>
      <c r="F238" s="2">
        <v>92.99</v>
      </c>
      <c r="G238" t="s">
        <v>34</v>
      </c>
      <c r="H238" s="1">
        <v>45543</v>
      </c>
      <c r="I238" s="1">
        <v>45580</v>
      </c>
      <c r="J238" t="s">
        <v>36</v>
      </c>
      <c r="K238" s="8">
        <f>Table2[[#This Row],[CurrentStock]]*Table2[[#This Row],[UnitPrice]]</f>
        <v>45844.07</v>
      </c>
      <c r="L238" t="str">
        <f>IF(Table2[[#This Row],[CurrentStock]]&lt;=Table2[[#This Row],[ReorderLevel]], "Reorder Needed", "Okay")</f>
        <v>Okay</v>
      </c>
      <c r="M238" t="str">
        <f>IF(Table2[[#This Row],[CurrentStock]]-Table2[[#This Row],[ReorderLevel]]&lt;0,Table2[[#This Row],[CurrentStock]]-Table2[[#This Row],[ReorderLevel]],"")</f>
        <v/>
      </c>
      <c r="N238" t="str">
        <f>IF(Table2[[#This Row],[Stock Gap]]&lt;0, "Understock","Okay")</f>
        <v>Okay</v>
      </c>
      <c r="O238" s="13" t="str">
        <f>IF(Table2[[#This Row],[Stock Gap]]&lt;0, "Yes", "No")</f>
        <v>No</v>
      </c>
      <c r="P238" s="13" t="str">
        <f>IF(Table2[[#This Row],[CurrentStock]]&lt;Table2[[#This Row],[ReorderLevel]],"Reorder", "Okay")</f>
        <v>Okay</v>
      </c>
      <c r="Q238" s="13" t="str">
        <f>IF(Table2[[#This Row],[CurrentStock]]&gt;Table2[[#This Row],[ReorderLevel]]*3, "Overstock", "Okay")</f>
        <v>Overstock</v>
      </c>
    </row>
    <row r="239" spans="1:17" x14ac:dyDescent="0.35">
      <c r="A239">
        <v>36715</v>
      </c>
      <c r="B239" t="s">
        <v>10</v>
      </c>
      <c r="C239" t="s">
        <v>26</v>
      </c>
      <c r="D239">
        <v>220</v>
      </c>
      <c r="E239">
        <v>50</v>
      </c>
      <c r="F239" s="2">
        <v>329.58</v>
      </c>
      <c r="G239" t="s">
        <v>35</v>
      </c>
      <c r="H239" s="1">
        <v>45522</v>
      </c>
      <c r="I239" s="1">
        <v>45561</v>
      </c>
      <c r="J239" t="s">
        <v>36</v>
      </c>
      <c r="K239" s="8">
        <f>Table2[[#This Row],[CurrentStock]]*Table2[[#This Row],[UnitPrice]]</f>
        <v>72507.599999999991</v>
      </c>
      <c r="L239" t="str">
        <f>IF(Table2[[#This Row],[CurrentStock]]&lt;=Table2[[#This Row],[ReorderLevel]], "Reorder Needed", "Okay")</f>
        <v>Okay</v>
      </c>
      <c r="M239" t="str">
        <f>IF(Table2[[#This Row],[CurrentStock]]-Table2[[#This Row],[ReorderLevel]]&lt;0,Table2[[#This Row],[CurrentStock]]-Table2[[#This Row],[ReorderLevel]],"")</f>
        <v/>
      </c>
      <c r="N239" t="str">
        <f>IF(Table2[[#This Row],[Stock Gap]]&lt;0, "Understock","Okay")</f>
        <v>Okay</v>
      </c>
      <c r="O239" s="13" t="str">
        <f>IF(Table2[[#This Row],[Stock Gap]]&lt;0, "Yes", "No")</f>
        <v>No</v>
      </c>
      <c r="P239" s="13" t="str">
        <f>IF(Table2[[#This Row],[CurrentStock]]&lt;Table2[[#This Row],[ReorderLevel]],"Reorder", "Okay")</f>
        <v>Okay</v>
      </c>
      <c r="Q239" s="13" t="str">
        <f>IF(Table2[[#This Row],[CurrentStock]]&gt;Table2[[#This Row],[ReorderLevel]]*3, "Overstock", "Okay")</f>
        <v>Overstock</v>
      </c>
    </row>
    <row r="240" spans="1:17" x14ac:dyDescent="0.35">
      <c r="A240">
        <v>33177</v>
      </c>
      <c r="B240" t="s">
        <v>22</v>
      </c>
      <c r="C240" t="s">
        <v>29</v>
      </c>
      <c r="D240">
        <v>182</v>
      </c>
      <c r="E240">
        <v>30</v>
      </c>
      <c r="F240" s="2">
        <v>71.23</v>
      </c>
      <c r="G240" t="s">
        <v>32</v>
      </c>
      <c r="H240" s="1">
        <v>45537</v>
      </c>
      <c r="I240" s="1">
        <v>45556</v>
      </c>
      <c r="J240" t="s">
        <v>37</v>
      </c>
      <c r="K240" s="8">
        <f>Table2[[#This Row],[CurrentStock]]*Table2[[#This Row],[UnitPrice]]</f>
        <v>12963.86</v>
      </c>
      <c r="L240" t="str">
        <f>IF(Table2[[#This Row],[CurrentStock]]&lt;=Table2[[#This Row],[ReorderLevel]], "Reorder Needed", "Okay")</f>
        <v>Okay</v>
      </c>
      <c r="M240" t="str">
        <f>IF(Table2[[#This Row],[CurrentStock]]-Table2[[#This Row],[ReorderLevel]]&lt;0,Table2[[#This Row],[CurrentStock]]-Table2[[#This Row],[ReorderLevel]],"")</f>
        <v/>
      </c>
      <c r="N240" t="str">
        <f>IF(Table2[[#This Row],[Stock Gap]]&lt;0, "Understock","Okay")</f>
        <v>Okay</v>
      </c>
      <c r="O240" s="13" t="str">
        <f>IF(Table2[[#This Row],[Stock Gap]]&lt;0, "Yes", "No")</f>
        <v>No</v>
      </c>
      <c r="P240" s="13" t="str">
        <f>IF(Table2[[#This Row],[CurrentStock]]&lt;Table2[[#This Row],[ReorderLevel]],"Reorder", "Okay")</f>
        <v>Okay</v>
      </c>
      <c r="Q240" s="13" t="str">
        <f>IF(Table2[[#This Row],[CurrentStock]]&gt;Table2[[#This Row],[ReorderLevel]]*3, "Overstock", "Okay")</f>
        <v>Overstock</v>
      </c>
    </row>
    <row r="241" spans="1:17" x14ac:dyDescent="0.35">
      <c r="A241">
        <v>57076</v>
      </c>
      <c r="B241" t="s">
        <v>25</v>
      </c>
      <c r="C241" t="s">
        <v>29</v>
      </c>
      <c r="D241">
        <v>12</v>
      </c>
      <c r="E241">
        <v>80</v>
      </c>
      <c r="F241" s="2">
        <v>417.98</v>
      </c>
      <c r="G241" t="s">
        <v>35</v>
      </c>
      <c r="H241" s="1">
        <v>45504</v>
      </c>
      <c r="I241" s="1">
        <v>45526</v>
      </c>
      <c r="J241" t="s">
        <v>36</v>
      </c>
      <c r="K241" s="8">
        <f>Table2[[#This Row],[CurrentStock]]*Table2[[#This Row],[UnitPrice]]</f>
        <v>5015.76</v>
      </c>
      <c r="L241" t="str">
        <f>IF(Table2[[#This Row],[CurrentStock]]&lt;=Table2[[#This Row],[ReorderLevel]], "Reorder Needed", "Okay")</f>
        <v>Reorder Needed</v>
      </c>
      <c r="M241" s="7">
        <f>IF(Table2[[#This Row],[CurrentStock]]-Table2[[#This Row],[ReorderLevel]]&lt;0,Table2[[#This Row],[CurrentStock]]-Table2[[#This Row],[ReorderLevel]],"")</f>
        <v>-68</v>
      </c>
      <c r="N241" t="str">
        <f>IF(Table2[[#This Row],[Stock Gap]]&lt;0, "Understock","Okay")</f>
        <v>Understock</v>
      </c>
      <c r="O241" s="13" t="str">
        <f>IF(Table2[[#This Row],[Stock Gap]]&lt;0, "Yes", "No")</f>
        <v>Yes</v>
      </c>
      <c r="P241" s="13" t="str">
        <f>IF(Table2[[#This Row],[CurrentStock]]&lt;Table2[[#This Row],[ReorderLevel]],"Reorder", "Okay")</f>
        <v>Reorder</v>
      </c>
      <c r="Q241" s="13" t="str">
        <f>IF(Table2[[#This Row],[CurrentStock]]&gt;Table2[[#This Row],[ReorderLevel]]*3, "Overstock", "Okay")</f>
        <v>Okay</v>
      </c>
    </row>
    <row r="242" spans="1:17" x14ac:dyDescent="0.35">
      <c r="A242">
        <v>20749</v>
      </c>
      <c r="B242" t="s">
        <v>19</v>
      </c>
      <c r="C242" t="s">
        <v>28</v>
      </c>
      <c r="D242">
        <v>187</v>
      </c>
      <c r="E242">
        <v>40</v>
      </c>
      <c r="F242" s="2">
        <v>229.92</v>
      </c>
      <c r="G242" t="s">
        <v>33</v>
      </c>
      <c r="H242" s="1">
        <v>45599</v>
      </c>
      <c r="I242" s="1">
        <v>45629</v>
      </c>
      <c r="J242" t="s">
        <v>38</v>
      </c>
      <c r="K242" s="8">
        <f>Table2[[#This Row],[CurrentStock]]*Table2[[#This Row],[UnitPrice]]</f>
        <v>42995.040000000001</v>
      </c>
      <c r="L242" t="str">
        <f>IF(Table2[[#This Row],[CurrentStock]]&lt;=Table2[[#This Row],[ReorderLevel]], "Reorder Needed", "Okay")</f>
        <v>Okay</v>
      </c>
      <c r="M242" t="str">
        <f>IF(Table2[[#This Row],[CurrentStock]]-Table2[[#This Row],[ReorderLevel]]&lt;0,Table2[[#This Row],[CurrentStock]]-Table2[[#This Row],[ReorderLevel]],"")</f>
        <v/>
      </c>
      <c r="N242" t="str">
        <f>IF(Table2[[#This Row],[Stock Gap]]&lt;0, "Understock","Okay")</f>
        <v>Okay</v>
      </c>
      <c r="O242" s="13" t="str">
        <f>IF(Table2[[#This Row],[Stock Gap]]&lt;0, "Yes", "No")</f>
        <v>No</v>
      </c>
      <c r="P242" s="13" t="str">
        <f>IF(Table2[[#This Row],[CurrentStock]]&lt;Table2[[#This Row],[ReorderLevel]],"Reorder", "Okay")</f>
        <v>Okay</v>
      </c>
      <c r="Q242" s="13" t="str">
        <f>IF(Table2[[#This Row],[CurrentStock]]&gt;Table2[[#This Row],[ReorderLevel]]*3, "Overstock", "Okay")</f>
        <v>Overstock</v>
      </c>
    </row>
    <row r="243" spans="1:17" x14ac:dyDescent="0.35">
      <c r="A243">
        <v>36035</v>
      </c>
      <c r="B243" t="s">
        <v>10</v>
      </c>
      <c r="C243" t="s">
        <v>26</v>
      </c>
      <c r="D243">
        <v>251</v>
      </c>
      <c r="E243">
        <v>30</v>
      </c>
      <c r="F243" s="2">
        <v>240.63</v>
      </c>
      <c r="G243" t="s">
        <v>35</v>
      </c>
      <c r="H243" s="1">
        <v>45524</v>
      </c>
      <c r="I243" s="1">
        <v>45557</v>
      </c>
      <c r="J243" t="s">
        <v>38</v>
      </c>
      <c r="K243" s="8">
        <f>Table2[[#This Row],[CurrentStock]]*Table2[[#This Row],[UnitPrice]]</f>
        <v>60398.13</v>
      </c>
      <c r="L243" t="str">
        <f>IF(Table2[[#This Row],[CurrentStock]]&lt;=Table2[[#This Row],[ReorderLevel]], "Reorder Needed", "Okay")</f>
        <v>Okay</v>
      </c>
      <c r="M243" t="str">
        <f>IF(Table2[[#This Row],[CurrentStock]]-Table2[[#This Row],[ReorderLevel]]&lt;0,Table2[[#This Row],[CurrentStock]]-Table2[[#This Row],[ReorderLevel]],"")</f>
        <v/>
      </c>
      <c r="N243" t="str">
        <f>IF(Table2[[#This Row],[Stock Gap]]&lt;0, "Understock","Okay")</f>
        <v>Okay</v>
      </c>
      <c r="O243" s="13" t="str">
        <f>IF(Table2[[#This Row],[Stock Gap]]&lt;0, "Yes", "No")</f>
        <v>No</v>
      </c>
      <c r="P243" s="13" t="str">
        <f>IF(Table2[[#This Row],[CurrentStock]]&lt;Table2[[#This Row],[ReorderLevel]],"Reorder", "Okay")</f>
        <v>Okay</v>
      </c>
      <c r="Q243" s="13" t="str">
        <f>IF(Table2[[#This Row],[CurrentStock]]&gt;Table2[[#This Row],[ReorderLevel]]*3, "Overstock", "Okay")</f>
        <v>Overstock</v>
      </c>
    </row>
    <row r="244" spans="1:17" x14ac:dyDescent="0.35">
      <c r="A244">
        <v>13191</v>
      </c>
      <c r="B244" t="s">
        <v>23</v>
      </c>
      <c r="C244" t="s">
        <v>30</v>
      </c>
      <c r="D244">
        <v>41</v>
      </c>
      <c r="E244">
        <v>80</v>
      </c>
      <c r="F244" s="2">
        <v>70.91</v>
      </c>
      <c r="G244" t="s">
        <v>34</v>
      </c>
      <c r="H244" s="1">
        <v>45483</v>
      </c>
      <c r="I244" s="1">
        <v>45504</v>
      </c>
      <c r="J244" t="s">
        <v>36</v>
      </c>
      <c r="K244" s="8">
        <f>Table2[[#This Row],[CurrentStock]]*Table2[[#This Row],[UnitPrice]]</f>
        <v>2907.31</v>
      </c>
      <c r="L244" t="str">
        <f>IF(Table2[[#This Row],[CurrentStock]]&lt;=Table2[[#This Row],[ReorderLevel]], "Reorder Needed", "Okay")</f>
        <v>Reorder Needed</v>
      </c>
      <c r="M244" s="7">
        <f>IF(Table2[[#This Row],[CurrentStock]]-Table2[[#This Row],[ReorderLevel]]&lt;0,Table2[[#This Row],[CurrentStock]]-Table2[[#This Row],[ReorderLevel]],"")</f>
        <v>-39</v>
      </c>
      <c r="N244" t="str">
        <f>IF(Table2[[#This Row],[Stock Gap]]&lt;0, "Understock","Okay")</f>
        <v>Understock</v>
      </c>
      <c r="O244" s="13" t="str">
        <f>IF(Table2[[#This Row],[Stock Gap]]&lt;0, "Yes", "No")</f>
        <v>Yes</v>
      </c>
      <c r="P244" s="13" t="str">
        <f>IF(Table2[[#This Row],[CurrentStock]]&lt;Table2[[#This Row],[ReorderLevel]],"Reorder", "Okay")</f>
        <v>Reorder</v>
      </c>
      <c r="Q244" s="13" t="str">
        <f>IF(Table2[[#This Row],[CurrentStock]]&gt;Table2[[#This Row],[ReorderLevel]]*3, "Overstock", "Okay")</f>
        <v>Okay</v>
      </c>
    </row>
    <row r="245" spans="1:17" x14ac:dyDescent="0.35">
      <c r="A245">
        <v>38602</v>
      </c>
      <c r="B245" t="s">
        <v>11</v>
      </c>
      <c r="C245" t="s">
        <v>27</v>
      </c>
      <c r="D245">
        <v>59</v>
      </c>
      <c r="E245">
        <v>80</v>
      </c>
      <c r="F245" s="2">
        <v>143.29</v>
      </c>
      <c r="G245" t="s">
        <v>34</v>
      </c>
      <c r="H245" s="1">
        <v>45533</v>
      </c>
      <c r="I245" s="1">
        <v>45558</v>
      </c>
      <c r="J245" t="s">
        <v>37</v>
      </c>
      <c r="K245" s="8">
        <f>Table2[[#This Row],[CurrentStock]]*Table2[[#This Row],[UnitPrice]]</f>
        <v>8454.1099999999988</v>
      </c>
      <c r="L245" t="str">
        <f>IF(Table2[[#This Row],[CurrentStock]]&lt;=Table2[[#This Row],[ReorderLevel]], "Reorder Needed", "Okay")</f>
        <v>Reorder Needed</v>
      </c>
      <c r="M245" s="7">
        <f>IF(Table2[[#This Row],[CurrentStock]]-Table2[[#This Row],[ReorderLevel]]&lt;0,Table2[[#This Row],[CurrentStock]]-Table2[[#This Row],[ReorderLevel]],"")</f>
        <v>-21</v>
      </c>
      <c r="N245" t="str">
        <f>IF(Table2[[#This Row],[Stock Gap]]&lt;0, "Understock","Okay")</f>
        <v>Understock</v>
      </c>
      <c r="O245" s="13" t="str">
        <f>IF(Table2[[#This Row],[Stock Gap]]&lt;0, "Yes", "No")</f>
        <v>Yes</v>
      </c>
      <c r="P245" s="13" t="str">
        <f>IF(Table2[[#This Row],[CurrentStock]]&lt;Table2[[#This Row],[ReorderLevel]],"Reorder", "Okay")</f>
        <v>Reorder</v>
      </c>
      <c r="Q245" s="13" t="str">
        <f>IF(Table2[[#This Row],[CurrentStock]]&gt;Table2[[#This Row],[ReorderLevel]]*3, "Overstock", "Okay")</f>
        <v>Okay</v>
      </c>
    </row>
    <row r="246" spans="1:17" x14ac:dyDescent="0.35">
      <c r="A246">
        <v>80476</v>
      </c>
      <c r="B246" t="s">
        <v>18</v>
      </c>
      <c r="C246" t="s">
        <v>27</v>
      </c>
      <c r="D246">
        <v>343</v>
      </c>
      <c r="E246">
        <v>80</v>
      </c>
      <c r="F246" s="2">
        <v>79.33</v>
      </c>
      <c r="G246" t="s">
        <v>34</v>
      </c>
      <c r="H246" s="1">
        <v>45378</v>
      </c>
      <c r="I246" s="1">
        <v>45390</v>
      </c>
      <c r="J246" t="s">
        <v>37</v>
      </c>
      <c r="K246" s="8">
        <f>Table2[[#This Row],[CurrentStock]]*Table2[[#This Row],[UnitPrice]]</f>
        <v>27210.19</v>
      </c>
      <c r="L246" t="str">
        <f>IF(Table2[[#This Row],[CurrentStock]]&lt;=Table2[[#This Row],[ReorderLevel]], "Reorder Needed", "Okay")</f>
        <v>Okay</v>
      </c>
      <c r="M246" t="str">
        <f>IF(Table2[[#This Row],[CurrentStock]]-Table2[[#This Row],[ReorderLevel]]&lt;0,Table2[[#This Row],[CurrentStock]]-Table2[[#This Row],[ReorderLevel]],"")</f>
        <v/>
      </c>
      <c r="N246" t="str">
        <f>IF(Table2[[#This Row],[Stock Gap]]&lt;0, "Understock","Okay")</f>
        <v>Okay</v>
      </c>
      <c r="O246" s="13" t="str">
        <f>IF(Table2[[#This Row],[Stock Gap]]&lt;0, "Yes", "No")</f>
        <v>No</v>
      </c>
      <c r="P246" s="13" t="str">
        <f>IF(Table2[[#This Row],[CurrentStock]]&lt;Table2[[#This Row],[ReorderLevel]],"Reorder", "Okay")</f>
        <v>Okay</v>
      </c>
      <c r="Q246" s="13" t="str">
        <f>IF(Table2[[#This Row],[CurrentStock]]&gt;Table2[[#This Row],[ReorderLevel]]*3, "Overstock", "Okay")</f>
        <v>Overstock</v>
      </c>
    </row>
    <row r="247" spans="1:17" x14ac:dyDescent="0.35">
      <c r="A247">
        <v>93588</v>
      </c>
      <c r="B247" t="s">
        <v>19</v>
      </c>
      <c r="C247" t="s">
        <v>28</v>
      </c>
      <c r="D247">
        <v>108</v>
      </c>
      <c r="E247">
        <v>40</v>
      </c>
      <c r="F247" s="2">
        <v>40.270000000000003</v>
      </c>
      <c r="G247" t="s">
        <v>33</v>
      </c>
      <c r="H247" s="1">
        <v>45443</v>
      </c>
      <c r="I247" s="1">
        <v>45464</v>
      </c>
      <c r="J247" t="s">
        <v>36</v>
      </c>
      <c r="K247" s="8">
        <f>Table2[[#This Row],[CurrentStock]]*Table2[[#This Row],[UnitPrice]]</f>
        <v>4349.1600000000008</v>
      </c>
      <c r="L247" t="str">
        <f>IF(Table2[[#This Row],[CurrentStock]]&lt;=Table2[[#This Row],[ReorderLevel]], "Reorder Needed", "Okay")</f>
        <v>Okay</v>
      </c>
      <c r="M247" t="str">
        <f>IF(Table2[[#This Row],[CurrentStock]]-Table2[[#This Row],[ReorderLevel]]&lt;0,Table2[[#This Row],[CurrentStock]]-Table2[[#This Row],[ReorderLevel]],"")</f>
        <v/>
      </c>
      <c r="N247" t="str">
        <f>IF(Table2[[#This Row],[Stock Gap]]&lt;0, "Understock","Okay")</f>
        <v>Okay</v>
      </c>
      <c r="O247" s="13" t="str">
        <f>IF(Table2[[#This Row],[Stock Gap]]&lt;0, "Yes", "No")</f>
        <v>No</v>
      </c>
      <c r="P247" s="13" t="str">
        <f>IF(Table2[[#This Row],[CurrentStock]]&lt;Table2[[#This Row],[ReorderLevel]],"Reorder", "Okay")</f>
        <v>Okay</v>
      </c>
      <c r="Q247" s="13" t="str">
        <f>IF(Table2[[#This Row],[CurrentStock]]&gt;Table2[[#This Row],[ReorderLevel]]*3, "Overstock", "Okay")</f>
        <v>Okay</v>
      </c>
    </row>
    <row r="248" spans="1:17" x14ac:dyDescent="0.35">
      <c r="A248">
        <v>74027</v>
      </c>
      <c r="B248" t="s">
        <v>24</v>
      </c>
      <c r="C248" t="s">
        <v>30</v>
      </c>
      <c r="D248">
        <v>365</v>
      </c>
      <c r="E248">
        <v>50</v>
      </c>
      <c r="F248" s="2">
        <v>178.1</v>
      </c>
      <c r="G248" t="s">
        <v>31</v>
      </c>
      <c r="H248" s="1">
        <v>45502</v>
      </c>
      <c r="I248" s="1">
        <v>45513</v>
      </c>
      <c r="J248" t="s">
        <v>37</v>
      </c>
      <c r="K248" s="8">
        <f>Table2[[#This Row],[CurrentStock]]*Table2[[#This Row],[UnitPrice]]</f>
        <v>65006.5</v>
      </c>
      <c r="L248" t="str">
        <f>IF(Table2[[#This Row],[CurrentStock]]&lt;=Table2[[#This Row],[ReorderLevel]], "Reorder Needed", "Okay")</f>
        <v>Okay</v>
      </c>
      <c r="M248" t="str">
        <f>IF(Table2[[#This Row],[CurrentStock]]-Table2[[#This Row],[ReorderLevel]]&lt;0,Table2[[#This Row],[CurrentStock]]-Table2[[#This Row],[ReorderLevel]],"")</f>
        <v/>
      </c>
      <c r="N248" t="str">
        <f>IF(Table2[[#This Row],[Stock Gap]]&lt;0, "Understock","Okay")</f>
        <v>Okay</v>
      </c>
      <c r="O248" s="13" t="str">
        <f>IF(Table2[[#This Row],[Stock Gap]]&lt;0, "Yes", "No")</f>
        <v>No</v>
      </c>
      <c r="P248" s="13" t="str">
        <f>IF(Table2[[#This Row],[CurrentStock]]&lt;Table2[[#This Row],[ReorderLevel]],"Reorder", "Okay")</f>
        <v>Okay</v>
      </c>
      <c r="Q248" s="13" t="str">
        <f>IF(Table2[[#This Row],[CurrentStock]]&gt;Table2[[#This Row],[ReorderLevel]]*3, "Overstock", "Okay")</f>
        <v>Overstock</v>
      </c>
    </row>
    <row r="249" spans="1:17" x14ac:dyDescent="0.35">
      <c r="A249">
        <v>52533</v>
      </c>
      <c r="B249" t="s">
        <v>23</v>
      </c>
      <c r="C249" t="s">
        <v>30</v>
      </c>
      <c r="D249">
        <v>260</v>
      </c>
      <c r="E249">
        <v>100</v>
      </c>
      <c r="F249" s="2">
        <v>416.11</v>
      </c>
      <c r="G249" t="s">
        <v>33</v>
      </c>
      <c r="H249" s="1">
        <v>45299</v>
      </c>
      <c r="I249" s="1">
        <v>45313</v>
      </c>
      <c r="J249" t="s">
        <v>36</v>
      </c>
      <c r="K249" s="8">
        <f>Table2[[#This Row],[CurrentStock]]*Table2[[#This Row],[UnitPrice]]</f>
        <v>108188.6</v>
      </c>
      <c r="L249" t="str">
        <f>IF(Table2[[#This Row],[CurrentStock]]&lt;=Table2[[#This Row],[ReorderLevel]], "Reorder Needed", "Okay")</f>
        <v>Okay</v>
      </c>
      <c r="M249" t="str">
        <f>IF(Table2[[#This Row],[CurrentStock]]-Table2[[#This Row],[ReorderLevel]]&lt;0,Table2[[#This Row],[CurrentStock]]-Table2[[#This Row],[ReorderLevel]],"")</f>
        <v/>
      </c>
      <c r="N249" t="str">
        <f>IF(Table2[[#This Row],[Stock Gap]]&lt;0, "Understock","Okay")</f>
        <v>Okay</v>
      </c>
      <c r="O249" s="13" t="str">
        <f>IF(Table2[[#This Row],[Stock Gap]]&lt;0, "Yes", "No")</f>
        <v>No</v>
      </c>
      <c r="P249" s="13" t="str">
        <f>IF(Table2[[#This Row],[CurrentStock]]&lt;Table2[[#This Row],[ReorderLevel]],"Reorder", "Okay")</f>
        <v>Okay</v>
      </c>
      <c r="Q249" s="13" t="str">
        <f>IF(Table2[[#This Row],[CurrentStock]]&gt;Table2[[#This Row],[ReorderLevel]]*3, "Overstock", "Okay")</f>
        <v>Okay</v>
      </c>
    </row>
    <row r="250" spans="1:17" x14ac:dyDescent="0.35">
      <c r="A250">
        <v>36189</v>
      </c>
      <c r="B250" t="s">
        <v>17</v>
      </c>
      <c r="C250" t="s">
        <v>27</v>
      </c>
      <c r="D250">
        <v>449</v>
      </c>
      <c r="E250">
        <v>150</v>
      </c>
      <c r="F250" s="2">
        <v>106.82</v>
      </c>
      <c r="G250" t="s">
        <v>34</v>
      </c>
      <c r="H250" s="1">
        <v>45340</v>
      </c>
      <c r="I250" s="1">
        <v>45348</v>
      </c>
      <c r="J250" t="s">
        <v>36</v>
      </c>
      <c r="K250" s="8">
        <f>Table2[[#This Row],[CurrentStock]]*Table2[[#This Row],[UnitPrice]]</f>
        <v>47962.18</v>
      </c>
      <c r="L250" t="str">
        <f>IF(Table2[[#This Row],[CurrentStock]]&lt;=Table2[[#This Row],[ReorderLevel]], "Reorder Needed", "Okay")</f>
        <v>Okay</v>
      </c>
      <c r="M250" t="str">
        <f>IF(Table2[[#This Row],[CurrentStock]]-Table2[[#This Row],[ReorderLevel]]&lt;0,Table2[[#This Row],[CurrentStock]]-Table2[[#This Row],[ReorderLevel]],"")</f>
        <v/>
      </c>
      <c r="N250" t="str">
        <f>IF(Table2[[#This Row],[Stock Gap]]&lt;0, "Understock","Okay")</f>
        <v>Okay</v>
      </c>
      <c r="O250" s="13" t="str">
        <f>IF(Table2[[#This Row],[Stock Gap]]&lt;0, "Yes", "No")</f>
        <v>No</v>
      </c>
      <c r="P250" s="13" t="str">
        <f>IF(Table2[[#This Row],[CurrentStock]]&lt;Table2[[#This Row],[ReorderLevel]],"Reorder", "Okay")</f>
        <v>Okay</v>
      </c>
      <c r="Q250" s="13" t="str">
        <f>IF(Table2[[#This Row],[CurrentStock]]&gt;Table2[[#This Row],[ReorderLevel]]*3, "Overstock", "Okay")</f>
        <v>Okay</v>
      </c>
    </row>
    <row r="251" spans="1:17" x14ac:dyDescent="0.35">
      <c r="A251">
        <v>95667</v>
      </c>
      <c r="B251" t="s">
        <v>11</v>
      </c>
      <c r="C251" t="s">
        <v>27</v>
      </c>
      <c r="D251">
        <v>118</v>
      </c>
      <c r="E251">
        <v>100</v>
      </c>
      <c r="F251" s="2">
        <v>448.43</v>
      </c>
      <c r="G251" t="s">
        <v>33</v>
      </c>
      <c r="H251" s="1">
        <v>45557</v>
      </c>
      <c r="I251" s="1">
        <v>45582</v>
      </c>
      <c r="J251" t="s">
        <v>37</v>
      </c>
      <c r="K251" s="8">
        <f>Table2[[#This Row],[CurrentStock]]*Table2[[#This Row],[UnitPrice]]</f>
        <v>52914.74</v>
      </c>
      <c r="L251" t="str">
        <f>IF(Table2[[#This Row],[CurrentStock]]&lt;=Table2[[#This Row],[ReorderLevel]], "Reorder Needed", "Okay")</f>
        <v>Okay</v>
      </c>
      <c r="M251" t="str">
        <f>IF(Table2[[#This Row],[CurrentStock]]-Table2[[#This Row],[ReorderLevel]]&lt;0,Table2[[#This Row],[CurrentStock]]-Table2[[#This Row],[ReorderLevel]],"")</f>
        <v/>
      </c>
      <c r="N251" t="str">
        <f>IF(Table2[[#This Row],[Stock Gap]]&lt;0, "Understock","Okay")</f>
        <v>Okay</v>
      </c>
      <c r="O251" s="13" t="str">
        <f>IF(Table2[[#This Row],[Stock Gap]]&lt;0, "Yes", "No")</f>
        <v>No</v>
      </c>
      <c r="P251" s="13" t="str">
        <f>IF(Table2[[#This Row],[CurrentStock]]&lt;Table2[[#This Row],[ReorderLevel]],"Reorder", "Okay")</f>
        <v>Okay</v>
      </c>
      <c r="Q251" s="13" t="str">
        <f>IF(Table2[[#This Row],[CurrentStock]]&gt;Table2[[#This Row],[ReorderLevel]]*3, "Overstock", "Okay")</f>
        <v>Okay</v>
      </c>
    </row>
    <row r="252" spans="1:17" x14ac:dyDescent="0.35">
      <c r="A252">
        <v>74379</v>
      </c>
      <c r="B252" t="s">
        <v>20</v>
      </c>
      <c r="C252" t="s">
        <v>30</v>
      </c>
      <c r="D252">
        <v>268</v>
      </c>
      <c r="E252">
        <v>80</v>
      </c>
      <c r="F252" s="2">
        <v>460.55</v>
      </c>
      <c r="G252" t="s">
        <v>32</v>
      </c>
      <c r="H252" s="1">
        <v>45579</v>
      </c>
      <c r="I252" s="1">
        <v>45615</v>
      </c>
      <c r="J252" t="s">
        <v>37</v>
      </c>
      <c r="K252" s="8">
        <f>Table2[[#This Row],[CurrentStock]]*Table2[[#This Row],[UnitPrice]]</f>
        <v>123427.40000000001</v>
      </c>
      <c r="L252" t="str">
        <f>IF(Table2[[#This Row],[CurrentStock]]&lt;=Table2[[#This Row],[ReorderLevel]], "Reorder Needed", "Okay")</f>
        <v>Okay</v>
      </c>
      <c r="M252" t="str">
        <f>IF(Table2[[#This Row],[CurrentStock]]-Table2[[#This Row],[ReorderLevel]]&lt;0,Table2[[#This Row],[CurrentStock]]-Table2[[#This Row],[ReorderLevel]],"")</f>
        <v/>
      </c>
      <c r="N252" t="str">
        <f>IF(Table2[[#This Row],[Stock Gap]]&lt;0, "Understock","Okay")</f>
        <v>Okay</v>
      </c>
      <c r="O252" s="13" t="str">
        <f>IF(Table2[[#This Row],[Stock Gap]]&lt;0, "Yes", "No")</f>
        <v>No</v>
      </c>
      <c r="P252" s="13" t="str">
        <f>IF(Table2[[#This Row],[CurrentStock]]&lt;Table2[[#This Row],[ReorderLevel]],"Reorder", "Okay")</f>
        <v>Okay</v>
      </c>
      <c r="Q252" s="13" t="str">
        <f>IF(Table2[[#This Row],[CurrentStock]]&gt;Table2[[#This Row],[ReorderLevel]]*3, "Overstock", "Okay")</f>
        <v>Overstock</v>
      </c>
    </row>
    <row r="253" spans="1:17" x14ac:dyDescent="0.35">
      <c r="A253">
        <v>65419</v>
      </c>
      <c r="B253" t="s">
        <v>24</v>
      </c>
      <c r="C253" t="s">
        <v>30</v>
      </c>
      <c r="D253">
        <v>272</v>
      </c>
      <c r="E253">
        <v>30</v>
      </c>
      <c r="F253" s="2">
        <v>116.18</v>
      </c>
      <c r="G253" t="s">
        <v>32</v>
      </c>
      <c r="H253" s="1">
        <v>45444</v>
      </c>
      <c r="I253" s="1">
        <v>45462</v>
      </c>
      <c r="J253" t="s">
        <v>36</v>
      </c>
      <c r="K253" s="8">
        <f>Table2[[#This Row],[CurrentStock]]*Table2[[#This Row],[UnitPrice]]</f>
        <v>31600.960000000003</v>
      </c>
      <c r="L253" t="str">
        <f>IF(Table2[[#This Row],[CurrentStock]]&lt;=Table2[[#This Row],[ReorderLevel]], "Reorder Needed", "Okay")</f>
        <v>Okay</v>
      </c>
      <c r="M253" t="str">
        <f>IF(Table2[[#This Row],[CurrentStock]]-Table2[[#This Row],[ReorderLevel]]&lt;0,Table2[[#This Row],[CurrentStock]]-Table2[[#This Row],[ReorderLevel]],"")</f>
        <v/>
      </c>
      <c r="N253" t="str">
        <f>IF(Table2[[#This Row],[Stock Gap]]&lt;0, "Understock","Okay")</f>
        <v>Okay</v>
      </c>
      <c r="O253" s="13" t="str">
        <f>IF(Table2[[#This Row],[Stock Gap]]&lt;0, "Yes", "No")</f>
        <v>No</v>
      </c>
      <c r="P253" s="13" t="str">
        <f>IF(Table2[[#This Row],[CurrentStock]]&lt;Table2[[#This Row],[ReorderLevel]],"Reorder", "Okay")</f>
        <v>Okay</v>
      </c>
      <c r="Q253" s="13" t="str">
        <f>IF(Table2[[#This Row],[CurrentStock]]&gt;Table2[[#This Row],[ReorderLevel]]*3, "Overstock", "Okay")</f>
        <v>Overstock</v>
      </c>
    </row>
    <row r="254" spans="1:17" x14ac:dyDescent="0.35">
      <c r="A254">
        <v>74946</v>
      </c>
      <c r="B254" t="s">
        <v>20</v>
      </c>
      <c r="C254" t="s">
        <v>30</v>
      </c>
      <c r="D254">
        <v>499</v>
      </c>
      <c r="E254">
        <v>100</v>
      </c>
      <c r="F254" s="2">
        <v>464.52</v>
      </c>
      <c r="G254" t="s">
        <v>34</v>
      </c>
      <c r="H254" s="1">
        <v>45463</v>
      </c>
      <c r="I254" s="1">
        <v>45499</v>
      </c>
      <c r="J254" t="s">
        <v>36</v>
      </c>
      <c r="K254" s="8">
        <f>Table2[[#This Row],[CurrentStock]]*Table2[[#This Row],[UnitPrice]]</f>
        <v>231795.47999999998</v>
      </c>
      <c r="L254" t="str">
        <f>IF(Table2[[#This Row],[CurrentStock]]&lt;=Table2[[#This Row],[ReorderLevel]], "Reorder Needed", "Okay")</f>
        <v>Okay</v>
      </c>
      <c r="M254" t="str">
        <f>IF(Table2[[#This Row],[CurrentStock]]-Table2[[#This Row],[ReorderLevel]]&lt;0,Table2[[#This Row],[CurrentStock]]-Table2[[#This Row],[ReorderLevel]],"")</f>
        <v/>
      </c>
      <c r="N254" t="str">
        <f>IF(Table2[[#This Row],[Stock Gap]]&lt;0, "Understock","Okay")</f>
        <v>Okay</v>
      </c>
      <c r="O254" s="13" t="str">
        <f>IF(Table2[[#This Row],[Stock Gap]]&lt;0, "Yes", "No")</f>
        <v>No</v>
      </c>
      <c r="P254" s="13" t="str">
        <f>IF(Table2[[#This Row],[CurrentStock]]&lt;Table2[[#This Row],[ReorderLevel]],"Reorder", "Okay")</f>
        <v>Okay</v>
      </c>
      <c r="Q254" s="13" t="str">
        <f>IF(Table2[[#This Row],[CurrentStock]]&gt;Table2[[#This Row],[ReorderLevel]]*3, "Overstock", "Okay")</f>
        <v>Overstock</v>
      </c>
    </row>
    <row r="255" spans="1:17" x14ac:dyDescent="0.35">
      <c r="A255">
        <v>38044</v>
      </c>
      <c r="B255" t="s">
        <v>14</v>
      </c>
      <c r="C255" t="s">
        <v>28</v>
      </c>
      <c r="D255">
        <v>31</v>
      </c>
      <c r="E255">
        <v>100</v>
      </c>
      <c r="F255" s="2">
        <v>431.38</v>
      </c>
      <c r="G255" t="s">
        <v>35</v>
      </c>
      <c r="H255" s="1">
        <v>45559</v>
      </c>
      <c r="I255" s="1">
        <v>45581</v>
      </c>
      <c r="J255" t="s">
        <v>38</v>
      </c>
      <c r="K255" s="8">
        <f>Table2[[#This Row],[CurrentStock]]*Table2[[#This Row],[UnitPrice]]</f>
        <v>13372.78</v>
      </c>
      <c r="L255" t="str">
        <f>IF(Table2[[#This Row],[CurrentStock]]&lt;=Table2[[#This Row],[ReorderLevel]], "Reorder Needed", "Okay")</f>
        <v>Reorder Needed</v>
      </c>
      <c r="M255" s="7">
        <f>IF(Table2[[#This Row],[CurrentStock]]-Table2[[#This Row],[ReorderLevel]]&lt;0,Table2[[#This Row],[CurrentStock]]-Table2[[#This Row],[ReorderLevel]],"")</f>
        <v>-69</v>
      </c>
      <c r="N255" t="str">
        <f>IF(Table2[[#This Row],[Stock Gap]]&lt;0, "Understock","Okay")</f>
        <v>Understock</v>
      </c>
      <c r="O255" s="13" t="str">
        <f>IF(Table2[[#This Row],[Stock Gap]]&lt;0, "Yes", "No")</f>
        <v>Yes</v>
      </c>
      <c r="P255" s="13" t="str">
        <f>IF(Table2[[#This Row],[CurrentStock]]&lt;Table2[[#This Row],[ReorderLevel]],"Reorder", "Okay")</f>
        <v>Reorder</v>
      </c>
      <c r="Q255" s="13" t="str">
        <f>IF(Table2[[#This Row],[CurrentStock]]&gt;Table2[[#This Row],[ReorderLevel]]*3, "Overstock", "Okay")</f>
        <v>Okay</v>
      </c>
    </row>
    <row r="256" spans="1:17" x14ac:dyDescent="0.35">
      <c r="A256">
        <v>33387</v>
      </c>
      <c r="B256" t="s">
        <v>10</v>
      </c>
      <c r="C256" t="s">
        <v>26</v>
      </c>
      <c r="D256">
        <v>202</v>
      </c>
      <c r="E256">
        <v>100</v>
      </c>
      <c r="F256" s="2">
        <v>377.83</v>
      </c>
      <c r="G256" t="s">
        <v>35</v>
      </c>
      <c r="H256" s="1">
        <v>45636</v>
      </c>
      <c r="I256" s="1">
        <v>45662</v>
      </c>
      <c r="J256" t="s">
        <v>36</v>
      </c>
      <c r="K256" s="8">
        <f>Table2[[#This Row],[CurrentStock]]*Table2[[#This Row],[UnitPrice]]</f>
        <v>76321.66</v>
      </c>
      <c r="L256" t="str">
        <f>IF(Table2[[#This Row],[CurrentStock]]&lt;=Table2[[#This Row],[ReorderLevel]], "Reorder Needed", "Okay")</f>
        <v>Okay</v>
      </c>
      <c r="M256" t="str">
        <f>IF(Table2[[#This Row],[CurrentStock]]-Table2[[#This Row],[ReorderLevel]]&lt;0,Table2[[#This Row],[CurrentStock]]-Table2[[#This Row],[ReorderLevel]],"")</f>
        <v/>
      </c>
      <c r="N256" t="str">
        <f>IF(Table2[[#This Row],[Stock Gap]]&lt;0, "Understock","Okay")</f>
        <v>Okay</v>
      </c>
      <c r="O256" s="13" t="str">
        <f>IF(Table2[[#This Row],[Stock Gap]]&lt;0, "Yes", "No")</f>
        <v>No</v>
      </c>
      <c r="P256" s="13" t="str">
        <f>IF(Table2[[#This Row],[CurrentStock]]&lt;Table2[[#This Row],[ReorderLevel]],"Reorder", "Okay")</f>
        <v>Okay</v>
      </c>
      <c r="Q256" s="13" t="str">
        <f>IF(Table2[[#This Row],[CurrentStock]]&gt;Table2[[#This Row],[ReorderLevel]]*3, "Overstock", "Okay")</f>
        <v>Okay</v>
      </c>
    </row>
    <row r="257" spans="1:17" x14ac:dyDescent="0.35">
      <c r="A257">
        <v>56486</v>
      </c>
      <c r="B257" t="s">
        <v>20</v>
      </c>
      <c r="C257" t="s">
        <v>30</v>
      </c>
      <c r="D257">
        <v>28</v>
      </c>
      <c r="E257">
        <v>80</v>
      </c>
      <c r="F257" s="2">
        <v>364.36</v>
      </c>
      <c r="G257" t="s">
        <v>33</v>
      </c>
      <c r="H257" s="1">
        <v>45574</v>
      </c>
      <c r="I257" s="1">
        <v>45609</v>
      </c>
      <c r="J257" t="s">
        <v>36</v>
      </c>
      <c r="K257" s="8">
        <f>Table2[[#This Row],[CurrentStock]]*Table2[[#This Row],[UnitPrice]]</f>
        <v>10202.08</v>
      </c>
      <c r="L257" t="str">
        <f>IF(Table2[[#This Row],[CurrentStock]]&lt;=Table2[[#This Row],[ReorderLevel]], "Reorder Needed", "Okay")</f>
        <v>Reorder Needed</v>
      </c>
      <c r="M257" s="7">
        <f>IF(Table2[[#This Row],[CurrentStock]]-Table2[[#This Row],[ReorderLevel]]&lt;0,Table2[[#This Row],[CurrentStock]]-Table2[[#This Row],[ReorderLevel]],"")</f>
        <v>-52</v>
      </c>
      <c r="N257" t="str">
        <f>IF(Table2[[#This Row],[Stock Gap]]&lt;0, "Understock","Okay")</f>
        <v>Understock</v>
      </c>
      <c r="O257" s="13" t="str">
        <f>IF(Table2[[#This Row],[Stock Gap]]&lt;0, "Yes", "No")</f>
        <v>Yes</v>
      </c>
      <c r="P257" s="13" t="str">
        <f>IF(Table2[[#This Row],[CurrentStock]]&lt;Table2[[#This Row],[ReorderLevel]],"Reorder", "Okay")</f>
        <v>Reorder</v>
      </c>
      <c r="Q257" s="13" t="str">
        <f>IF(Table2[[#This Row],[CurrentStock]]&gt;Table2[[#This Row],[ReorderLevel]]*3, "Overstock", "Okay")</f>
        <v>Okay</v>
      </c>
    </row>
    <row r="258" spans="1:17" x14ac:dyDescent="0.35">
      <c r="A258">
        <v>91942</v>
      </c>
      <c r="B258" t="s">
        <v>19</v>
      </c>
      <c r="C258" t="s">
        <v>28</v>
      </c>
      <c r="D258">
        <v>188</v>
      </c>
      <c r="E258">
        <v>20</v>
      </c>
      <c r="F258" s="2">
        <v>256.64</v>
      </c>
      <c r="G258" t="s">
        <v>35</v>
      </c>
      <c r="H258" s="1">
        <v>45482</v>
      </c>
      <c r="I258" s="1">
        <v>45505</v>
      </c>
      <c r="J258" t="s">
        <v>38</v>
      </c>
      <c r="K258" s="8">
        <f>Table2[[#This Row],[CurrentStock]]*Table2[[#This Row],[UnitPrice]]</f>
        <v>48248.32</v>
      </c>
      <c r="L258" t="str">
        <f>IF(Table2[[#This Row],[CurrentStock]]&lt;=Table2[[#This Row],[ReorderLevel]], "Reorder Needed", "Okay")</f>
        <v>Okay</v>
      </c>
      <c r="M258" t="str">
        <f>IF(Table2[[#This Row],[CurrentStock]]-Table2[[#This Row],[ReorderLevel]]&lt;0,Table2[[#This Row],[CurrentStock]]-Table2[[#This Row],[ReorderLevel]],"")</f>
        <v/>
      </c>
      <c r="N258" t="str">
        <f>IF(Table2[[#This Row],[Stock Gap]]&lt;0, "Understock","Okay")</f>
        <v>Okay</v>
      </c>
      <c r="O258" s="13" t="str">
        <f>IF(Table2[[#This Row],[Stock Gap]]&lt;0, "Yes", "No")</f>
        <v>No</v>
      </c>
      <c r="P258" s="13" t="str">
        <f>IF(Table2[[#This Row],[CurrentStock]]&lt;Table2[[#This Row],[ReorderLevel]],"Reorder", "Okay")</f>
        <v>Okay</v>
      </c>
      <c r="Q258" s="13" t="str">
        <f>IF(Table2[[#This Row],[CurrentStock]]&gt;Table2[[#This Row],[ReorderLevel]]*3, "Overstock", "Okay")</f>
        <v>Overstock</v>
      </c>
    </row>
    <row r="259" spans="1:17" x14ac:dyDescent="0.35">
      <c r="A259">
        <v>75095</v>
      </c>
      <c r="B259" t="s">
        <v>21</v>
      </c>
      <c r="C259" t="s">
        <v>26</v>
      </c>
      <c r="D259">
        <v>280</v>
      </c>
      <c r="E259">
        <v>80</v>
      </c>
      <c r="F259" s="2">
        <v>84.24</v>
      </c>
      <c r="G259" t="s">
        <v>34</v>
      </c>
      <c r="H259" s="1">
        <v>45653</v>
      </c>
      <c r="I259" s="1">
        <v>45673</v>
      </c>
      <c r="J259" t="s">
        <v>36</v>
      </c>
      <c r="K259" s="8">
        <f>Table2[[#This Row],[CurrentStock]]*Table2[[#This Row],[UnitPrice]]</f>
        <v>23587.199999999997</v>
      </c>
      <c r="L259" t="str">
        <f>IF(Table2[[#This Row],[CurrentStock]]&lt;=Table2[[#This Row],[ReorderLevel]], "Reorder Needed", "Okay")</f>
        <v>Okay</v>
      </c>
      <c r="M259" t="str">
        <f>IF(Table2[[#This Row],[CurrentStock]]-Table2[[#This Row],[ReorderLevel]]&lt;0,Table2[[#This Row],[CurrentStock]]-Table2[[#This Row],[ReorderLevel]],"")</f>
        <v/>
      </c>
      <c r="N259" t="str">
        <f>IF(Table2[[#This Row],[Stock Gap]]&lt;0, "Understock","Okay")</f>
        <v>Okay</v>
      </c>
      <c r="O259" s="13" t="str">
        <f>IF(Table2[[#This Row],[Stock Gap]]&lt;0, "Yes", "No")</f>
        <v>No</v>
      </c>
      <c r="P259" s="13" t="str">
        <f>IF(Table2[[#This Row],[CurrentStock]]&lt;Table2[[#This Row],[ReorderLevel]],"Reorder", "Okay")</f>
        <v>Okay</v>
      </c>
      <c r="Q259" s="13" t="str">
        <f>IF(Table2[[#This Row],[CurrentStock]]&gt;Table2[[#This Row],[ReorderLevel]]*3, "Overstock", "Okay")</f>
        <v>Overstock</v>
      </c>
    </row>
    <row r="260" spans="1:17" x14ac:dyDescent="0.35">
      <c r="A260">
        <v>78056</v>
      </c>
      <c r="B260" t="s">
        <v>19</v>
      </c>
      <c r="C260" t="s">
        <v>28</v>
      </c>
      <c r="D260">
        <v>387</v>
      </c>
      <c r="E260">
        <v>40</v>
      </c>
      <c r="F260" s="2">
        <v>203.74</v>
      </c>
      <c r="G260" t="s">
        <v>32</v>
      </c>
      <c r="H260" s="1">
        <v>45653</v>
      </c>
      <c r="I260" s="1">
        <v>45691</v>
      </c>
      <c r="J260" t="s">
        <v>36</v>
      </c>
      <c r="K260" s="8">
        <f>Table2[[#This Row],[CurrentStock]]*Table2[[#This Row],[UnitPrice]]</f>
        <v>78847.38</v>
      </c>
      <c r="L260" t="str">
        <f>IF(Table2[[#This Row],[CurrentStock]]&lt;=Table2[[#This Row],[ReorderLevel]], "Reorder Needed", "Okay")</f>
        <v>Okay</v>
      </c>
      <c r="M260" t="str">
        <f>IF(Table2[[#This Row],[CurrentStock]]-Table2[[#This Row],[ReorderLevel]]&lt;0,Table2[[#This Row],[CurrentStock]]-Table2[[#This Row],[ReorderLevel]],"")</f>
        <v/>
      </c>
      <c r="N260" t="str">
        <f>IF(Table2[[#This Row],[Stock Gap]]&lt;0, "Understock","Okay")</f>
        <v>Okay</v>
      </c>
      <c r="O260" s="13" t="str">
        <f>IF(Table2[[#This Row],[Stock Gap]]&lt;0, "Yes", "No")</f>
        <v>No</v>
      </c>
      <c r="P260" s="13" t="str">
        <f>IF(Table2[[#This Row],[CurrentStock]]&lt;Table2[[#This Row],[ReorderLevel]],"Reorder", "Okay")</f>
        <v>Okay</v>
      </c>
      <c r="Q260" s="13" t="str">
        <f>IF(Table2[[#This Row],[CurrentStock]]&gt;Table2[[#This Row],[ReorderLevel]]*3, "Overstock", "Okay")</f>
        <v>Overstock</v>
      </c>
    </row>
    <row r="261" spans="1:17" x14ac:dyDescent="0.35">
      <c r="A261">
        <v>20805</v>
      </c>
      <c r="B261" t="s">
        <v>12</v>
      </c>
      <c r="C261" t="s">
        <v>28</v>
      </c>
      <c r="D261">
        <v>65</v>
      </c>
      <c r="E261">
        <v>20</v>
      </c>
      <c r="F261" s="2">
        <v>190.75</v>
      </c>
      <c r="G261" t="s">
        <v>33</v>
      </c>
      <c r="H261" s="1">
        <v>45377</v>
      </c>
      <c r="I261" s="1">
        <v>45407</v>
      </c>
      <c r="J261" t="s">
        <v>36</v>
      </c>
      <c r="K261" s="8">
        <f>Table2[[#This Row],[CurrentStock]]*Table2[[#This Row],[UnitPrice]]</f>
        <v>12398.75</v>
      </c>
      <c r="L261" t="str">
        <f>IF(Table2[[#This Row],[CurrentStock]]&lt;=Table2[[#This Row],[ReorderLevel]], "Reorder Needed", "Okay")</f>
        <v>Okay</v>
      </c>
      <c r="M261" t="str">
        <f>IF(Table2[[#This Row],[CurrentStock]]-Table2[[#This Row],[ReorderLevel]]&lt;0,Table2[[#This Row],[CurrentStock]]-Table2[[#This Row],[ReorderLevel]],"")</f>
        <v/>
      </c>
      <c r="N261" t="str">
        <f>IF(Table2[[#This Row],[Stock Gap]]&lt;0, "Understock","Okay")</f>
        <v>Okay</v>
      </c>
      <c r="O261" s="13" t="str">
        <f>IF(Table2[[#This Row],[Stock Gap]]&lt;0, "Yes", "No")</f>
        <v>No</v>
      </c>
      <c r="P261" s="13" t="str">
        <f>IF(Table2[[#This Row],[CurrentStock]]&lt;Table2[[#This Row],[ReorderLevel]],"Reorder", "Okay")</f>
        <v>Okay</v>
      </c>
      <c r="Q261" s="13" t="str">
        <f>IF(Table2[[#This Row],[CurrentStock]]&gt;Table2[[#This Row],[ReorderLevel]]*3, "Overstock", "Okay")</f>
        <v>Overstock</v>
      </c>
    </row>
    <row r="262" spans="1:17" x14ac:dyDescent="0.35">
      <c r="A262">
        <v>15110</v>
      </c>
      <c r="B262" t="s">
        <v>11</v>
      </c>
      <c r="C262" t="s">
        <v>27</v>
      </c>
      <c r="D262">
        <v>436</v>
      </c>
      <c r="E262">
        <v>20</v>
      </c>
      <c r="F262" s="2">
        <v>340.8</v>
      </c>
      <c r="G262" t="s">
        <v>31</v>
      </c>
      <c r="H262" s="1">
        <v>45534</v>
      </c>
      <c r="I262" s="1">
        <v>45569</v>
      </c>
      <c r="J262" t="s">
        <v>36</v>
      </c>
      <c r="K262" s="8">
        <f>Table2[[#This Row],[CurrentStock]]*Table2[[#This Row],[UnitPrice]]</f>
        <v>148588.80000000002</v>
      </c>
      <c r="L262" t="str">
        <f>IF(Table2[[#This Row],[CurrentStock]]&lt;=Table2[[#This Row],[ReorderLevel]], "Reorder Needed", "Okay")</f>
        <v>Okay</v>
      </c>
      <c r="M262" t="str">
        <f>IF(Table2[[#This Row],[CurrentStock]]-Table2[[#This Row],[ReorderLevel]]&lt;0,Table2[[#This Row],[CurrentStock]]-Table2[[#This Row],[ReorderLevel]],"")</f>
        <v/>
      </c>
      <c r="N262" t="str">
        <f>IF(Table2[[#This Row],[Stock Gap]]&lt;0, "Understock","Okay")</f>
        <v>Okay</v>
      </c>
      <c r="O262" s="13" t="str">
        <f>IF(Table2[[#This Row],[Stock Gap]]&lt;0, "Yes", "No")</f>
        <v>No</v>
      </c>
      <c r="P262" s="13" t="str">
        <f>IF(Table2[[#This Row],[CurrentStock]]&lt;Table2[[#This Row],[ReorderLevel]],"Reorder", "Okay")</f>
        <v>Okay</v>
      </c>
      <c r="Q262" s="13" t="str">
        <f>IF(Table2[[#This Row],[CurrentStock]]&gt;Table2[[#This Row],[ReorderLevel]]*3, "Overstock", "Okay")</f>
        <v>Overstock</v>
      </c>
    </row>
    <row r="263" spans="1:17" x14ac:dyDescent="0.35">
      <c r="A263">
        <v>33705</v>
      </c>
      <c r="B263" t="s">
        <v>24</v>
      </c>
      <c r="C263" t="s">
        <v>30</v>
      </c>
      <c r="D263">
        <v>380</v>
      </c>
      <c r="E263">
        <v>50</v>
      </c>
      <c r="F263" s="2">
        <v>362.43</v>
      </c>
      <c r="G263" t="s">
        <v>35</v>
      </c>
      <c r="H263" s="1">
        <v>45315</v>
      </c>
      <c r="I263" s="1">
        <v>45354</v>
      </c>
      <c r="J263" t="s">
        <v>38</v>
      </c>
      <c r="K263" s="8">
        <f>Table2[[#This Row],[CurrentStock]]*Table2[[#This Row],[UnitPrice]]</f>
        <v>137723.4</v>
      </c>
      <c r="L263" t="str">
        <f>IF(Table2[[#This Row],[CurrentStock]]&lt;=Table2[[#This Row],[ReorderLevel]], "Reorder Needed", "Okay")</f>
        <v>Okay</v>
      </c>
      <c r="M263" t="str">
        <f>IF(Table2[[#This Row],[CurrentStock]]-Table2[[#This Row],[ReorderLevel]]&lt;0,Table2[[#This Row],[CurrentStock]]-Table2[[#This Row],[ReorderLevel]],"")</f>
        <v/>
      </c>
      <c r="N263" t="str">
        <f>IF(Table2[[#This Row],[Stock Gap]]&lt;0, "Understock","Okay")</f>
        <v>Okay</v>
      </c>
      <c r="O263" s="13" t="str">
        <f>IF(Table2[[#This Row],[Stock Gap]]&lt;0, "Yes", "No")</f>
        <v>No</v>
      </c>
      <c r="P263" s="13" t="str">
        <f>IF(Table2[[#This Row],[CurrentStock]]&lt;Table2[[#This Row],[ReorderLevel]],"Reorder", "Okay")</f>
        <v>Okay</v>
      </c>
      <c r="Q263" s="13" t="str">
        <f>IF(Table2[[#This Row],[CurrentStock]]&gt;Table2[[#This Row],[ReorderLevel]]*3, "Overstock", "Okay")</f>
        <v>Overstock</v>
      </c>
    </row>
    <row r="264" spans="1:17" x14ac:dyDescent="0.35">
      <c r="A264">
        <v>71627</v>
      </c>
      <c r="B264" t="s">
        <v>22</v>
      </c>
      <c r="C264" t="s">
        <v>29</v>
      </c>
      <c r="D264">
        <v>487</v>
      </c>
      <c r="E264">
        <v>150</v>
      </c>
      <c r="F264" s="2">
        <v>6.59</v>
      </c>
      <c r="G264" t="s">
        <v>34</v>
      </c>
      <c r="H264" s="1">
        <v>45329</v>
      </c>
      <c r="I264" s="1">
        <v>45337</v>
      </c>
      <c r="J264" t="s">
        <v>36</v>
      </c>
      <c r="K264" s="8">
        <f>Table2[[#This Row],[CurrentStock]]*Table2[[#This Row],[UnitPrice]]</f>
        <v>3209.33</v>
      </c>
      <c r="L264" t="str">
        <f>IF(Table2[[#This Row],[CurrentStock]]&lt;=Table2[[#This Row],[ReorderLevel]], "Reorder Needed", "Okay")</f>
        <v>Okay</v>
      </c>
      <c r="M264" t="str">
        <f>IF(Table2[[#This Row],[CurrentStock]]-Table2[[#This Row],[ReorderLevel]]&lt;0,Table2[[#This Row],[CurrentStock]]-Table2[[#This Row],[ReorderLevel]],"")</f>
        <v/>
      </c>
      <c r="N264" t="str">
        <f>IF(Table2[[#This Row],[Stock Gap]]&lt;0, "Understock","Okay")</f>
        <v>Okay</v>
      </c>
      <c r="O264" s="13" t="str">
        <f>IF(Table2[[#This Row],[Stock Gap]]&lt;0, "Yes", "No")</f>
        <v>No</v>
      </c>
      <c r="P264" s="13" t="str">
        <f>IF(Table2[[#This Row],[CurrentStock]]&lt;Table2[[#This Row],[ReorderLevel]],"Reorder", "Okay")</f>
        <v>Okay</v>
      </c>
      <c r="Q264" s="13" t="str">
        <f>IF(Table2[[#This Row],[CurrentStock]]&gt;Table2[[#This Row],[ReorderLevel]]*3, "Overstock", "Okay")</f>
        <v>Overstock</v>
      </c>
    </row>
    <row r="265" spans="1:17" x14ac:dyDescent="0.35">
      <c r="A265">
        <v>26087</v>
      </c>
      <c r="B265" t="s">
        <v>9</v>
      </c>
      <c r="C265" t="s">
        <v>26</v>
      </c>
      <c r="D265">
        <v>118</v>
      </c>
      <c r="E265">
        <v>150</v>
      </c>
      <c r="F265" s="2">
        <v>243.08</v>
      </c>
      <c r="G265" t="s">
        <v>35</v>
      </c>
      <c r="H265" s="1">
        <v>45305</v>
      </c>
      <c r="I265" s="1">
        <v>45312</v>
      </c>
      <c r="J265" t="s">
        <v>38</v>
      </c>
      <c r="K265" s="8">
        <f>Table2[[#This Row],[CurrentStock]]*Table2[[#This Row],[UnitPrice]]</f>
        <v>28683.440000000002</v>
      </c>
      <c r="L265" t="str">
        <f>IF(Table2[[#This Row],[CurrentStock]]&lt;=Table2[[#This Row],[ReorderLevel]], "Reorder Needed", "Okay")</f>
        <v>Reorder Needed</v>
      </c>
      <c r="M265" s="7">
        <f>IF(Table2[[#This Row],[CurrentStock]]-Table2[[#This Row],[ReorderLevel]]&lt;0,Table2[[#This Row],[CurrentStock]]-Table2[[#This Row],[ReorderLevel]],"")</f>
        <v>-32</v>
      </c>
      <c r="N265" t="str">
        <f>IF(Table2[[#This Row],[Stock Gap]]&lt;0, "Understock","Okay")</f>
        <v>Understock</v>
      </c>
      <c r="O265" s="13" t="str">
        <f>IF(Table2[[#This Row],[Stock Gap]]&lt;0, "Yes", "No")</f>
        <v>Yes</v>
      </c>
      <c r="P265" s="13" t="str">
        <f>IF(Table2[[#This Row],[CurrentStock]]&lt;Table2[[#This Row],[ReorderLevel]],"Reorder", "Okay")</f>
        <v>Reorder</v>
      </c>
      <c r="Q265" s="13" t="str">
        <f>IF(Table2[[#This Row],[CurrentStock]]&gt;Table2[[#This Row],[ReorderLevel]]*3, "Overstock", "Okay")</f>
        <v>Okay</v>
      </c>
    </row>
    <row r="266" spans="1:17" x14ac:dyDescent="0.35">
      <c r="A266">
        <v>24226</v>
      </c>
      <c r="B266" t="s">
        <v>10</v>
      </c>
      <c r="C266" t="s">
        <v>26</v>
      </c>
      <c r="D266">
        <v>375</v>
      </c>
      <c r="E266">
        <v>100</v>
      </c>
      <c r="F266" s="2">
        <v>245.87</v>
      </c>
      <c r="G266" t="s">
        <v>33</v>
      </c>
      <c r="H266" s="1">
        <v>45449</v>
      </c>
      <c r="I266" s="1">
        <v>45471</v>
      </c>
      <c r="J266" t="s">
        <v>37</v>
      </c>
      <c r="K266" s="8">
        <f>Table2[[#This Row],[CurrentStock]]*Table2[[#This Row],[UnitPrice]]</f>
        <v>92201.25</v>
      </c>
      <c r="L266" t="str">
        <f>IF(Table2[[#This Row],[CurrentStock]]&lt;=Table2[[#This Row],[ReorderLevel]], "Reorder Needed", "Okay")</f>
        <v>Okay</v>
      </c>
      <c r="M266" t="str">
        <f>IF(Table2[[#This Row],[CurrentStock]]-Table2[[#This Row],[ReorderLevel]]&lt;0,Table2[[#This Row],[CurrentStock]]-Table2[[#This Row],[ReorderLevel]],"")</f>
        <v/>
      </c>
      <c r="N266" t="str">
        <f>IF(Table2[[#This Row],[Stock Gap]]&lt;0, "Understock","Okay")</f>
        <v>Okay</v>
      </c>
      <c r="O266" s="13" t="str">
        <f>IF(Table2[[#This Row],[Stock Gap]]&lt;0, "Yes", "No")</f>
        <v>No</v>
      </c>
      <c r="P266" s="13" t="str">
        <f>IF(Table2[[#This Row],[CurrentStock]]&lt;Table2[[#This Row],[ReorderLevel]],"Reorder", "Okay")</f>
        <v>Okay</v>
      </c>
      <c r="Q266" s="13" t="str">
        <f>IF(Table2[[#This Row],[CurrentStock]]&gt;Table2[[#This Row],[ReorderLevel]]*3, "Overstock", "Okay")</f>
        <v>Overstock</v>
      </c>
    </row>
    <row r="267" spans="1:17" x14ac:dyDescent="0.35">
      <c r="A267">
        <v>76077</v>
      </c>
      <c r="B267" t="s">
        <v>18</v>
      </c>
      <c r="C267" t="s">
        <v>27</v>
      </c>
      <c r="D267">
        <v>365</v>
      </c>
      <c r="E267">
        <v>40</v>
      </c>
      <c r="F267" s="2">
        <v>33.979999999999997</v>
      </c>
      <c r="G267" t="s">
        <v>32</v>
      </c>
      <c r="H267" s="1">
        <v>45400</v>
      </c>
      <c r="I267" s="1">
        <v>45416</v>
      </c>
      <c r="J267" t="s">
        <v>38</v>
      </c>
      <c r="K267" s="8">
        <f>Table2[[#This Row],[CurrentStock]]*Table2[[#This Row],[UnitPrice]]</f>
        <v>12402.699999999999</v>
      </c>
      <c r="L267" t="str">
        <f>IF(Table2[[#This Row],[CurrentStock]]&lt;=Table2[[#This Row],[ReorderLevel]], "Reorder Needed", "Okay")</f>
        <v>Okay</v>
      </c>
      <c r="M267" t="str">
        <f>IF(Table2[[#This Row],[CurrentStock]]-Table2[[#This Row],[ReorderLevel]]&lt;0,Table2[[#This Row],[CurrentStock]]-Table2[[#This Row],[ReorderLevel]],"")</f>
        <v/>
      </c>
      <c r="N267" t="str">
        <f>IF(Table2[[#This Row],[Stock Gap]]&lt;0, "Understock","Okay")</f>
        <v>Okay</v>
      </c>
      <c r="O267" s="13" t="str">
        <f>IF(Table2[[#This Row],[Stock Gap]]&lt;0, "Yes", "No")</f>
        <v>No</v>
      </c>
      <c r="P267" s="13" t="str">
        <f>IF(Table2[[#This Row],[CurrentStock]]&lt;Table2[[#This Row],[ReorderLevel]],"Reorder", "Okay")</f>
        <v>Okay</v>
      </c>
      <c r="Q267" s="13" t="str">
        <f>IF(Table2[[#This Row],[CurrentStock]]&gt;Table2[[#This Row],[ReorderLevel]]*3, "Overstock", "Okay")</f>
        <v>Overstock</v>
      </c>
    </row>
    <row r="268" spans="1:17" x14ac:dyDescent="0.35">
      <c r="A268">
        <v>38854</v>
      </c>
      <c r="B268" t="s">
        <v>15</v>
      </c>
      <c r="C268" t="s">
        <v>29</v>
      </c>
      <c r="D268">
        <v>355</v>
      </c>
      <c r="E268">
        <v>40</v>
      </c>
      <c r="F268" s="2">
        <v>222.9</v>
      </c>
      <c r="G268" t="s">
        <v>34</v>
      </c>
      <c r="H268" s="1">
        <v>45519</v>
      </c>
      <c r="I268" s="1">
        <v>45553</v>
      </c>
      <c r="J268" t="s">
        <v>37</v>
      </c>
      <c r="K268" s="8">
        <f>Table2[[#This Row],[CurrentStock]]*Table2[[#This Row],[UnitPrice]]</f>
        <v>79129.5</v>
      </c>
      <c r="L268" t="str">
        <f>IF(Table2[[#This Row],[CurrentStock]]&lt;=Table2[[#This Row],[ReorderLevel]], "Reorder Needed", "Okay")</f>
        <v>Okay</v>
      </c>
      <c r="M268" t="str">
        <f>IF(Table2[[#This Row],[CurrentStock]]-Table2[[#This Row],[ReorderLevel]]&lt;0,Table2[[#This Row],[CurrentStock]]-Table2[[#This Row],[ReorderLevel]],"")</f>
        <v/>
      </c>
      <c r="N268" t="str">
        <f>IF(Table2[[#This Row],[Stock Gap]]&lt;0, "Understock","Okay")</f>
        <v>Okay</v>
      </c>
      <c r="O268" s="13" t="str">
        <f>IF(Table2[[#This Row],[Stock Gap]]&lt;0, "Yes", "No")</f>
        <v>No</v>
      </c>
      <c r="P268" s="13" t="str">
        <f>IF(Table2[[#This Row],[CurrentStock]]&lt;Table2[[#This Row],[ReorderLevel]],"Reorder", "Okay")</f>
        <v>Okay</v>
      </c>
      <c r="Q268" s="13" t="str">
        <f>IF(Table2[[#This Row],[CurrentStock]]&gt;Table2[[#This Row],[ReorderLevel]]*3, "Overstock", "Okay")</f>
        <v>Overstock</v>
      </c>
    </row>
    <row r="269" spans="1:17" x14ac:dyDescent="0.35">
      <c r="A269">
        <v>26184</v>
      </c>
      <c r="B269" t="s">
        <v>11</v>
      </c>
      <c r="C269" t="s">
        <v>27</v>
      </c>
      <c r="D269">
        <v>318</v>
      </c>
      <c r="E269">
        <v>50</v>
      </c>
      <c r="F269" s="2">
        <v>35.96</v>
      </c>
      <c r="G269" t="s">
        <v>33</v>
      </c>
      <c r="H269" s="1">
        <v>45542</v>
      </c>
      <c r="I269" s="1">
        <v>45557</v>
      </c>
      <c r="J269" t="s">
        <v>38</v>
      </c>
      <c r="K269" s="8">
        <f>Table2[[#This Row],[CurrentStock]]*Table2[[#This Row],[UnitPrice]]</f>
        <v>11435.28</v>
      </c>
      <c r="L269" t="str">
        <f>IF(Table2[[#This Row],[CurrentStock]]&lt;=Table2[[#This Row],[ReorderLevel]], "Reorder Needed", "Okay")</f>
        <v>Okay</v>
      </c>
      <c r="M269" t="str">
        <f>IF(Table2[[#This Row],[CurrentStock]]-Table2[[#This Row],[ReorderLevel]]&lt;0,Table2[[#This Row],[CurrentStock]]-Table2[[#This Row],[ReorderLevel]],"")</f>
        <v/>
      </c>
      <c r="N269" t="str">
        <f>IF(Table2[[#This Row],[Stock Gap]]&lt;0, "Understock","Okay")</f>
        <v>Okay</v>
      </c>
      <c r="O269" s="13" t="str">
        <f>IF(Table2[[#This Row],[Stock Gap]]&lt;0, "Yes", "No")</f>
        <v>No</v>
      </c>
      <c r="P269" s="13" t="str">
        <f>IF(Table2[[#This Row],[CurrentStock]]&lt;Table2[[#This Row],[ReorderLevel]],"Reorder", "Okay")</f>
        <v>Okay</v>
      </c>
      <c r="Q269" s="13" t="str">
        <f>IF(Table2[[#This Row],[CurrentStock]]&gt;Table2[[#This Row],[ReorderLevel]]*3, "Overstock", "Okay")</f>
        <v>Overstock</v>
      </c>
    </row>
    <row r="270" spans="1:17" x14ac:dyDescent="0.35">
      <c r="A270">
        <v>40254</v>
      </c>
      <c r="B270" t="s">
        <v>25</v>
      </c>
      <c r="C270" t="s">
        <v>29</v>
      </c>
      <c r="D270">
        <v>400</v>
      </c>
      <c r="E270">
        <v>100</v>
      </c>
      <c r="F270" s="2">
        <v>319.91000000000003</v>
      </c>
      <c r="G270" t="s">
        <v>33</v>
      </c>
      <c r="H270" s="1">
        <v>45531</v>
      </c>
      <c r="I270" s="1">
        <v>45562</v>
      </c>
      <c r="J270" t="s">
        <v>37</v>
      </c>
      <c r="K270" s="8">
        <f>Table2[[#This Row],[CurrentStock]]*Table2[[#This Row],[UnitPrice]]</f>
        <v>127964.00000000001</v>
      </c>
      <c r="L270" t="str">
        <f>IF(Table2[[#This Row],[CurrentStock]]&lt;=Table2[[#This Row],[ReorderLevel]], "Reorder Needed", "Okay")</f>
        <v>Okay</v>
      </c>
      <c r="M270" t="str">
        <f>IF(Table2[[#This Row],[CurrentStock]]-Table2[[#This Row],[ReorderLevel]]&lt;0,Table2[[#This Row],[CurrentStock]]-Table2[[#This Row],[ReorderLevel]],"")</f>
        <v/>
      </c>
      <c r="N270" t="str">
        <f>IF(Table2[[#This Row],[Stock Gap]]&lt;0, "Understock","Okay")</f>
        <v>Okay</v>
      </c>
      <c r="O270" s="13" t="str">
        <f>IF(Table2[[#This Row],[Stock Gap]]&lt;0, "Yes", "No")</f>
        <v>No</v>
      </c>
      <c r="P270" s="13" t="str">
        <f>IF(Table2[[#This Row],[CurrentStock]]&lt;Table2[[#This Row],[ReorderLevel]],"Reorder", "Okay")</f>
        <v>Okay</v>
      </c>
      <c r="Q270" s="13" t="str">
        <f>IF(Table2[[#This Row],[CurrentStock]]&gt;Table2[[#This Row],[ReorderLevel]]*3, "Overstock", "Okay")</f>
        <v>Overstock</v>
      </c>
    </row>
    <row r="271" spans="1:17" x14ac:dyDescent="0.35">
      <c r="A271">
        <v>44865</v>
      </c>
      <c r="B271" t="s">
        <v>11</v>
      </c>
      <c r="C271" t="s">
        <v>27</v>
      </c>
      <c r="D271">
        <v>399</v>
      </c>
      <c r="E271">
        <v>80</v>
      </c>
      <c r="F271" s="2">
        <v>96.32</v>
      </c>
      <c r="G271" t="s">
        <v>31</v>
      </c>
      <c r="H271" s="1">
        <v>45352</v>
      </c>
      <c r="I271" s="1">
        <v>45366</v>
      </c>
      <c r="J271" t="s">
        <v>36</v>
      </c>
      <c r="K271" s="8">
        <f>Table2[[#This Row],[CurrentStock]]*Table2[[#This Row],[UnitPrice]]</f>
        <v>38431.68</v>
      </c>
      <c r="L271" t="str">
        <f>IF(Table2[[#This Row],[CurrentStock]]&lt;=Table2[[#This Row],[ReorderLevel]], "Reorder Needed", "Okay")</f>
        <v>Okay</v>
      </c>
      <c r="M271" t="str">
        <f>IF(Table2[[#This Row],[CurrentStock]]-Table2[[#This Row],[ReorderLevel]]&lt;0,Table2[[#This Row],[CurrentStock]]-Table2[[#This Row],[ReorderLevel]],"")</f>
        <v/>
      </c>
      <c r="N271" t="str">
        <f>IF(Table2[[#This Row],[Stock Gap]]&lt;0, "Understock","Okay")</f>
        <v>Okay</v>
      </c>
      <c r="O271" s="13" t="str">
        <f>IF(Table2[[#This Row],[Stock Gap]]&lt;0, "Yes", "No")</f>
        <v>No</v>
      </c>
      <c r="P271" s="13" t="str">
        <f>IF(Table2[[#This Row],[CurrentStock]]&lt;Table2[[#This Row],[ReorderLevel]],"Reorder", "Okay")</f>
        <v>Okay</v>
      </c>
      <c r="Q271" s="13" t="str">
        <f>IF(Table2[[#This Row],[CurrentStock]]&gt;Table2[[#This Row],[ReorderLevel]]*3, "Overstock", "Okay")</f>
        <v>Overstock</v>
      </c>
    </row>
    <row r="272" spans="1:17" x14ac:dyDescent="0.35">
      <c r="A272">
        <v>93820</v>
      </c>
      <c r="B272" t="s">
        <v>19</v>
      </c>
      <c r="C272" t="s">
        <v>28</v>
      </c>
      <c r="D272">
        <v>349</v>
      </c>
      <c r="E272">
        <v>100</v>
      </c>
      <c r="F272" s="2">
        <v>295.31</v>
      </c>
      <c r="G272" t="s">
        <v>31</v>
      </c>
      <c r="H272" s="1">
        <v>45489</v>
      </c>
      <c r="I272" s="1">
        <v>45510</v>
      </c>
      <c r="J272" t="s">
        <v>36</v>
      </c>
      <c r="K272" s="8">
        <f>Table2[[#This Row],[CurrentStock]]*Table2[[#This Row],[UnitPrice]]</f>
        <v>103063.19</v>
      </c>
      <c r="L272" t="str">
        <f>IF(Table2[[#This Row],[CurrentStock]]&lt;=Table2[[#This Row],[ReorderLevel]], "Reorder Needed", "Okay")</f>
        <v>Okay</v>
      </c>
      <c r="M272" t="str">
        <f>IF(Table2[[#This Row],[CurrentStock]]-Table2[[#This Row],[ReorderLevel]]&lt;0,Table2[[#This Row],[CurrentStock]]-Table2[[#This Row],[ReorderLevel]],"")</f>
        <v/>
      </c>
      <c r="N272" t="str">
        <f>IF(Table2[[#This Row],[Stock Gap]]&lt;0, "Understock","Okay")</f>
        <v>Okay</v>
      </c>
      <c r="O272" s="13" t="str">
        <f>IF(Table2[[#This Row],[Stock Gap]]&lt;0, "Yes", "No")</f>
        <v>No</v>
      </c>
      <c r="P272" s="13" t="str">
        <f>IF(Table2[[#This Row],[CurrentStock]]&lt;Table2[[#This Row],[ReorderLevel]],"Reorder", "Okay")</f>
        <v>Okay</v>
      </c>
      <c r="Q272" s="13" t="str">
        <f>IF(Table2[[#This Row],[CurrentStock]]&gt;Table2[[#This Row],[ReorderLevel]]*3, "Overstock", "Okay")</f>
        <v>Overstock</v>
      </c>
    </row>
    <row r="273" spans="1:17" x14ac:dyDescent="0.35">
      <c r="A273">
        <v>17999</v>
      </c>
      <c r="B273" t="s">
        <v>14</v>
      </c>
      <c r="C273" t="s">
        <v>28</v>
      </c>
      <c r="D273">
        <v>34</v>
      </c>
      <c r="E273">
        <v>100</v>
      </c>
      <c r="F273" s="2">
        <v>116.64</v>
      </c>
      <c r="G273" t="s">
        <v>35</v>
      </c>
      <c r="H273" s="1">
        <v>45360</v>
      </c>
      <c r="I273" s="1">
        <v>45393</v>
      </c>
      <c r="J273" t="s">
        <v>36</v>
      </c>
      <c r="K273" s="8">
        <f>Table2[[#This Row],[CurrentStock]]*Table2[[#This Row],[UnitPrice]]</f>
        <v>3965.76</v>
      </c>
      <c r="L273" t="str">
        <f>IF(Table2[[#This Row],[CurrentStock]]&lt;=Table2[[#This Row],[ReorderLevel]], "Reorder Needed", "Okay")</f>
        <v>Reorder Needed</v>
      </c>
      <c r="M273" s="7">
        <f>IF(Table2[[#This Row],[CurrentStock]]-Table2[[#This Row],[ReorderLevel]]&lt;0,Table2[[#This Row],[CurrentStock]]-Table2[[#This Row],[ReorderLevel]],"")</f>
        <v>-66</v>
      </c>
      <c r="N273" t="str">
        <f>IF(Table2[[#This Row],[Stock Gap]]&lt;0, "Understock","Okay")</f>
        <v>Understock</v>
      </c>
      <c r="O273" s="13" t="str">
        <f>IF(Table2[[#This Row],[Stock Gap]]&lt;0, "Yes", "No")</f>
        <v>Yes</v>
      </c>
      <c r="P273" s="13" t="str">
        <f>IF(Table2[[#This Row],[CurrentStock]]&lt;Table2[[#This Row],[ReorderLevel]],"Reorder", "Okay")</f>
        <v>Reorder</v>
      </c>
      <c r="Q273" s="13" t="str">
        <f>IF(Table2[[#This Row],[CurrentStock]]&gt;Table2[[#This Row],[ReorderLevel]]*3, "Overstock", "Okay")</f>
        <v>Okay</v>
      </c>
    </row>
    <row r="274" spans="1:17" x14ac:dyDescent="0.35">
      <c r="A274">
        <v>39309</v>
      </c>
      <c r="B274" t="s">
        <v>22</v>
      </c>
      <c r="C274" t="s">
        <v>29</v>
      </c>
      <c r="D274">
        <v>191</v>
      </c>
      <c r="E274">
        <v>80</v>
      </c>
      <c r="F274" s="2">
        <v>354.48</v>
      </c>
      <c r="G274" t="s">
        <v>32</v>
      </c>
      <c r="H274" s="1">
        <v>45381</v>
      </c>
      <c r="I274" s="1">
        <v>45389</v>
      </c>
      <c r="J274" t="s">
        <v>37</v>
      </c>
      <c r="K274" s="8">
        <f>Table2[[#This Row],[CurrentStock]]*Table2[[#This Row],[UnitPrice]]</f>
        <v>67705.680000000008</v>
      </c>
      <c r="L274" t="str">
        <f>IF(Table2[[#This Row],[CurrentStock]]&lt;=Table2[[#This Row],[ReorderLevel]], "Reorder Needed", "Okay")</f>
        <v>Okay</v>
      </c>
      <c r="M274" t="str">
        <f>IF(Table2[[#This Row],[CurrentStock]]-Table2[[#This Row],[ReorderLevel]]&lt;0,Table2[[#This Row],[CurrentStock]]-Table2[[#This Row],[ReorderLevel]],"")</f>
        <v/>
      </c>
      <c r="N274" t="str">
        <f>IF(Table2[[#This Row],[Stock Gap]]&lt;0, "Understock","Okay")</f>
        <v>Okay</v>
      </c>
      <c r="O274" s="13" t="str">
        <f>IF(Table2[[#This Row],[Stock Gap]]&lt;0, "Yes", "No")</f>
        <v>No</v>
      </c>
      <c r="P274" s="13" t="str">
        <f>IF(Table2[[#This Row],[CurrentStock]]&lt;Table2[[#This Row],[ReorderLevel]],"Reorder", "Okay")</f>
        <v>Okay</v>
      </c>
      <c r="Q274" s="13" t="str">
        <f>IF(Table2[[#This Row],[CurrentStock]]&gt;Table2[[#This Row],[ReorderLevel]]*3, "Overstock", "Okay")</f>
        <v>Okay</v>
      </c>
    </row>
    <row r="275" spans="1:17" x14ac:dyDescent="0.35">
      <c r="A275">
        <v>77155</v>
      </c>
      <c r="B275" t="s">
        <v>17</v>
      </c>
      <c r="C275" t="s">
        <v>27</v>
      </c>
      <c r="D275">
        <v>99</v>
      </c>
      <c r="E275">
        <v>100</v>
      </c>
      <c r="F275" s="2">
        <v>33.35</v>
      </c>
      <c r="G275" t="s">
        <v>34</v>
      </c>
      <c r="H275" s="1">
        <v>45465</v>
      </c>
      <c r="I275" s="1">
        <v>45500</v>
      </c>
      <c r="J275" t="s">
        <v>36</v>
      </c>
      <c r="K275" s="8">
        <f>Table2[[#This Row],[CurrentStock]]*Table2[[#This Row],[UnitPrice]]</f>
        <v>3301.65</v>
      </c>
      <c r="L275" t="str">
        <f>IF(Table2[[#This Row],[CurrentStock]]&lt;=Table2[[#This Row],[ReorderLevel]], "Reorder Needed", "Okay")</f>
        <v>Reorder Needed</v>
      </c>
      <c r="M275" s="7">
        <f>IF(Table2[[#This Row],[CurrentStock]]-Table2[[#This Row],[ReorderLevel]]&lt;0,Table2[[#This Row],[CurrentStock]]-Table2[[#This Row],[ReorderLevel]],"")</f>
        <v>-1</v>
      </c>
      <c r="N275" t="str">
        <f>IF(Table2[[#This Row],[Stock Gap]]&lt;0, "Understock","Okay")</f>
        <v>Understock</v>
      </c>
      <c r="O275" s="13" t="str">
        <f>IF(Table2[[#This Row],[Stock Gap]]&lt;0, "Yes", "No")</f>
        <v>Yes</v>
      </c>
      <c r="P275" s="13" t="str">
        <f>IF(Table2[[#This Row],[CurrentStock]]&lt;Table2[[#This Row],[ReorderLevel]],"Reorder", "Okay")</f>
        <v>Reorder</v>
      </c>
      <c r="Q275" s="13" t="str">
        <f>IF(Table2[[#This Row],[CurrentStock]]&gt;Table2[[#This Row],[ReorderLevel]]*3, "Overstock", "Okay")</f>
        <v>Okay</v>
      </c>
    </row>
    <row r="276" spans="1:17" x14ac:dyDescent="0.35">
      <c r="A276">
        <v>83997</v>
      </c>
      <c r="B276" t="s">
        <v>13</v>
      </c>
      <c r="C276" t="s">
        <v>26</v>
      </c>
      <c r="D276">
        <v>413</v>
      </c>
      <c r="E276">
        <v>100</v>
      </c>
      <c r="F276" s="2">
        <v>134.54</v>
      </c>
      <c r="G276" t="s">
        <v>32</v>
      </c>
      <c r="H276" s="1">
        <v>45454</v>
      </c>
      <c r="I276" s="1">
        <v>45486</v>
      </c>
      <c r="J276" t="s">
        <v>38</v>
      </c>
      <c r="K276" s="8">
        <f>Table2[[#This Row],[CurrentStock]]*Table2[[#This Row],[UnitPrice]]</f>
        <v>55565.02</v>
      </c>
      <c r="L276" t="str">
        <f>IF(Table2[[#This Row],[CurrentStock]]&lt;=Table2[[#This Row],[ReorderLevel]], "Reorder Needed", "Okay")</f>
        <v>Okay</v>
      </c>
      <c r="M276" t="str">
        <f>IF(Table2[[#This Row],[CurrentStock]]-Table2[[#This Row],[ReorderLevel]]&lt;0,Table2[[#This Row],[CurrentStock]]-Table2[[#This Row],[ReorderLevel]],"")</f>
        <v/>
      </c>
      <c r="N276" t="str">
        <f>IF(Table2[[#This Row],[Stock Gap]]&lt;0, "Understock","Okay")</f>
        <v>Okay</v>
      </c>
      <c r="O276" s="13" t="str">
        <f>IF(Table2[[#This Row],[Stock Gap]]&lt;0, "Yes", "No")</f>
        <v>No</v>
      </c>
      <c r="P276" s="13" t="str">
        <f>IF(Table2[[#This Row],[CurrentStock]]&lt;Table2[[#This Row],[ReorderLevel]],"Reorder", "Okay")</f>
        <v>Okay</v>
      </c>
      <c r="Q276" s="13" t="str">
        <f>IF(Table2[[#This Row],[CurrentStock]]&gt;Table2[[#This Row],[ReorderLevel]]*3, "Overstock", "Okay")</f>
        <v>Overstock</v>
      </c>
    </row>
    <row r="277" spans="1:17" x14ac:dyDescent="0.35">
      <c r="A277">
        <v>50785</v>
      </c>
      <c r="B277" t="s">
        <v>23</v>
      </c>
      <c r="C277" t="s">
        <v>30</v>
      </c>
      <c r="D277">
        <v>204</v>
      </c>
      <c r="E277">
        <v>100</v>
      </c>
      <c r="F277" s="2">
        <v>37.36</v>
      </c>
      <c r="G277" t="s">
        <v>32</v>
      </c>
      <c r="H277" s="1">
        <v>45592</v>
      </c>
      <c r="I277" s="1">
        <v>45616</v>
      </c>
      <c r="J277" t="s">
        <v>37</v>
      </c>
      <c r="K277" s="8">
        <f>Table2[[#This Row],[CurrentStock]]*Table2[[#This Row],[UnitPrice]]</f>
        <v>7621.44</v>
      </c>
      <c r="L277" t="str">
        <f>IF(Table2[[#This Row],[CurrentStock]]&lt;=Table2[[#This Row],[ReorderLevel]], "Reorder Needed", "Okay")</f>
        <v>Okay</v>
      </c>
      <c r="M277" t="str">
        <f>IF(Table2[[#This Row],[CurrentStock]]-Table2[[#This Row],[ReorderLevel]]&lt;0,Table2[[#This Row],[CurrentStock]]-Table2[[#This Row],[ReorderLevel]],"")</f>
        <v/>
      </c>
      <c r="N277" t="str">
        <f>IF(Table2[[#This Row],[Stock Gap]]&lt;0, "Understock","Okay")</f>
        <v>Okay</v>
      </c>
      <c r="O277" s="13" t="str">
        <f>IF(Table2[[#This Row],[Stock Gap]]&lt;0, "Yes", "No")</f>
        <v>No</v>
      </c>
      <c r="P277" s="13" t="str">
        <f>IF(Table2[[#This Row],[CurrentStock]]&lt;Table2[[#This Row],[ReorderLevel]],"Reorder", "Okay")</f>
        <v>Okay</v>
      </c>
      <c r="Q277" s="13" t="str">
        <f>IF(Table2[[#This Row],[CurrentStock]]&gt;Table2[[#This Row],[ReorderLevel]]*3, "Overstock", "Okay")</f>
        <v>Okay</v>
      </c>
    </row>
    <row r="278" spans="1:17" x14ac:dyDescent="0.35">
      <c r="A278">
        <v>24289</v>
      </c>
      <c r="B278" t="s">
        <v>17</v>
      </c>
      <c r="C278" t="s">
        <v>27</v>
      </c>
      <c r="D278">
        <v>195</v>
      </c>
      <c r="E278">
        <v>30</v>
      </c>
      <c r="F278" s="2">
        <v>208.49</v>
      </c>
      <c r="G278" t="s">
        <v>31</v>
      </c>
      <c r="H278" s="1">
        <v>45298</v>
      </c>
      <c r="I278" s="1">
        <v>45308</v>
      </c>
      <c r="J278" t="s">
        <v>37</v>
      </c>
      <c r="K278" s="8">
        <f>Table2[[#This Row],[CurrentStock]]*Table2[[#This Row],[UnitPrice]]</f>
        <v>40655.550000000003</v>
      </c>
      <c r="L278" t="str">
        <f>IF(Table2[[#This Row],[CurrentStock]]&lt;=Table2[[#This Row],[ReorderLevel]], "Reorder Needed", "Okay")</f>
        <v>Okay</v>
      </c>
      <c r="M278" t="str">
        <f>IF(Table2[[#This Row],[CurrentStock]]-Table2[[#This Row],[ReorderLevel]]&lt;0,Table2[[#This Row],[CurrentStock]]-Table2[[#This Row],[ReorderLevel]],"")</f>
        <v/>
      </c>
      <c r="N278" t="str">
        <f>IF(Table2[[#This Row],[Stock Gap]]&lt;0, "Understock","Okay")</f>
        <v>Okay</v>
      </c>
      <c r="O278" s="13" t="str">
        <f>IF(Table2[[#This Row],[Stock Gap]]&lt;0, "Yes", "No")</f>
        <v>No</v>
      </c>
      <c r="P278" s="13" t="str">
        <f>IF(Table2[[#This Row],[CurrentStock]]&lt;Table2[[#This Row],[ReorderLevel]],"Reorder", "Okay")</f>
        <v>Okay</v>
      </c>
      <c r="Q278" s="13" t="str">
        <f>IF(Table2[[#This Row],[CurrentStock]]&gt;Table2[[#This Row],[ReorderLevel]]*3, "Overstock", "Okay")</f>
        <v>Overstock</v>
      </c>
    </row>
    <row r="279" spans="1:17" x14ac:dyDescent="0.35">
      <c r="A279">
        <v>38228</v>
      </c>
      <c r="B279" t="s">
        <v>22</v>
      </c>
      <c r="C279" t="s">
        <v>29</v>
      </c>
      <c r="D279">
        <v>153</v>
      </c>
      <c r="E279">
        <v>50</v>
      </c>
      <c r="F279" s="2">
        <v>394.92</v>
      </c>
      <c r="G279" t="s">
        <v>31</v>
      </c>
      <c r="H279" s="1">
        <v>45433</v>
      </c>
      <c r="I279" s="1">
        <v>45458</v>
      </c>
      <c r="J279" t="s">
        <v>37</v>
      </c>
      <c r="K279" s="8">
        <f>Table2[[#This Row],[CurrentStock]]*Table2[[#This Row],[UnitPrice]]</f>
        <v>60422.76</v>
      </c>
      <c r="L279" t="str">
        <f>IF(Table2[[#This Row],[CurrentStock]]&lt;=Table2[[#This Row],[ReorderLevel]], "Reorder Needed", "Okay")</f>
        <v>Okay</v>
      </c>
      <c r="M279" t="str">
        <f>IF(Table2[[#This Row],[CurrentStock]]-Table2[[#This Row],[ReorderLevel]]&lt;0,Table2[[#This Row],[CurrentStock]]-Table2[[#This Row],[ReorderLevel]],"")</f>
        <v/>
      </c>
      <c r="N279" t="str">
        <f>IF(Table2[[#This Row],[Stock Gap]]&lt;0, "Understock","Okay")</f>
        <v>Okay</v>
      </c>
      <c r="O279" s="13" t="str">
        <f>IF(Table2[[#This Row],[Stock Gap]]&lt;0, "Yes", "No")</f>
        <v>No</v>
      </c>
      <c r="P279" s="13" t="str">
        <f>IF(Table2[[#This Row],[CurrentStock]]&lt;Table2[[#This Row],[ReorderLevel]],"Reorder", "Okay")</f>
        <v>Okay</v>
      </c>
      <c r="Q279" s="13" t="str">
        <f>IF(Table2[[#This Row],[CurrentStock]]&gt;Table2[[#This Row],[ReorderLevel]]*3, "Overstock", "Okay")</f>
        <v>Overstock</v>
      </c>
    </row>
    <row r="280" spans="1:17" x14ac:dyDescent="0.35">
      <c r="A280">
        <v>39055</v>
      </c>
      <c r="B280" t="s">
        <v>23</v>
      </c>
      <c r="C280" t="s">
        <v>30</v>
      </c>
      <c r="D280">
        <v>471</v>
      </c>
      <c r="E280">
        <v>20</v>
      </c>
      <c r="F280" s="2">
        <v>234.65</v>
      </c>
      <c r="G280" t="s">
        <v>33</v>
      </c>
      <c r="H280" s="1">
        <v>45636</v>
      </c>
      <c r="I280" s="1">
        <v>45661</v>
      </c>
      <c r="J280" t="s">
        <v>36</v>
      </c>
      <c r="K280" s="8">
        <f>Table2[[#This Row],[CurrentStock]]*Table2[[#This Row],[UnitPrice]]</f>
        <v>110520.15000000001</v>
      </c>
      <c r="L280" t="str">
        <f>IF(Table2[[#This Row],[CurrentStock]]&lt;=Table2[[#This Row],[ReorderLevel]], "Reorder Needed", "Okay")</f>
        <v>Okay</v>
      </c>
      <c r="M280" t="str">
        <f>IF(Table2[[#This Row],[CurrentStock]]-Table2[[#This Row],[ReorderLevel]]&lt;0,Table2[[#This Row],[CurrentStock]]-Table2[[#This Row],[ReorderLevel]],"")</f>
        <v/>
      </c>
      <c r="N280" t="str">
        <f>IF(Table2[[#This Row],[Stock Gap]]&lt;0, "Understock","Okay")</f>
        <v>Okay</v>
      </c>
      <c r="O280" s="13" t="str">
        <f>IF(Table2[[#This Row],[Stock Gap]]&lt;0, "Yes", "No")</f>
        <v>No</v>
      </c>
      <c r="P280" s="13" t="str">
        <f>IF(Table2[[#This Row],[CurrentStock]]&lt;Table2[[#This Row],[ReorderLevel]],"Reorder", "Okay")</f>
        <v>Okay</v>
      </c>
      <c r="Q280" s="13" t="str">
        <f>IF(Table2[[#This Row],[CurrentStock]]&gt;Table2[[#This Row],[ReorderLevel]]*3, "Overstock", "Okay")</f>
        <v>Overstock</v>
      </c>
    </row>
    <row r="281" spans="1:17" x14ac:dyDescent="0.35">
      <c r="A281">
        <v>29446</v>
      </c>
      <c r="B281" t="s">
        <v>25</v>
      </c>
      <c r="C281" t="s">
        <v>29</v>
      </c>
      <c r="D281">
        <v>160</v>
      </c>
      <c r="E281">
        <v>30</v>
      </c>
      <c r="F281" s="2">
        <v>361.4</v>
      </c>
      <c r="G281" t="s">
        <v>34</v>
      </c>
      <c r="H281" s="1">
        <v>45618</v>
      </c>
      <c r="I281" s="1">
        <v>45644</v>
      </c>
      <c r="J281" t="s">
        <v>36</v>
      </c>
      <c r="K281" s="8">
        <f>Table2[[#This Row],[CurrentStock]]*Table2[[#This Row],[UnitPrice]]</f>
        <v>57824</v>
      </c>
      <c r="L281" t="str">
        <f>IF(Table2[[#This Row],[CurrentStock]]&lt;=Table2[[#This Row],[ReorderLevel]], "Reorder Needed", "Okay")</f>
        <v>Okay</v>
      </c>
      <c r="M281" t="str">
        <f>IF(Table2[[#This Row],[CurrentStock]]-Table2[[#This Row],[ReorderLevel]]&lt;0,Table2[[#This Row],[CurrentStock]]-Table2[[#This Row],[ReorderLevel]],"")</f>
        <v/>
      </c>
      <c r="N281" t="str">
        <f>IF(Table2[[#This Row],[Stock Gap]]&lt;0, "Understock","Okay")</f>
        <v>Okay</v>
      </c>
      <c r="O281" s="13" t="str">
        <f>IF(Table2[[#This Row],[Stock Gap]]&lt;0, "Yes", "No")</f>
        <v>No</v>
      </c>
      <c r="P281" s="13" t="str">
        <f>IF(Table2[[#This Row],[CurrentStock]]&lt;Table2[[#This Row],[ReorderLevel]],"Reorder", "Okay")</f>
        <v>Okay</v>
      </c>
      <c r="Q281" s="13" t="str">
        <f>IF(Table2[[#This Row],[CurrentStock]]&gt;Table2[[#This Row],[ReorderLevel]]*3, "Overstock", "Okay")</f>
        <v>Overstock</v>
      </c>
    </row>
    <row r="282" spans="1:17" x14ac:dyDescent="0.35">
      <c r="A282">
        <v>55232</v>
      </c>
      <c r="B282" t="s">
        <v>25</v>
      </c>
      <c r="C282" t="s">
        <v>29</v>
      </c>
      <c r="D282">
        <v>353</v>
      </c>
      <c r="E282">
        <v>50</v>
      </c>
      <c r="F282" s="2">
        <v>362.79</v>
      </c>
      <c r="G282" t="s">
        <v>34</v>
      </c>
      <c r="H282" s="1">
        <v>45460</v>
      </c>
      <c r="I282" s="1">
        <v>45486</v>
      </c>
      <c r="J282" t="s">
        <v>38</v>
      </c>
      <c r="K282" s="8">
        <f>Table2[[#This Row],[CurrentStock]]*Table2[[#This Row],[UnitPrice]]</f>
        <v>128064.87000000001</v>
      </c>
      <c r="L282" t="str">
        <f>IF(Table2[[#This Row],[CurrentStock]]&lt;=Table2[[#This Row],[ReorderLevel]], "Reorder Needed", "Okay")</f>
        <v>Okay</v>
      </c>
      <c r="M282" t="str">
        <f>IF(Table2[[#This Row],[CurrentStock]]-Table2[[#This Row],[ReorderLevel]]&lt;0,Table2[[#This Row],[CurrentStock]]-Table2[[#This Row],[ReorderLevel]],"")</f>
        <v/>
      </c>
      <c r="N282" t="str">
        <f>IF(Table2[[#This Row],[Stock Gap]]&lt;0, "Understock","Okay")</f>
        <v>Okay</v>
      </c>
      <c r="O282" s="13" t="str">
        <f>IF(Table2[[#This Row],[Stock Gap]]&lt;0, "Yes", "No")</f>
        <v>No</v>
      </c>
      <c r="P282" s="13" t="str">
        <f>IF(Table2[[#This Row],[CurrentStock]]&lt;Table2[[#This Row],[ReorderLevel]],"Reorder", "Okay")</f>
        <v>Okay</v>
      </c>
      <c r="Q282" s="13" t="str">
        <f>IF(Table2[[#This Row],[CurrentStock]]&gt;Table2[[#This Row],[ReorderLevel]]*3, "Overstock", "Okay")</f>
        <v>Overstock</v>
      </c>
    </row>
    <row r="283" spans="1:17" x14ac:dyDescent="0.35">
      <c r="A283">
        <v>75633</v>
      </c>
      <c r="B283" t="s">
        <v>23</v>
      </c>
      <c r="C283" t="s">
        <v>30</v>
      </c>
      <c r="D283">
        <v>329</v>
      </c>
      <c r="E283">
        <v>80</v>
      </c>
      <c r="F283" s="2">
        <v>74.78</v>
      </c>
      <c r="G283" t="s">
        <v>31</v>
      </c>
      <c r="H283" s="1">
        <v>45313</v>
      </c>
      <c r="I283" s="1">
        <v>45319</v>
      </c>
      <c r="J283" t="s">
        <v>36</v>
      </c>
      <c r="K283" s="8">
        <f>Table2[[#This Row],[CurrentStock]]*Table2[[#This Row],[UnitPrice]]</f>
        <v>24602.62</v>
      </c>
      <c r="L283" t="str">
        <f>IF(Table2[[#This Row],[CurrentStock]]&lt;=Table2[[#This Row],[ReorderLevel]], "Reorder Needed", "Okay")</f>
        <v>Okay</v>
      </c>
      <c r="M283" t="str">
        <f>IF(Table2[[#This Row],[CurrentStock]]-Table2[[#This Row],[ReorderLevel]]&lt;0,Table2[[#This Row],[CurrentStock]]-Table2[[#This Row],[ReorderLevel]],"")</f>
        <v/>
      </c>
      <c r="N283" t="str">
        <f>IF(Table2[[#This Row],[Stock Gap]]&lt;0, "Understock","Okay")</f>
        <v>Okay</v>
      </c>
      <c r="O283" s="13" t="str">
        <f>IF(Table2[[#This Row],[Stock Gap]]&lt;0, "Yes", "No")</f>
        <v>No</v>
      </c>
      <c r="P283" s="13" t="str">
        <f>IF(Table2[[#This Row],[CurrentStock]]&lt;Table2[[#This Row],[ReorderLevel]],"Reorder", "Okay")</f>
        <v>Okay</v>
      </c>
      <c r="Q283" s="13" t="str">
        <f>IF(Table2[[#This Row],[CurrentStock]]&gt;Table2[[#This Row],[ReorderLevel]]*3, "Overstock", "Okay")</f>
        <v>Overstock</v>
      </c>
    </row>
    <row r="284" spans="1:17" x14ac:dyDescent="0.35">
      <c r="A284">
        <v>77263</v>
      </c>
      <c r="B284" t="s">
        <v>10</v>
      </c>
      <c r="C284" t="s">
        <v>26</v>
      </c>
      <c r="D284">
        <v>494</v>
      </c>
      <c r="E284">
        <v>100</v>
      </c>
      <c r="F284" s="2">
        <v>404.17</v>
      </c>
      <c r="G284" t="s">
        <v>31</v>
      </c>
      <c r="H284" s="1">
        <v>45429</v>
      </c>
      <c r="I284" s="1">
        <v>45468</v>
      </c>
      <c r="J284" t="s">
        <v>37</v>
      </c>
      <c r="K284" s="8">
        <f>Table2[[#This Row],[CurrentStock]]*Table2[[#This Row],[UnitPrice]]</f>
        <v>199659.98</v>
      </c>
      <c r="L284" t="str">
        <f>IF(Table2[[#This Row],[CurrentStock]]&lt;=Table2[[#This Row],[ReorderLevel]], "Reorder Needed", "Okay")</f>
        <v>Okay</v>
      </c>
      <c r="M284" t="str">
        <f>IF(Table2[[#This Row],[CurrentStock]]-Table2[[#This Row],[ReorderLevel]]&lt;0,Table2[[#This Row],[CurrentStock]]-Table2[[#This Row],[ReorderLevel]],"")</f>
        <v/>
      </c>
      <c r="N284" t="str">
        <f>IF(Table2[[#This Row],[Stock Gap]]&lt;0, "Understock","Okay")</f>
        <v>Okay</v>
      </c>
      <c r="O284" s="13" t="str">
        <f>IF(Table2[[#This Row],[Stock Gap]]&lt;0, "Yes", "No")</f>
        <v>No</v>
      </c>
      <c r="P284" s="13" t="str">
        <f>IF(Table2[[#This Row],[CurrentStock]]&lt;Table2[[#This Row],[ReorderLevel]],"Reorder", "Okay")</f>
        <v>Okay</v>
      </c>
      <c r="Q284" s="13" t="str">
        <f>IF(Table2[[#This Row],[CurrentStock]]&gt;Table2[[#This Row],[ReorderLevel]]*3, "Overstock", "Okay")</f>
        <v>Overstock</v>
      </c>
    </row>
    <row r="285" spans="1:17" x14ac:dyDescent="0.35">
      <c r="A285">
        <v>15774</v>
      </c>
      <c r="B285" t="s">
        <v>18</v>
      </c>
      <c r="C285" t="s">
        <v>27</v>
      </c>
      <c r="D285">
        <v>276</v>
      </c>
      <c r="E285">
        <v>50</v>
      </c>
      <c r="F285" s="2">
        <v>274.7</v>
      </c>
      <c r="G285" t="s">
        <v>35</v>
      </c>
      <c r="H285" s="1">
        <v>45359</v>
      </c>
      <c r="I285" s="1">
        <v>45385</v>
      </c>
      <c r="J285" t="s">
        <v>37</v>
      </c>
      <c r="K285" s="8">
        <f>Table2[[#This Row],[CurrentStock]]*Table2[[#This Row],[UnitPrice]]</f>
        <v>75817.2</v>
      </c>
      <c r="L285" t="str">
        <f>IF(Table2[[#This Row],[CurrentStock]]&lt;=Table2[[#This Row],[ReorderLevel]], "Reorder Needed", "Okay")</f>
        <v>Okay</v>
      </c>
      <c r="M285" t="str">
        <f>IF(Table2[[#This Row],[CurrentStock]]-Table2[[#This Row],[ReorderLevel]]&lt;0,Table2[[#This Row],[CurrentStock]]-Table2[[#This Row],[ReorderLevel]],"")</f>
        <v/>
      </c>
      <c r="N285" t="str">
        <f>IF(Table2[[#This Row],[Stock Gap]]&lt;0, "Understock","Okay")</f>
        <v>Okay</v>
      </c>
      <c r="O285" s="13" t="str">
        <f>IF(Table2[[#This Row],[Stock Gap]]&lt;0, "Yes", "No")</f>
        <v>No</v>
      </c>
      <c r="P285" s="13" t="str">
        <f>IF(Table2[[#This Row],[CurrentStock]]&lt;Table2[[#This Row],[ReorderLevel]],"Reorder", "Okay")</f>
        <v>Okay</v>
      </c>
      <c r="Q285" s="13" t="str">
        <f>IF(Table2[[#This Row],[CurrentStock]]&gt;Table2[[#This Row],[ReorderLevel]]*3, "Overstock", "Okay")</f>
        <v>Overstock</v>
      </c>
    </row>
    <row r="286" spans="1:17" x14ac:dyDescent="0.35">
      <c r="A286">
        <v>49961</v>
      </c>
      <c r="B286" t="s">
        <v>10</v>
      </c>
      <c r="C286" t="s">
        <v>26</v>
      </c>
      <c r="D286">
        <v>269</v>
      </c>
      <c r="E286">
        <v>40</v>
      </c>
      <c r="F286" s="2">
        <v>473.59</v>
      </c>
      <c r="G286" t="s">
        <v>34</v>
      </c>
      <c r="H286" s="1">
        <v>45459</v>
      </c>
      <c r="I286" s="1">
        <v>45491</v>
      </c>
      <c r="J286" t="s">
        <v>37</v>
      </c>
      <c r="K286" s="8">
        <f>Table2[[#This Row],[CurrentStock]]*Table2[[#This Row],[UnitPrice]]</f>
        <v>127395.70999999999</v>
      </c>
      <c r="L286" t="str">
        <f>IF(Table2[[#This Row],[CurrentStock]]&lt;=Table2[[#This Row],[ReorderLevel]], "Reorder Needed", "Okay")</f>
        <v>Okay</v>
      </c>
      <c r="M286" t="str">
        <f>IF(Table2[[#This Row],[CurrentStock]]-Table2[[#This Row],[ReorderLevel]]&lt;0,Table2[[#This Row],[CurrentStock]]-Table2[[#This Row],[ReorderLevel]],"")</f>
        <v/>
      </c>
      <c r="N286" t="str">
        <f>IF(Table2[[#This Row],[Stock Gap]]&lt;0, "Understock","Okay")</f>
        <v>Okay</v>
      </c>
      <c r="O286" s="13" t="str">
        <f>IF(Table2[[#This Row],[Stock Gap]]&lt;0, "Yes", "No")</f>
        <v>No</v>
      </c>
      <c r="P286" s="13" t="str">
        <f>IF(Table2[[#This Row],[CurrentStock]]&lt;Table2[[#This Row],[ReorderLevel]],"Reorder", "Okay")</f>
        <v>Okay</v>
      </c>
      <c r="Q286" s="13" t="str">
        <f>IF(Table2[[#This Row],[CurrentStock]]&gt;Table2[[#This Row],[ReorderLevel]]*3, "Overstock", "Okay")</f>
        <v>Overstock</v>
      </c>
    </row>
    <row r="287" spans="1:17" x14ac:dyDescent="0.35">
      <c r="A287">
        <v>60729</v>
      </c>
      <c r="B287" t="s">
        <v>23</v>
      </c>
      <c r="C287" t="s">
        <v>30</v>
      </c>
      <c r="D287">
        <v>247</v>
      </c>
      <c r="E287">
        <v>100</v>
      </c>
      <c r="F287" s="2">
        <v>175.11</v>
      </c>
      <c r="G287" t="s">
        <v>33</v>
      </c>
      <c r="H287" s="1">
        <v>45335</v>
      </c>
      <c r="I287" s="1">
        <v>45372</v>
      </c>
      <c r="J287" t="s">
        <v>37</v>
      </c>
      <c r="K287" s="8">
        <f>Table2[[#This Row],[CurrentStock]]*Table2[[#This Row],[UnitPrice]]</f>
        <v>43252.170000000006</v>
      </c>
      <c r="L287" t="str">
        <f>IF(Table2[[#This Row],[CurrentStock]]&lt;=Table2[[#This Row],[ReorderLevel]], "Reorder Needed", "Okay")</f>
        <v>Okay</v>
      </c>
      <c r="M287" t="str">
        <f>IF(Table2[[#This Row],[CurrentStock]]-Table2[[#This Row],[ReorderLevel]]&lt;0,Table2[[#This Row],[CurrentStock]]-Table2[[#This Row],[ReorderLevel]],"")</f>
        <v/>
      </c>
      <c r="N287" t="str">
        <f>IF(Table2[[#This Row],[Stock Gap]]&lt;0, "Understock","Okay")</f>
        <v>Okay</v>
      </c>
      <c r="O287" s="13" t="str">
        <f>IF(Table2[[#This Row],[Stock Gap]]&lt;0, "Yes", "No")</f>
        <v>No</v>
      </c>
      <c r="P287" s="13" t="str">
        <f>IF(Table2[[#This Row],[CurrentStock]]&lt;Table2[[#This Row],[ReorderLevel]],"Reorder", "Okay")</f>
        <v>Okay</v>
      </c>
      <c r="Q287" s="13" t="str">
        <f>IF(Table2[[#This Row],[CurrentStock]]&gt;Table2[[#This Row],[ReorderLevel]]*3, "Overstock", "Okay")</f>
        <v>Okay</v>
      </c>
    </row>
    <row r="288" spans="1:17" x14ac:dyDescent="0.35">
      <c r="A288">
        <v>12551</v>
      </c>
      <c r="B288" t="s">
        <v>21</v>
      </c>
      <c r="C288" t="s">
        <v>26</v>
      </c>
      <c r="D288">
        <v>88</v>
      </c>
      <c r="E288">
        <v>40</v>
      </c>
      <c r="F288" s="2">
        <v>193.31</v>
      </c>
      <c r="G288" t="s">
        <v>33</v>
      </c>
      <c r="H288" s="1">
        <v>45488</v>
      </c>
      <c r="I288" s="1">
        <v>45503</v>
      </c>
      <c r="J288" t="s">
        <v>38</v>
      </c>
      <c r="K288" s="8">
        <f>Table2[[#This Row],[CurrentStock]]*Table2[[#This Row],[UnitPrice]]</f>
        <v>17011.28</v>
      </c>
      <c r="L288" t="str">
        <f>IF(Table2[[#This Row],[CurrentStock]]&lt;=Table2[[#This Row],[ReorderLevel]], "Reorder Needed", "Okay")</f>
        <v>Okay</v>
      </c>
      <c r="M288" t="str">
        <f>IF(Table2[[#This Row],[CurrentStock]]-Table2[[#This Row],[ReorderLevel]]&lt;0,Table2[[#This Row],[CurrentStock]]-Table2[[#This Row],[ReorderLevel]],"")</f>
        <v/>
      </c>
      <c r="N288" t="str">
        <f>IF(Table2[[#This Row],[Stock Gap]]&lt;0, "Understock","Okay")</f>
        <v>Okay</v>
      </c>
      <c r="O288" s="13" t="str">
        <f>IF(Table2[[#This Row],[Stock Gap]]&lt;0, "Yes", "No")</f>
        <v>No</v>
      </c>
      <c r="P288" s="13" t="str">
        <f>IF(Table2[[#This Row],[CurrentStock]]&lt;Table2[[#This Row],[ReorderLevel]],"Reorder", "Okay")</f>
        <v>Okay</v>
      </c>
      <c r="Q288" s="13" t="str">
        <f>IF(Table2[[#This Row],[CurrentStock]]&gt;Table2[[#This Row],[ReorderLevel]]*3, "Overstock", "Okay")</f>
        <v>Okay</v>
      </c>
    </row>
    <row r="289" spans="1:17" x14ac:dyDescent="0.35">
      <c r="A289">
        <v>31038</v>
      </c>
      <c r="B289" t="s">
        <v>10</v>
      </c>
      <c r="C289" t="s">
        <v>26</v>
      </c>
      <c r="D289">
        <v>296</v>
      </c>
      <c r="E289">
        <v>50</v>
      </c>
      <c r="F289" s="2">
        <v>141.84</v>
      </c>
      <c r="G289" t="s">
        <v>32</v>
      </c>
      <c r="H289" s="1">
        <v>45363</v>
      </c>
      <c r="I289" s="1">
        <v>45376</v>
      </c>
      <c r="J289" t="s">
        <v>38</v>
      </c>
      <c r="K289" s="8">
        <f>Table2[[#This Row],[CurrentStock]]*Table2[[#This Row],[UnitPrice]]</f>
        <v>41984.639999999999</v>
      </c>
      <c r="L289" t="str">
        <f>IF(Table2[[#This Row],[CurrentStock]]&lt;=Table2[[#This Row],[ReorderLevel]], "Reorder Needed", "Okay")</f>
        <v>Okay</v>
      </c>
      <c r="M289" t="str">
        <f>IF(Table2[[#This Row],[CurrentStock]]-Table2[[#This Row],[ReorderLevel]]&lt;0,Table2[[#This Row],[CurrentStock]]-Table2[[#This Row],[ReorderLevel]],"")</f>
        <v/>
      </c>
      <c r="N289" t="str">
        <f>IF(Table2[[#This Row],[Stock Gap]]&lt;0, "Understock","Okay")</f>
        <v>Okay</v>
      </c>
      <c r="O289" s="13" t="str">
        <f>IF(Table2[[#This Row],[Stock Gap]]&lt;0, "Yes", "No")</f>
        <v>No</v>
      </c>
      <c r="P289" s="13" t="str">
        <f>IF(Table2[[#This Row],[CurrentStock]]&lt;Table2[[#This Row],[ReorderLevel]],"Reorder", "Okay")</f>
        <v>Okay</v>
      </c>
      <c r="Q289" s="13" t="str">
        <f>IF(Table2[[#This Row],[CurrentStock]]&gt;Table2[[#This Row],[ReorderLevel]]*3, "Overstock", "Okay")</f>
        <v>Overstock</v>
      </c>
    </row>
    <row r="290" spans="1:17" x14ac:dyDescent="0.35">
      <c r="A290">
        <v>21116</v>
      </c>
      <c r="B290" t="s">
        <v>10</v>
      </c>
      <c r="C290" t="s">
        <v>26</v>
      </c>
      <c r="D290">
        <v>453</v>
      </c>
      <c r="E290">
        <v>50</v>
      </c>
      <c r="F290" s="2">
        <v>87.19</v>
      </c>
      <c r="G290" t="s">
        <v>31</v>
      </c>
      <c r="H290" s="1">
        <v>45627</v>
      </c>
      <c r="I290" s="1">
        <v>45634</v>
      </c>
      <c r="J290" t="s">
        <v>37</v>
      </c>
      <c r="K290" s="8">
        <f>Table2[[#This Row],[CurrentStock]]*Table2[[#This Row],[UnitPrice]]</f>
        <v>39497.07</v>
      </c>
      <c r="L290" t="str">
        <f>IF(Table2[[#This Row],[CurrentStock]]&lt;=Table2[[#This Row],[ReorderLevel]], "Reorder Needed", "Okay")</f>
        <v>Okay</v>
      </c>
      <c r="M290" t="str">
        <f>IF(Table2[[#This Row],[CurrentStock]]-Table2[[#This Row],[ReorderLevel]]&lt;0,Table2[[#This Row],[CurrentStock]]-Table2[[#This Row],[ReorderLevel]],"")</f>
        <v/>
      </c>
      <c r="N290" t="str">
        <f>IF(Table2[[#This Row],[Stock Gap]]&lt;0, "Understock","Okay")</f>
        <v>Okay</v>
      </c>
      <c r="O290" s="13" t="str">
        <f>IF(Table2[[#This Row],[Stock Gap]]&lt;0, "Yes", "No")</f>
        <v>No</v>
      </c>
      <c r="P290" s="13" t="str">
        <f>IF(Table2[[#This Row],[CurrentStock]]&lt;Table2[[#This Row],[ReorderLevel]],"Reorder", "Okay")</f>
        <v>Okay</v>
      </c>
      <c r="Q290" s="13" t="str">
        <f>IF(Table2[[#This Row],[CurrentStock]]&gt;Table2[[#This Row],[ReorderLevel]]*3, "Overstock", "Okay")</f>
        <v>Overstock</v>
      </c>
    </row>
    <row r="291" spans="1:17" x14ac:dyDescent="0.35">
      <c r="A291">
        <v>43380</v>
      </c>
      <c r="B291" t="s">
        <v>24</v>
      </c>
      <c r="C291" t="s">
        <v>30</v>
      </c>
      <c r="D291">
        <v>39</v>
      </c>
      <c r="E291">
        <v>100</v>
      </c>
      <c r="F291" s="2">
        <v>74.650000000000006</v>
      </c>
      <c r="G291" t="s">
        <v>33</v>
      </c>
      <c r="H291" s="1">
        <v>45420</v>
      </c>
      <c r="I291" s="1">
        <v>45432</v>
      </c>
      <c r="J291" t="s">
        <v>37</v>
      </c>
      <c r="K291" s="8">
        <f>Table2[[#This Row],[CurrentStock]]*Table2[[#This Row],[UnitPrice]]</f>
        <v>2911.3500000000004</v>
      </c>
      <c r="L291" t="str">
        <f>IF(Table2[[#This Row],[CurrentStock]]&lt;=Table2[[#This Row],[ReorderLevel]], "Reorder Needed", "Okay")</f>
        <v>Reorder Needed</v>
      </c>
      <c r="M291" s="7">
        <f>IF(Table2[[#This Row],[CurrentStock]]-Table2[[#This Row],[ReorderLevel]]&lt;0,Table2[[#This Row],[CurrentStock]]-Table2[[#This Row],[ReorderLevel]],"")</f>
        <v>-61</v>
      </c>
      <c r="N291" t="str">
        <f>IF(Table2[[#This Row],[Stock Gap]]&lt;0, "Understock","Okay")</f>
        <v>Understock</v>
      </c>
      <c r="O291" s="13" t="str">
        <f>IF(Table2[[#This Row],[Stock Gap]]&lt;0, "Yes", "No")</f>
        <v>Yes</v>
      </c>
      <c r="P291" s="13" t="str">
        <f>IF(Table2[[#This Row],[CurrentStock]]&lt;Table2[[#This Row],[ReorderLevel]],"Reorder", "Okay")</f>
        <v>Reorder</v>
      </c>
      <c r="Q291" s="13" t="str">
        <f>IF(Table2[[#This Row],[CurrentStock]]&gt;Table2[[#This Row],[ReorderLevel]]*3, "Overstock", "Okay")</f>
        <v>Okay</v>
      </c>
    </row>
    <row r="292" spans="1:17" x14ac:dyDescent="0.35">
      <c r="A292">
        <v>72987</v>
      </c>
      <c r="B292" t="s">
        <v>16</v>
      </c>
      <c r="C292" t="s">
        <v>29</v>
      </c>
      <c r="D292">
        <v>477</v>
      </c>
      <c r="E292">
        <v>100</v>
      </c>
      <c r="F292" s="2">
        <v>484.04</v>
      </c>
      <c r="G292" t="s">
        <v>31</v>
      </c>
      <c r="H292" s="1">
        <v>45566</v>
      </c>
      <c r="I292" s="1">
        <v>45602</v>
      </c>
      <c r="J292" t="s">
        <v>38</v>
      </c>
      <c r="K292" s="8">
        <f>Table2[[#This Row],[CurrentStock]]*Table2[[#This Row],[UnitPrice]]</f>
        <v>230887.08000000002</v>
      </c>
      <c r="L292" t="str">
        <f>IF(Table2[[#This Row],[CurrentStock]]&lt;=Table2[[#This Row],[ReorderLevel]], "Reorder Needed", "Okay")</f>
        <v>Okay</v>
      </c>
      <c r="M292" t="str">
        <f>IF(Table2[[#This Row],[CurrentStock]]-Table2[[#This Row],[ReorderLevel]]&lt;0,Table2[[#This Row],[CurrentStock]]-Table2[[#This Row],[ReorderLevel]],"")</f>
        <v/>
      </c>
      <c r="N292" t="str">
        <f>IF(Table2[[#This Row],[Stock Gap]]&lt;0, "Understock","Okay")</f>
        <v>Okay</v>
      </c>
      <c r="O292" s="13" t="str">
        <f>IF(Table2[[#This Row],[Stock Gap]]&lt;0, "Yes", "No")</f>
        <v>No</v>
      </c>
      <c r="P292" s="13" t="str">
        <f>IF(Table2[[#This Row],[CurrentStock]]&lt;Table2[[#This Row],[ReorderLevel]],"Reorder", "Okay")</f>
        <v>Okay</v>
      </c>
      <c r="Q292" s="13" t="str">
        <f>IF(Table2[[#This Row],[CurrentStock]]&gt;Table2[[#This Row],[ReorderLevel]]*3, "Overstock", "Okay")</f>
        <v>Overstock</v>
      </c>
    </row>
    <row r="293" spans="1:17" x14ac:dyDescent="0.35">
      <c r="A293">
        <v>66481</v>
      </c>
      <c r="B293" t="s">
        <v>18</v>
      </c>
      <c r="C293" t="s">
        <v>27</v>
      </c>
      <c r="D293">
        <v>108</v>
      </c>
      <c r="E293">
        <v>150</v>
      </c>
      <c r="F293" s="2">
        <v>65.599999999999994</v>
      </c>
      <c r="G293" t="s">
        <v>33</v>
      </c>
      <c r="H293" s="1">
        <v>45449</v>
      </c>
      <c r="I293" s="1">
        <v>45466</v>
      </c>
      <c r="J293" t="s">
        <v>38</v>
      </c>
      <c r="K293" s="8">
        <f>Table2[[#This Row],[CurrentStock]]*Table2[[#This Row],[UnitPrice]]</f>
        <v>7084.7999999999993</v>
      </c>
      <c r="L293" t="str">
        <f>IF(Table2[[#This Row],[CurrentStock]]&lt;=Table2[[#This Row],[ReorderLevel]], "Reorder Needed", "Okay")</f>
        <v>Reorder Needed</v>
      </c>
      <c r="M293" s="7">
        <f>IF(Table2[[#This Row],[CurrentStock]]-Table2[[#This Row],[ReorderLevel]]&lt;0,Table2[[#This Row],[CurrentStock]]-Table2[[#This Row],[ReorderLevel]],"")</f>
        <v>-42</v>
      </c>
      <c r="N293" t="str">
        <f>IF(Table2[[#This Row],[Stock Gap]]&lt;0, "Understock","Okay")</f>
        <v>Understock</v>
      </c>
      <c r="O293" s="13" t="str">
        <f>IF(Table2[[#This Row],[Stock Gap]]&lt;0, "Yes", "No")</f>
        <v>Yes</v>
      </c>
      <c r="P293" s="13" t="str">
        <f>IF(Table2[[#This Row],[CurrentStock]]&lt;Table2[[#This Row],[ReorderLevel]],"Reorder", "Okay")</f>
        <v>Reorder</v>
      </c>
      <c r="Q293" s="13" t="str">
        <f>IF(Table2[[#This Row],[CurrentStock]]&gt;Table2[[#This Row],[ReorderLevel]]*3, "Overstock", "Okay")</f>
        <v>Okay</v>
      </c>
    </row>
    <row r="294" spans="1:17" x14ac:dyDescent="0.35">
      <c r="A294">
        <v>65426</v>
      </c>
      <c r="B294" t="s">
        <v>24</v>
      </c>
      <c r="C294" t="s">
        <v>30</v>
      </c>
      <c r="D294">
        <v>58</v>
      </c>
      <c r="E294">
        <v>150</v>
      </c>
      <c r="F294" s="2">
        <v>69.260000000000005</v>
      </c>
      <c r="G294" t="s">
        <v>34</v>
      </c>
      <c r="H294" s="1">
        <v>45616</v>
      </c>
      <c r="I294" s="1">
        <v>45645</v>
      </c>
      <c r="J294" t="s">
        <v>36</v>
      </c>
      <c r="K294" s="8">
        <f>Table2[[#This Row],[CurrentStock]]*Table2[[#This Row],[UnitPrice]]</f>
        <v>4017.0800000000004</v>
      </c>
      <c r="L294" t="str">
        <f>IF(Table2[[#This Row],[CurrentStock]]&lt;=Table2[[#This Row],[ReorderLevel]], "Reorder Needed", "Okay")</f>
        <v>Reorder Needed</v>
      </c>
      <c r="M294" s="7">
        <f>IF(Table2[[#This Row],[CurrentStock]]-Table2[[#This Row],[ReorderLevel]]&lt;0,Table2[[#This Row],[CurrentStock]]-Table2[[#This Row],[ReorderLevel]],"")</f>
        <v>-92</v>
      </c>
      <c r="N294" t="str">
        <f>IF(Table2[[#This Row],[Stock Gap]]&lt;0, "Understock","Okay")</f>
        <v>Understock</v>
      </c>
      <c r="O294" s="13" t="str">
        <f>IF(Table2[[#This Row],[Stock Gap]]&lt;0, "Yes", "No")</f>
        <v>Yes</v>
      </c>
      <c r="P294" s="13" t="str">
        <f>IF(Table2[[#This Row],[CurrentStock]]&lt;Table2[[#This Row],[ReorderLevel]],"Reorder", "Okay")</f>
        <v>Reorder</v>
      </c>
      <c r="Q294" s="13" t="str">
        <f>IF(Table2[[#This Row],[CurrentStock]]&gt;Table2[[#This Row],[ReorderLevel]]*3, "Overstock", "Okay")</f>
        <v>Okay</v>
      </c>
    </row>
    <row r="295" spans="1:17" x14ac:dyDescent="0.35">
      <c r="A295">
        <v>59416</v>
      </c>
      <c r="B295" t="s">
        <v>13</v>
      </c>
      <c r="C295" t="s">
        <v>26</v>
      </c>
      <c r="D295">
        <v>153</v>
      </c>
      <c r="E295">
        <v>100</v>
      </c>
      <c r="F295" s="2">
        <v>192.62</v>
      </c>
      <c r="G295" t="s">
        <v>33</v>
      </c>
      <c r="H295" s="1">
        <v>45518</v>
      </c>
      <c r="I295" s="1">
        <v>45550</v>
      </c>
      <c r="J295" t="s">
        <v>38</v>
      </c>
      <c r="K295" s="8">
        <f>Table2[[#This Row],[CurrentStock]]*Table2[[#This Row],[UnitPrice]]</f>
        <v>29470.86</v>
      </c>
      <c r="L295" t="str">
        <f>IF(Table2[[#This Row],[CurrentStock]]&lt;=Table2[[#This Row],[ReorderLevel]], "Reorder Needed", "Okay")</f>
        <v>Okay</v>
      </c>
      <c r="M295" t="str">
        <f>IF(Table2[[#This Row],[CurrentStock]]-Table2[[#This Row],[ReorderLevel]]&lt;0,Table2[[#This Row],[CurrentStock]]-Table2[[#This Row],[ReorderLevel]],"")</f>
        <v/>
      </c>
      <c r="N295" t="str">
        <f>IF(Table2[[#This Row],[Stock Gap]]&lt;0, "Understock","Okay")</f>
        <v>Okay</v>
      </c>
      <c r="O295" s="13" t="str">
        <f>IF(Table2[[#This Row],[Stock Gap]]&lt;0, "Yes", "No")</f>
        <v>No</v>
      </c>
      <c r="P295" s="13" t="str">
        <f>IF(Table2[[#This Row],[CurrentStock]]&lt;Table2[[#This Row],[ReorderLevel]],"Reorder", "Okay")</f>
        <v>Okay</v>
      </c>
      <c r="Q295" s="13" t="str">
        <f>IF(Table2[[#This Row],[CurrentStock]]&gt;Table2[[#This Row],[ReorderLevel]]*3, "Overstock", "Okay")</f>
        <v>Okay</v>
      </c>
    </row>
    <row r="296" spans="1:17" x14ac:dyDescent="0.35">
      <c r="A296">
        <v>53732</v>
      </c>
      <c r="B296" t="s">
        <v>20</v>
      </c>
      <c r="C296" t="s">
        <v>30</v>
      </c>
      <c r="D296">
        <v>210</v>
      </c>
      <c r="E296">
        <v>50</v>
      </c>
      <c r="F296" s="2">
        <v>160.6</v>
      </c>
      <c r="G296" t="s">
        <v>32</v>
      </c>
      <c r="H296" s="1">
        <v>45655</v>
      </c>
      <c r="I296" s="1">
        <v>45668</v>
      </c>
      <c r="J296" t="s">
        <v>38</v>
      </c>
      <c r="K296" s="8">
        <f>Table2[[#This Row],[CurrentStock]]*Table2[[#This Row],[UnitPrice]]</f>
        <v>33726</v>
      </c>
      <c r="L296" t="str">
        <f>IF(Table2[[#This Row],[CurrentStock]]&lt;=Table2[[#This Row],[ReorderLevel]], "Reorder Needed", "Okay")</f>
        <v>Okay</v>
      </c>
      <c r="M296" t="str">
        <f>IF(Table2[[#This Row],[CurrentStock]]-Table2[[#This Row],[ReorderLevel]]&lt;0,Table2[[#This Row],[CurrentStock]]-Table2[[#This Row],[ReorderLevel]],"")</f>
        <v/>
      </c>
      <c r="N296" t="str">
        <f>IF(Table2[[#This Row],[Stock Gap]]&lt;0, "Understock","Okay")</f>
        <v>Okay</v>
      </c>
      <c r="O296" s="13" t="str">
        <f>IF(Table2[[#This Row],[Stock Gap]]&lt;0, "Yes", "No")</f>
        <v>No</v>
      </c>
      <c r="P296" s="13" t="str">
        <f>IF(Table2[[#This Row],[CurrentStock]]&lt;Table2[[#This Row],[ReorderLevel]],"Reorder", "Okay")</f>
        <v>Okay</v>
      </c>
      <c r="Q296" s="13" t="str">
        <f>IF(Table2[[#This Row],[CurrentStock]]&gt;Table2[[#This Row],[ReorderLevel]]*3, "Overstock", "Okay")</f>
        <v>Overstock</v>
      </c>
    </row>
    <row r="297" spans="1:17" x14ac:dyDescent="0.35">
      <c r="A297">
        <v>35556</v>
      </c>
      <c r="B297" t="s">
        <v>14</v>
      </c>
      <c r="C297" t="s">
        <v>28</v>
      </c>
      <c r="D297">
        <v>473</v>
      </c>
      <c r="E297">
        <v>80</v>
      </c>
      <c r="F297" s="2">
        <v>60.91</v>
      </c>
      <c r="G297" t="s">
        <v>31</v>
      </c>
      <c r="H297" s="1">
        <v>45509</v>
      </c>
      <c r="I297" s="1">
        <v>45546</v>
      </c>
      <c r="J297" t="s">
        <v>38</v>
      </c>
      <c r="K297" s="8">
        <f>Table2[[#This Row],[CurrentStock]]*Table2[[#This Row],[UnitPrice]]</f>
        <v>28810.429999999997</v>
      </c>
      <c r="L297" t="str">
        <f>IF(Table2[[#This Row],[CurrentStock]]&lt;=Table2[[#This Row],[ReorderLevel]], "Reorder Needed", "Okay")</f>
        <v>Okay</v>
      </c>
      <c r="M297" t="str">
        <f>IF(Table2[[#This Row],[CurrentStock]]-Table2[[#This Row],[ReorderLevel]]&lt;0,Table2[[#This Row],[CurrentStock]]-Table2[[#This Row],[ReorderLevel]],"")</f>
        <v/>
      </c>
      <c r="N297" t="str">
        <f>IF(Table2[[#This Row],[Stock Gap]]&lt;0, "Understock","Okay")</f>
        <v>Okay</v>
      </c>
      <c r="O297" s="13" t="str">
        <f>IF(Table2[[#This Row],[Stock Gap]]&lt;0, "Yes", "No")</f>
        <v>No</v>
      </c>
      <c r="P297" s="13" t="str">
        <f>IF(Table2[[#This Row],[CurrentStock]]&lt;Table2[[#This Row],[ReorderLevel]],"Reorder", "Okay")</f>
        <v>Okay</v>
      </c>
      <c r="Q297" s="13" t="str">
        <f>IF(Table2[[#This Row],[CurrentStock]]&gt;Table2[[#This Row],[ReorderLevel]]*3, "Overstock", "Okay")</f>
        <v>Overstock</v>
      </c>
    </row>
    <row r="298" spans="1:17" x14ac:dyDescent="0.35">
      <c r="A298">
        <v>16416</v>
      </c>
      <c r="B298" t="s">
        <v>18</v>
      </c>
      <c r="C298" t="s">
        <v>27</v>
      </c>
      <c r="D298">
        <v>430</v>
      </c>
      <c r="E298">
        <v>30</v>
      </c>
      <c r="F298" s="2">
        <v>375.67</v>
      </c>
      <c r="G298" t="s">
        <v>35</v>
      </c>
      <c r="H298" s="1">
        <v>45570</v>
      </c>
      <c r="I298" s="1">
        <v>45596</v>
      </c>
      <c r="J298" t="s">
        <v>37</v>
      </c>
      <c r="K298" s="8">
        <f>Table2[[#This Row],[CurrentStock]]*Table2[[#This Row],[UnitPrice]]</f>
        <v>161538.1</v>
      </c>
      <c r="L298" t="str">
        <f>IF(Table2[[#This Row],[CurrentStock]]&lt;=Table2[[#This Row],[ReorderLevel]], "Reorder Needed", "Okay")</f>
        <v>Okay</v>
      </c>
      <c r="M298" t="str">
        <f>IF(Table2[[#This Row],[CurrentStock]]-Table2[[#This Row],[ReorderLevel]]&lt;0,Table2[[#This Row],[CurrentStock]]-Table2[[#This Row],[ReorderLevel]],"")</f>
        <v/>
      </c>
      <c r="N298" t="str">
        <f>IF(Table2[[#This Row],[Stock Gap]]&lt;0, "Understock","Okay")</f>
        <v>Okay</v>
      </c>
      <c r="O298" s="13" t="str">
        <f>IF(Table2[[#This Row],[Stock Gap]]&lt;0, "Yes", "No")</f>
        <v>No</v>
      </c>
      <c r="P298" s="13" t="str">
        <f>IF(Table2[[#This Row],[CurrentStock]]&lt;Table2[[#This Row],[ReorderLevel]],"Reorder", "Okay")</f>
        <v>Okay</v>
      </c>
      <c r="Q298" s="13" t="str">
        <f>IF(Table2[[#This Row],[CurrentStock]]&gt;Table2[[#This Row],[ReorderLevel]]*3, "Overstock", "Okay")</f>
        <v>Overstock</v>
      </c>
    </row>
    <row r="299" spans="1:17" x14ac:dyDescent="0.35">
      <c r="A299">
        <v>84663</v>
      </c>
      <c r="B299" t="s">
        <v>12</v>
      </c>
      <c r="C299" t="s">
        <v>28</v>
      </c>
      <c r="D299">
        <v>288</v>
      </c>
      <c r="E299">
        <v>50</v>
      </c>
      <c r="F299" s="2">
        <v>370.95</v>
      </c>
      <c r="G299" t="s">
        <v>33</v>
      </c>
      <c r="H299" s="1">
        <v>45357</v>
      </c>
      <c r="I299" s="1">
        <v>45396</v>
      </c>
      <c r="J299" t="s">
        <v>37</v>
      </c>
      <c r="K299" s="8">
        <f>Table2[[#This Row],[CurrentStock]]*Table2[[#This Row],[UnitPrice]]</f>
        <v>106833.59999999999</v>
      </c>
      <c r="L299" t="str">
        <f>IF(Table2[[#This Row],[CurrentStock]]&lt;=Table2[[#This Row],[ReorderLevel]], "Reorder Needed", "Okay")</f>
        <v>Okay</v>
      </c>
      <c r="M299" t="str">
        <f>IF(Table2[[#This Row],[CurrentStock]]-Table2[[#This Row],[ReorderLevel]]&lt;0,Table2[[#This Row],[CurrentStock]]-Table2[[#This Row],[ReorderLevel]],"")</f>
        <v/>
      </c>
      <c r="N299" t="str">
        <f>IF(Table2[[#This Row],[Stock Gap]]&lt;0, "Understock","Okay")</f>
        <v>Okay</v>
      </c>
      <c r="O299" s="13" t="str">
        <f>IF(Table2[[#This Row],[Stock Gap]]&lt;0, "Yes", "No")</f>
        <v>No</v>
      </c>
      <c r="P299" s="13" t="str">
        <f>IF(Table2[[#This Row],[CurrentStock]]&lt;Table2[[#This Row],[ReorderLevel]],"Reorder", "Okay")</f>
        <v>Okay</v>
      </c>
      <c r="Q299" s="13" t="str">
        <f>IF(Table2[[#This Row],[CurrentStock]]&gt;Table2[[#This Row],[ReorderLevel]]*3, "Overstock", "Okay")</f>
        <v>Overstock</v>
      </c>
    </row>
    <row r="300" spans="1:17" x14ac:dyDescent="0.35">
      <c r="A300">
        <v>97960</v>
      </c>
      <c r="B300" t="s">
        <v>17</v>
      </c>
      <c r="C300" t="s">
        <v>27</v>
      </c>
      <c r="D300">
        <v>455</v>
      </c>
      <c r="E300">
        <v>150</v>
      </c>
      <c r="F300" s="2">
        <v>143.24</v>
      </c>
      <c r="G300" t="s">
        <v>35</v>
      </c>
      <c r="H300" s="1">
        <v>45482</v>
      </c>
      <c r="I300" s="1">
        <v>45489</v>
      </c>
      <c r="J300" t="s">
        <v>37</v>
      </c>
      <c r="K300" s="8">
        <f>Table2[[#This Row],[CurrentStock]]*Table2[[#This Row],[UnitPrice]]</f>
        <v>65174.200000000004</v>
      </c>
      <c r="L300" t="str">
        <f>IF(Table2[[#This Row],[CurrentStock]]&lt;=Table2[[#This Row],[ReorderLevel]], "Reorder Needed", "Okay")</f>
        <v>Okay</v>
      </c>
      <c r="M300" t="str">
        <f>IF(Table2[[#This Row],[CurrentStock]]-Table2[[#This Row],[ReorderLevel]]&lt;0,Table2[[#This Row],[CurrentStock]]-Table2[[#This Row],[ReorderLevel]],"")</f>
        <v/>
      </c>
      <c r="N300" t="str">
        <f>IF(Table2[[#This Row],[Stock Gap]]&lt;0, "Understock","Okay")</f>
        <v>Okay</v>
      </c>
      <c r="O300" s="13" t="str">
        <f>IF(Table2[[#This Row],[Stock Gap]]&lt;0, "Yes", "No")</f>
        <v>No</v>
      </c>
      <c r="P300" s="13" t="str">
        <f>IF(Table2[[#This Row],[CurrentStock]]&lt;Table2[[#This Row],[ReorderLevel]],"Reorder", "Okay")</f>
        <v>Okay</v>
      </c>
      <c r="Q300" s="13" t="str">
        <f>IF(Table2[[#This Row],[CurrentStock]]&gt;Table2[[#This Row],[ReorderLevel]]*3, "Overstock", "Okay")</f>
        <v>Overstock</v>
      </c>
    </row>
    <row r="301" spans="1:17" x14ac:dyDescent="0.35">
      <c r="A301">
        <v>60939</v>
      </c>
      <c r="B301" t="s">
        <v>17</v>
      </c>
      <c r="C301" t="s">
        <v>27</v>
      </c>
      <c r="D301">
        <v>436</v>
      </c>
      <c r="E301">
        <v>100</v>
      </c>
      <c r="F301" s="2">
        <v>380.83</v>
      </c>
      <c r="G301" t="s">
        <v>35</v>
      </c>
      <c r="H301" s="1">
        <v>45330</v>
      </c>
      <c r="I301" s="1">
        <v>45343</v>
      </c>
      <c r="J301" t="s">
        <v>37</v>
      </c>
      <c r="K301" s="8">
        <f>Table2[[#This Row],[CurrentStock]]*Table2[[#This Row],[UnitPrice]]</f>
        <v>166041.88</v>
      </c>
      <c r="L301" t="str">
        <f>IF(Table2[[#This Row],[CurrentStock]]&lt;=Table2[[#This Row],[ReorderLevel]], "Reorder Needed", "Okay")</f>
        <v>Okay</v>
      </c>
      <c r="M301" t="str">
        <f>IF(Table2[[#This Row],[CurrentStock]]-Table2[[#This Row],[ReorderLevel]]&lt;0,Table2[[#This Row],[CurrentStock]]-Table2[[#This Row],[ReorderLevel]],"")</f>
        <v/>
      </c>
      <c r="N301" t="str">
        <f>IF(Table2[[#This Row],[Stock Gap]]&lt;0, "Understock","Okay")</f>
        <v>Okay</v>
      </c>
      <c r="O301" s="13" t="str">
        <f>IF(Table2[[#This Row],[Stock Gap]]&lt;0, "Yes", "No")</f>
        <v>No</v>
      </c>
      <c r="P301" s="13" t="str">
        <f>IF(Table2[[#This Row],[CurrentStock]]&lt;Table2[[#This Row],[ReorderLevel]],"Reorder", "Okay")</f>
        <v>Okay</v>
      </c>
      <c r="Q301" s="13" t="str">
        <f>IF(Table2[[#This Row],[CurrentStock]]&gt;Table2[[#This Row],[ReorderLevel]]*3, "Overstock", "Okay")</f>
        <v>Overstock</v>
      </c>
    </row>
    <row r="302" spans="1:17" x14ac:dyDescent="0.35">
      <c r="A302">
        <v>25223</v>
      </c>
      <c r="B302" t="s">
        <v>24</v>
      </c>
      <c r="C302" t="s">
        <v>30</v>
      </c>
      <c r="D302">
        <v>224</v>
      </c>
      <c r="E302">
        <v>100</v>
      </c>
      <c r="F302" s="2">
        <v>337.01</v>
      </c>
      <c r="G302" t="s">
        <v>33</v>
      </c>
      <c r="H302" s="1">
        <v>45382</v>
      </c>
      <c r="I302" s="1">
        <v>45420</v>
      </c>
      <c r="J302" t="s">
        <v>36</v>
      </c>
      <c r="K302" s="8">
        <f>Table2[[#This Row],[CurrentStock]]*Table2[[#This Row],[UnitPrice]]</f>
        <v>75490.239999999991</v>
      </c>
      <c r="L302" t="str">
        <f>IF(Table2[[#This Row],[CurrentStock]]&lt;=Table2[[#This Row],[ReorderLevel]], "Reorder Needed", "Okay")</f>
        <v>Okay</v>
      </c>
      <c r="M302" t="str">
        <f>IF(Table2[[#This Row],[CurrentStock]]-Table2[[#This Row],[ReorderLevel]]&lt;0,Table2[[#This Row],[CurrentStock]]-Table2[[#This Row],[ReorderLevel]],"")</f>
        <v/>
      </c>
      <c r="N302" t="str">
        <f>IF(Table2[[#This Row],[Stock Gap]]&lt;0, "Understock","Okay")</f>
        <v>Okay</v>
      </c>
      <c r="O302" s="13" t="str">
        <f>IF(Table2[[#This Row],[Stock Gap]]&lt;0, "Yes", "No")</f>
        <v>No</v>
      </c>
      <c r="P302" s="13" t="str">
        <f>IF(Table2[[#This Row],[CurrentStock]]&lt;Table2[[#This Row],[ReorderLevel]],"Reorder", "Okay")</f>
        <v>Okay</v>
      </c>
      <c r="Q302" s="13" t="str">
        <f>IF(Table2[[#This Row],[CurrentStock]]&gt;Table2[[#This Row],[ReorderLevel]]*3, "Overstock", "Okay")</f>
        <v>Okay</v>
      </c>
    </row>
    <row r="303" spans="1:17" x14ac:dyDescent="0.35">
      <c r="A303">
        <v>33383</v>
      </c>
      <c r="B303" t="s">
        <v>12</v>
      </c>
      <c r="C303" t="s">
        <v>28</v>
      </c>
      <c r="D303">
        <v>29</v>
      </c>
      <c r="E303">
        <v>150</v>
      </c>
      <c r="F303" s="2">
        <v>59.81</v>
      </c>
      <c r="G303" t="s">
        <v>32</v>
      </c>
      <c r="H303" s="1">
        <v>45375</v>
      </c>
      <c r="I303" s="1">
        <v>45404</v>
      </c>
      <c r="J303" t="s">
        <v>38</v>
      </c>
      <c r="K303" s="8">
        <f>Table2[[#This Row],[CurrentStock]]*Table2[[#This Row],[UnitPrice]]</f>
        <v>1734.49</v>
      </c>
      <c r="L303" t="str">
        <f>IF(Table2[[#This Row],[CurrentStock]]&lt;=Table2[[#This Row],[ReorderLevel]], "Reorder Needed", "Okay")</f>
        <v>Reorder Needed</v>
      </c>
      <c r="M303" s="7">
        <f>IF(Table2[[#This Row],[CurrentStock]]-Table2[[#This Row],[ReorderLevel]]&lt;0,Table2[[#This Row],[CurrentStock]]-Table2[[#This Row],[ReorderLevel]],"")</f>
        <v>-121</v>
      </c>
      <c r="N303" t="str">
        <f>IF(Table2[[#This Row],[Stock Gap]]&lt;0, "Understock","Okay")</f>
        <v>Understock</v>
      </c>
      <c r="O303" s="13" t="str">
        <f>IF(Table2[[#This Row],[Stock Gap]]&lt;0, "Yes", "No")</f>
        <v>Yes</v>
      </c>
      <c r="P303" s="13" t="str">
        <f>IF(Table2[[#This Row],[CurrentStock]]&lt;Table2[[#This Row],[ReorderLevel]],"Reorder", "Okay")</f>
        <v>Reorder</v>
      </c>
      <c r="Q303" s="13" t="str">
        <f>IF(Table2[[#This Row],[CurrentStock]]&gt;Table2[[#This Row],[ReorderLevel]]*3, "Overstock", "Okay")</f>
        <v>Okay</v>
      </c>
    </row>
    <row r="304" spans="1:17" x14ac:dyDescent="0.35">
      <c r="A304">
        <v>69675</v>
      </c>
      <c r="B304" t="s">
        <v>18</v>
      </c>
      <c r="C304" t="s">
        <v>27</v>
      </c>
      <c r="D304">
        <v>109</v>
      </c>
      <c r="E304">
        <v>40</v>
      </c>
      <c r="F304" s="2">
        <v>413.89</v>
      </c>
      <c r="G304" t="s">
        <v>33</v>
      </c>
      <c r="H304" s="1">
        <v>45566</v>
      </c>
      <c r="I304" s="1">
        <v>45579</v>
      </c>
      <c r="J304" t="s">
        <v>36</v>
      </c>
      <c r="K304" s="8">
        <f>Table2[[#This Row],[CurrentStock]]*Table2[[#This Row],[UnitPrice]]</f>
        <v>45114.01</v>
      </c>
      <c r="L304" t="str">
        <f>IF(Table2[[#This Row],[CurrentStock]]&lt;=Table2[[#This Row],[ReorderLevel]], "Reorder Needed", "Okay")</f>
        <v>Okay</v>
      </c>
      <c r="M304" t="str">
        <f>IF(Table2[[#This Row],[CurrentStock]]-Table2[[#This Row],[ReorderLevel]]&lt;0,Table2[[#This Row],[CurrentStock]]-Table2[[#This Row],[ReorderLevel]],"")</f>
        <v/>
      </c>
      <c r="N304" t="str">
        <f>IF(Table2[[#This Row],[Stock Gap]]&lt;0, "Understock","Okay")</f>
        <v>Okay</v>
      </c>
      <c r="O304" s="13" t="str">
        <f>IF(Table2[[#This Row],[Stock Gap]]&lt;0, "Yes", "No")</f>
        <v>No</v>
      </c>
      <c r="P304" s="13" t="str">
        <f>IF(Table2[[#This Row],[CurrentStock]]&lt;Table2[[#This Row],[ReorderLevel]],"Reorder", "Okay")</f>
        <v>Okay</v>
      </c>
      <c r="Q304" s="13" t="str">
        <f>IF(Table2[[#This Row],[CurrentStock]]&gt;Table2[[#This Row],[ReorderLevel]]*3, "Overstock", "Okay")</f>
        <v>Okay</v>
      </c>
    </row>
    <row r="305" spans="1:17" x14ac:dyDescent="0.35">
      <c r="A305">
        <v>60085</v>
      </c>
      <c r="B305" t="s">
        <v>18</v>
      </c>
      <c r="C305" t="s">
        <v>27</v>
      </c>
      <c r="D305">
        <v>123</v>
      </c>
      <c r="E305">
        <v>150</v>
      </c>
      <c r="F305" s="2">
        <v>268.67</v>
      </c>
      <c r="G305" t="s">
        <v>35</v>
      </c>
      <c r="H305" s="1">
        <v>45566</v>
      </c>
      <c r="I305" s="1">
        <v>45584</v>
      </c>
      <c r="J305" t="s">
        <v>36</v>
      </c>
      <c r="K305" s="8">
        <f>Table2[[#This Row],[CurrentStock]]*Table2[[#This Row],[UnitPrice]]</f>
        <v>33046.410000000003</v>
      </c>
      <c r="L305" t="str">
        <f>IF(Table2[[#This Row],[CurrentStock]]&lt;=Table2[[#This Row],[ReorderLevel]], "Reorder Needed", "Okay")</f>
        <v>Reorder Needed</v>
      </c>
      <c r="M305" s="7">
        <f>IF(Table2[[#This Row],[CurrentStock]]-Table2[[#This Row],[ReorderLevel]]&lt;0,Table2[[#This Row],[CurrentStock]]-Table2[[#This Row],[ReorderLevel]],"")</f>
        <v>-27</v>
      </c>
      <c r="N305" t="str">
        <f>IF(Table2[[#This Row],[Stock Gap]]&lt;0, "Understock","Okay")</f>
        <v>Understock</v>
      </c>
      <c r="O305" s="13" t="str">
        <f>IF(Table2[[#This Row],[Stock Gap]]&lt;0, "Yes", "No")</f>
        <v>Yes</v>
      </c>
      <c r="P305" s="13" t="str">
        <f>IF(Table2[[#This Row],[CurrentStock]]&lt;Table2[[#This Row],[ReorderLevel]],"Reorder", "Okay")</f>
        <v>Reorder</v>
      </c>
      <c r="Q305" s="13" t="str">
        <f>IF(Table2[[#This Row],[CurrentStock]]&gt;Table2[[#This Row],[ReorderLevel]]*3, "Overstock", "Okay")</f>
        <v>Okay</v>
      </c>
    </row>
    <row r="306" spans="1:17" x14ac:dyDescent="0.35">
      <c r="A306">
        <v>56733</v>
      </c>
      <c r="B306" t="s">
        <v>10</v>
      </c>
      <c r="C306" t="s">
        <v>26</v>
      </c>
      <c r="D306">
        <v>464</v>
      </c>
      <c r="E306">
        <v>100</v>
      </c>
      <c r="F306" s="2">
        <v>27.83</v>
      </c>
      <c r="G306" t="s">
        <v>31</v>
      </c>
      <c r="H306" s="1">
        <v>45452</v>
      </c>
      <c r="I306" s="1">
        <v>45481</v>
      </c>
      <c r="J306" t="s">
        <v>36</v>
      </c>
      <c r="K306" s="8">
        <f>Table2[[#This Row],[CurrentStock]]*Table2[[#This Row],[UnitPrice]]</f>
        <v>12913.119999999999</v>
      </c>
      <c r="L306" t="str">
        <f>IF(Table2[[#This Row],[CurrentStock]]&lt;=Table2[[#This Row],[ReorderLevel]], "Reorder Needed", "Okay")</f>
        <v>Okay</v>
      </c>
      <c r="M306" t="str">
        <f>IF(Table2[[#This Row],[CurrentStock]]-Table2[[#This Row],[ReorderLevel]]&lt;0,Table2[[#This Row],[CurrentStock]]-Table2[[#This Row],[ReorderLevel]],"")</f>
        <v/>
      </c>
      <c r="N306" t="str">
        <f>IF(Table2[[#This Row],[Stock Gap]]&lt;0, "Understock","Okay")</f>
        <v>Okay</v>
      </c>
      <c r="O306" s="13" t="str">
        <f>IF(Table2[[#This Row],[Stock Gap]]&lt;0, "Yes", "No")</f>
        <v>No</v>
      </c>
      <c r="P306" s="13" t="str">
        <f>IF(Table2[[#This Row],[CurrentStock]]&lt;Table2[[#This Row],[ReorderLevel]],"Reorder", "Okay")</f>
        <v>Okay</v>
      </c>
      <c r="Q306" s="13" t="str">
        <f>IF(Table2[[#This Row],[CurrentStock]]&gt;Table2[[#This Row],[ReorderLevel]]*3, "Overstock", "Okay")</f>
        <v>Overstock</v>
      </c>
    </row>
    <row r="307" spans="1:17" x14ac:dyDescent="0.35">
      <c r="A307">
        <v>60139</v>
      </c>
      <c r="B307" t="s">
        <v>19</v>
      </c>
      <c r="C307" t="s">
        <v>28</v>
      </c>
      <c r="D307">
        <v>442</v>
      </c>
      <c r="E307">
        <v>100</v>
      </c>
      <c r="F307" s="2">
        <v>372.88</v>
      </c>
      <c r="G307" t="s">
        <v>32</v>
      </c>
      <c r="H307" s="1">
        <v>45487</v>
      </c>
      <c r="I307" s="1">
        <v>45495</v>
      </c>
      <c r="J307" t="s">
        <v>36</v>
      </c>
      <c r="K307" s="8">
        <f>Table2[[#This Row],[CurrentStock]]*Table2[[#This Row],[UnitPrice]]</f>
        <v>164812.96</v>
      </c>
      <c r="L307" t="str">
        <f>IF(Table2[[#This Row],[CurrentStock]]&lt;=Table2[[#This Row],[ReorderLevel]], "Reorder Needed", "Okay")</f>
        <v>Okay</v>
      </c>
      <c r="M307" t="str">
        <f>IF(Table2[[#This Row],[CurrentStock]]-Table2[[#This Row],[ReorderLevel]]&lt;0,Table2[[#This Row],[CurrentStock]]-Table2[[#This Row],[ReorderLevel]],"")</f>
        <v/>
      </c>
      <c r="N307" t="str">
        <f>IF(Table2[[#This Row],[Stock Gap]]&lt;0, "Understock","Okay")</f>
        <v>Okay</v>
      </c>
      <c r="O307" s="13" t="str">
        <f>IF(Table2[[#This Row],[Stock Gap]]&lt;0, "Yes", "No")</f>
        <v>No</v>
      </c>
      <c r="P307" s="13" t="str">
        <f>IF(Table2[[#This Row],[CurrentStock]]&lt;Table2[[#This Row],[ReorderLevel]],"Reorder", "Okay")</f>
        <v>Okay</v>
      </c>
      <c r="Q307" s="13" t="str">
        <f>IF(Table2[[#This Row],[CurrentStock]]&gt;Table2[[#This Row],[ReorderLevel]]*3, "Overstock", "Okay")</f>
        <v>Overstock</v>
      </c>
    </row>
    <row r="308" spans="1:17" x14ac:dyDescent="0.35">
      <c r="A308">
        <v>45292</v>
      </c>
      <c r="B308" t="s">
        <v>22</v>
      </c>
      <c r="C308" t="s">
        <v>29</v>
      </c>
      <c r="D308">
        <v>85</v>
      </c>
      <c r="E308">
        <v>20</v>
      </c>
      <c r="F308" s="2">
        <v>494.57</v>
      </c>
      <c r="G308" t="s">
        <v>34</v>
      </c>
      <c r="H308" s="1">
        <v>45546</v>
      </c>
      <c r="I308" s="1">
        <v>45566</v>
      </c>
      <c r="J308" t="s">
        <v>38</v>
      </c>
      <c r="K308" s="8">
        <f>Table2[[#This Row],[CurrentStock]]*Table2[[#This Row],[UnitPrice]]</f>
        <v>42038.45</v>
      </c>
      <c r="L308" t="str">
        <f>IF(Table2[[#This Row],[CurrentStock]]&lt;=Table2[[#This Row],[ReorderLevel]], "Reorder Needed", "Okay")</f>
        <v>Okay</v>
      </c>
      <c r="M308" t="str">
        <f>IF(Table2[[#This Row],[CurrentStock]]-Table2[[#This Row],[ReorderLevel]]&lt;0,Table2[[#This Row],[CurrentStock]]-Table2[[#This Row],[ReorderLevel]],"")</f>
        <v/>
      </c>
      <c r="N308" t="str">
        <f>IF(Table2[[#This Row],[Stock Gap]]&lt;0, "Understock","Okay")</f>
        <v>Okay</v>
      </c>
      <c r="O308" s="13" t="str">
        <f>IF(Table2[[#This Row],[Stock Gap]]&lt;0, "Yes", "No")</f>
        <v>No</v>
      </c>
      <c r="P308" s="13" t="str">
        <f>IF(Table2[[#This Row],[CurrentStock]]&lt;Table2[[#This Row],[ReorderLevel]],"Reorder", "Okay")</f>
        <v>Okay</v>
      </c>
      <c r="Q308" s="13" t="str">
        <f>IF(Table2[[#This Row],[CurrentStock]]&gt;Table2[[#This Row],[ReorderLevel]]*3, "Overstock", "Okay")</f>
        <v>Overstock</v>
      </c>
    </row>
    <row r="309" spans="1:17" x14ac:dyDescent="0.35">
      <c r="A309">
        <v>60500</v>
      </c>
      <c r="B309" t="s">
        <v>21</v>
      </c>
      <c r="C309" t="s">
        <v>26</v>
      </c>
      <c r="D309">
        <v>266</v>
      </c>
      <c r="E309">
        <v>100</v>
      </c>
      <c r="F309" s="2">
        <v>428.57</v>
      </c>
      <c r="G309" t="s">
        <v>33</v>
      </c>
      <c r="H309" s="1">
        <v>45546</v>
      </c>
      <c r="I309" s="1">
        <v>45571</v>
      </c>
      <c r="J309" t="s">
        <v>36</v>
      </c>
      <c r="K309" s="8">
        <f>Table2[[#This Row],[CurrentStock]]*Table2[[#This Row],[UnitPrice]]</f>
        <v>113999.62</v>
      </c>
      <c r="L309" t="str">
        <f>IF(Table2[[#This Row],[CurrentStock]]&lt;=Table2[[#This Row],[ReorderLevel]], "Reorder Needed", "Okay")</f>
        <v>Okay</v>
      </c>
      <c r="M309" t="str">
        <f>IF(Table2[[#This Row],[CurrentStock]]-Table2[[#This Row],[ReorderLevel]]&lt;0,Table2[[#This Row],[CurrentStock]]-Table2[[#This Row],[ReorderLevel]],"")</f>
        <v/>
      </c>
      <c r="N309" t="str">
        <f>IF(Table2[[#This Row],[Stock Gap]]&lt;0, "Understock","Okay")</f>
        <v>Okay</v>
      </c>
      <c r="O309" s="13" t="str">
        <f>IF(Table2[[#This Row],[Stock Gap]]&lt;0, "Yes", "No")</f>
        <v>No</v>
      </c>
      <c r="P309" s="13" t="str">
        <f>IF(Table2[[#This Row],[CurrentStock]]&lt;Table2[[#This Row],[ReorderLevel]],"Reorder", "Okay")</f>
        <v>Okay</v>
      </c>
      <c r="Q309" s="13" t="str">
        <f>IF(Table2[[#This Row],[CurrentStock]]&gt;Table2[[#This Row],[ReorderLevel]]*3, "Overstock", "Okay")</f>
        <v>Okay</v>
      </c>
    </row>
    <row r="310" spans="1:17" x14ac:dyDescent="0.35">
      <c r="A310">
        <v>96497</v>
      </c>
      <c r="B310" t="s">
        <v>19</v>
      </c>
      <c r="C310" t="s">
        <v>28</v>
      </c>
      <c r="D310">
        <v>200</v>
      </c>
      <c r="E310">
        <v>80</v>
      </c>
      <c r="F310" s="2">
        <v>21.16</v>
      </c>
      <c r="G310" t="s">
        <v>34</v>
      </c>
      <c r="H310" s="1">
        <v>45326</v>
      </c>
      <c r="I310" s="1">
        <v>45347</v>
      </c>
      <c r="J310" t="s">
        <v>36</v>
      </c>
      <c r="K310" s="8">
        <f>Table2[[#This Row],[CurrentStock]]*Table2[[#This Row],[UnitPrice]]</f>
        <v>4232</v>
      </c>
      <c r="L310" t="str">
        <f>IF(Table2[[#This Row],[CurrentStock]]&lt;=Table2[[#This Row],[ReorderLevel]], "Reorder Needed", "Okay")</f>
        <v>Okay</v>
      </c>
      <c r="M310" t="str">
        <f>IF(Table2[[#This Row],[CurrentStock]]-Table2[[#This Row],[ReorderLevel]]&lt;0,Table2[[#This Row],[CurrentStock]]-Table2[[#This Row],[ReorderLevel]],"")</f>
        <v/>
      </c>
      <c r="N310" t="str">
        <f>IF(Table2[[#This Row],[Stock Gap]]&lt;0, "Understock","Okay")</f>
        <v>Okay</v>
      </c>
      <c r="O310" s="13" t="str">
        <f>IF(Table2[[#This Row],[Stock Gap]]&lt;0, "Yes", "No")</f>
        <v>No</v>
      </c>
      <c r="P310" s="13" t="str">
        <f>IF(Table2[[#This Row],[CurrentStock]]&lt;Table2[[#This Row],[ReorderLevel]],"Reorder", "Okay")</f>
        <v>Okay</v>
      </c>
      <c r="Q310" s="13" t="str">
        <f>IF(Table2[[#This Row],[CurrentStock]]&gt;Table2[[#This Row],[ReorderLevel]]*3, "Overstock", "Okay")</f>
        <v>Okay</v>
      </c>
    </row>
    <row r="311" spans="1:17" x14ac:dyDescent="0.35">
      <c r="A311">
        <v>36649</v>
      </c>
      <c r="B311" t="s">
        <v>13</v>
      </c>
      <c r="C311" t="s">
        <v>26</v>
      </c>
      <c r="D311">
        <v>75</v>
      </c>
      <c r="E311">
        <v>100</v>
      </c>
      <c r="F311" s="2">
        <v>388.07</v>
      </c>
      <c r="G311" t="s">
        <v>33</v>
      </c>
      <c r="H311" s="1">
        <v>45652</v>
      </c>
      <c r="I311" s="1">
        <v>45675</v>
      </c>
      <c r="J311" t="s">
        <v>36</v>
      </c>
      <c r="K311" s="8">
        <f>Table2[[#This Row],[CurrentStock]]*Table2[[#This Row],[UnitPrice]]</f>
        <v>29105.25</v>
      </c>
      <c r="L311" t="str">
        <f>IF(Table2[[#This Row],[CurrentStock]]&lt;=Table2[[#This Row],[ReorderLevel]], "Reorder Needed", "Okay")</f>
        <v>Reorder Needed</v>
      </c>
      <c r="M311" s="7">
        <f>IF(Table2[[#This Row],[CurrentStock]]-Table2[[#This Row],[ReorderLevel]]&lt;0,Table2[[#This Row],[CurrentStock]]-Table2[[#This Row],[ReorderLevel]],"")</f>
        <v>-25</v>
      </c>
      <c r="N311" t="str">
        <f>IF(Table2[[#This Row],[Stock Gap]]&lt;0, "Understock","Okay")</f>
        <v>Understock</v>
      </c>
      <c r="O311" s="13" t="str">
        <f>IF(Table2[[#This Row],[Stock Gap]]&lt;0, "Yes", "No")</f>
        <v>Yes</v>
      </c>
      <c r="P311" s="13" t="str">
        <f>IF(Table2[[#This Row],[CurrentStock]]&lt;Table2[[#This Row],[ReorderLevel]],"Reorder", "Okay")</f>
        <v>Reorder</v>
      </c>
      <c r="Q311" s="13" t="str">
        <f>IF(Table2[[#This Row],[CurrentStock]]&gt;Table2[[#This Row],[ReorderLevel]]*3, "Overstock", "Okay")</f>
        <v>Okay</v>
      </c>
    </row>
    <row r="312" spans="1:17" x14ac:dyDescent="0.35">
      <c r="A312">
        <v>28230</v>
      </c>
      <c r="B312" t="s">
        <v>15</v>
      </c>
      <c r="C312" t="s">
        <v>29</v>
      </c>
      <c r="D312">
        <v>37</v>
      </c>
      <c r="E312">
        <v>50</v>
      </c>
      <c r="F312" s="2">
        <v>395.46</v>
      </c>
      <c r="G312" t="s">
        <v>33</v>
      </c>
      <c r="H312" s="1">
        <v>45470</v>
      </c>
      <c r="I312" s="1">
        <v>45478</v>
      </c>
      <c r="J312" t="s">
        <v>38</v>
      </c>
      <c r="K312" s="8">
        <f>Table2[[#This Row],[CurrentStock]]*Table2[[#This Row],[UnitPrice]]</f>
        <v>14632.019999999999</v>
      </c>
      <c r="L312" t="str">
        <f>IF(Table2[[#This Row],[CurrentStock]]&lt;=Table2[[#This Row],[ReorderLevel]], "Reorder Needed", "Okay")</f>
        <v>Reorder Needed</v>
      </c>
      <c r="M312" s="7">
        <f>IF(Table2[[#This Row],[CurrentStock]]-Table2[[#This Row],[ReorderLevel]]&lt;0,Table2[[#This Row],[CurrentStock]]-Table2[[#This Row],[ReorderLevel]],"")</f>
        <v>-13</v>
      </c>
      <c r="N312" t="str">
        <f>IF(Table2[[#This Row],[Stock Gap]]&lt;0, "Understock","Okay")</f>
        <v>Understock</v>
      </c>
      <c r="O312" s="13" t="str">
        <f>IF(Table2[[#This Row],[Stock Gap]]&lt;0, "Yes", "No")</f>
        <v>Yes</v>
      </c>
      <c r="P312" s="13" t="str">
        <f>IF(Table2[[#This Row],[CurrentStock]]&lt;Table2[[#This Row],[ReorderLevel]],"Reorder", "Okay")</f>
        <v>Reorder</v>
      </c>
      <c r="Q312" s="13" t="str">
        <f>IF(Table2[[#This Row],[CurrentStock]]&gt;Table2[[#This Row],[ReorderLevel]]*3, "Overstock", "Okay")</f>
        <v>Okay</v>
      </c>
    </row>
    <row r="313" spans="1:17" x14ac:dyDescent="0.35">
      <c r="A313">
        <v>21190</v>
      </c>
      <c r="B313" t="s">
        <v>9</v>
      </c>
      <c r="C313" t="s">
        <v>26</v>
      </c>
      <c r="D313">
        <v>66</v>
      </c>
      <c r="E313">
        <v>100</v>
      </c>
      <c r="F313" s="2">
        <v>135.02000000000001</v>
      </c>
      <c r="G313" t="s">
        <v>34</v>
      </c>
      <c r="H313" s="1">
        <v>45453</v>
      </c>
      <c r="I313" s="1">
        <v>45484</v>
      </c>
      <c r="J313" t="s">
        <v>36</v>
      </c>
      <c r="K313" s="8">
        <f>Table2[[#This Row],[CurrentStock]]*Table2[[#This Row],[UnitPrice]]</f>
        <v>8911.3200000000015</v>
      </c>
      <c r="L313" t="str">
        <f>IF(Table2[[#This Row],[CurrentStock]]&lt;=Table2[[#This Row],[ReorderLevel]], "Reorder Needed", "Okay")</f>
        <v>Reorder Needed</v>
      </c>
      <c r="M313" s="7">
        <f>IF(Table2[[#This Row],[CurrentStock]]-Table2[[#This Row],[ReorderLevel]]&lt;0,Table2[[#This Row],[CurrentStock]]-Table2[[#This Row],[ReorderLevel]],"")</f>
        <v>-34</v>
      </c>
      <c r="N313" t="str">
        <f>IF(Table2[[#This Row],[Stock Gap]]&lt;0, "Understock","Okay")</f>
        <v>Understock</v>
      </c>
      <c r="O313" s="13" t="str">
        <f>IF(Table2[[#This Row],[Stock Gap]]&lt;0, "Yes", "No")</f>
        <v>Yes</v>
      </c>
      <c r="P313" s="13" t="str">
        <f>IF(Table2[[#This Row],[CurrentStock]]&lt;Table2[[#This Row],[ReorderLevel]],"Reorder", "Okay")</f>
        <v>Reorder</v>
      </c>
      <c r="Q313" s="13" t="str">
        <f>IF(Table2[[#This Row],[CurrentStock]]&gt;Table2[[#This Row],[ReorderLevel]]*3, "Overstock", "Okay")</f>
        <v>Okay</v>
      </c>
    </row>
    <row r="314" spans="1:17" x14ac:dyDescent="0.35">
      <c r="A314">
        <v>50583</v>
      </c>
      <c r="B314" t="s">
        <v>11</v>
      </c>
      <c r="C314" t="s">
        <v>27</v>
      </c>
      <c r="D314">
        <v>400</v>
      </c>
      <c r="E314">
        <v>80</v>
      </c>
      <c r="F314" s="2">
        <v>238.88</v>
      </c>
      <c r="G314" t="s">
        <v>31</v>
      </c>
      <c r="H314" s="1">
        <v>45509</v>
      </c>
      <c r="I314" s="1">
        <v>45540</v>
      </c>
      <c r="J314" t="s">
        <v>38</v>
      </c>
      <c r="K314" s="8">
        <f>Table2[[#This Row],[CurrentStock]]*Table2[[#This Row],[UnitPrice]]</f>
        <v>95552</v>
      </c>
      <c r="L314" t="str">
        <f>IF(Table2[[#This Row],[CurrentStock]]&lt;=Table2[[#This Row],[ReorderLevel]], "Reorder Needed", "Okay")</f>
        <v>Okay</v>
      </c>
      <c r="M314" t="str">
        <f>IF(Table2[[#This Row],[CurrentStock]]-Table2[[#This Row],[ReorderLevel]]&lt;0,Table2[[#This Row],[CurrentStock]]-Table2[[#This Row],[ReorderLevel]],"")</f>
        <v/>
      </c>
      <c r="N314" t="str">
        <f>IF(Table2[[#This Row],[Stock Gap]]&lt;0, "Understock","Okay")</f>
        <v>Okay</v>
      </c>
      <c r="O314" s="13" t="str">
        <f>IF(Table2[[#This Row],[Stock Gap]]&lt;0, "Yes", "No")</f>
        <v>No</v>
      </c>
      <c r="P314" s="13" t="str">
        <f>IF(Table2[[#This Row],[CurrentStock]]&lt;Table2[[#This Row],[ReorderLevel]],"Reorder", "Okay")</f>
        <v>Okay</v>
      </c>
      <c r="Q314" s="13" t="str">
        <f>IF(Table2[[#This Row],[CurrentStock]]&gt;Table2[[#This Row],[ReorderLevel]]*3, "Overstock", "Okay")</f>
        <v>Overstock</v>
      </c>
    </row>
    <row r="315" spans="1:17" x14ac:dyDescent="0.35">
      <c r="A315">
        <v>93375</v>
      </c>
      <c r="B315" t="s">
        <v>17</v>
      </c>
      <c r="C315" t="s">
        <v>27</v>
      </c>
      <c r="D315">
        <v>92</v>
      </c>
      <c r="E315">
        <v>80</v>
      </c>
      <c r="F315" s="2">
        <v>243.61</v>
      </c>
      <c r="G315" t="s">
        <v>35</v>
      </c>
      <c r="H315" s="1">
        <v>45433</v>
      </c>
      <c r="I315" s="1">
        <v>45472</v>
      </c>
      <c r="J315" t="s">
        <v>36</v>
      </c>
      <c r="K315" s="8">
        <f>Table2[[#This Row],[CurrentStock]]*Table2[[#This Row],[UnitPrice]]</f>
        <v>22412.120000000003</v>
      </c>
      <c r="L315" t="str">
        <f>IF(Table2[[#This Row],[CurrentStock]]&lt;=Table2[[#This Row],[ReorderLevel]], "Reorder Needed", "Okay")</f>
        <v>Okay</v>
      </c>
      <c r="M315" t="str">
        <f>IF(Table2[[#This Row],[CurrentStock]]-Table2[[#This Row],[ReorderLevel]]&lt;0,Table2[[#This Row],[CurrentStock]]-Table2[[#This Row],[ReorderLevel]],"")</f>
        <v/>
      </c>
      <c r="N315" t="str">
        <f>IF(Table2[[#This Row],[Stock Gap]]&lt;0, "Understock","Okay")</f>
        <v>Okay</v>
      </c>
      <c r="O315" s="13" t="str">
        <f>IF(Table2[[#This Row],[Stock Gap]]&lt;0, "Yes", "No")</f>
        <v>No</v>
      </c>
      <c r="P315" s="13" t="str">
        <f>IF(Table2[[#This Row],[CurrentStock]]&lt;Table2[[#This Row],[ReorderLevel]],"Reorder", "Okay")</f>
        <v>Okay</v>
      </c>
      <c r="Q315" s="13" t="str">
        <f>IF(Table2[[#This Row],[CurrentStock]]&gt;Table2[[#This Row],[ReorderLevel]]*3, "Overstock", "Okay")</f>
        <v>Okay</v>
      </c>
    </row>
    <row r="316" spans="1:17" x14ac:dyDescent="0.35">
      <c r="A316">
        <v>47418</v>
      </c>
      <c r="B316" t="s">
        <v>25</v>
      </c>
      <c r="C316" t="s">
        <v>29</v>
      </c>
      <c r="D316">
        <v>485</v>
      </c>
      <c r="E316">
        <v>20</v>
      </c>
      <c r="F316" s="2">
        <v>8.7899999999999991</v>
      </c>
      <c r="G316" t="s">
        <v>33</v>
      </c>
      <c r="H316" s="1">
        <v>45481</v>
      </c>
      <c r="I316" s="1">
        <v>45493</v>
      </c>
      <c r="J316" t="s">
        <v>36</v>
      </c>
      <c r="K316" s="8">
        <f>Table2[[#This Row],[CurrentStock]]*Table2[[#This Row],[UnitPrice]]</f>
        <v>4263.1499999999996</v>
      </c>
      <c r="L316" t="str">
        <f>IF(Table2[[#This Row],[CurrentStock]]&lt;=Table2[[#This Row],[ReorderLevel]], "Reorder Needed", "Okay")</f>
        <v>Okay</v>
      </c>
      <c r="M316" t="str">
        <f>IF(Table2[[#This Row],[CurrentStock]]-Table2[[#This Row],[ReorderLevel]]&lt;0,Table2[[#This Row],[CurrentStock]]-Table2[[#This Row],[ReorderLevel]],"")</f>
        <v/>
      </c>
      <c r="N316" t="str">
        <f>IF(Table2[[#This Row],[Stock Gap]]&lt;0, "Understock","Okay")</f>
        <v>Okay</v>
      </c>
      <c r="O316" s="13" t="str">
        <f>IF(Table2[[#This Row],[Stock Gap]]&lt;0, "Yes", "No")</f>
        <v>No</v>
      </c>
      <c r="P316" s="13" t="str">
        <f>IF(Table2[[#This Row],[CurrentStock]]&lt;Table2[[#This Row],[ReorderLevel]],"Reorder", "Okay")</f>
        <v>Okay</v>
      </c>
      <c r="Q316" s="13" t="str">
        <f>IF(Table2[[#This Row],[CurrentStock]]&gt;Table2[[#This Row],[ReorderLevel]]*3, "Overstock", "Okay")</f>
        <v>Overstock</v>
      </c>
    </row>
    <row r="317" spans="1:17" x14ac:dyDescent="0.35">
      <c r="A317">
        <v>15463</v>
      </c>
      <c r="B317" t="s">
        <v>24</v>
      </c>
      <c r="C317" t="s">
        <v>30</v>
      </c>
      <c r="D317">
        <v>340</v>
      </c>
      <c r="E317">
        <v>80</v>
      </c>
      <c r="F317" s="2">
        <v>288.16000000000003</v>
      </c>
      <c r="G317" t="s">
        <v>35</v>
      </c>
      <c r="H317" s="1">
        <v>45609</v>
      </c>
      <c r="I317" s="1">
        <v>45622</v>
      </c>
      <c r="J317" t="s">
        <v>36</v>
      </c>
      <c r="K317" s="8">
        <f>Table2[[#This Row],[CurrentStock]]*Table2[[#This Row],[UnitPrice]]</f>
        <v>97974.400000000009</v>
      </c>
      <c r="L317" t="str">
        <f>IF(Table2[[#This Row],[CurrentStock]]&lt;=Table2[[#This Row],[ReorderLevel]], "Reorder Needed", "Okay")</f>
        <v>Okay</v>
      </c>
      <c r="M317" t="str">
        <f>IF(Table2[[#This Row],[CurrentStock]]-Table2[[#This Row],[ReorderLevel]]&lt;0,Table2[[#This Row],[CurrentStock]]-Table2[[#This Row],[ReorderLevel]],"")</f>
        <v/>
      </c>
      <c r="N317" t="str">
        <f>IF(Table2[[#This Row],[Stock Gap]]&lt;0, "Understock","Okay")</f>
        <v>Okay</v>
      </c>
      <c r="O317" s="13" t="str">
        <f>IF(Table2[[#This Row],[Stock Gap]]&lt;0, "Yes", "No")</f>
        <v>No</v>
      </c>
      <c r="P317" s="13" t="str">
        <f>IF(Table2[[#This Row],[CurrentStock]]&lt;Table2[[#This Row],[ReorderLevel]],"Reorder", "Okay")</f>
        <v>Okay</v>
      </c>
      <c r="Q317" s="13" t="str">
        <f>IF(Table2[[#This Row],[CurrentStock]]&gt;Table2[[#This Row],[ReorderLevel]]*3, "Overstock", "Okay")</f>
        <v>Overstock</v>
      </c>
    </row>
    <row r="318" spans="1:17" x14ac:dyDescent="0.35">
      <c r="A318">
        <v>32207</v>
      </c>
      <c r="B318" t="s">
        <v>17</v>
      </c>
      <c r="C318" t="s">
        <v>27</v>
      </c>
      <c r="D318">
        <v>343</v>
      </c>
      <c r="E318">
        <v>80</v>
      </c>
      <c r="F318" s="2">
        <v>175.89</v>
      </c>
      <c r="G318" t="s">
        <v>31</v>
      </c>
      <c r="H318" s="1">
        <v>45474</v>
      </c>
      <c r="I318" s="1">
        <v>45491</v>
      </c>
      <c r="J318" t="s">
        <v>38</v>
      </c>
      <c r="K318" s="8">
        <f>Table2[[#This Row],[CurrentStock]]*Table2[[#This Row],[UnitPrice]]</f>
        <v>60330.27</v>
      </c>
      <c r="L318" t="str">
        <f>IF(Table2[[#This Row],[CurrentStock]]&lt;=Table2[[#This Row],[ReorderLevel]], "Reorder Needed", "Okay")</f>
        <v>Okay</v>
      </c>
      <c r="M318" t="str">
        <f>IF(Table2[[#This Row],[CurrentStock]]-Table2[[#This Row],[ReorderLevel]]&lt;0,Table2[[#This Row],[CurrentStock]]-Table2[[#This Row],[ReorderLevel]],"")</f>
        <v/>
      </c>
      <c r="N318" t="str">
        <f>IF(Table2[[#This Row],[Stock Gap]]&lt;0, "Understock","Okay")</f>
        <v>Okay</v>
      </c>
      <c r="O318" s="13" t="str">
        <f>IF(Table2[[#This Row],[Stock Gap]]&lt;0, "Yes", "No")</f>
        <v>No</v>
      </c>
      <c r="P318" s="13" t="str">
        <f>IF(Table2[[#This Row],[CurrentStock]]&lt;Table2[[#This Row],[ReorderLevel]],"Reorder", "Okay")</f>
        <v>Okay</v>
      </c>
      <c r="Q318" s="13" t="str">
        <f>IF(Table2[[#This Row],[CurrentStock]]&gt;Table2[[#This Row],[ReorderLevel]]*3, "Overstock", "Okay")</f>
        <v>Overstock</v>
      </c>
    </row>
    <row r="319" spans="1:17" x14ac:dyDescent="0.35">
      <c r="A319">
        <v>54363</v>
      </c>
      <c r="B319" t="s">
        <v>12</v>
      </c>
      <c r="C319" t="s">
        <v>28</v>
      </c>
      <c r="D319">
        <v>332</v>
      </c>
      <c r="E319">
        <v>150</v>
      </c>
      <c r="F319" s="2">
        <v>140.99</v>
      </c>
      <c r="G319" t="s">
        <v>35</v>
      </c>
      <c r="H319" s="1">
        <v>45292</v>
      </c>
      <c r="I319" s="1">
        <v>45315</v>
      </c>
      <c r="J319" t="s">
        <v>36</v>
      </c>
      <c r="K319" s="8">
        <f>Table2[[#This Row],[CurrentStock]]*Table2[[#This Row],[UnitPrice]]</f>
        <v>46808.68</v>
      </c>
      <c r="L319" t="str">
        <f>IF(Table2[[#This Row],[CurrentStock]]&lt;=Table2[[#This Row],[ReorderLevel]], "Reorder Needed", "Okay")</f>
        <v>Okay</v>
      </c>
      <c r="M319" t="str">
        <f>IF(Table2[[#This Row],[CurrentStock]]-Table2[[#This Row],[ReorderLevel]]&lt;0,Table2[[#This Row],[CurrentStock]]-Table2[[#This Row],[ReorderLevel]],"")</f>
        <v/>
      </c>
      <c r="N319" t="str">
        <f>IF(Table2[[#This Row],[Stock Gap]]&lt;0, "Understock","Okay")</f>
        <v>Okay</v>
      </c>
      <c r="O319" s="13" t="str">
        <f>IF(Table2[[#This Row],[Stock Gap]]&lt;0, "Yes", "No")</f>
        <v>No</v>
      </c>
      <c r="P319" s="13" t="str">
        <f>IF(Table2[[#This Row],[CurrentStock]]&lt;Table2[[#This Row],[ReorderLevel]],"Reorder", "Okay")</f>
        <v>Okay</v>
      </c>
      <c r="Q319" s="13" t="str">
        <f>IF(Table2[[#This Row],[CurrentStock]]&gt;Table2[[#This Row],[ReorderLevel]]*3, "Overstock", "Okay")</f>
        <v>Okay</v>
      </c>
    </row>
    <row r="320" spans="1:17" x14ac:dyDescent="0.35">
      <c r="A320">
        <v>13321</v>
      </c>
      <c r="B320" t="s">
        <v>16</v>
      </c>
      <c r="C320" t="s">
        <v>29</v>
      </c>
      <c r="D320">
        <v>444</v>
      </c>
      <c r="E320">
        <v>20</v>
      </c>
      <c r="F320" s="2">
        <v>412.78</v>
      </c>
      <c r="G320" t="s">
        <v>35</v>
      </c>
      <c r="H320" s="1">
        <v>45394</v>
      </c>
      <c r="I320" s="1">
        <v>45426</v>
      </c>
      <c r="J320" t="s">
        <v>36</v>
      </c>
      <c r="K320" s="8">
        <f>Table2[[#This Row],[CurrentStock]]*Table2[[#This Row],[UnitPrice]]</f>
        <v>183274.31999999998</v>
      </c>
      <c r="L320" t="str">
        <f>IF(Table2[[#This Row],[CurrentStock]]&lt;=Table2[[#This Row],[ReorderLevel]], "Reorder Needed", "Okay")</f>
        <v>Okay</v>
      </c>
      <c r="M320" t="str">
        <f>IF(Table2[[#This Row],[CurrentStock]]-Table2[[#This Row],[ReorderLevel]]&lt;0,Table2[[#This Row],[CurrentStock]]-Table2[[#This Row],[ReorderLevel]],"")</f>
        <v/>
      </c>
      <c r="N320" t="str">
        <f>IF(Table2[[#This Row],[Stock Gap]]&lt;0, "Understock","Okay")</f>
        <v>Okay</v>
      </c>
      <c r="O320" s="13" t="str">
        <f>IF(Table2[[#This Row],[Stock Gap]]&lt;0, "Yes", "No")</f>
        <v>No</v>
      </c>
      <c r="P320" s="13" t="str">
        <f>IF(Table2[[#This Row],[CurrentStock]]&lt;Table2[[#This Row],[ReorderLevel]],"Reorder", "Okay")</f>
        <v>Okay</v>
      </c>
      <c r="Q320" s="13" t="str">
        <f>IF(Table2[[#This Row],[CurrentStock]]&gt;Table2[[#This Row],[ReorderLevel]]*3, "Overstock", "Okay")</f>
        <v>Overstock</v>
      </c>
    </row>
    <row r="321" spans="1:17" x14ac:dyDescent="0.35">
      <c r="A321">
        <v>33377</v>
      </c>
      <c r="B321" t="s">
        <v>14</v>
      </c>
      <c r="C321" t="s">
        <v>28</v>
      </c>
      <c r="D321">
        <v>342</v>
      </c>
      <c r="E321">
        <v>100</v>
      </c>
      <c r="F321" s="2">
        <v>132.52000000000001</v>
      </c>
      <c r="G321" t="s">
        <v>32</v>
      </c>
      <c r="H321" s="1">
        <v>45506</v>
      </c>
      <c r="I321" s="1">
        <v>45530</v>
      </c>
      <c r="J321" t="s">
        <v>38</v>
      </c>
      <c r="K321" s="8">
        <f>Table2[[#This Row],[CurrentStock]]*Table2[[#This Row],[UnitPrice]]</f>
        <v>45321.840000000004</v>
      </c>
      <c r="L321" t="str">
        <f>IF(Table2[[#This Row],[CurrentStock]]&lt;=Table2[[#This Row],[ReorderLevel]], "Reorder Needed", "Okay")</f>
        <v>Okay</v>
      </c>
      <c r="M321" t="str">
        <f>IF(Table2[[#This Row],[CurrentStock]]-Table2[[#This Row],[ReorderLevel]]&lt;0,Table2[[#This Row],[CurrentStock]]-Table2[[#This Row],[ReorderLevel]],"")</f>
        <v/>
      </c>
      <c r="N321" t="str">
        <f>IF(Table2[[#This Row],[Stock Gap]]&lt;0, "Understock","Okay")</f>
        <v>Okay</v>
      </c>
      <c r="O321" s="13" t="str">
        <f>IF(Table2[[#This Row],[Stock Gap]]&lt;0, "Yes", "No")</f>
        <v>No</v>
      </c>
      <c r="P321" s="13" t="str">
        <f>IF(Table2[[#This Row],[CurrentStock]]&lt;Table2[[#This Row],[ReorderLevel]],"Reorder", "Okay")</f>
        <v>Okay</v>
      </c>
      <c r="Q321" s="13" t="str">
        <f>IF(Table2[[#This Row],[CurrentStock]]&gt;Table2[[#This Row],[ReorderLevel]]*3, "Overstock", "Okay")</f>
        <v>Overstock</v>
      </c>
    </row>
    <row r="322" spans="1:17" x14ac:dyDescent="0.35">
      <c r="A322">
        <v>88931</v>
      </c>
      <c r="B322" t="s">
        <v>13</v>
      </c>
      <c r="C322" t="s">
        <v>26</v>
      </c>
      <c r="D322">
        <v>160</v>
      </c>
      <c r="E322">
        <v>150</v>
      </c>
      <c r="F322" s="2">
        <v>333.02</v>
      </c>
      <c r="G322" t="s">
        <v>34</v>
      </c>
      <c r="H322" s="1">
        <v>45438</v>
      </c>
      <c r="I322" s="1">
        <v>45470</v>
      </c>
      <c r="J322" t="s">
        <v>36</v>
      </c>
      <c r="K322" s="8">
        <f>Table2[[#This Row],[CurrentStock]]*Table2[[#This Row],[UnitPrice]]</f>
        <v>53283.199999999997</v>
      </c>
      <c r="L322" t="str">
        <f>IF(Table2[[#This Row],[CurrentStock]]&lt;=Table2[[#This Row],[ReorderLevel]], "Reorder Needed", "Okay")</f>
        <v>Okay</v>
      </c>
      <c r="M322" t="str">
        <f>IF(Table2[[#This Row],[CurrentStock]]-Table2[[#This Row],[ReorderLevel]]&lt;0,Table2[[#This Row],[CurrentStock]]-Table2[[#This Row],[ReorderLevel]],"")</f>
        <v/>
      </c>
      <c r="N322" t="str">
        <f>IF(Table2[[#This Row],[Stock Gap]]&lt;0, "Understock","Okay")</f>
        <v>Okay</v>
      </c>
      <c r="O322" s="13" t="str">
        <f>IF(Table2[[#This Row],[Stock Gap]]&lt;0, "Yes", "No")</f>
        <v>No</v>
      </c>
      <c r="P322" s="13" t="str">
        <f>IF(Table2[[#This Row],[CurrentStock]]&lt;Table2[[#This Row],[ReorderLevel]],"Reorder", "Okay")</f>
        <v>Okay</v>
      </c>
      <c r="Q322" s="13" t="str">
        <f>IF(Table2[[#This Row],[CurrentStock]]&gt;Table2[[#This Row],[ReorderLevel]]*3, "Overstock", "Okay")</f>
        <v>Okay</v>
      </c>
    </row>
    <row r="323" spans="1:17" x14ac:dyDescent="0.35">
      <c r="A323">
        <v>96120</v>
      </c>
      <c r="B323" t="s">
        <v>13</v>
      </c>
      <c r="C323" t="s">
        <v>26</v>
      </c>
      <c r="D323">
        <v>242</v>
      </c>
      <c r="E323">
        <v>150</v>
      </c>
      <c r="F323" s="2">
        <v>376.18</v>
      </c>
      <c r="G323" t="s">
        <v>32</v>
      </c>
      <c r="H323" s="1">
        <v>45549</v>
      </c>
      <c r="I323" s="1">
        <v>45582</v>
      </c>
      <c r="J323" t="s">
        <v>38</v>
      </c>
      <c r="K323" s="8">
        <f>Table2[[#This Row],[CurrentStock]]*Table2[[#This Row],[UnitPrice]]</f>
        <v>91035.56</v>
      </c>
      <c r="L323" t="str">
        <f>IF(Table2[[#This Row],[CurrentStock]]&lt;=Table2[[#This Row],[ReorderLevel]], "Reorder Needed", "Okay")</f>
        <v>Okay</v>
      </c>
      <c r="M323" t="str">
        <f>IF(Table2[[#This Row],[CurrentStock]]-Table2[[#This Row],[ReorderLevel]]&lt;0,Table2[[#This Row],[CurrentStock]]-Table2[[#This Row],[ReorderLevel]],"")</f>
        <v/>
      </c>
      <c r="N323" t="str">
        <f>IF(Table2[[#This Row],[Stock Gap]]&lt;0, "Understock","Okay")</f>
        <v>Okay</v>
      </c>
      <c r="O323" s="13" t="str">
        <f>IF(Table2[[#This Row],[Stock Gap]]&lt;0, "Yes", "No")</f>
        <v>No</v>
      </c>
      <c r="P323" s="13" t="str">
        <f>IF(Table2[[#This Row],[CurrentStock]]&lt;Table2[[#This Row],[ReorderLevel]],"Reorder", "Okay")</f>
        <v>Okay</v>
      </c>
      <c r="Q323" s="13" t="str">
        <f>IF(Table2[[#This Row],[CurrentStock]]&gt;Table2[[#This Row],[ReorderLevel]]*3, "Overstock", "Okay")</f>
        <v>Okay</v>
      </c>
    </row>
    <row r="324" spans="1:17" x14ac:dyDescent="0.35">
      <c r="A324">
        <v>56619</v>
      </c>
      <c r="B324" t="s">
        <v>12</v>
      </c>
      <c r="C324" t="s">
        <v>28</v>
      </c>
      <c r="D324">
        <v>460</v>
      </c>
      <c r="E324">
        <v>30</v>
      </c>
      <c r="F324" s="2">
        <v>253.57</v>
      </c>
      <c r="G324" t="s">
        <v>31</v>
      </c>
      <c r="H324" s="1">
        <v>45342</v>
      </c>
      <c r="I324" s="1">
        <v>45355</v>
      </c>
      <c r="J324" t="s">
        <v>38</v>
      </c>
      <c r="K324" s="8">
        <f>Table2[[#This Row],[CurrentStock]]*Table2[[#This Row],[UnitPrice]]</f>
        <v>116642.2</v>
      </c>
      <c r="L324" t="str">
        <f>IF(Table2[[#This Row],[CurrentStock]]&lt;=Table2[[#This Row],[ReorderLevel]], "Reorder Needed", "Okay")</f>
        <v>Okay</v>
      </c>
      <c r="M324" t="str">
        <f>IF(Table2[[#This Row],[CurrentStock]]-Table2[[#This Row],[ReorderLevel]]&lt;0,Table2[[#This Row],[CurrentStock]]-Table2[[#This Row],[ReorderLevel]],"")</f>
        <v/>
      </c>
      <c r="N324" t="str">
        <f>IF(Table2[[#This Row],[Stock Gap]]&lt;0, "Understock","Okay")</f>
        <v>Okay</v>
      </c>
      <c r="O324" s="13" t="str">
        <f>IF(Table2[[#This Row],[Stock Gap]]&lt;0, "Yes", "No")</f>
        <v>No</v>
      </c>
      <c r="P324" s="13" t="str">
        <f>IF(Table2[[#This Row],[CurrentStock]]&lt;Table2[[#This Row],[ReorderLevel]],"Reorder", "Okay")</f>
        <v>Okay</v>
      </c>
      <c r="Q324" s="13" t="str">
        <f>IF(Table2[[#This Row],[CurrentStock]]&gt;Table2[[#This Row],[ReorderLevel]]*3, "Overstock", "Okay")</f>
        <v>Overstock</v>
      </c>
    </row>
    <row r="325" spans="1:17" x14ac:dyDescent="0.35">
      <c r="A325">
        <v>88928</v>
      </c>
      <c r="B325" t="s">
        <v>19</v>
      </c>
      <c r="C325" t="s">
        <v>28</v>
      </c>
      <c r="D325">
        <v>1</v>
      </c>
      <c r="E325">
        <v>80</v>
      </c>
      <c r="F325" s="2">
        <v>37.89</v>
      </c>
      <c r="G325" t="s">
        <v>34</v>
      </c>
      <c r="H325" s="1">
        <v>45641</v>
      </c>
      <c r="I325" s="1">
        <v>45647</v>
      </c>
      <c r="J325" t="s">
        <v>38</v>
      </c>
      <c r="K325" s="8">
        <f>Table2[[#This Row],[CurrentStock]]*Table2[[#This Row],[UnitPrice]]</f>
        <v>37.89</v>
      </c>
      <c r="L325" t="str">
        <f>IF(Table2[[#This Row],[CurrentStock]]&lt;=Table2[[#This Row],[ReorderLevel]], "Reorder Needed", "Okay")</f>
        <v>Reorder Needed</v>
      </c>
      <c r="M325" s="7">
        <f>IF(Table2[[#This Row],[CurrentStock]]-Table2[[#This Row],[ReorderLevel]]&lt;0,Table2[[#This Row],[CurrentStock]]-Table2[[#This Row],[ReorderLevel]],"")</f>
        <v>-79</v>
      </c>
      <c r="N325" t="str">
        <f>IF(Table2[[#This Row],[Stock Gap]]&lt;0, "Understock","Okay")</f>
        <v>Understock</v>
      </c>
      <c r="O325" s="13" t="str">
        <f>IF(Table2[[#This Row],[Stock Gap]]&lt;0, "Yes", "No")</f>
        <v>Yes</v>
      </c>
      <c r="P325" s="13" t="str">
        <f>IF(Table2[[#This Row],[CurrentStock]]&lt;Table2[[#This Row],[ReorderLevel]],"Reorder", "Okay")</f>
        <v>Reorder</v>
      </c>
      <c r="Q325" s="13" t="str">
        <f>IF(Table2[[#This Row],[CurrentStock]]&gt;Table2[[#This Row],[ReorderLevel]]*3, "Overstock", "Okay")</f>
        <v>Okay</v>
      </c>
    </row>
    <row r="326" spans="1:17" x14ac:dyDescent="0.35">
      <c r="A326">
        <v>47437</v>
      </c>
      <c r="B326" t="s">
        <v>21</v>
      </c>
      <c r="C326" t="s">
        <v>26</v>
      </c>
      <c r="D326">
        <v>234</v>
      </c>
      <c r="E326">
        <v>20</v>
      </c>
      <c r="F326" s="2">
        <v>46.77</v>
      </c>
      <c r="G326" t="s">
        <v>34</v>
      </c>
      <c r="H326" s="1">
        <v>45648</v>
      </c>
      <c r="I326" s="1">
        <v>45673</v>
      </c>
      <c r="J326" t="s">
        <v>37</v>
      </c>
      <c r="K326" s="8">
        <f>Table2[[#This Row],[CurrentStock]]*Table2[[#This Row],[UnitPrice]]</f>
        <v>10944.18</v>
      </c>
      <c r="L326" t="str">
        <f>IF(Table2[[#This Row],[CurrentStock]]&lt;=Table2[[#This Row],[ReorderLevel]], "Reorder Needed", "Okay")</f>
        <v>Okay</v>
      </c>
      <c r="M326" t="str">
        <f>IF(Table2[[#This Row],[CurrentStock]]-Table2[[#This Row],[ReorderLevel]]&lt;0,Table2[[#This Row],[CurrentStock]]-Table2[[#This Row],[ReorderLevel]],"")</f>
        <v/>
      </c>
      <c r="N326" t="str">
        <f>IF(Table2[[#This Row],[Stock Gap]]&lt;0, "Understock","Okay")</f>
        <v>Okay</v>
      </c>
      <c r="O326" s="13" t="str">
        <f>IF(Table2[[#This Row],[Stock Gap]]&lt;0, "Yes", "No")</f>
        <v>No</v>
      </c>
      <c r="P326" s="13" t="str">
        <f>IF(Table2[[#This Row],[CurrentStock]]&lt;Table2[[#This Row],[ReorderLevel]],"Reorder", "Okay")</f>
        <v>Okay</v>
      </c>
      <c r="Q326" s="13" t="str">
        <f>IF(Table2[[#This Row],[CurrentStock]]&gt;Table2[[#This Row],[ReorderLevel]]*3, "Overstock", "Okay")</f>
        <v>Overstock</v>
      </c>
    </row>
    <row r="327" spans="1:17" x14ac:dyDescent="0.35">
      <c r="A327">
        <v>46268</v>
      </c>
      <c r="B327" t="s">
        <v>18</v>
      </c>
      <c r="C327" t="s">
        <v>27</v>
      </c>
      <c r="D327">
        <v>407</v>
      </c>
      <c r="E327">
        <v>20</v>
      </c>
      <c r="F327" s="2">
        <v>38.36</v>
      </c>
      <c r="G327" t="s">
        <v>34</v>
      </c>
      <c r="H327" s="1">
        <v>45568</v>
      </c>
      <c r="I327" s="1">
        <v>45590</v>
      </c>
      <c r="J327" t="s">
        <v>36</v>
      </c>
      <c r="K327" s="8">
        <f>Table2[[#This Row],[CurrentStock]]*Table2[[#This Row],[UnitPrice]]</f>
        <v>15612.52</v>
      </c>
      <c r="L327" t="str">
        <f>IF(Table2[[#This Row],[CurrentStock]]&lt;=Table2[[#This Row],[ReorderLevel]], "Reorder Needed", "Okay")</f>
        <v>Okay</v>
      </c>
      <c r="M327" t="str">
        <f>IF(Table2[[#This Row],[CurrentStock]]-Table2[[#This Row],[ReorderLevel]]&lt;0,Table2[[#This Row],[CurrentStock]]-Table2[[#This Row],[ReorderLevel]],"")</f>
        <v/>
      </c>
      <c r="N327" t="str">
        <f>IF(Table2[[#This Row],[Stock Gap]]&lt;0, "Understock","Okay")</f>
        <v>Okay</v>
      </c>
      <c r="O327" s="13" t="str">
        <f>IF(Table2[[#This Row],[Stock Gap]]&lt;0, "Yes", "No")</f>
        <v>No</v>
      </c>
      <c r="P327" s="13" t="str">
        <f>IF(Table2[[#This Row],[CurrentStock]]&lt;Table2[[#This Row],[ReorderLevel]],"Reorder", "Okay")</f>
        <v>Okay</v>
      </c>
      <c r="Q327" s="13" t="str">
        <f>IF(Table2[[#This Row],[CurrentStock]]&gt;Table2[[#This Row],[ReorderLevel]]*3, "Overstock", "Okay")</f>
        <v>Overstock</v>
      </c>
    </row>
    <row r="328" spans="1:17" x14ac:dyDescent="0.35">
      <c r="A328">
        <v>62395</v>
      </c>
      <c r="B328" t="s">
        <v>20</v>
      </c>
      <c r="C328" t="s">
        <v>30</v>
      </c>
      <c r="D328">
        <v>187</v>
      </c>
      <c r="E328">
        <v>50</v>
      </c>
      <c r="F328" s="2">
        <v>400.2</v>
      </c>
      <c r="G328" t="s">
        <v>34</v>
      </c>
      <c r="H328" s="1">
        <v>45486</v>
      </c>
      <c r="I328" s="1">
        <v>45518</v>
      </c>
      <c r="J328" t="s">
        <v>37</v>
      </c>
      <c r="K328" s="8">
        <f>Table2[[#This Row],[CurrentStock]]*Table2[[#This Row],[UnitPrice]]</f>
        <v>74837.399999999994</v>
      </c>
      <c r="L328" t="str">
        <f>IF(Table2[[#This Row],[CurrentStock]]&lt;=Table2[[#This Row],[ReorderLevel]], "Reorder Needed", "Okay")</f>
        <v>Okay</v>
      </c>
      <c r="M328" t="str">
        <f>IF(Table2[[#This Row],[CurrentStock]]-Table2[[#This Row],[ReorderLevel]]&lt;0,Table2[[#This Row],[CurrentStock]]-Table2[[#This Row],[ReorderLevel]],"")</f>
        <v/>
      </c>
      <c r="N328" t="str">
        <f>IF(Table2[[#This Row],[Stock Gap]]&lt;0, "Understock","Okay")</f>
        <v>Okay</v>
      </c>
      <c r="O328" s="13" t="str">
        <f>IF(Table2[[#This Row],[Stock Gap]]&lt;0, "Yes", "No")</f>
        <v>No</v>
      </c>
      <c r="P328" s="13" t="str">
        <f>IF(Table2[[#This Row],[CurrentStock]]&lt;Table2[[#This Row],[ReorderLevel]],"Reorder", "Okay")</f>
        <v>Okay</v>
      </c>
      <c r="Q328" s="13" t="str">
        <f>IF(Table2[[#This Row],[CurrentStock]]&gt;Table2[[#This Row],[ReorderLevel]]*3, "Overstock", "Okay")</f>
        <v>Overstock</v>
      </c>
    </row>
    <row r="329" spans="1:17" x14ac:dyDescent="0.35">
      <c r="A329">
        <v>98503</v>
      </c>
      <c r="B329" t="s">
        <v>14</v>
      </c>
      <c r="C329" t="s">
        <v>28</v>
      </c>
      <c r="D329">
        <v>312</v>
      </c>
      <c r="E329">
        <v>100</v>
      </c>
      <c r="F329" s="2">
        <v>354.27</v>
      </c>
      <c r="G329" t="s">
        <v>33</v>
      </c>
      <c r="H329" s="1">
        <v>45458</v>
      </c>
      <c r="I329" s="1">
        <v>45496</v>
      </c>
      <c r="J329" t="s">
        <v>36</v>
      </c>
      <c r="K329" s="8">
        <f>Table2[[#This Row],[CurrentStock]]*Table2[[#This Row],[UnitPrice]]</f>
        <v>110532.23999999999</v>
      </c>
      <c r="L329" t="str">
        <f>IF(Table2[[#This Row],[CurrentStock]]&lt;=Table2[[#This Row],[ReorderLevel]], "Reorder Needed", "Okay")</f>
        <v>Okay</v>
      </c>
      <c r="M329" t="str">
        <f>IF(Table2[[#This Row],[CurrentStock]]-Table2[[#This Row],[ReorderLevel]]&lt;0,Table2[[#This Row],[CurrentStock]]-Table2[[#This Row],[ReorderLevel]],"")</f>
        <v/>
      </c>
      <c r="N329" t="str">
        <f>IF(Table2[[#This Row],[Stock Gap]]&lt;0, "Understock","Okay")</f>
        <v>Okay</v>
      </c>
      <c r="O329" s="13" t="str">
        <f>IF(Table2[[#This Row],[Stock Gap]]&lt;0, "Yes", "No")</f>
        <v>No</v>
      </c>
      <c r="P329" s="13" t="str">
        <f>IF(Table2[[#This Row],[CurrentStock]]&lt;Table2[[#This Row],[ReorderLevel]],"Reorder", "Okay")</f>
        <v>Okay</v>
      </c>
      <c r="Q329" s="13" t="str">
        <f>IF(Table2[[#This Row],[CurrentStock]]&gt;Table2[[#This Row],[ReorderLevel]]*3, "Overstock", "Okay")</f>
        <v>Overstock</v>
      </c>
    </row>
    <row r="330" spans="1:17" x14ac:dyDescent="0.35">
      <c r="A330">
        <v>50379</v>
      </c>
      <c r="B330" t="s">
        <v>9</v>
      </c>
      <c r="C330" t="s">
        <v>26</v>
      </c>
      <c r="D330">
        <v>55</v>
      </c>
      <c r="E330">
        <v>20</v>
      </c>
      <c r="F330" s="2">
        <v>176.21</v>
      </c>
      <c r="G330" t="s">
        <v>32</v>
      </c>
      <c r="H330" s="1">
        <v>45439</v>
      </c>
      <c r="I330" s="1">
        <v>45462</v>
      </c>
      <c r="J330" t="s">
        <v>37</v>
      </c>
      <c r="K330" s="8">
        <f>Table2[[#This Row],[CurrentStock]]*Table2[[#This Row],[UnitPrice]]</f>
        <v>9691.5500000000011</v>
      </c>
      <c r="L330" t="str">
        <f>IF(Table2[[#This Row],[CurrentStock]]&lt;=Table2[[#This Row],[ReorderLevel]], "Reorder Needed", "Okay")</f>
        <v>Okay</v>
      </c>
      <c r="M330" t="str">
        <f>IF(Table2[[#This Row],[CurrentStock]]-Table2[[#This Row],[ReorderLevel]]&lt;0,Table2[[#This Row],[CurrentStock]]-Table2[[#This Row],[ReorderLevel]],"")</f>
        <v/>
      </c>
      <c r="N330" t="str">
        <f>IF(Table2[[#This Row],[Stock Gap]]&lt;0, "Understock","Okay")</f>
        <v>Okay</v>
      </c>
      <c r="O330" s="13" t="str">
        <f>IF(Table2[[#This Row],[Stock Gap]]&lt;0, "Yes", "No")</f>
        <v>No</v>
      </c>
      <c r="P330" s="13" t="str">
        <f>IF(Table2[[#This Row],[CurrentStock]]&lt;Table2[[#This Row],[ReorderLevel]],"Reorder", "Okay")</f>
        <v>Okay</v>
      </c>
      <c r="Q330" s="13" t="str">
        <f>IF(Table2[[#This Row],[CurrentStock]]&gt;Table2[[#This Row],[ReorderLevel]]*3, "Overstock", "Okay")</f>
        <v>Okay</v>
      </c>
    </row>
    <row r="331" spans="1:17" x14ac:dyDescent="0.35">
      <c r="A331">
        <v>89239</v>
      </c>
      <c r="B331" t="s">
        <v>12</v>
      </c>
      <c r="C331" t="s">
        <v>28</v>
      </c>
      <c r="D331">
        <v>478</v>
      </c>
      <c r="E331">
        <v>40</v>
      </c>
      <c r="F331" s="2">
        <v>207.77</v>
      </c>
      <c r="G331" t="s">
        <v>32</v>
      </c>
      <c r="H331" s="1">
        <v>45596</v>
      </c>
      <c r="I331" s="1">
        <v>45605</v>
      </c>
      <c r="J331" t="s">
        <v>38</v>
      </c>
      <c r="K331" s="8">
        <f>Table2[[#This Row],[CurrentStock]]*Table2[[#This Row],[UnitPrice]]</f>
        <v>99314.06</v>
      </c>
      <c r="L331" t="str">
        <f>IF(Table2[[#This Row],[CurrentStock]]&lt;=Table2[[#This Row],[ReorderLevel]], "Reorder Needed", "Okay")</f>
        <v>Okay</v>
      </c>
      <c r="M331" t="str">
        <f>IF(Table2[[#This Row],[CurrentStock]]-Table2[[#This Row],[ReorderLevel]]&lt;0,Table2[[#This Row],[CurrentStock]]-Table2[[#This Row],[ReorderLevel]],"")</f>
        <v/>
      </c>
      <c r="N331" t="str">
        <f>IF(Table2[[#This Row],[Stock Gap]]&lt;0, "Understock","Okay")</f>
        <v>Okay</v>
      </c>
      <c r="O331" s="13" t="str">
        <f>IF(Table2[[#This Row],[Stock Gap]]&lt;0, "Yes", "No")</f>
        <v>No</v>
      </c>
      <c r="P331" s="13" t="str">
        <f>IF(Table2[[#This Row],[CurrentStock]]&lt;Table2[[#This Row],[ReorderLevel]],"Reorder", "Okay")</f>
        <v>Okay</v>
      </c>
      <c r="Q331" s="13" t="str">
        <f>IF(Table2[[#This Row],[CurrentStock]]&gt;Table2[[#This Row],[ReorderLevel]]*3, "Overstock", "Okay")</f>
        <v>Overstock</v>
      </c>
    </row>
    <row r="332" spans="1:17" x14ac:dyDescent="0.35">
      <c r="A332">
        <v>52359</v>
      </c>
      <c r="B332" t="s">
        <v>18</v>
      </c>
      <c r="C332" t="s">
        <v>27</v>
      </c>
      <c r="D332">
        <v>387</v>
      </c>
      <c r="E332">
        <v>20</v>
      </c>
      <c r="F332" s="2">
        <v>74.569999999999993</v>
      </c>
      <c r="G332" t="s">
        <v>31</v>
      </c>
      <c r="H332" s="1">
        <v>45616</v>
      </c>
      <c r="I332" s="1">
        <v>45650</v>
      </c>
      <c r="J332" t="s">
        <v>37</v>
      </c>
      <c r="K332" s="8">
        <f>Table2[[#This Row],[CurrentStock]]*Table2[[#This Row],[UnitPrice]]</f>
        <v>28858.589999999997</v>
      </c>
      <c r="L332" t="str">
        <f>IF(Table2[[#This Row],[CurrentStock]]&lt;=Table2[[#This Row],[ReorderLevel]], "Reorder Needed", "Okay")</f>
        <v>Okay</v>
      </c>
      <c r="M332" t="str">
        <f>IF(Table2[[#This Row],[CurrentStock]]-Table2[[#This Row],[ReorderLevel]]&lt;0,Table2[[#This Row],[CurrentStock]]-Table2[[#This Row],[ReorderLevel]],"")</f>
        <v/>
      </c>
      <c r="N332" t="str">
        <f>IF(Table2[[#This Row],[Stock Gap]]&lt;0, "Understock","Okay")</f>
        <v>Okay</v>
      </c>
      <c r="O332" s="13" t="str">
        <f>IF(Table2[[#This Row],[Stock Gap]]&lt;0, "Yes", "No")</f>
        <v>No</v>
      </c>
      <c r="P332" s="13" t="str">
        <f>IF(Table2[[#This Row],[CurrentStock]]&lt;Table2[[#This Row],[ReorderLevel]],"Reorder", "Okay")</f>
        <v>Okay</v>
      </c>
      <c r="Q332" s="13" t="str">
        <f>IF(Table2[[#This Row],[CurrentStock]]&gt;Table2[[#This Row],[ReorderLevel]]*3, "Overstock", "Okay")</f>
        <v>Overstock</v>
      </c>
    </row>
    <row r="333" spans="1:17" x14ac:dyDescent="0.35">
      <c r="A333">
        <v>87362</v>
      </c>
      <c r="B333" t="s">
        <v>19</v>
      </c>
      <c r="C333" t="s">
        <v>28</v>
      </c>
      <c r="D333">
        <v>259</v>
      </c>
      <c r="E333">
        <v>30</v>
      </c>
      <c r="F333" s="2">
        <v>24.3</v>
      </c>
      <c r="G333" t="s">
        <v>32</v>
      </c>
      <c r="H333" s="1">
        <v>45654</v>
      </c>
      <c r="I333" s="1">
        <v>45685</v>
      </c>
      <c r="J333" t="s">
        <v>38</v>
      </c>
      <c r="K333" s="8">
        <f>Table2[[#This Row],[CurrentStock]]*Table2[[#This Row],[UnitPrice]]</f>
        <v>6293.7</v>
      </c>
      <c r="L333" t="str">
        <f>IF(Table2[[#This Row],[CurrentStock]]&lt;=Table2[[#This Row],[ReorderLevel]], "Reorder Needed", "Okay")</f>
        <v>Okay</v>
      </c>
      <c r="M333" t="str">
        <f>IF(Table2[[#This Row],[CurrentStock]]-Table2[[#This Row],[ReorderLevel]]&lt;0,Table2[[#This Row],[CurrentStock]]-Table2[[#This Row],[ReorderLevel]],"")</f>
        <v/>
      </c>
      <c r="N333" t="str">
        <f>IF(Table2[[#This Row],[Stock Gap]]&lt;0, "Understock","Okay")</f>
        <v>Okay</v>
      </c>
      <c r="O333" s="13" t="str">
        <f>IF(Table2[[#This Row],[Stock Gap]]&lt;0, "Yes", "No")</f>
        <v>No</v>
      </c>
      <c r="P333" s="13" t="str">
        <f>IF(Table2[[#This Row],[CurrentStock]]&lt;Table2[[#This Row],[ReorderLevel]],"Reorder", "Okay")</f>
        <v>Okay</v>
      </c>
      <c r="Q333" s="13" t="str">
        <f>IF(Table2[[#This Row],[CurrentStock]]&gt;Table2[[#This Row],[ReorderLevel]]*3, "Overstock", "Okay")</f>
        <v>Overstock</v>
      </c>
    </row>
    <row r="334" spans="1:17" x14ac:dyDescent="0.35">
      <c r="A334">
        <v>37734</v>
      </c>
      <c r="B334" t="s">
        <v>19</v>
      </c>
      <c r="C334" t="s">
        <v>28</v>
      </c>
      <c r="D334">
        <v>398</v>
      </c>
      <c r="E334">
        <v>80</v>
      </c>
      <c r="F334" s="2">
        <v>148.18</v>
      </c>
      <c r="G334" t="s">
        <v>33</v>
      </c>
      <c r="H334" s="1">
        <v>45413</v>
      </c>
      <c r="I334" s="1">
        <v>45452</v>
      </c>
      <c r="J334" t="s">
        <v>38</v>
      </c>
      <c r="K334" s="8">
        <f>Table2[[#This Row],[CurrentStock]]*Table2[[#This Row],[UnitPrice]]</f>
        <v>58975.64</v>
      </c>
      <c r="L334" t="str">
        <f>IF(Table2[[#This Row],[CurrentStock]]&lt;=Table2[[#This Row],[ReorderLevel]], "Reorder Needed", "Okay")</f>
        <v>Okay</v>
      </c>
      <c r="M334" t="str">
        <f>IF(Table2[[#This Row],[CurrentStock]]-Table2[[#This Row],[ReorderLevel]]&lt;0,Table2[[#This Row],[CurrentStock]]-Table2[[#This Row],[ReorderLevel]],"")</f>
        <v/>
      </c>
      <c r="N334" t="str">
        <f>IF(Table2[[#This Row],[Stock Gap]]&lt;0, "Understock","Okay")</f>
        <v>Okay</v>
      </c>
      <c r="O334" s="13" t="str">
        <f>IF(Table2[[#This Row],[Stock Gap]]&lt;0, "Yes", "No")</f>
        <v>No</v>
      </c>
      <c r="P334" s="13" t="str">
        <f>IF(Table2[[#This Row],[CurrentStock]]&lt;Table2[[#This Row],[ReorderLevel]],"Reorder", "Okay")</f>
        <v>Okay</v>
      </c>
      <c r="Q334" s="13" t="str">
        <f>IF(Table2[[#This Row],[CurrentStock]]&gt;Table2[[#This Row],[ReorderLevel]]*3, "Overstock", "Okay")</f>
        <v>Overstock</v>
      </c>
    </row>
    <row r="335" spans="1:17" x14ac:dyDescent="0.35">
      <c r="A335">
        <v>69500</v>
      </c>
      <c r="B335" t="s">
        <v>9</v>
      </c>
      <c r="C335" t="s">
        <v>26</v>
      </c>
      <c r="D335">
        <v>368</v>
      </c>
      <c r="E335">
        <v>80</v>
      </c>
      <c r="F335" s="2">
        <v>147.76</v>
      </c>
      <c r="G335" t="s">
        <v>33</v>
      </c>
      <c r="H335" s="1">
        <v>45417</v>
      </c>
      <c r="I335" s="1">
        <v>45438</v>
      </c>
      <c r="J335" t="s">
        <v>36</v>
      </c>
      <c r="K335" s="8">
        <f>Table2[[#This Row],[CurrentStock]]*Table2[[#This Row],[UnitPrice]]</f>
        <v>54375.679999999993</v>
      </c>
      <c r="L335" t="str">
        <f>IF(Table2[[#This Row],[CurrentStock]]&lt;=Table2[[#This Row],[ReorderLevel]], "Reorder Needed", "Okay")</f>
        <v>Okay</v>
      </c>
      <c r="M335" t="str">
        <f>IF(Table2[[#This Row],[CurrentStock]]-Table2[[#This Row],[ReorderLevel]]&lt;0,Table2[[#This Row],[CurrentStock]]-Table2[[#This Row],[ReorderLevel]],"")</f>
        <v/>
      </c>
      <c r="N335" t="str">
        <f>IF(Table2[[#This Row],[Stock Gap]]&lt;0, "Understock","Okay")</f>
        <v>Okay</v>
      </c>
      <c r="O335" s="13" t="str">
        <f>IF(Table2[[#This Row],[Stock Gap]]&lt;0, "Yes", "No")</f>
        <v>No</v>
      </c>
      <c r="P335" s="13" t="str">
        <f>IF(Table2[[#This Row],[CurrentStock]]&lt;Table2[[#This Row],[ReorderLevel]],"Reorder", "Okay")</f>
        <v>Okay</v>
      </c>
      <c r="Q335" s="13" t="str">
        <f>IF(Table2[[#This Row],[CurrentStock]]&gt;Table2[[#This Row],[ReorderLevel]]*3, "Overstock", "Okay")</f>
        <v>Overstock</v>
      </c>
    </row>
    <row r="336" spans="1:17" x14ac:dyDescent="0.35">
      <c r="A336">
        <v>60098</v>
      </c>
      <c r="B336" t="s">
        <v>25</v>
      </c>
      <c r="C336" t="s">
        <v>29</v>
      </c>
      <c r="D336">
        <v>304</v>
      </c>
      <c r="E336">
        <v>80</v>
      </c>
      <c r="F336" s="2">
        <v>273.14</v>
      </c>
      <c r="G336" t="s">
        <v>31</v>
      </c>
      <c r="H336" s="1">
        <v>45633</v>
      </c>
      <c r="I336" s="1">
        <v>45660</v>
      </c>
      <c r="J336" t="s">
        <v>38</v>
      </c>
      <c r="K336" s="8">
        <f>Table2[[#This Row],[CurrentStock]]*Table2[[#This Row],[UnitPrice]]</f>
        <v>83034.559999999998</v>
      </c>
      <c r="L336" t="str">
        <f>IF(Table2[[#This Row],[CurrentStock]]&lt;=Table2[[#This Row],[ReorderLevel]], "Reorder Needed", "Okay")</f>
        <v>Okay</v>
      </c>
      <c r="M336" t="str">
        <f>IF(Table2[[#This Row],[CurrentStock]]-Table2[[#This Row],[ReorderLevel]]&lt;0,Table2[[#This Row],[CurrentStock]]-Table2[[#This Row],[ReorderLevel]],"")</f>
        <v/>
      </c>
      <c r="N336" t="str">
        <f>IF(Table2[[#This Row],[Stock Gap]]&lt;0, "Understock","Okay")</f>
        <v>Okay</v>
      </c>
      <c r="O336" s="13" t="str">
        <f>IF(Table2[[#This Row],[Stock Gap]]&lt;0, "Yes", "No")</f>
        <v>No</v>
      </c>
      <c r="P336" s="13" t="str">
        <f>IF(Table2[[#This Row],[CurrentStock]]&lt;Table2[[#This Row],[ReorderLevel]],"Reorder", "Okay")</f>
        <v>Okay</v>
      </c>
      <c r="Q336" s="13" t="str">
        <f>IF(Table2[[#This Row],[CurrentStock]]&gt;Table2[[#This Row],[ReorderLevel]]*3, "Overstock", "Okay")</f>
        <v>Overstock</v>
      </c>
    </row>
    <row r="337" spans="1:17" x14ac:dyDescent="0.35">
      <c r="A337">
        <v>10358</v>
      </c>
      <c r="B337" t="s">
        <v>23</v>
      </c>
      <c r="C337" t="s">
        <v>30</v>
      </c>
      <c r="D337">
        <v>50</v>
      </c>
      <c r="E337">
        <v>30</v>
      </c>
      <c r="F337" s="2">
        <v>33.54</v>
      </c>
      <c r="G337" t="s">
        <v>33</v>
      </c>
      <c r="H337" s="1">
        <v>45312</v>
      </c>
      <c r="I337" s="1">
        <v>45327</v>
      </c>
      <c r="J337" t="s">
        <v>37</v>
      </c>
      <c r="K337" s="8">
        <f>Table2[[#This Row],[CurrentStock]]*Table2[[#This Row],[UnitPrice]]</f>
        <v>1677</v>
      </c>
      <c r="L337" t="str">
        <f>IF(Table2[[#This Row],[CurrentStock]]&lt;=Table2[[#This Row],[ReorderLevel]], "Reorder Needed", "Okay")</f>
        <v>Okay</v>
      </c>
      <c r="M337" t="str">
        <f>IF(Table2[[#This Row],[CurrentStock]]-Table2[[#This Row],[ReorderLevel]]&lt;0,Table2[[#This Row],[CurrentStock]]-Table2[[#This Row],[ReorderLevel]],"")</f>
        <v/>
      </c>
      <c r="N337" t="str">
        <f>IF(Table2[[#This Row],[Stock Gap]]&lt;0, "Understock","Okay")</f>
        <v>Okay</v>
      </c>
      <c r="O337" s="13" t="str">
        <f>IF(Table2[[#This Row],[Stock Gap]]&lt;0, "Yes", "No")</f>
        <v>No</v>
      </c>
      <c r="P337" s="13" t="str">
        <f>IF(Table2[[#This Row],[CurrentStock]]&lt;Table2[[#This Row],[ReorderLevel]],"Reorder", "Okay")</f>
        <v>Okay</v>
      </c>
      <c r="Q337" s="13" t="str">
        <f>IF(Table2[[#This Row],[CurrentStock]]&gt;Table2[[#This Row],[ReorderLevel]]*3, "Overstock", "Okay")</f>
        <v>Okay</v>
      </c>
    </row>
    <row r="338" spans="1:17" x14ac:dyDescent="0.35">
      <c r="A338">
        <v>36762</v>
      </c>
      <c r="B338" t="s">
        <v>18</v>
      </c>
      <c r="C338" t="s">
        <v>27</v>
      </c>
      <c r="D338">
        <v>279</v>
      </c>
      <c r="E338">
        <v>80</v>
      </c>
      <c r="F338" s="2">
        <v>224.8</v>
      </c>
      <c r="G338" t="s">
        <v>33</v>
      </c>
      <c r="H338" s="1">
        <v>45402</v>
      </c>
      <c r="I338" s="1">
        <v>45440</v>
      </c>
      <c r="J338" t="s">
        <v>37</v>
      </c>
      <c r="K338" s="8">
        <f>Table2[[#This Row],[CurrentStock]]*Table2[[#This Row],[UnitPrice]]</f>
        <v>62719.200000000004</v>
      </c>
      <c r="L338" t="str">
        <f>IF(Table2[[#This Row],[CurrentStock]]&lt;=Table2[[#This Row],[ReorderLevel]], "Reorder Needed", "Okay")</f>
        <v>Okay</v>
      </c>
      <c r="M338" t="str">
        <f>IF(Table2[[#This Row],[CurrentStock]]-Table2[[#This Row],[ReorderLevel]]&lt;0,Table2[[#This Row],[CurrentStock]]-Table2[[#This Row],[ReorderLevel]],"")</f>
        <v/>
      </c>
      <c r="N338" t="str">
        <f>IF(Table2[[#This Row],[Stock Gap]]&lt;0, "Understock","Okay")</f>
        <v>Okay</v>
      </c>
      <c r="O338" s="13" t="str">
        <f>IF(Table2[[#This Row],[Stock Gap]]&lt;0, "Yes", "No")</f>
        <v>No</v>
      </c>
      <c r="P338" s="13" t="str">
        <f>IF(Table2[[#This Row],[CurrentStock]]&lt;Table2[[#This Row],[ReorderLevel]],"Reorder", "Okay")</f>
        <v>Okay</v>
      </c>
      <c r="Q338" s="13" t="str">
        <f>IF(Table2[[#This Row],[CurrentStock]]&gt;Table2[[#This Row],[ReorderLevel]]*3, "Overstock", "Okay")</f>
        <v>Overstock</v>
      </c>
    </row>
    <row r="339" spans="1:17" x14ac:dyDescent="0.35">
      <c r="A339">
        <v>94754</v>
      </c>
      <c r="B339" t="s">
        <v>25</v>
      </c>
      <c r="C339" t="s">
        <v>29</v>
      </c>
      <c r="D339">
        <v>98</v>
      </c>
      <c r="E339">
        <v>50</v>
      </c>
      <c r="F339" s="2">
        <v>153.74</v>
      </c>
      <c r="G339" t="s">
        <v>35</v>
      </c>
      <c r="H339" s="1">
        <v>45505</v>
      </c>
      <c r="I339" s="1">
        <v>45533</v>
      </c>
      <c r="J339" t="s">
        <v>37</v>
      </c>
      <c r="K339" s="8">
        <f>Table2[[#This Row],[CurrentStock]]*Table2[[#This Row],[UnitPrice]]</f>
        <v>15066.52</v>
      </c>
      <c r="L339" t="str">
        <f>IF(Table2[[#This Row],[CurrentStock]]&lt;=Table2[[#This Row],[ReorderLevel]], "Reorder Needed", "Okay")</f>
        <v>Okay</v>
      </c>
      <c r="M339" t="str">
        <f>IF(Table2[[#This Row],[CurrentStock]]-Table2[[#This Row],[ReorderLevel]]&lt;0,Table2[[#This Row],[CurrentStock]]-Table2[[#This Row],[ReorderLevel]],"")</f>
        <v/>
      </c>
      <c r="N339" t="str">
        <f>IF(Table2[[#This Row],[Stock Gap]]&lt;0, "Understock","Okay")</f>
        <v>Okay</v>
      </c>
      <c r="O339" s="13" t="str">
        <f>IF(Table2[[#This Row],[Stock Gap]]&lt;0, "Yes", "No")</f>
        <v>No</v>
      </c>
      <c r="P339" s="13" t="str">
        <f>IF(Table2[[#This Row],[CurrentStock]]&lt;Table2[[#This Row],[ReorderLevel]],"Reorder", "Okay")</f>
        <v>Okay</v>
      </c>
      <c r="Q339" s="13" t="str">
        <f>IF(Table2[[#This Row],[CurrentStock]]&gt;Table2[[#This Row],[ReorderLevel]]*3, "Overstock", "Okay")</f>
        <v>Okay</v>
      </c>
    </row>
    <row r="340" spans="1:17" x14ac:dyDescent="0.35">
      <c r="A340">
        <v>85774</v>
      </c>
      <c r="B340" t="s">
        <v>16</v>
      </c>
      <c r="C340" t="s">
        <v>29</v>
      </c>
      <c r="D340">
        <v>283</v>
      </c>
      <c r="E340">
        <v>80</v>
      </c>
      <c r="F340" s="2">
        <v>240.4</v>
      </c>
      <c r="G340" t="s">
        <v>31</v>
      </c>
      <c r="H340" s="1">
        <v>45455</v>
      </c>
      <c r="I340" s="1">
        <v>45478</v>
      </c>
      <c r="J340" t="s">
        <v>36</v>
      </c>
      <c r="K340" s="8">
        <f>Table2[[#This Row],[CurrentStock]]*Table2[[#This Row],[UnitPrice]]</f>
        <v>68033.2</v>
      </c>
      <c r="L340" t="str">
        <f>IF(Table2[[#This Row],[CurrentStock]]&lt;=Table2[[#This Row],[ReorderLevel]], "Reorder Needed", "Okay")</f>
        <v>Okay</v>
      </c>
      <c r="M340" t="str">
        <f>IF(Table2[[#This Row],[CurrentStock]]-Table2[[#This Row],[ReorderLevel]]&lt;0,Table2[[#This Row],[CurrentStock]]-Table2[[#This Row],[ReorderLevel]],"")</f>
        <v/>
      </c>
      <c r="N340" t="str">
        <f>IF(Table2[[#This Row],[Stock Gap]]&lt;0, "Understock","Okay")</f>
        <v>Okay</v>
      </c>
      <c r="O340" s="13" t="str">
        <f>IF(Table2[[#This Row],[Stock Gap]]&lt;0, "Yes", "No")</f>
        <v>No</v>
      </c>
      <c r="P340" s="13" t="str">
        <f>IF(Table2[[#This Row],[CurrentStock]]&lt;Table2[[#This Row],[ReorderLevel]],"Reorder", "Okay")</f>
        <v>Okay</v>
      </c>
      <c r="Q340" s="13" t="str">
        <f>IF(Table2[[#This Row],[CurrentStock]]&gt;Table2[[#This Row],[ReorderLevel]]*3, "Overstock", "Okay")</f>
        <v>Overstock</v>
      </c>
    </row>
    <row r="341" spans="1:17" x14ac:dyDescent="0.35">
      <c r="A341">
        <v>54789</v>
      </c>
      <c r="B341" t="s">
        <v>24</v>
      </c>
      <c r="C341" t="s">
        <v>30</v>
      </c>
      <c r="D341">
        <v>309</v>
      </c>
      <c r="E341">
        <v>80</v>
      </c>
      <c r="F341" s="2">
        <v>231.94</v>
      </c>
      <c r="G341" t="s">
        <v>31</v>
      </c>
      <c r="H341" s="1">
        <v>45537</v>
      </c>
      <c r="I341" s="1">
        <v>45562</v>
      </c>
      <c r="J341" t="s">
        <v>37</v>
      </c>
      <c r="K341" s="8">
        <f>Table2[[#This Row],[CurrentStock]]*Table2[[#This Row],[UnitPrice]]</f>
        <v>71669.460000000006</v>
      </c>
      <c r="L341" t="str">
        <f>IF(Table2[[#This Row],[CurrentStock]]&lt;=Table2[[#This Row],[ReorderLevel]], "Reorder Needed", "Okay")</f>
        <v>Okay</v>
      </c>
      <c r="M341" t="str">
        <f>IF(Table2[[#This Row],[CurrentStock]]-Table2[[#This Row],[ReorderLevel]]&lt;0,Table2[[#This Row],[CurrentStock]]-Table2[[#This Row],[ReorderLevel]],"")</f>
        <v/>
      </c>
      <c r="N341" t="str">
        <f>IF(Table2[[#This Row],[Stock Gap]]&lt;0, "Understock","Okay")</f>
        <v>Okay</v>
      </c>
      <c r="O341" s="13" t="str">
        <f>IF(Table2[[#This Row],[Stock Gap]]&lt;0, "Yes", "No")</f>
        <v>No</v>
      </c>
      <c r="P341" s="13" t="str">
        <f>IF(Table2[[#This Row],[CurrentStock]]&lt;Table2[[#This Row],[ReorderLevel]],"Reorder", "Okay")</f>
        <v>Okay</v>
      </c>
      <c r="Q341" s="13" t="str">
        <f>IF(Table2[[#This Row],[CurrentStock]]&gt;Table2[[#This Row],[ReorderLevel]]*3, "Overstock", "Okay")</f>
        <v>Overstock</v>
      </c>
    </row>
    <row r="342" spans="1:17" x14ac:dyDescent="0.35">
      <c r="A342">
        <v>76418</v>
      </c>
      <c r="B342" t="s">
        <v>9</v>
      </c>
      <c r="C342" t="s">
        <v>26</v>
      </c>
      <c r="D342">
        <v>464</v>
      </c>
      <c r="E342">
        <v>50</v>
      </c>
      <c r="F342" s="2">
        <v>236.06</v>
      </c>
      <c r="G342" t="s">
        <v>31</v>
      </c>
      <c r="H342" s="1">
        <v>45303</v>
      </c>
      <c r="I342" s="1">
        <v>45313</v>
      </c>
      <c r="J342" t="s">
        <v>38</v>
      </c>
      <c r="K342" s="8">
        <f>Table2[[#This Row],[CurrentStock]]*Table2[[#This Row],[UnitPrice]]</f>
        <v>109531.84</v>
      </c>
      <c r="L342" t="str">
        <f>IF(Table2[[#This Row],[CurrentStock]]&lt;=Table2[[#This Row],[ReorderLevel]], "Reorder Needed", "Okay")</f>
        <v>Okay</v>
      </c>
      <c r="M342" t="str">
        <f>IF(Table2[[#This Row],[CurrentStock]]-Table2[[#This Row],[ReorderLevel]]&lt;0,Table2[[#This Row],[CurrentStock]]-Table2[[#This Row],[ReorderLevel]],"")</f>
        <v/>
      </c>
      <c r="N342" t="str">
        <f>IF(Table2[[#This Row],[Stock Gap]]&lt;0, "Understock","Okay")</f>
        <v>Okay</v>
      </c>
      <c r="O342" s="13" t="str">
        <f>IF(Table2[[#This Row],[Stock Gap]]&lt;0, "Yes", "No")</f>
        <v>No</v>
      </c>
      <c r="P342" s="13" t="str">
        <f>IF(Table2[[#This Row],[CurrentStock]]&lt;Table2[[#This Row],[ReorderLevel]],"Reorder", "Okay")</f>
        <v>Okay</v>
      </c>
      <c r="Q342" s="13" t="str">
        <f>IF(Table2[[#This Row],[CurrentStock]]&gt;Table2[[#This Row],[ReorderLevel]]*3, "Overstock", "Okay")</f>
        <v>Overstock</v>
      </c>
    </row>
    <row r="343" spans="1:17" x14ac:dyDescent="0.35">
      <c r="A343">
        <v>38064</v>
      </c>
      <c r="B343" t="s">
        <v>10</v>
      </c>
      <c r="C343" t="s">
        <v>26</v>
      </c>
      <c r="D343">
        <v>307</v>
      </c>
      <c r="E343">
        <v>100</v>
      </c>
      <c r="F343" s="2">
        <v>296.42</v>
      </c>
      <c r="G343" t="s">
        <v>31</v>
      </c>
      <c r="H343" s="1">
        <v>45541</v>
      </c>
      <c r="I343" s="1">
        <v>45556</v>
      </c>
      <c r="J343" t="s">
        <v>37</v>
      </c>
      <c r="K343" s="8">
        <f>Table2[[#This Row],[CurrentStock]]*Table2[[#This Row],[UnitPrice]]</f>
        <v>91000.94</v>
      </c>
      <c r="L343" t="str">
        <f>IF(Table2[[#This Row],[CurrentStock]]&lt;=Table2[[#This Row],[ReorderLevel]], "Reorder Needed", "Okay")</f>
        <v>Okay</v>
      </c>
      <c r="M343" t="str">
        <f>IF(Table2[[#This Row],[CurrentStock]]-Table2[[#This Row],[ReorderLevel]]&lt;0,Table2[[#This Row],[CurrentStock]]-Table2[[#This Row],[ReorderLevel]],"")</f>
        <v/>
      </c>
      <c r="N343" t="str">
        <f>IF(Table2[[#This Row],[Stock Gap]]&lt;0, "Understock","Okay")</f>
        <v>Okay</v>
      </c>
      <c r="O343" s="13" t="str">
        <f>IF(Table2[[#This Row],[Stock Gap]]&lt;0, "Yes", "No")</f>
        <v>No</v>
      </c>
      <c r="P343" s="13" t="str">
        <f>IF(Table2[[#This Row],[CurrentStock]]&lt;Table2[[#This Row],[ReorderLevel]],"Reorder", "Okay")</f>
        <v>Okay</v>
      </c>
      <c r="Q343" s="13" t="str">
        <f>IF(Table2[[#This Row],[CurrentStock]]&gt;Table2[[#This Row],[ReorderLevel]]*3, "Overstock", "Okay")</f>
        <v>Overstock</v>
      </c>
    </row>
    <row r="344" spans="1:17" x14ac:dyDescent="0.35">
      <c r="A344">
        <v>31083</v>
      </c>
      <c r="B344" t="s">
        <v>18</v>
      </c>
      <c r="C344" t="s">
        <v>27</v>
      </c>
      <c r="D344">
        <v>241</v>
      </c>
      <c r="E344">
        <v>20</v>
      </c>
      <c r="F344" s="2">
        <v>433.46</v>
      </c>
      <c r="G344" t="s">
        <v>31</v>
      </c>
      <c r="H344" s="1">
        <v>45510</v>
      </c>
      <c r="I344" s="1">
        <v>45532</v>
      </c>
      <c r="J344" t="s">
        <v>37</v>
      </c>
      <c r="K344" s="8">
        <f>Table2[[#This Row],[CurrentStock]]*Table2[[#This Row],[UnitPrice]]</f>
        <v>104463.86</v>
      </c>
      <c r="L344" t="str">
        <f>IF(Table2[[#This Row],[CurrentStock]]&lt;=Table2[[#This Row],[ReorderLevel]], "Reorder Needed", "Okay")</f>
        <v>Okay</v>
      </c>
      <c r="M344" t="str">
        <f>IF(Table2[[#This Row],[CurrentStock]]-Table2[[#This Row],[ReorderLevel]]&lt;0,Table2[[#This Row],[CurrentStock]]-Table2[[#This Row],[ReorderLevel]],"")</f>
        <v/>
      </c>
      <c r="N344" t="str">
        <f>IF(Table2[[#This Row],[Stock Gap]]&lt;0, "Understock","Okay")</f>
        <v>Okay</v>
      </c>
      <c r="O344" s="13" t="str">
        <f>IF(Table2[[#This Row],[Stock Gap]]&lt;0, "Yes", "No")</f>
        <v>No</v>
      </c>
      <c r="P344" s="13" t="str">
        <f>IF(Table2[[#This Row],[CurrentStock]]&lt;Table2[[#This Row],[ReorderLevel]],"Reorder", "Okay")</f>
        <v>Okay</v>
      </c>
      <c r="Q344" s="13" t="str">
        <f>IF(Table2[[#This Row],[CurrentStock]]&gt;Table2[[#This Row],[ReorderLevel]]*3, "Overstock", "Okay")</f>
        <v>Overstock</v>
      </c>
    </row>
    <row r="345" spans="1:17" x14ac:dyDescent="0.35">
      <c r="A345">
        <v>92035</v>
      </c>
      <c r="B345" t="s">
        <v>21</v>
      </c>
      <c r="C345" t="s">
        <v>26</v>
      </c>
      <c r="D345">
        <v>364</v>
      </c>
      <c r="E345">
        <v>40</v>
      </c>
      <c r="F345" s="2">
        <v>104.23</v>
      </c>
      <c r="G345" t="s">
        <v>35</v>
      </c>
      <c r="H345" s="1">
        <v>45620</v>
      </c>
      <c r="I345" s="1">
        <v>45632</v>
      </c>
      <c r="J345" t="s">
        <v>36</v>
      </c>
      <c r="K345" s="8">
        <f>Table2[[#This Row],[CurrentStock]]*Table2[[#This Row],[UnitPrice]]</f>
        <v>37939.72</v>
      </c>
      <c r="L345" t="str">
        <f>IF(Table2[[#This Row],[CurrentStock]]&lt;=Table2[[#This Row],[ReorderLevel]], "Reorder Needed", "Okay")</f>
        <v>Okay</v>
      </c>
      <c r="M345" t="str">
        <f>IF(Table2[[#This Row],[CurrentStock]]-Table2[[#This Row],[ReorderLevel]]&lt;0,Table2[[#This Row],[CurrentStock]]-Table2[[#This Row],[ReorderLevel]],"")</f>
        <v/>
      </c>
      <c r="N345" t="str">
        <f>IF(Table2[[#This Row],[Stock Gap]]&lt;0, "Understock","Okay")</f>
        <v>Okay</v>
      </c>
      <c r="O345" s="13" t="str">
        <f>IF(Table2[[#This Row],[Stock Gap]]&lt;0, "Yes", "No")</f>
        <v>No</v>
      </c>
      <c r="P345" s="13" t="str">
        <f>IF(Table2[[#This Row],[CurrentStock]]&lt;Table2[[#This Row],[ReorderLevel]],"Reorder", "Okay")</f>
        <v>Okay</v>
      </c>
      <c r="Q345" s="13" t="str">
        <f>IF(Table2[[#This Row],[CurrentStock]]&gt;Table2[[#This Row],[ReorderLevel]]*3, "Overstock", "Okay")</f>
        <v>Overstock</v>
      </c>
    </row>
    <row r="346" spans="1:17" x14ac:dyDescent="0.35">
      <c r="A346">
        <v>35518</v>
      </c>
      <c r="B346" t="s">
        <v>17</v>
      </c>
      <c r="C346" t="s">
        <v>27</v>
      </c>
      <c r="D346">
        <v>224</v>
      </c>
      <c r="E346">
        <v>40</v>
      </c>
      <c r="F346" s="2">
        <v>159.38999999999999</v>
      </c>
      <c r="G346" t="s">
        <v>35</v>
      </c>
      <c r="H346" s="1">
        <v>45614</v>
      </c>
      <c r="I346" s="1">
        <v>45623</v>
      </c>
      <c r="J346" t="s">
        <v>37</v>
      </c>
      <c r="K346" s="8">
        <f>Table2[[#This Row],[CurrentStock]]*Table2[[#This Row],[UnitPrice]]</f>
        <v>35703.360000000001</v>
      </c>
      <c r="L346" t="str">
        <f>IF(Table2[[#This Row],[CurrentStock]]&lt;=Table2[[#This Row],[ReorderLevel]], "Reorder Needed", "Okay")</f>
        <v>Okay</v>
      </c>
      <c r="M346" t="str">
        <f>IF(Table2[[#This Row],[CurrentStock]]-Table2[[#This Row],[ReorderLevel]]&lt;0,Table2[[#This Row],[CurrentStock]]-Table2[[#This Row],[ReorderLevel]],"")</f>
        <v/>
      </c>
      <c r="N346" t="str">
        <f>IF(Table2[[#This Row],[Stock Gap]]&lt;0, "Understock","Okay")</f>
        <v>Okay</v>
      </c>
      <c r="O346" s="13" t="str">
        <f>IF(Table2[[#This Row],[Stock Gap]]&lt;0, "Yes", "No")</f>
        <v>No</v>
      </c>
      <c r="P346" s="13" t="str">
        <f>IF(Table2[[#This Row],[CurrentStock]]&lt;Table2[[#This Row],[ReorderLevel]],"Reorder", "Okay")</f>
        <v>Okay</v>
      </c>
      <c r="Q346" s="13" t="str">
        <f>IF(Table2[[#This Row],[CurrentStock]]&gt;Table2[[#This Row],[ReorderLevel]]*3, "Overstock", "Okay")</f>
        <v>Overstock</v>
      </c>
    </row>
    <row r="347" spans="1:17" x14ac:dyDescent="0.35">
      <c r="A347">
        <v>32313</v>
      </c>
      <c r="B347" t="s">
        <v>20</v>
      </c>
      <c r="C347" t="s">
        <v>30</v>
      </c>
      <c r="D347">
        <v>348</v>
      </c>
      <c r="E347">
        <v>100</v>
      </c>
      <c r="F347" s="2">
        <v>362.74</v>
      </c>
      <c r="G347" t="s">
        <v>35</v>
      </c>
      <c r="H347" s="1">
        <v>45345</v>
      </c>
      <c r="I347" s="1">
        <v>45359</v>
      </c>
      <c r="J347" t="s">
        <v>38</v>
      </c>
      <c r="K347" s="8">
        <f>Table2[[#This Row],[CurrentStock]]*Table2[[#This Row],[UnitPrice]]</f>
        <v>126233.52</v>
      </c>
      <c r="L347" t="str">
        <f>IF(Table2[[#This Row],[CurrentStock]]&lt;=Table2[[#This Row],[ReorderLevel]], "Reorder Needed", "Okay")</f>
        <v>Okay</v>
      </c>
      <c r="M347" t="str">
        <f>IF(Table2[[#This Row],[CurrentStock]]-Table2[[#This Row],[ReorderLevel]]&lt;0,Table2[[#This Row],[CurrentStock]]-Table2[[#This Row],[ReorderLevel]],"")</f>
        <v/>
      </c>
      <c r="N347" t="str">
        <f>IF(Table2[[#This Row],[Stock Gap]]&lt;0, "Understock","Okay")</f>
        <v>Okay</v>
      </c>
      <c r="O347" s="13" t="str">
        <f>IF(Table2[[#This Row],[Stock Gap]]&lt;0, "Yes", "No")</f>
        <v>No</v>
      </c>
      <c r="P347" s="13" t="str">
        <f>IF(Table2[[#This Row],[CurrentStock]]&lt;Table2[[#This Row],[ReorderLevel]],"Reorder", "Okay")</f>
        <v>Okay</v>
      </c>
      <c r="Q347" s="13" t="str">
        <f>IF(Table2[[#This Row],[CurrentStock]]&gt;Table2[[#This Row],[ReorderLevel]]*3, "Overstock", "Okay")</f>
        <v>Overstock</v>
      </c>
    </row>
    <row r="348" spans="1:17" x14ac:dyDescent="0.35">
      <c r="A348">
        <v>87842</v>
      </c>
      <c r="B348" t="s">
        <v>18</v>
      </c>
      <c r="C348" t="s">
        <v>27</v>
      </c>
      <c r="D348">
        <v>183</v>
      </c>
      <c r="E348">
        <v>100</v>
      </c>
      <c r="F348" s="2">
        <v>478.94</v>
      </c>
      <c r="G348" t="s">
        <v>32</v>
      </c>
      <c r="H348" s="1">
        <v>45594</v>
      </c>
      <c r="I348" s="1">
        <v>45633</v>
      </c>
      <c r="J348" t="s">
        <v>38</v>
      </c>
      <c r="K348" s="8">
        <f>Table2[[#This Row],[CurrentStock]]*Table2[[#This Row],[UnitPrice]]</f>
        <v>87646.02</v>
      </c>
      <c r="L348" t="str">
        <f>IF(Table2[[#This Row],[CurrentStock]]&lt;=Table2[[#This Row],[ReorderLevel]], "Reorder Needed", "Okay")</f>
        <v>Okay</v>
      </c>
      <c r="M348" t="str">
        <f>IF(Table2[[#This Row],[CurrentStock]]-Table2[[#This Row],[ReorderLevel]]&lt;0,Table2[[#This Row],[CurrentStock]]-Table2[[#This Row],[ReorderLevel]],"")</f>
        <v/>
      </c>
      <c r="N348" t="str">
        <f>IF(Table2[[#This Row],[Stock Gap]]&lt;0, "Understock","Okay")</f>
        <v>Okay</v>
      </c>
      <c r="O348" s="13" t="str">
        <f>IF(Table2[[#This Row],[Stock Gap]]&lt;0, "Yes", "No")</f>
        <v>No</v>
      </c>
      <c r="P348" s="13" t="str">
        <f>IF(Table2[[#This Row],[CurrentStock]]&lt;Table2[[#This Row],[ReorderLevel]],"Reorder", "Okay")</f>
        <v>Okay</v>
      </c>
      <c r="Q348" s="13" t="str">
        <f>IF(Table2[[#This Row],[CurrentStock]]&gt;Table2[[#This Row],[ReorderLevel]]*3, "Overstock", "Okay")</f>
        <v>Okay</v>
      </c>
    </row>
    <row r="349" spans="1:17" x14ac:dyDescent="0.35">
      <c r="A349">
        <v>19764</v>
      </c>
      <c r="B349" t="s">
        <v>18</v>
      </c>
      <c r="C349" t="s">
        <v>27</v>
      </c>
      <c r="D349">
        <v>29</v>
      </c>
      <c r="E349">
        <v>150</v>
      </c>
      <c r="F349" s="2">
        <v>26.86</v>
      </c>
      <c r="G349" t="s">
        <v>34</v>
      </c>
      <c r="H349" s="1">
        <v>45583</v>
      </c>
      <c r="I349" s="1">
        <v>45612</v>
      </c>
      <c r="J349" t="s">
        <v>37</v>
      </c>
      <c r="K349" s="8">
        <f>Table2[[#This Row],[CurrentStock]]*Table2[[#This Row],[UnitPrice]]</f>
        <v>778.93999999999994</v>
      </c>
      <c r="L349" t="str">
        <f>IF(Table2[[#This Row],[CurrentStock]]&lt;=Table2[[#This Row],[ReorderLevel]], "Reorder Needed", "Okay")</f>
        <v>Reorder Needed</v>
      </c>
      <c r="M349" s="7">
        <f>IF(Table2[[#This Row],[CurrentStock]]-Table2[[#This Row],[ReorderLevel]]&lt;0,Table2[[#This Row],[CurrentStock]]-Table2[[#This Row],[ReorderLevel]],"")</f>
        <v>-121</v>
      </c>
      <c r="N349" t="str">
        <f>IF(Table2[[#This Row],[Stock Gap]]&lt;0, "Understock","Okay")</f>
        <v>Understock</v>
      </c>
      <c r="O349" s="13" t="str">
        <f>IF(Table2[[#This Row],[Stock Gap]]&lt;0, "Yes", "No")</f>
        <v>Yes</v>
      </c>
      <c r="P349" s="13" t="str">
        <f>IF(Table2[[#This Row],[CurrentStock]]&lt;Table2[[#This Row],[ReorderLevel]],"Reorder", "Okay")</f>
        <v>Reorder</v>
      </c>
      <c r="Q349" s="13" t="str">
        <f>IF(Table2[[#This Row],[CurrentStock]]&gt;Table2[[#This Row],[ReorderLevel]]*3, "Overstock", "Okay")</f>
        <v>Okay</v>
      </c>
    </row>
    <row r="350" spans="1:17" x14ac:dyDescent="0.35">
      <c r="A350">
        <v>30131</v>
      </c>
      <c r="B350" t="s">
        <v>25</v>
      </c>
      <c r="C350" t="s">
        <v>29</v>
      </c>
      <c r="D350">
        <v>231</v>
      </c>
      <c r="E350">
        <v>80</v>
      </c>
      <c r="F350" s="2">
        <v>411.85</v>
      </c>
      <c r="G350" t="s">
        <v>31</v>
      </c>
      <c r="H350" s="1">
        <v>45492</v>
      </c>
      <c r="I350" s="1">
        <v>45497</v>
      </c>
      <c r="J350" t="s">
        <v>38</v>
      </c>
      <c r="K350" s="8">
        <f>Table2[[#This Row],[CurrentStock]]*Table2[[#This Row],[UnitPrice]]</f>
        <v>95137.35</v>
      </c>
      <c r="L350" t="str">
        <f>IF(Table2[[#This Row],[CurrentStock]]&lt;=Table2[[#This Row],[ReorderLevel]], "Reorder Needed", "Okay")</f>
        <v>Okay</v>
      </c>
      <c r="M350" t="str">
        <f>IF(Table2[[#This Row],[CurrentStock]]-Table2[[#This Row],[ReorderLevel]]&lt;0,Table2[[#This Row],[CurrentStock]]-Table2[[#This Row],[ReorderLevel]],"")</f>
        <v/>
      </c>
      <c r="N350" t="str">
        <f>IF(Table2[[#This Row],[Stock Gap]]&lt;0, "Understock","Okay")</f>
        <v>Okay</v>
      </c>
      <c r="O350" s="13" t="str">
        <f>IF(Table2[[#This Row],[Stock Gap]]&lt;0, "Yes", "No")</f>
        <v>No</v>
      </c>
      <c r="P350" s="13" t="str">
        <f>IF(Table2[[#This Row],[CurrentStock]]&lt;Table2[[#This Row],[ReorderLevel]],"Reorder", "Okay")</f>
        <v>Okay</v>
      </c>
      <c r="Q350" s="13" t="str">
        <f>IF(Table2[[#This Row],[CurrentStock]]&gt;Table2[[#This Row],[ReorderLevel]]*3, "Overstock", "Okay")</f>
        <v>Okay</v>
      </c>
    </row>
    <row r="351" spans="1:17" x14ac:dyDescent="0.35">
      <c r="A351">
        <v>29810</v>
      </c>
      <c r="B351" t="s">
        <v>11</v>
      </c>
      <c r="C351" t="s">
        <v>27</v>
      </c>
      <c r="D351">
        <v>429</v>
      </c>
      <c r="E351">
        <v>100</v>
      </c>
      <c r="F351" s="2">
        <v>206.73</v>
      </c>
      <c r="G351" t="s">
        <v>31</v>
      </c>
      <c r="H351" s="1">
        <v>45649</v>
      </c>
      <c r="I351" s="1">
        <v>45664</v>
      </c>
      <c r="J351" t="s">
        <v>38</v>
      </c>
      <c r="K351" s="8">
        <f>Table2[[#This Row],[CurrentStock]]*Table2[[#This Row],[UnitPrice]]</f>
        <v>88687.17</v>
      </c>
      <c r="L351" t="str">
        <f>IF(Table2[[#This Row],[CurrentStock]]&lt;=Table2[[#This Row],[ReorderLevel]], "Reorder Needed", "Okay")</f>
        <v>Okay</v>
      </c>
      <c r="M351" t="str">
        <f>IF(Table2[[#This Row],[CurrentStock]]-Table2[[#This Row],[ReorderLevel]]&lt;0,Table2[[#This Row],[CurrentStock]]-Table2[[#This Row],[ReorderLevel]],"")</f>
        <v/>
      </c>
      <c r="N351" t="str">
        <f>IF(Table2[[#This Row],[Stock Gap]]&lt;0, "Understock","Okay")</f>
        <v>Okay</v>
      </c>
      <c r="O351" s="13" t="str">
        <f>IF(Table2[[#This Row],[Stock Gap]]&lt;0, "Yes", "No")</f>
        <v>No</v>
      </c>
      <c r="P351" s="13" t="str">
        <f>IF(Table2[[#This Row],[CurrentStock]]&lt;Table2[[#This Row],[ReorderLevel]],"Reorder", "Okay")</f>
        <v>Okay</v>
      </c>
      <c r="Q351" s="13" t="str">
        <f>IF(Table2[[#This Row],[CurrentStock]]&gt;Table2[[#This Row],[ReorderLevel]]*3, "Overstock", "Okay")</f>
        <v>Overstock</v>
      </c>
    </row>
    <row r="352" spans="1:17" x14ac:dyDescent="0.35">
      <c r="A352">
        <v>80721</v>
      </c>
      <c r="B352" t="s">
        <v>9</v>
      </c>
      <c r="C352" t="s">
        <v>26</v>
      </c>
      <c r="D352">
        <v>172</v>
      </c>
      <c r="E352">
        <v>30</v>
      </c>
      <c r="F352" s="2">
        <v>8.01</v>
      </c>
      <c r="G352" t="s">
        <v>34</v>
      </c>
      <c r="H352" s="1">
        <v>45374</v>
      </c>
      <c r="I352" s="1">
        <v>45394</v>
      </c>
      <c r="J352" t="s">
        <v>37</v>
      </c>
      <c r="K352" s="8">
        <f>Table2[[#This Row],[CurrentStock]]*Table2[[#This Row],[UnitPrice]]</f>
        <v>1377.72</v>
      </c>
      <c r="L352" t="str">
        <f>IF(Table2[[#This Row],[CurrentStock]]&lt;=Table2[[#This Row],[ReorderLevel]], "Reorder Needed", "Okay")</f>
        <v>Okay</v>
      </c>
      <c r="M352" t="str">
        <f>IF(Table2[[#This Row],[CurrentStock]]-Table2[[#This Row],[ReorderLevel]]&lt;0,Table2[[#This Row],[CurrentStock]]-Table2[[#This Row],[ReorderLevel]],"")</f>
        <v/>
      </c>
      <c r="N352" t="str">
        <f>IF(Table2[[#This Row],[Stock Gap]]&lt;0, "Understock","Okay")</f>
        <v>Okay</v>
      </c>
      <c r="O352" s="13" t="str">
        <f>IF(Table2[[#This Row],[Stock Gap]]&lt;0, "Yes", "No")</f>
        <v>No</v>
      </c>
      <c r="P352" s="13" t="str">
        <f>IF(Table2[[#This Row],[CurrentStock]]&lt;Table2[[#This Row],[ReorderLevel]],"Reorder", "Okay")</f>
        <v>Okay</v>
      </c>
      <c r="Q352" s="13" t="str">
        <f>IF(Table2[[#This Row],[CurrentStock]]&gt;Table2[[#This Row],[ReorderLevel]]*3, "Overstock", "Okay")</f>
        <v>Overstock</v>
      </c>
    </row>
    <row r="353" spans="1:17" x14ac:dyDescent="0.35">
      <c r="A353">
        <v>78487</v>
      </c>
      <c r="B353" t="s">
        <v>20</v>
      </c>
      <c r="C353" t="s">
        <v>30</v>
      </c>
      <c r="D353">
        <v>379</v>
      </c>
      <c r="E353">
        <v>100</v>
      </c>
      <c r="F353" s="2">
        <v>29.86</v>
      </c>
      <c r="G353" t="s">
        <v>31</v>
      </c>
      <c r="H353" s="1">
        <v>45304</v>
      </c>
      <c r="I353" s="1">
        <v>45339</v>
      </c>
      <c r="J353" t="s">
        <v>38</v>
      </c>
      <c r="K353" s="8">
        <f>Table2[[#This Row],[CurrentStock]]*Table2[[#This Row],[UnitPrice]]</f>
        <v>11316.94</v>
      </c>
      <c r="L353" t="str">
        <f>IF(Table2[[#This Row],[CurrentStock]]&lt;=Table2[[#This Row],[ReorderLevel]], "Reorder Needed", "Okay")</f>
        <v>Okay</v>
      </c>
      <c r="M353" t="str">
        <f>IF(Table2[[#This Row],[CurrentStock]]-Table2[[#This Row],[ReorderLevel]]&lt;0,Table2[[#This Row],[CurrentStock]]-Table2[[#This Row],[ReorderLevel]],"")</f>
        <v/>
      </c>
      <c r="N353" t="str">
        <f>IF(Table2[[#This Row],[Stock Gap]]&lt;0, "Understock","Okay")</f>
        <v>Okay</v>
      </c>
      <c r="O353" s="13" t="str">
        <f>IF(Table2[[#This Row],[Stock Gap]]&lt;0, "Yes", "No")</f>
        <v>No</v>
      </c>
      <c r="P353" s="13" t="str">
        <f>IF(Table2[[#This Row],[CurrentStock]]&lt;Table2[[#This Row],[ReorderLevel]],"Reorder", "Okay")</f>
        <v>Okay</v>
      </c>
      <c r="Q353" s="13" t="str">
        <f>IF(Table2[[#This Row],[CurrentStock]]&gt;Table2[[#This Row],[ReorderLevel]]*3, "Overstock", "Okay")</f>
        <v>Overstock</v>
      </c>
    </row>
    <row r="354" spans="1:17" x14ac:dyDescent="0.35">
      <c r="A354">
        <v>43204</v>
      </c>
      <c r="B354" t="s">
        <v>15</v>
      </c>
      <c r="C354" t="s">
        <v>29</v>
      </c>
      <c r="D354">
        <v>52</v>
      </c>
      <c r="E354">
        <v>150</v>
      </c>
      <c r="F354" s="2">
        <v>116.88</v>
      </c>
      <c r="G354" t="s">
        <v>35</v>
      </c>
      <c r="H354" s="1">
        <v>45524</v>
      </c>
      <c r="I354" s="1">
        <v>45558</v>
      </c>
      <c r="J354" t="s">
        <v>36</v>
      </c>
      <c r="K354" s="8">
        <f>Table2[[#This Row],[CurrentStock]]*Table2[[#This Row],[UnitPrice]]</f>
        <v>6077.76</v>
      </c>
      <c r="L354" t="str">
        <f>IF(Table2[[#This Row],[CurrentStock]]&lt;=Table2[[#This Row],[ReorderLevel]], "Reorder Needed", "Okay")</f>
        <v>Reorder Needed</v>
      </c>
      <c r="M354" s="7">
        <f>IF(Table2[[#This Row],[CurrentStock]]-Table2[[#This Row],[ReorderLevel]]&lt;0,Table2[[#This Row],[CurrentStock]]-Table2[[#This Row],[ReorderLevel]],"")</f>
        <v>-98</v>
      </c>
      <c r="N354" t="str">
        <f>IF(Table2[[#This Row],[Stock Gap]]&lt;0, "Understock","Okay")</f>
        <v>Understock</v>
      </c>
      <c r="O354" s="13" t="str">
        <f>IF(Table2[[#This Row],[Stock Gap]]&lt;0, "Yes", "No")</f>
        <v>Yes</v>
      </c>
      <c r="P354" s="13" t="str">
        <f>IF(Table2[[#This Row],[CurrentStock]]&lt;Table2[[#This Row],[ReorderLevel]],"Reorder", "Okay")</f>
        <v>Reorder</v>
      </c>
      <c r="Q354" s="13" t="str">
        <f>IF(Table2[[#This Row],[CurrentStock]]&gt;Table2[[#This Row],[ReorderLevel]]*3, "Overstock", "Okay")</f>
        <v>Okay</v>
      </c>
    </row>
    <row r="355" spans="1:17" x14ac:dyDescent="0.35">
      <c r="A355">
        <v>26566</v>
      </c>
      <c r="B355" t="s">
        <v>19</v>
      </c>
      <c r="C355" t="s">
        <v>28</v>
      </c>
      <c r="D355">
        <v>274</v>
      </c>
      <c r="E355">
        <v>20</v>
      </c>
      <c r="F355" s="2">
        <v>381.01</v>
      </c>
      <c r="G355" t="s">
        <v>32</v>
      </c>
      <c r="H355" s="1">
        <v>45322</v>
      </c>
      <c r="I355" s="1">
        <v>45343</v>
      </c>
      <c r="J355" t="s">
        <v>38</v>
      </c>
      <c r="K355" s="8">
        <f>Table2[[#This Row],[CurrentStock]]*Table2[[#This Row],[UnitPrice]]</f>
        <v>104396.73999999999</v>
      </c>
      <c r="L355" t="str">
        <f>IF(Table2[[#This Row],[CurrentStock]]&lt;=Table2[[#This Row],[ReorderLevel]], "Reorder Needed", "Okay")</f>
        <v>Okay</v>
      </c>
      <c r="M355" t="str">
        <f>IF(Table2[[#This Row],[CurrentStock]]-Table2[[#This Row],[ReorderLevel]]&lt;0,Table2[[#This Row],[CurrentStock]]-Table2[[#This Row],[ReorderLevel]],"")</f>
        <v/>
      </c>
      <c r="N355" t="str">
        <f>IF(Table2[[#This Row],[Stock Gap]]&lt;0, "Understock","Okay")</f>
        <v>Okay</v>
      </c>
      <c r="O355" s="13" t="str">
        <f>IF(Table2[[#This Row],[Stock Gap]]&lt;0, "Yes", "No")</f>
        <v>No</v>
      </c>
      <c r="P355" s="13" t="str">
        <f>IF(Table2[[#This Row],[CurrentStock]]&lt;Table2[[#This Row],[ReorderLevel]],"Reorder", "Okay")</f>
        <v>Okay</v>
      </c>
      <c r="Q355" s="13" t="str">
        <f>IF(Table2[[#This Row],[CurrentStock]]&gt;Table2[[#This Row],[ReorderLevel]]*3, "Overstock", "Okay")</f>
        <v>Overstock</v>
      </c>
    </row>
    <row r="356" spans="1:17" x14ac:dyDescent="0.35">
      <c r="A356">
        <v>26237</v>
      </c>
      <c r="B356" t="s">
        <v>10</v>
      </c>
      <c r="C356" t="s">
        <v>26</v>
      </c>
      <c r="D356">
        <v>53</v>
      </c>
      <c r="E356">
        <v>50</v>
      </c>
      <c r="F356" s="2">
        <v>320.36</v>
      </c>
      <c r="G356" t="s">
        <v>33</v>
      </c>
      <c r="H356" s="1">
        <v>45305</v>
      </c>
      <c r="I356" s="1">
        <v>45337</v>
      </c>
      <c r="J356" t="s">
        <v>36</v>
      </c>
      <c r="K356" s="8">
        <f>Table2[[#This Row],[CurrentStock]]*Table2[[#This Row],[UnitPrice]]</f>
        <v>16979.080000000002</v>
      </c>
      <c r="L356" t="str">
        <f>IF(Table2[[#This Row],[CurrentStock]]&lt;=Table2[[#This Row],[ReorderLevel]], "Reorder Needed", "Okay")</f>
        <v>Okay</v>
      </c>
      <c r="M356" t="str">
        <f>IF(Table2[[#This Row],[CurrentStock]]-Table2[[#This Row],[ReorderLevel]]&lt;0,Table2[[#This Row],[CurrentStock]]-Table2[[#This Row],[ReorderLevel]],"")</f>
        <v/>
      </c>
      <c r="N356" t="str">
        <f>IF(Table2[[#This Row],[Stock Gap]]&lt;0, "Understock","Okay")</f>
        <v>Okay</v>
      </c>
      <c r="O356" s="13" t="str">
        <f>IF(Table2[[#This Row],[Stock Gap]]&lt;0, "Yes", "No")</f>
        <v>No</v>
      </c>
      <c r="P356" s="13" t="str">
        <f>IF(Table2[[#This Row],[CurrentStock]]&lt;Table2[[#This Row],[ReorderLevel]],"Reorder", "Okay")</f>
        <v>Okay</v>
      </c>
      <c r="Q356" s="13" t="str">
        <f>IF(Table2[[#This Row],[CurrentStock]]&gt;Table2[[#This Row],[ReorderLevel]]*3, "Overstock", "Okay")</f>
        <v>Okay</v>
      </c>
    </row>
    <row r="357" spans="1:17" x14ac:dyDescent="0.35">
      <c r="A357">
        <v>22237</v>
      </c>
      <c r="B357" t="s">
        <v>9</v>
      </c>
      <c r="C357" t="s">
        <v>26</v>
      </c>
      <c r="D357">
        <v>58</v>
      </c>
      <c r="E357">
        <v>150</v>
      </c>
      <c r="F357" s="2">
        <v>361.72</v>
      </c>
      <c r="G357" t="s">
        <v>32</v>
      </c>
      <c r="H357" s="1">
        <v>45303</v>
      </c>
      <c r="I357" s="1">
        <v>45338</v>
      </c>
      <c r="J357" t="s">
        <v>38</v>
      </c>
      <c r="K357" s="8">
        <f>Table2[[#This Row],[CurrentStock]]*Table2[[#This Row],[UnitPrice]]</f>
        <v>20979.760000000002</v>
      </c>
      <c r="L357" t="str">
        <f>IF(Table2[[#This Row],[CurrentStock]]&lt;=Table2[[#This Row],[ReorderLevel]], "Reorder Needed", "Okay")</f>
        <v>Reorder Needed</v>
      </c>
      <c r="M357" s="7">
        <f>IF(Table2[[#This Row],[CurrentStock]]-Table2[[#This Row],[ReorderLevel]]&lt;0,Table2[[#This Row],[CurrentStock]]-Table2[[#This Row],[ReorderLevel]],"")</f>
        <v>-92</v>
      </c>
      <c r="N357" t="str">
        <f>IF(Table2[[#This Row],[Stock Gap]]&lt;0, "Understock","Okay")</f>
        <v>Understock</v>
      </c>
      <c r="O357" s="13" t="str">
        <f>IF(Table2[[#This Row],[Stock Gap]]&lt;0, "Yes", "No")</f>
        <v>Yes</v>
      </c>
      <c r="P357" s="13" t="str">
        <f>IF(Table2[[#This Row],[CurrentStock]]&lt;Table2[[#This Row],[ReorderLevel]],"Reorder", "Okay")</f>
        <v>Reorder</v>
      </c>
      <c r="Q357" s="13" t="str">
        <f>IF(Table2[[#This Row],[CurrentStock]]&gt;Table2[[#This Row],[ReorderLevel]]*3, "Overstock", "Okay")</f>
        <v>Okay</v>
      </c>
    </row>
    <row r="358" spans="1:17" x14ac:dyDescent="0.35">
      <c r="A358">
        <v>68608</v>
      </c>
      <c r="B358" t="s">
        <v>24</v>
      </c>
      <c r="C358" t="s">
        <v>30</v>
      </c>
      <c r="D358">
        <v>74</v>
      </c>
      <c r="E358">
        <v>20</v>
      </c>
      <c r="F358" s="2">
        <v>375.58</v>
      </c>
      <c r="G358" t="s">
        <v>32</v>
      </c>
      <c r="H358" s="1">
        <v>45370</v>
      </c>
      <c r="I358" s="1">
        <v>45405</v>
      </c>
      <c r="J358" t="s">
        <v>36</v>
      </c>
      <c r="K358" s="8">
        <f>Table2[[#This Row],[CurrentStock]]*Table2[[#This Row],[UnitPrice]]</f>
        <v>27792.92</v>
      </c>
      <c r="L358" t="str">
        <f>IF(Table2[[#This Row],[CurrentStock]]&lt;=Table2[[#This Row],[ReorderLevel]], "Reorder Needed", "Okay")</f>
        <v>Okay</v>
      </c>
      <c r="M358" t="str">
        <f>IF(Table2[[#This Row],[CurrentStock]]-Table2[[#This Row],[ReorderLevel]]&lt;0,Table2[[#This Row],[CurrentStock]]-Table2[[#This Row],[ReorderLevel]],"")</f>
        <v/>
      </c>
      <c r="N358" t="str">
        <f>IF(Table2[[#This Row],[Stock Gap]]&lt;0, "Understock","Okay")</f>
        <v>Okay</v>
      </c>
      <c r="O358" s="13" t="str">
        <f>IF(Table2[[#This Row],[Stock Gap]]&lt;0, "Yes", "No")</f>
        <v>No</v>
      </c>
      <c r="P358" s="13" t="str">
        <f>IF(Table2[[#This Row],[CurrentStock]]&lt;Table2[[#This Row],[ReorderLevel]],"Reorder", "Okay")</f>
        <v>Okay</v>
      </c>
      <c r="Q358" s="13" t="str">
        <f>IF(Table2[[#This Row],[CurrentStock]]&gt;Table2[[#This Row],[ReorderLevel]]*3, "Overstock", "Okay")</f>
        <v>Overstock</v>
      </c>
    </row>
    <row r="359" spans="1:17" x14ac:dyDescent="0.35">
      <c r="A359">
        <v>68161</v>
      </c>
      <c r="B359" t="s">
        <v>20</v>
      </c>
      <c r="C359" t="s">
        <v>30</v>
      </c>
      <c r="D359">
        <v>95</v>
      </c>
      <c r="E359">
        <v>100</v>
      </c>
      <c r="F359" s="2">
        <v>354.95</v>
      </c>
      <c r="G359" t="s">
        <v>34</v>
      </c>
      <c r="H359" s="1">
        <v>45634</v>
      </c>
      <c r="I359" s="1">
        <v>45662</v>
      </c>
      <c r="J359" t="s">
        <v>38</v>
      </c>
      <c r="K359" s="8">
        <f>Table2[[#This Row],[CurrentStock]]*Table2[[#This Row],[UnitPrice]]</f>
        <v>33720.25</v>
      </c>
      <c r="L359" t="str">
        <f>IF(Table2[[#This Row],[CurrentStock]]&lt;=Table2[[#This Row],[ReorderLevel]], "Reorder Needed", "Okay")</f>
        <v>Reorder Needed</v>
      </c>
      <c r="M359" s="7">
        <f>IF(Table2[[#This Row],[CurrentStock]]-Table2[[#This Row],[ReorderLevel]]&lt;0,Table2[[#This Row],[CurrentStock]]-Table2[[#This Row],[ReorderLevel]],"")</f>
        <v>-5</v>
      </c>
      <c r="N359" t="str">
        <f>IF(Table2[[#This Row],[Stock Gap]]&lt;0, "Understock","Okay")</f>
        <v>Understock</v>
      </c>
      <c r="O359" s="13" t="str">
        <f>IF(Table2[[#This Row],[Stock Gap]]&lt;0, "Yes", "No")</f>
        <v>Yes</v>
      </c>
      <c r="P359" s="13" t="str">
        <f>IF(Table2[[#This Row],[CurrentStock]]&lt;Table2[[#This Row],[ReorderLevel]],"Reorder", "Okay")</f>
        <v>Reorder</v>
      </c>
      <c r="Q359" s="13" t="str">
        <f>IF(Table2[[#This Row],[CurrentStock]]&gt;Table2[[#This Row],[ReorderLevel]]*3, "Overstock", "Okay")</f>
        <v>Okay</v>
      </c>
    </row>
    <row r="360" spans="1:17" x14ac:dyDescent="0.35">
      <c r="A360">
        <v>81274</v>
      </c>
      <c r="B360" t="s">
        <v>16</v>
      </c>
      <c r="C360" t="s">
        <v>29</v>
      </c>
      <c r="D360">
        <v>376</v>
      </c>
      <c r="E360">
        <v>80</v>
      </c>
      <c r="F360" s="2">
        <v>465.79</v>
      </c>
      <c r="G360" t="s">
        <v>31</v>
      </c>
      <c r="H360" s="1">
        <v>45412</v>
      </c>
      <c r="I360" s="1">
        <v>45417</v>
      </c>
      <c r="J360" t="s">
        <v>36</v>
      </c>
      <c r="K360" s="8">
        <f>Table2[[#This Row],[CurrentStock]]*Table2[[#This Row],[UnitPrice]]</f>
        <v>175137.04</v>
      </c>
      <c r="L360" t="str">
        <f>IF(Table2[[#This Row],[CurrentStock]]&lt;=Table2[[#This Row],[ReorderLevel]], "Reorder Needed", "Okay")</f>
        <v>Okay</v>
      </c>
      <c r="M360" t="str">
        <f>IF(Table2[[#This Row],[CurrentStock]]-Table2[[#This Row],[ReorderLevel]]&lt;0,Table2[[#This Row],[CurrentStock]]-Table2[[#This Row],[ReorderLevel]],"")</f>
        <v/>
      </c>
      <c r="N360" t="str">
        <f>IF(Table2[[#This Row],[Stock Gap]]&lt;0, "Understock","Okay")</f>
        <v>Okay</v>
      </c>
      <c r="O360" s="13" t="str">
        <f>IF(Table2[[#This Row],[Stock Gap]]&lt;0, "Yes", "No")</f>
        <v>No</v>
      </c>
      <c r="P360" s="13" t="str">
        <f>IF(Table2[[#This Row],[CurrentStock]]&lt;Table2[[#This Row],[ReorderLevel]],"Reorder", "Okay")</f>
        <v>Okay</v>
      </c>
      <c r="Q360" s="13" t="str">
        <f>IF(Table2[[#This Row],[CurrentStock]]&gt;Table2[[#This Row],[ReorderLevel]]*3, "Overstock", "Okay")</f>
        <v>Overstock</v>
      </c>
    </row>
    <row r="361" spans="1:17" x14ac:dyDescent="0.35">
      <c r="A361">
        <v>12224</v>
      </c>
      <c r="B361" t="s">
        <v>14</v>
      </c>
      <c r="C361" t="s">
        <v>28</v>
      </c>
      <c r="D361">
        <v>427</v>
      </c>
      <c r="E361">
        <v>50</v>
      </c>
      <c r="F361" s="2">
        <v>395.52</v>
      </c>
      <c r="G361" t="s">
        <v>33</v>
      </c>
      <c r="H361" s="1">
        <v>45598</v>
      </c>
      <c r="I361" s="1">
        <v>45615</v>
      </c>
      <c r="J361" t="s">
        <v>37</v>
      </c>
      <c r="K361" s="8">
        <f>Table2[[#This Row],[CurrentStock]]*Table2[[#This Row],[UnitPrice]]</f>
        <v>168887.03999999998</v>
      </c>
      <c r="L361" t="str">
        <f>IF(Table2[[#This Row],[CurrentStock]]&lt;=Table2[[#This Row],[ReorderLevel]], "Reorder Needed", "Okay")</f>
        <v>Okay</v>
      </c>
      <c r="M361" t="str">
        <f>IF(Table2[[#This Row],[CurrentStock]]-Table2[[#This Row],[ReorderLevel]]&lt;0,Table2[[#This Row],[CurrentStock]]-Table2[[#This Row],[ReorderLevel]],"")</f>
        <v/>
      </c>
      <c r="N361" t="str">
        <f>IF(Table2[[#This Row],[Stock Gap]]&lt;0, "Understock","Okay")</f>
        <v>Okay</v>
      </c>
      <c r="O361" s="13" t="str">
        <f>IF(Table2[[#This Row],[Stock Gap]]&lt;0, "Yes", "No")</f>
        <v>No</v>
      </c>
      <c r="P361" s="13" t="str">
        <f>IF(Table2[[#This Row],[CurrentStock]]&lt;Table2[[#This Row],[ReorderLevel]],"Reorder", "Okay")</f>
        <v>Okay</v>
      </c>
      <c r="Q361" s="13" t="str">
        <f>IF(Table2[[#This Row],[CurrentStock]]&gt;Table2[[#This Row],[ReorderLevel]]*3, "Overstock", "Okay")</f>
        <v>Overstock</v>
      </c>
    </row>
    <row r="362" spans="1:17" x14ac:dyDescent="0.35">
      <c r="A362">
        <v>54760</v>
      </c>
      <c r="B362" t="s">
        <v>25</v>
      </c>
      <c r="C362" t="s">
        <v>29</v>
      </c>
      <c r="D362">
        <v>185</v>
      </c>
      <c r="E362">
        <v>150</v>
      </c>
      <c r="F362" s="2">
        <v>249.44</v>
      </c>
      <c r="G362" t="s">
        <v>32</v>
      </c>
      <c r="H362" s="1">
        <v>45607</v>
      </c>
      <c r="I362" s="1">
        <v>45638</v>
      </c>
      <c r="J362" t="s">
        <v>37</v>
      </c>
      <c r="K362" s="8">
        <f>Table2[[#This Row],[CurrentStock]]*Table2[[#This Row],[UnitPrice]]</f>
        <v>46146.400000000001</v>
      </c>
      <c r="L362" t="str">
        <f>IF(Table2[[#This Row],[CurrentStock]]&lt;=Table2[[#This Row],[ReorderLevel]], "Reorder Needed", "Okay")</f>
        <v>Okay</v>
      </c>
      <c r="M362" t="str">
        <f>IF(Table2[[#This Row],[CurrentStock]]-Table2[[#This Row],[ReorderLevel]]&lt;0,Table2[[#This Row],[CurrentStock]]-Table2[[#This Row],[ReorderLevel]],"")</f>
        <v/>
      </c>
      <c r="N362" t="str">
        <f>IF(Table2[[#This Row],[Stock Gap]]&lt;0, "Understock","Okay")</f>
        <v>Okay</v>
      </c>
      <c r="O362" s="13" t="str">
        <f>IF(Table2[[#This Row],[Stock Gap]]&lt;0, "Yes", "No")</f>
        <v>No</v>
      </c>
      <c r="P362" s="13" t="str">
        <f>IF(Table2[[#This Row],[CurrentStock]]&lt;Table2[[#This Row],[ReorderLevel]],"Reorder", "Okay")</f>
        <v>Okay</v>
      </c>
      <c r="Q362" s="13" t="str">
        <f>IF(Table2[[#This Row],[CurrentStock]]&gt;Table2[[#This Row],[ReorderLevel]]*3, "Overstock", "Okay")</f>
        <v>Okay</v>
      </c>
    </row>
    <row r="363" spans="1:17" x14ac:dyDescent="0.35">
      <c r="A363">
        <v>64040</v>
      </c>
      <c r="B363" t="s">
        <v>25</v>
      </c>
      <c r="C363" t="s">
        <v>29</v>
      </c>
      <c r="D363">
        <v>234</v>
      </c>
      <c r="E363">
        <v>80</v>
      </c>
      <c r="F363" s="2">
        <v>95.49</v>
      </c>
      <c r="G363" t="s">
        <v>34</v>
      </c>
      <c r="H363" s="1">
        <v>45315</v>
      </c>
      <c r="I363" s="1">
        <v>45330</v>
      </c>
      <c r="J363" t="s">
        <v>36</v>
      </c>
      <c r="K363" s="8">
        <f>Table2[[#This Row],[CurrentStock]]*Table2[[#This Row],[UnitPrice]]</f>
        <v>22344.66</v>
      </c>
      <c r="L363" t="str">
        <f>IF(Table2[[#This Row],[CurrentStock]]&lt;=Table2[[#This Row],[ReorderLevel]], "Reorder Needed", "Okay")</f>
        <v>Okay</v>
      </c>
      <c r="M363" t="str">
        <f>IF(Table2[[#This Row],[CurrentStock]]-Table2[[#This Row],[ReorderLevel]]&lt;0,Table2[[#This Row],[CurrentStock]]-Table2[[#This Row],[ReorderLevel]],"")</f>
        <v/>
      </c>
      <c r="N363" t="str">
        <f>IF(Table2[[#This Row],[Stock Gap]]&lt;0, "Understock","Okay")</f>
        <v>Okay</v>
      </c>
      <c r="O363" s="13" t="str">
        <f>IF(Table2[[#This Row],[Stock Gap]]&lt;0, "Yes", "No")</f>
        <v>No</v>
      </c>
      <c r="P363" s="13" t="str">
        <f>IF(Table2[[#This Row],[CurrentStock]]&lt;Table2[[#This Row],[ReorderLevel]],"Reorder", "Okay")</f>
        <v>Okay</v>
      </c>
      <c r="Q363" s="13" t="str">
        <f>IF(Table2[[#This Row],[CurrentStock]]&gt;Table2[[#This Row],[ReorderLevel]]*3, "Overstock", "Okay")</f>
        <v>Okay</v>
      </c>
    </row>
    <row r="364" spans="1:17" x14ac:dyDescent="0.35">
      <c r="A364">
        <v>35599</v>
      </c>
      <c r="B364" t="s">
        <v>21</v>
      </c>
      <c r="C364" t="s">
        <v>26</v>
      </c>
      <c r="D364">
        <v>210</v>
      </c>
      <c r="E364">
        <v>50</v>
      </c>
      <c r="F364" s="2">
        <v>499.74</v>
      </c>
      <c r="G364" t="s">
        <v>34</v>
      </c>
      <c r="H364" s="1">
        <v>45392</v>
      </c>
      <c r="I364" s="1">
        <v>45424</v>
      </c>
      <c r="J364" t="s">
        <v>37</v>
      </c>
      <c r="K364" s="8">
        <f>Table2[[#This Row],[CurrentStock]]*Table2[[#This Row],[UnitPrice]]</f>
        <v>104945.40000000001</v>
      </c>
      <c r="L364" t="str">
        <f>IF(Table2[[#This Row],[CurrentStock]]&lt;=Table2[[#This Row],[ReorderLevel]], "Reorder Needed", "Okay")</f>
        <v>Okay</v>
      </c>
      <c r="M364" t="str">
        <f>IF(Table2[[#This Row],[CurrentStock]]-Table2[[#This Row],[ReorderLevel]]&lt;0,Table2[[#This Row],[CurrentStock]]-Table2[[#This Row],[ReorderLevel]],"")</f>
        <v/>
      </c>
      <c r="N364" t="str">
        <f>IF(Table2[[#This Row],[Stock Gap]]&lt;0, "Understock","Okay")</f>
        <v>Okay</v>
      </c>
      <c r="O364" s="13" t="str">
        <f>IF(Table2[[#This Row],[Stock Gap]]&lt;0, "Yes", "No")</f>
        <v>No</v>
      </c>
      <c r="P364" s="13" t="str">
        <f>IF(Table2[[#This Row],[CurrentStock]]&lt;Table2[[#This Row],[ReorderLevel]],"Reorder", "Okay")</f>
        <v>Okay</v>
      </c>
      <c r="Q364" s="13" t="str">
        <f>IF(Table2[[#This Row],[CurrentStock]]&gt;Table2[[#This Row],[ReorderLevel]]*3, "Overstock", "Okay")</f>
        <v>Overstock</v>
      </c>
    </row>
    <row r="365" spans="1:17" x14ac:dyDescent="0.35">
      <c r="A365">
        <v>37364</v>
      </c>
      <c r="B365" t="s">
        <v>20</v>
      </c>
      <c r="C365" t="s">
        <v>30</v>
      </c>
      <c r="D365">
        <v>226</v>
      </c>
      <c r="E365">
        <v>50</v>
      </c>
      <c r="F365" s="2">
        <v>6.43</v>
      </c>
      <c r="G365" t="s">
        <v>35</v>
      </c>
      <c r="H365" s="1">
        <v>45304</v>
      </c>
      <c r="I365" s="1">
        <v>45326</v>
      </c>
      <c r="J365" t="s">
        <v>37</v>
      </c>
      <c r="K365" s="8">
        <f>Table2[[#This Row],[CurrentStock]]*Table2[[#This Row],[UnitPrice]]</f>
        <v>1453.1799999999998</v>
      </c>
      <c r="L365" t="str">
        <f>IF(Table2[[#This Row],[CurrentStock]]&lt;=Table2[[#This Row],[ReorderLevel]], "Reorder Needed", "Okay")</f>
        <v>Okay</v>
      </c>
      <c r="M365" t="str">
        <f>IF(Table2[[#This Row],[CurrentStock]]-Table2[[#This Row],[ReorderLevel]]&lt;0,Table2[[#This Row],[CurrentStock]]-Table2[[#This Row],[ReorderLevel]],"")</f>
        <v/>
      </c>
      <c r="N365" t="str">
        <f>IF(Table2[[#This Row],[Stock Gap]]&lt;0, "Understock","Okay")</f>
        <v>Okay</v>
      </c>
      <c r="O365" s="13" t="str">
        <f>IF(Table2[[#This Row],[Stock Gap]]&lt;0, "Yes", "No")</f>
        <v>No</v>
      </c>
      <c r="P365" s="13" t="str">
        <f>IF(Table2[[#This Row],[CurrentStock]]&lt;Table2[[#This Row],[ReorderLevel]],"Reorder", "Okay")</f>
        <v>Okay</v>
      </c>
      <c r="Q365" s="13" t="str">
        <f>IF(Table2[[#This Row],[CurrentStock]]&gt;Table2[[#This Row],[ReorderLevel]]*3, "Overstock", "Okay")</f>
        <v>Overstock</v>
      </c>
    </row>
    <row r="366" spans="1:17" x14ac:dyDescent="0.35">
      <c r="A366">
        <v>93692</v>
      </c>
      <c r="B366" t="s">
        <v>23</v>
      </c>
      <c r="C366" t="s">
        <v>30</v>
      </c>
      <c r="D366">
        <v>328</v>
      </c>
      <c r="E366">
        <v>100</v>
      </c>
      <c r="F366" s="2">
        <v>238.78</v>
      </c>
      <c r="G366" t="s">
        <v>32</v>
      </c>
      <c r="H366" s="1">
        <v>45391</v>
      </c>
      <c r="I366" s="1">
        <v>45418</v>
      </c>
      <c r="J366" t="s">
        <v>36</v>
      </c>
      <c r="K366" s="8">
        <f>Table2[[#This Row],[CurrentStock]]*Table2[[#This Row],[UnitPrice]]</f>
        <v>78319.839999999997</v>
      </c>
      <c r="L366" t="str">
        <f>IF(Table2[[#This Row],[CurrentStock]]&lt;=Table2[[#This Row],[ReorderLevel]], "Reorder Needed", "Okay")</f>
        <v>Okay</v>
      </c>
      <c r="M366" t="str">
        <f>IF(Table2[[#This Row],[CurrentStock]]-Table2[[#This Row],[ReorderLevel]]&lt;0,Table2[[#This Row],[CurrentStock]]-Table2[[#This Row],[ReorderLevel]],"")</f>
        <v/>
      </c>
      <c r="N366" t="str">
        <f>IF(Table2[[#This Row],[Stock Gap]]&lt;0, "Understock","Okay")</f>
        <v>Okay</v>
      </c>
      <c r="O366" s="13" t="str">
        <f>IF(Table2[[#This Row],[Stock Gap]]&lt;0, "Yes", "No")</f>
        <v>No</v>
      </c>
      <c r="P366" s="13" t="str">
        <f>IF(Table2[[#This Row],[CurrentStock]]&lt;Table2[[#This Row],[ReorderLevel]],"Reorder", "Okay")</f>
        <v>Okay</v>
      </c>
      <c r="Q366" s="13" t="str">
        <f>IF(Table2[[#This Row],[CurrentStock]]&gt;Table2[[#This Row],[ReorderLevel]]*3, "Overstock", "Okay")</f>
        <v>Overstock</v>
      </c>
    </row>
    <row r="367" spans="1:17" x14ac:dyDescent="0.35">
      <c r="A367">
        <v>57591</v>
      </c>
      <c r="B367" t="s">
        <v>13</v>
      </c>
      <c r="C367" t="s">
        <v>26</v>
      </c>
      <c r="D367">
        <v>2</v>
      </c>
      <c r="E367">
        <v>50</v>
      </c>
      <c r="F367" s="2">
        <v>487.42</v>
      </c>
      <c r="G367" t="s">
        <v>34</v>
      </c>
      <c r="H367" s="1">
        <v>45440</v>
      </c>
      <c r="I367" s="1">
        <v>45472</v>
      </c>
      <c r="J367" t="s">
        <v>36</v>
      </c>
      <c r="K367" s="8">
        <f>Table2[[#This Row],[CurrentStock]]*Table2[[#This Row],[UnitPrice]]</f>
        <v>974.84</v>
      </c>
      <c r="L367" t="str">
        <f>IF(Table2[[#This Row],[CurrentStock]]&lt;=Table2[[#This Row],[ReorderLevel]], "Reorder Needed", "Okay")</f>
        <v>Reorder Needed</v>
      </c>
      <c r="M367" s="7">
        <f>IF(Table2[[#This Row],[CurrentStock]]-Table2[[#This Row],[ReorderLevel]]&lt;0,Table2[[#This Row],[CurrentStock]]-Table2[[#This Row],[ReorderLevel]],"")</f>
        <v>-48</v>
      </c>
      <c r="N367" t="str">
        <f>IF(Table2[[#This Row],[Stock Gap]]&lt;0, "Understock","Okay")</f>
        <v>Understock</v>
      </c>
      <c r="O367" s="13" t="str">
        <f>IF(Table2[[#This Row],[Stock Gap]]&lt;0, "Yes", "No")</f>
        <v>Yes</v>
      </c>
      <c r="P367" s="13" t="str">
        <f>IF(Table2[[#This Row],[CurrentStock]]&lt;Table2[[#This Row],[ReorderLevel]],"Reorder", "Okay")</f>
        <v>Reorder</v>
      </c>
      <c r="Q367" s="13" t="str">
        <f>IF(Table2[[#This Row],[CurrentStock]]&gt;Table2[[#This Row],[ReorderLevel]]*3, "Overstock", "Okay")</f>
        <v>Okay</v>
      </c>
    </row>
    <row r="368" spans="1:17" x14ac:dyDescent="0.35">
      <c r="A368">
        <v>65860</v>
      </c>
      <c r="B368" t="s">
        <v>21</v>
      </c>
      <c r="C368" t="s">
        <v>26</v>
      </c>
      <c r="D368">
        <v>226</v>
      </c>
      <c r="E368">
        <v>80</v>
      </c>
      <c r="F368" s="2">
        <v>33.76</v>
      </c>
      <c r="G368" t="s">
        <v>33</v>
      </c>
      <c r="H368" s="1">
        <v>45409</v>
      </c>
      <c r="I368" s="1">
        <v>45423</v>
      </c>
      <c r="J368" t="s">
        <v>37</v>
      </c>
      <c r="K368" s="8">
        <f>Table2[[#This Row],[CurrentStock]]*Table2[[#This Row],[UnitPrice]]</f>
        <v>7629.7599999999993</v>
      </c>
      <c r="L368" t="str">
        <f>IF(Table2[[#This Row],[CurrentStock]]&lt;=Table2[[#This Row],[ReorderLevel]], "Reorder Needed", "Okay")</f>
        <v>Okay</v>
      </c>
      <c r="M368" t="str">
        <f>IF(Table2[[#This Row],[CurrentStock]]-Table2[[#This Row],[ReorderLevel]]&lt;0,Table2[[#This Row],[CurrentStock]]-Table2[[#This Row],[ReorderLevel]],"")</f>
        <v/>
      </c>
      <c r="N368" t="str">
        <f>IF(Table2[[#This Row],[Stock Gap]]&lt;0, "Understock","Okay")</f>
        <v>Okay</v>
      </c>
      <c r="O368" s="13" t="str">
        <f>IF(Table2[[#This Row],[Stock Gap]]&lt;0, "Yes", "No")</f>
        <v>No</v>
      </c>
      <c r="P368" s="13" t="str">
        <f>IF(Table2[[#This Row],[CurrentStock]]&lt;Table2[[#This Row],[ReorderLevel]],"Reorder", "Okay")</f>
        <v>Okay</v>
      </c>
      <c r="Q368" s="13" t="str">
        <f>IF(Table2[[#This Row],[CurrentStock]]&gt;Table2[[#This Row],[ReorderLevel]]*3, "Overstock", "Okay")</f>
        <v>Okay</v>
      </c>
    </row>
    <row r="369" spans="1:17" x14ac:dyDescent="0.35">
      <c r="A369">
        <v>52965</v>
      </c>
      <c r="B369" t="s">
        <v>22</v>
      </c>
      <c r="C369" t="s">
        <v>29</v>
      </c>
      <c r="D369">
        <v>45</v>
      </c>
      <c r="E369">
        <v>80</v>
      </c>
      <c r="F369" s="2">
        <v>192.65</v>
      </c>
      <c r="G369" t="s">
        <v>34</v>
      </c>
      <c r="H369" s="1">
        <v>45571</v>
      </c>
      <c r="I369" s="1">
        <v>45577</v>
      </c>
      <c r="J369" t="s">
        <v>38</v>
      </c>
      <c r="K369" s="8">
        <f>Table2[[#This Row],[CurrentStock]]*Table2[[#This Row],[UnitPrice]]</f>
        <v>8669.25</v>
      </c>
      <c r="L369" t="str">
        <f>IF(Table2[[#This Row],[CurrentStock]]&lt;=Table2[[#This Row],[ReorderLevel]], "Reorder Needed", "Okay")</f>
        <v>Reorder Needed</v>
      </c>
      <c r="M369" s="7">
        <f>IF(Table2[[#This Row],[CurrentStock]]-Table2[[#This Row],[ReorderLevel]]&lt;0,Table2[[#This Row],[CurrentStock]]-Table2[[#This Row],[ReorderLevel]],"")</f>
        <v>-35</v>
      </c>
      <c r="N369" t="str">
        <f>IF(Table2[[#This Row],[Stock Gap]]&lt;0, "Understock","Okay")</f>
        <v>Understock</v>
      </c>
      <c r="O369" s="13" t="str">
        <f>IF(Table2[[#This Row],[Stock Gap]]&lt;0, "Yes", "No")</f>
        <v>Yes</v>
      </c>
      <c r="P369" s="13" t="str">
        <f>IF(Table2[[#This Row],[CurrentStock]]&lt;Table2[[#This Row],[ReorderLevel]],"Reorder", "Okay")</f>
        <v>Reorder</v>
      </c>
      <c r="Q369" s="13" t="str">
        <f>IF(Table2[[#This Row],[CurrentStock]]&gt;Table2[[#This Row],[ReorderLevel]]*3, "Overstock", "Okay")</f>
        <v>Okay</v>
      </c>
    </row>
    <row r="370" spans="1:17" x14ac:dyDescent="0.35">
      <c r="A370">
        <v>46021</v>
      </c>
      <c r="B370" t="s">
        <v>24</v>
      </c>
      <c r="C370" t="s">
        <v>30</v>
      </c>
      <c r="D370">
        <v>408</v>
      </c>
      <c r="E370">
        <v>40</v>
      </c>
      <c r="F370" s="2">
        <v>205.12</v>
      </c>
      <c r="G370" t="s">
        <v>33</v>
      </c>
      <c r="H370" s="1">
        <v>45308</v>
      </c>
      <c r="I370" s="1">
        <v>45324</v>
      </c>
      <c r="J370" t="s">
        <v>36</v>
      </c>
      <c r="K370" s="8">
        <f>Table2[[#This Row],[CurrentStock]]*Table2[[#This Row],[UnitPrice]]</f>
        <v>83688.960000000006</v>
      </c>
      <c r="L370" t="str">
        <f>IF(Table2[[#This Row],[CurrentStock]]&lt;=Table2[[#This Row],[ReorderLevel]], "Reorder Needed", "Okay")</f>
        <v>Okay</v>
      </c>
      <c r="M370" t="str">
        <f>IF(Table2[[#This Row],[CurrentStock]]-Table2[[#This Row],[ReorderLevel]]&lt;0,Table2[[#This Row],[CurrentStock]]-Table2[[#This Row],[ReorderLevel]],"")</f>
        <v/>
      </c>
      <c r="N370" t="str">
        <f>IF(Table2[[#This Row],[Stock Gap]]&lt;0, "Understock","Okay")</f>
        <v>Okay</v>
      </c>
      <c r="O370" s="13" t="str">
        <f>IF(Table2[[#This Row],[Stock Gap]]&lt;0, "Yes", "No")</f>
        <v>No</v>
      </c>
      <c r="P370" s="13" t="str">
        <f>IF(Table2[[#This Row],[CurrentStock]]&lt;Table2[[#This Row],[ReorderLevel]],"Reorder", "Okay")</f>
        <v>Okay</v>
      </c>
      <c r="Q370" s="13" t="str">
        <f>IF(Table2[[#This Row],[CurrentStock]]&gt;Table2[[#This Row],[ReorderLevel]]*3, "Overstock", "Okay")</f>
        <v>Overstock</v>
      </c>
    </row>
    <row r="371" spans="1:17" x14ac:dyDescent="0.35">
      <c r="A371">
        <v>30307</v>
      </c>
      <c r="B371" t="s">
        <v>19</v>
      </c>
      <c r="C371" t="s">
        <v>28</v>
      </c>
      <c r="D371">
        <v>227</v>
      </c>
      <c r="E371">
        <v>30</v>
      </c>
      <c r="F371" s="2">
        <v>261.92</v>
      </c>
      <c r="G371" t="s">
        <v>33</v>
      </c>
      <c r="H371" s="1">
        <v>45521</v>
      </c>
      <c r="I371" s="1">
        <v>45526</v>
      </c>
      <c r="J371" t="s">
        <v>37</v>
      </c>
      <c r="K371" s="8">
        <f>Table2[[#This Row],[CurrentStock]]*Table2[[#This Row],[UnitPrice]]</f>
        <v>59455.840000000004</v>
      </c>
      <c r="L371" t="str">
        <f>IF(Table2[[#This Row],[CurrentStock]]&lt;=Table2[[#This Row],[ReorderLevel]], "Reorder Needed", "Okay")</f>
        <v>Okay</v>
      </c>
      <c r="M371" t="str">
        <f>IF(Table2[[#This Row],[CurrentStock]]-Table2[[#This Row],[ReorderLevel]]&lt;0,Table2[[#This Row],[CurrentStock]]-Table2[[#This Row],[ReorderLevel]],"")</f>
        <v/>
      </c>
      <c r="N371" t="str">
        <f>IF(Table2[[#This Row],[Stock Gap]]&lt;0, "Understock","Okay")</f>
        <v>Okay</v>
      </c>
      <c r="O371" s="13" t="str">
        <f>IF(Table2[[#This Row],[Stock Gap]]&lt;0, "Yes", "No")</f>
        <v>No</v>
      </c>
      <c r="P371" s="13" t="str">
        <f>IF(Table2[[#This Row],[CurrentStock]]&lt;Table2[[#This Row],[ReorderLevel]],"Reorder", "Okay")</f>
        <v>Okay</v>
      </c>
      <c r="Q371" s="13" t="str">
        <f>IF(Table2[[#This Row],[CurrentStock]]&gt;Table2[[#This Row],[ReorderLevel]]*3, "Overstock", "Okay")</f>
        <v>Overstock</v>
      </c>
    </row>
    <row r="372" spans="1:17" x14ac:dyDescent="0.35">
      <c r="A372">
        <v>40116</v>
      </c>
      <c r="B372" t="s">
        <v>11</v>
      </c>
      <c r="C372" t="s">
        <v>27</v>
      </c>
      <c r="D372">
        <v>459</v>
      </c>
      <c r="E372">
        <v>40</v>
      </c>
      <c r="F372" s="2">
        <v>289.8</v>
      </c>
      <c r="G372" t="s">
        <v>35</v>
      </c>
      <c r="H372" s="1">
        <v>45461</v>
      </c>
      <c r="I372" s="1">
        <v>45495</v>
      </c>
      <c r="J372" t="s">
        <v>36</v>
      </c>
      <c r="K372" s="8">
        <f>Table2[[#This Row],[CurrentStock]]*Table2[[#This Row],[UnitPrice]]</f>
        <v>133018.20000000001</v>
      </c>
      <c r="L372" t="str">
        <f>IF(Table2[[#This Row],[CurrentStock]]&lt;=Table2[[#This Row],[ReorderLevel]], "Reorder Needed", "Okay")</f>
        <v>Okay</v>
      </c>
      <c r="M372" t="str">
        <f>IF(Table2[[#This Row],[CurrentStock]]-Table2[[#This Row],[ReorderLevel]]&lt;0,Table2[[#This Row],[CurrentStock]]-Table2[[#This Row],[ReorderLevel]],"")</f>
        <v/>
      </c>
      <c r="N372" t="str">
        <f>IF(Table2[[#This Row],[Stock Gap]]&lt;0, "Understock","Okay")</f>
        <v>Okay</v>
      </c>
      <c r="O372" s="13" t="str">
        <f>IF(Table2[[#This Row],[Stock Gap]]&lt;0, "Yes", "No")</f>
        <v>No</v>
      </c>
      <c r="P372" s="13" t="str">
        <f>IF(Table2[[#This Row],[CurrentStock]]&lt;Table2[[#This Row],[ReorderLevel]],"Reorder", "Okay")</f>
        <v>Okay</v>
      </c>
      <c r="Q372" s="13" t="str">
        <f>IF(Table2[[#This Row],[CurrentStock]]&gt;Table2[[#This Row],[ReorderLevel]]*3, "Overstock", "Okay")</f>
        <v>Overstock</v>
      </c>
    </row>
    <row r="373" spans="1:17" x14ac:dyDescent="0.35">
      <c r="A373">
        <v>56607</v>
      </c>
      <c r="B373" t="s">
        <v>18</v>
      </c>
      <c r="C373" t="s">
        <v>27</v>
      </c>
      <c r="D373">
        <v>441</v>
      </c>
      <c r="E373">
        <v>150</v>
      </c>
      <c r="F373" s="2">
        <v>177.31</v>
      </c>
      <c r="G373" t="s">
        <v>31</v>
      </c>
      <c r="H373" s="1">
        <v>45417</v>
      </c>
      <c r="I373" s="1">
        <v>45433</v>
      </c>
      <c r="J373" t="s">
        <v>36</v>
      </c>
      <c r="K373" s="8">
        <f>Table2[[#This Row],[CurrentStock]]*Table2[[#This Row],[UnitPrice]]</f>
        <v>78193.710000000006</v>
      </c>
      <c r="L373" t="str">
        <f>IF(Table2[[#This Row],[CurrentStock]]&lt;=Table2[[#This Row],[ReorderLevel]], "Reorder Needed", "Okay")</f>
        <v>Okay</v>
      </c>
      <c r="M373" t="str">
        <f>IF(Table2[[#This Row],[CurrentStock]]-Table2[[#This Row],[ReorderLevel]]&lt;0,Table2[[#This Row],[CurrentStock]]-Table2[[#This Row],[ReorderLevel]],"")</f>
        <v/>
      </c>
      <c r="N373" t="str">
        <f>IF(Table2[[#This Row],[Stock Gap]]&lt;0, "Understock","Okay")</f>
        <v>Okay</v>
      </c>
      <c r="O373" s="13" t="str">
        <f>IF(Table2[[#This Row],[Stock Gap]]&lt;0, "Yes", "No")</f>
        <v>No</v>
      </c>
      <c r="P373" s="13" t="str">
        <f>IF(Table2[[#This Row],[CurrentStock]]&lt;Table2[[#This Row],[ReorderLevel]],"Reorder", "Okay")</f>
        <v>Okay</v>
      </c>
      <c r="Q373" s="13" t="str">
        <f>IF(Table2[[#This Row],[CurrentStock]]&gt;Table2[[#This Row],[ReorderLevel]]*3, "Overstock", "Okay")</f>
        <v>Okay</v>
      </c>
    </row>
    <row r="374" spans="1:17" x14ac:dyDescent="0.35">
      <c r="A374">
        <v>98839</v>
      </c>
      <c r="B374" t="s">
        <v>9</v>
      </c>
      <c r="C374" t="s">
        <v>26</v>
      </c>
      <c r="D374">
        <v>134</v>
      </c>
      <c r="E374">
        <v>50</v>
      </c>
      <c r="F374" s="2">
        <v>424.3</v>
      </c>
      <c r="G374" t="s">
        <v>34</v>
      </c>
      <c r="H374" s="1">
        <v>45451</v>
      </c>
      <c r="I374" s="1">
        <v>45466</v>
      </c>
      <c r="J374" t="s">
        <v>37</v>
      </c>
      <c r="K374" s="8">
        <f>Table2[[#This Row],[CurrentStock]]*Table2[[#This Row],[UnitPrice]]</f>
        <v>56856.200000000004</v>
      </c>
      <c r="L374" t="str">
        <f>IF(Table2[[#This Row],[CurrentStock]]&lt;=Table2[[#This Row],[ReorderLevel]], "Reorder Needed", "Okay")</f>
        <v>Okay</v>
      </c>
      <c r="M374" t="str">
        <f>IF(Table2[[#This Row],[CurrentStock]]-Table2[[#This Row],[ReorderLevel]]&lt;0,Table2[[#This Row],[CurrentStock]]-Table2[[#This Row],[ReorderLevel]],"")</f>
        <v/>
      </c>
      <c r="N374" t="str">
        <f>IF(Table2[[#This Row],[Stock Gap]]&lt;0, "Understock","Okay")</f>
        <v>Okay</v>
      </c>
      <c r="O374" s="13" t="str">
        <f>IF(Table2[[#This Row],[Stock Gap]]&lt;0, "Yes", "No")</f>
        <v>No</v>
      </c>
      <c r="P374" s="13" t="str">
        <f>IF(Table2[[#This Row],[CurrentStock]]&lt;Table2[[#This Row],[ReorderLevel]],"Reorder", "Okay")</f>
        <v>Okay</v>
      </c>
      <c r="Q374" s="13" t="str">
        <f>IF(Table2[[#This Row],[CurrentStock]]&gt;Table2[[#This Row],[ReorderLevel]]*3, "Overstock", "Okay")</f>
        <v>Okay</v>
      </c>
    </row>
    <row r="375" spans="1:17" x14ac:dyDescent="0.35">
      <c r="A375">
        <v>12204</v>
      </c>
      <c r="B375" t="s">
        <v>17</v>
      </c>
      <c r="C375" t="s">
        <v>27</v>
      </c>
      <c r="D375">
        <v>213</v>
      </c>
      <c r="E375">
        <v>40</v>
      </c>
      <c r="F375" s="2">
        <v>154.94</v>
      </c>
      <c r="G375" t="s">
        <v>32</v>
      </c>
      <c r="H375" s="1">
        <v>45486</v>
      </c>
      <c r="I375" s="1">
        <v>45519</v>
      </c>
      <c r="J375" t="s">
        <v>38</v>
      </c>
      <c r="K375" s="8">
        <f>Table2[[#This Row],[CurrentStock]]*Table2[[#This Row],[UnitPrice]]</f>
        <v>33002.22</v>
      </c>
      <c r="L375" t="str">
        <f>IF(Table2[[#This Row],[CurrentStock]]&lt;=Table2[[#This Row],[ReorderLevel]], "Reorder Needed", "Okay")</f>
        <v>Okay</v>
      </c>
      <c r="M375" t="str">
        <f>IF(Table2[[#This Row],[CurrentStock]]-Table2[[#This Row],[ReorderLevel]]&lt;0,Table2[[#This Row],[CurrentStock]]-Table2[[#This Row],[ReorderLevel]],"")</f>
        <v/>
      </c>
      <c r="N375" t="str">
        <f>IF(Table2[[#This Row],[Stock Gap]]&lt;0, "Understock","Okay")</f>
        <v>Okay</v>
      </c>
      <c r="O375" s="13" t="str">
        <f>IF(Table2[[#This Row],[Stock Gap]]&lt;0, "Yes", "No")</f>
        <v>No</v>
      </c>
      <c r="P375" s="13" t="str">
        <f>IF(Table2[[#This Row],[CurrentStock]]&lt;Table2[[#This Row],[ReorderLevel]],"Reorder", "Okay")</f>
        <v>Okay</v>
      </c>
      <c r="Q375" s="13" t="str">
        <f>IF(Table2[[#This Row],[CurrentStock]]&gt;Table2[[#This Row],[ReorderLevel]]*3, "Overstock", "Okay")</f>
        <v>Overstock</v>
      </c>
    </row>
    <row r="376" spans="1:17" x14ac:dyDescent="0.35">
      <c r="A376">
        <v>31607</v>
      </c>
      <c r="B376" t="s">
        <v>9</v>
      </c>
      <c r="C376" t="s">
        <v>26</v>
      </c>
      <c r="D376">
        <v>78</v>
      </c>
      <c r="E376">
        <v>50</v>
      </c>
      <c r="F376" s="2">
        <v>239.54</v>
      </c>
      <c r="G376" t="s">
        <v>34</v>
      </c>
      <c r="H376" s="1">
        <v>45509</v>
      </c>
      <c r="I376" s="1">
        <v>45517</v>
      </c>
      <c r="J376" t="s">
        <v>37</v>
      </c>
      <c r="K376" s="8">
        <f>Table2[[#This Row],[CurrentStock]]*Table2[[#This Row],[UnitPrice]]</f>
        <v>18684.12</v>
      </c>
      <c r="L376" t="str">
        <f>IF(Table2[[#This Row],[CurrentStock]]&lt;=Table2[[#This Row],[ReorderLevel]], "Reorder Needed", "Okay")</f>
        <v>Okay</v>
      </c>
      <c r="M376" t="str">
        <f>IF(Table2[[#This Row],[CurrentStock]]-Table2[[#This Row],[ReorderLevel]]&lt;0,Table2[[#This Row],[CurrentStock]]-Table2[[#This Row],[ReorderLevel]],"")</f>
        <v/>
      </c>
      <c r="N376" t="str">
        <f>IF(Table2[[#This Row],[Stock Gap]]&lt;0, "Understock","Okay")</f>
        <v>Okay</v>
      </c>
      <c r="O376" s="13" t="str">
        <f>IF(Table2[[#This Row],[Stock Gap]]&lt;0, "Yes", "No")</f>
        <v>No</v>
      </c>
      <c r="P376" s="13" t="str">
        <f>IF(Table2[[#This Row],[CurrentStock]]&lt;Table2[[#This Row],[ReorderLevel]],"Reorder", "Okay")</f>
        <v>Okay</v>
      </c>
      <c r="Q376" s="13" t="str">
        <f>IF(Table2[[#This Row],[CurrentStock]]&gt;Table2[[#This Row],[ReorderLevel]]*3, "Overstock", "Okay")</f>
        <v>Okay</v>
      </c>
    </row>
    <row r="377" spans="1:17" x14ac:dyDescent="0.35">
      <c r="A377">
        <v>65835</v>
      </c>
      <c r="B377" t="s">
        <v>16</v>
      </c>
      <c r="C377" t="s">
        <v>29</v>
      </c>
      <c r="D377">
        <v>95</v>
      </c>
      <c r="E377">
        <v>50</v>
      </c>
      <c r="F377" s="2">
        <v>274.52</v>
      </c>
      <c r="G377" t="s">
        <v>34</v>
      </c>
      <c r="H377" s="1">
        <v>45434</v>
      </c>
      <c r="I377" s="1">
        <v>45470</v>
      </c>
      <c r="J377" t="s">
        <v>36</v>
      </c>
      <c r="K377" s="8">
        <f>Table2[[#This Row],[CurrentStock]]*Table2[[#This Row],[UnitPrice]]</f>
        <v>26079.399999999998</v>
      </c>
      <c r="L377" t="str">
        <f>IF(Table2[[#This Row],[CurrentStock]]&lt;=Table2[[#This Row],[ReorderLevel]], "Reorder Needed", "Okay")</f>
        <v>Okay</v>
      </c>
      <c r="M377" t="str">
        <f>IF(Table2[[#This Row],[CurrentStock]]-Table2[[#This Row],[ReorderLevel]]&lt;0,Table2[[#This Row],[CurrentStock]]-Table2[[#This Row],[ReorderLevel]],"")</f>
        <v/>
      </c>
      <c r="N377" t="str">
        <f>IF(Table2[[#This Row],[Stock Gap]]&lt;0, "Understock","Okay")</f>
        <v>Okay</v>
      </c>
      <c r="O377" s="13" t="str">
        <f>IF(Table2[[#This Row],[Stock Gap]]&lt;0, "Yes", "No")</f>
        <v>No</v>
      </c>
      <c r="P377" s="13" t="str">
        <f>IF(Table2[[#This Row],[CurrentStock]]&lt;Table2[[#This Row],[ReorderLevel]],"Reorder", "Okay")</f>
        <v>Okay</v>
      </c>
      <c r="Q377" s="13" t="str">
        <f>IF(Table2[[#This Row],[CurrentStock]]&gt;Table2[[#This Row],[ReorderLevel]]*3, "Overstock", "Okay")</f>
        <v>Okay</v>
      </c>
    </row>
    <row r="378" spans="1:17" x14ac:dyDescent="0.35">
      <c r="A378">
        <v>56473</v>
      </c>
      <c r="B378" t="s">
        <v>14</v>
      </c>
      <c r="C378" t="s">
        <v>28</v>
      </c>
      <c r="D378">
        <v>491</v>
      </c>
      <c r="E378">
        <v>150</v>
      </c>
      <c r="F378" s="2">
        <v>74.7</v>
      </c>
      <c r="G378" t="s">
        <v>31</v>
      </c>
      <c r="H378" s="1">
        <v>45317</v>
      </c>
      <c r="I378" s="1">
        <v>45346</v>
      </c>
      <c r="J378" t="s">
        <v>36</v>
      </c>
      <c r="K378" s="8">
        <f>Table2[[#This Row],[CurrentStock]]*Table2[[#This Row],[UnitPrice]]</f>
        <v>36677.700000000004</v>
      </c>
      <c r="L378" t="str">
        <f>IF(Table2[[#This Row],[CurrentStock]]&lt;=Table2[[#This Row],[ReorderLevel]], "Reorder Needed", "Okay")</f>
        <v>Okay</v>
      </c>
      <c r="M378" t="str">
        <f>IF(Table2[[#This Row],[CurrentStock]]-Table2[[#This Row],[ReorderLevel]]&lt;0,Table2[[#This Row],[CurrentStock]]-Table2[[#This Row],[ReorderLevel]],"")</f>
        <v/>
      </c>
      <c r="N378" t="str">
        <f>IF(Table2[[#This Row],[Stock Gap]]&lt;0, "Understock","Okay")</f>
        <v>Okay</v>
      </c>
      <c r="O378" s="13" t="str">
        <f>IF(Table2[[#This Row],[Stock Gap]]&lt;0, "Yes", "No")</f>
        <v>No</v>
      </c>
      <c r="P378" s="13" t="str">
        <f>IF(Table2[[#This Row],[CurrentStock]]&lt;Table2[[#This Row],[ReorderLevel]],"Reorder", "Okay")</f>
        <v>Okay</v>
      </c>
      <c r="Q378" s="13" t="str">
        <f>IF(Table2[[#This Row],[CurrentStock]]&gt;Table2[[#This Row],[ReorderLevel]]*3, "Overstock", "Okay")</f>
        <v>Overstock</v>
      </c>
    </row>
    <row r="379" spans="1:17" x14ac:dyDescent="0.35">
      <c r="A379">
        <v>84218</v>
      </c>
      <c r="B379" t="s">
        <v>12</v>
      </c>
      <c r="C379" t="s">
        <v>28</v>
      </c>
      <c r="D379">
        <v>460</v>
      </c>
      <c r="E379">
        <v>80</v>
      </c>
      <c r="F379" s="2">
        <v>266</v>
      </c>
      <c r="G379" t="s">
        <v>34</v>
      </c>
      <c r="H379" s="1">
        <v>45359</v>
      </c>
      <c r="I379" s="1">
        <v>45394</v>
      </c>
      <c r="J379" t="s">
        <v>36</v>
      </c>
      <c r="K379" s="8">
        <f>Table2[[#This Row],[CurrentStock]]*Table2[[#This Row],[UnitPrice]]</f>
        <v>122360</v>
      </c>
      <c r="L379" t="str">
        <f>IF(Table2[[#This Row],[CurrentStock]]&lt;=Table2[[#This Row],[ReorderLevel]], "Reorder Needed", "Okay")</f>
        <v>Okay</v>
      </c>
      <c r="M379" t="str">
        <f>IF(Table2[[#This Row],[CurrentStock]]-Table2[[#This Row],[ReorderLevel]]&lt;0,Table2[[#This Row],[CurrentStock]]-Table2[[#This Row],[ReorderLevel]],"")</f>
        <v/>
      </c>
      <c r="N379" t="str">
        <f>IF(Table2[[#This Row],[Stock Gap]]&lt;0, "Understock","Okay")</f>
        <v>Okay</v>
      </c>
      <c r="O379" s="13" t="str">
        <f>IF(Table2[[#This Row],[Stock Gap]]&lt;0, "Yes", "No")</f>
        <v>No</v>
      </c>
      <c r="P379" s="13" t="str">
        <f>IF(Table2[[#This Row],[CurrentStock]]&lt;Table2[[#This Row],[ReorderLevel]],"Reorder", "Okay")</f>
        <v>Okay</v>
      </c>
      <c r="Q379" s="13" t="str">
        <f>IF(Table2[[#This Row],[CurrentStock]]&gt;Table2[[#This Row],[ReorderLevel]]*3, "Overstock", "Okay")</f>
        <v>Overstock</v>
      </c>
    </row>
    <row r="380" spans="1:17" x14ac:dyDescent="0.35">
      <c r="A380">
        <v>90360</v>
      </c>
      <c r="B380" t="s">
        <v>13</v>
      </c>
      <c r="C380" t="s">
        <v>26</v>
      </c>
      <c r="D380">
        <v>215</v>
      </c>
      <c r="E380">
        <v>100</v>
      </c>
      <c r="F380" s="2">
        <v>237.64</v>
      </c>
      <c r="G380" t="s">
        <v>32</v>
      </c>
      <c r="H380" s="1">
        <v>45338</v>
      </c>
      <c r="I380" s="1">
        <v>45373</v>
      </c>
      <c r="J380" t="s">
        <v>38</v>
      </c>
      <c r="K380" s="8">
        <f>Table2[[#This Row],[CurrentStock]]*Table2[[#This Row],[UnitPrice]]</f>
        <v>51092.6</v>
      </c>
      <c r="L380" t="str">
        <f>IF(Table2[[#This Row],[CurrentStock]]&lt;=Table2[[#This Row],[ReorderLevel]], "Reorder Needed", "Okay")</f>
        <v>Okay</v>
      </c>
      <c r="M380" t="str">
        <f>IF(Table2[[#This Row],[CurrentStock]]-Table2[[#This Row],[ReorderLevel]]&lt;0,Table2[[#This Row],[CurrentStock]]-Table2[[#This Row],[ReorderLevel]],"")</f>
        <v/>
      </c>
      <c r="N380" t="str">
        <f>IF(Table2[[#This Row],[Stock Gap]]&lt;0, "Understock","Okay")</f>
        <v>Okay</v>
      </c>
      <c r="O380" s="13" t="str">
        <f>IF(Table2[[#This Row],[Stock Gap]]&lt;0, "Yes", "No")</f>
        <v>No</v>
      </c>
      <c r="P380" s="13" t="str">
        <f>IF(Table2[[#This Row],[CurrentStock]]&lt;Table2[[#This Row],[ReorderLevel]],"Reorder", "Okay")</f>
        <v>Okay</v>
      </c>
      <c r="Q380" s="13" t="str">
        <f>IF(Table2[[#This Row],[CurrentStock]]&gt;Table2[[#This Row],[ReorderLevel]]*3, "Overstock", "Okay")</f>
        <v>Okay</v>
      </c>
    </row>
    <row r="381" spans="1:17" x14ac:dyDescent="0.35">
      <c r="A381">
        <v>86721</v>
      </c>
      <c r="B381" t="s">
        <v>11</v>
      </c>
      <c r="C381" t="s">
        <v>27</v>
      </c>
      <c r="D381">
        <v>4</v>
      </c>
      <c r="E381">
        <v>50</v>
      </c>
      <c r="F381" s="2">
        <v>317.31</v>
      </c>
      <c r="G381" t="s">
        <v>31</v>
      </c>
      <c r="H381" s="1">
        <v>45539</v>
      </c>
      <c r="I381" s="1">
        <v>45576</v>
      </c>
      <c r="J381" t="s">
        <v>38</v>
      </c>
      <c r="K381" s="8">
        <f>Table2[[#This Row],[CurrentStock]]*Table2[[#This Row],[UnitPrice]]</f>
        <v>1269.24</v>
      </c>
      <c r="L381" t="str">
        <f>IF(Table2[[#This Row],[CurrentStock]]&lt;=Table2[[#This Row],[ReorderLevel]], "Reorder Needed", "Okay")</f>
        <v>Reorder Needed</v>
      </c>
      <c r="M381" s="7">
        <f>IF(Table2[[#This Row],[CurrentStock]]-Table2[[#This Row],[ReorderLevel]]&lt;0,Table2[[#This Row],[CurrentStock]]-Table2[[#This Row],[ReorderLevel]],"")</f>
        <v>-46</v>
      </c>
      <c r="N381" t="str">
        <f>IF(Table2[[#This Row],[Stock Gap]]&lt;0, "Understock","Okay")</f>
        <v>Understock</v>
      </c>
      <c r="O381" s="13" t="str">
        <f>IF(Table2[[#This Row],[Stock Gap]]&lt;0, "Yes", "No")</f>
        <v>Yes</v>
      </c>
      <c r="P381" s="13" t="str">
        <f>IF(Table2[[#This Row],[CurrentStock]]&lt;Table2[[#This Row],[ReorderLevel]],"Reorder", "Okay")</f>
        <v>Reorder</v>
      </c>
      <c r="Q381" s="13" t="str">
        <f>IF(Table2[[#This Row],[CurrentStock]]&gt;Table2[[#This Row],[ReorderLevel]]*3, "Overstock", "Okay")</f>
        <v>Okay</v>
      </c>
    </row>
    <row r="382" spans="1:17" x14ac:dyDescent="0.35">
      <c r="A382">
        <v>98509</v>
      </c>
      <c r="B382" t="s">
        <v>22</v>
      </c>
      <c r="C382" t="s">
        <v>29</v>
      </c>
      <c r="D382">
        <v>276</v>
      </c>
      <c r="E382">
        <v>100</v>
      </c>
      <c r="F382" s="2">
        <v>42.74</v>
      </c>
      <c r="G382" t="s">
        <v>32</v>
      </c>
      <c r="H382" s="1">
        <v>45585</v>
      </c>
      <c r="I382" s="1">
        <v>45611</v>
      </c>
      <c r="J382" t="s">
        <v>38</v>
      </c>
      <c r="K382" s="8">
        <f>Table2[[#This Row],[CurrentStock]]*Table2[[#This Row],[UnitPrice]]</f>
        <v>11796.24</v>
      </c>
      <c r="L382" t="str">
        <f>IF(Table2[[#This Row],[CurrentStock]]&lt;=Table2[[#This Row],[ReorderLevel]], "Reorder Needed", "Okay")</f>
        <v>Okay</v>
      </c>
      <c r="M382" t="str">
        <f>IF(Table2[[#This Row],[CurrentStock]]-Table2[[#This Row],[ReorderLevel]]&lt;0,Table2[[#This Row],[CurrentStock]]-Table2[[#This Row],[ReorderLevel]],"")</f>
        <v/>
      </c>
      <c r="N382" t="str">
        <f>IF(Table2[[#This Row],[Stock Gap]]&lt;0, "Understock","Okay")</f>
        <v>Okay</v>
      </c>
      <c r="O382" s="13" t="str">
        <f>IF(Table2[[#This Row],[Stock Gap]]&lt;0, "Yes", "No")</f>
        <v>No</v>
      </c>
      <c r="P382" s="13" t="str">
        <f>IF(Table2[[#This Row],[CurrentStock]]&lt;Table2[[#This Row],[ReorderLevel]],"Reorder", "Okay")</f>
        <v>Okay</v>
      </c>
      <c r="Q382" s="13" t="str">
        <f>IF(Table2[[#This Row],[CurrentStock]]&gt;Table2[[#This Row],[ReorderLevel]]*3, "Overstock", "Okay")</f>
        <v>Okay</v>
      </c>
    </row>
    <row r="383" spans="1:17" x14ac:dyDescent="0.35">
      <c r="A383">
        <v>53527</v>
      </c>
      <c r="B383" t="s">
        <v>20</v>
      </c>
      <c r="C383" t="s">
        <v>30</v>
      </c>
      <c r="D383">
        <v>396</v>
      </c>
      <c r="E383">
        <v>150</v>
      </c>
      <c r="F383" s="2">
        <v>26.73</v>
      </c>
      <c r="G383" t="s">
        <v>33</v>
      </c>
      <c r="H383" s="1">
        <v>45297</v>
      </c>
      <c r="I383" s="1">
        <v>45330</v>
      </c>
      <c r="J383" t="s">
        <v>36</v>
      </c>
      <c r="K383" s="8">
        <f>Table2[[#This Row],[CurrentStock]]*Table2[[#This Row],[UnitPrice]]</f>
        <v>10585.08</v>
      </c>
      <c r="L383" t="str">
        <f>IF(Table2[[#This Row],[CurrentStock]]&lt;=Table2[[#This Row],[ReorderLevel]], "Reorder Needed", "Okay")</f>
        <v>Okay</v>
      </c>
      <c r="M383" t="str">
        <f>IF(Table2[[#This Row],[CurrentStock]]-Table2[[#This Row],[ReorderLevel]]&lt;0,Table2[[#This Row],[CurrentStock]]-Table2[[#This Row],[ReorderLevel]],"")</f>
        <v/>
      </c>
      <c r="N383" t="str">
        <f>IF(Table2[[#This Row],[Stock Gap]]&lt;0, "Understock","Okay")</f>
        <v>Okay</v>
      </c>
      <c r="O383" s="13" t="str">
        <f>IF(Table2[[#This Row],[Stock Gap]]&lt;0, "Yes", "No")</f>
        <v>No</v>
      </c>
      <c r="P383" s="13" t="str">
        <f>IF(Table2[[#This Row],[CurrentStock]]&lt;Table2[[#This Row],[ReorderLevel]],"Reorder", "Okay")</f>
        <v>Okay</v>
      </c>
      <c r="Q383" s="13" t="str">
        <f>IF(Table2[[#This Row],[CurrentStock]]&gt;Table2[[#This Row],[ReorderLevel]]*3, "Overstock", "Okay")</f>
        <v>Okay</v>
      </c>
    </row>
    <row r="384" spans="1:17" x14ac:dyDescent="0.35">
      <c r="A384">
        <v>23979</v>
      </c>
      <c r="B384" t="s">
        <v>19</v>
      </c>
      <c r="C384" t="s">
        <v>28</v>
      </c>
      <c r="D384">
        <v>208</v>
      </c>
      <c r="E384">
        <v>40</v>
      </c>
      <c r="F384" s="2">
        <v>397.61</v>
      </c>
      <c r="G384" t="s">
        <v>33</v>
      </c>
      <c r="H384" s="1">
        <v>45302</v>
      </c>
      <c r="I384" s="1">
        <v>45337</v>
      </c>
      <c r="J384" t="s">
        <v>38</v>
      </c>
      <c r="K384" s="8">
        <f>Table2[[#This Row],[CurrentStock]]*Table2[[#This Row],[UnitPrice]]</f>
        <v>82702.880000000005</v>
      </c>
      <c r="L384" t="str">
        <f>IF(Table2[[#This Row],[CurrentStock]]&lt;=Table2[[#This Row],[ReorderLevel]], "Reorder Needed", "Okay")</f>
        <v>Okay</v>
      </c>
      <c r="M384" t="str">
        <f>IF(Table2[[#This Row],[CurrentStock]]-Table2[[#This Row],[ReorderLevel]]&lt;0,Table2[[#This Row],[CurrentStock]]-Table2[[#This Row],[ReorderLevel]],"")</f>
        <v/>
      </c>
      <c r="N384" t="str">
        <f>IF(Table2[[#This Row],[Stock Gap]]&lt;0, "Understock","Okay")</f>
        <v>Okay</v>
      </c>
      <c r="O384" s="13" t="str">
        <f>IF(Table2[[#This Row],[Stock Gap]]&lt;0, "Yes", "No")</f>
        <v>No</v>
      </c>
      <c r="P384" s="13" t="str">
        <f>IF(Table2[[#This Row],[CurrentStock]]&lt;Table2[[#This Row],[ReorderLevel]],"Reorder", "Okay")</f>
        <v>Okay</v>
      </c>
      <c r="Q384" s="13" t="str">
        <f>IF(Table2[[#This Row],[CurrentStock]]&gt;Table2[[#This Row],[ReorderLevel]]*3, "Overstock", "Okay")</f>
        <v>Overstock</v>
      </c>
    </row>
    <row r="385" spans="1:17" x14ac:dyDescent="0.35">
      <c r="A385">
        <v>51316</v>
      </c>
      <c r="B385" t="s">
        <v>18</v>
      </c>
      <c r="C385" t="s">
        <v>27</v>
      </c>
      <c r="D385">
        <v>251</v>
      </c>
      <c r="E385">
        <v>40</v>
      </c>
      <c r="F385" s="2">
        <v>490.67</v>
      </c>
      <c r="G385" t="s">
        <v>34</v>
      </c>
      <c r="H385" s="1">
        <v>45623</v>
      </c>
      <c r="I385" s="1">
        <v>45638</v>
      </c>
      <c r="J385" t="s">
        <v>38</v>
      </c>
      <c r="K385" s="8">
        <f>Table2[[#This Row],[CurrentStock]]*Table2[[#This Row],[UnitPrice]]</f>
        <v>123158.17</v>
      </c>
      <c r="L385" t="str">
        <f>IF(Table2[[#This Row],[CurrentStock]]&lt;=Table2[[#This Row],[ReorderLevel]], "Reorder Needed", "Okay")</f>
        <v>Okay</v>
      </c>
      <c r="M385" t="str">
        <f>IF(Table2[[#This Row],[CurrentStock]]-Table2[[#This Row],[ReorderLevel]]&lt;0,Table2[[#This Row],[CurrentStock]]-Table2[[#This Row],[ReorderLevel]],"")</f>
        <v/>
      </c>
      <c r="N385" t="str">
        <f>IF(Table2[[#This Row],[Stock Gap]]&lt;0, "Understock","Okay")</f>
        <v>Okay</v>
      </c>
      <c r="O385" s="13" t="str">
        <f>IF(Table2[[#This Row],[Stock Gap]]&lt;0, "Yes", "No")</f>
        <v>No</v>
      </c>
      <c r="P385" s="13" t="str">
        <f>IF(Table2[[#This Row],[CurrentStock]]&lt;Table2[[#This Row],[ReorderLevel]],"Reorder", "Okay")</f>
        <v>Okay</v>
      </c>
      <c r="Q385" s="13" t="str">
        <f>IF(Table2[[#This Row],[CurrentStock]]&gt;Table2[[#This Row],[ReorderLevel]]*3, "Overstock", "Okay")</f>
        <v>Overstock</v>
      </c>
    </row>
    <row r="386" spans="1:17" x14ac:dyDescent="0.35">
      <c r="A386">
        <v>68627</v>
      </c>
      <c r="B386" t="s">
        <v>12</v>
      </c>
      <c r="C386" t="s">
        <v>28</v>
      </c>
      <c r="D386">
        <v>310</v>
      </c>
      <c r="E386">
        <v>100</v>
      </c>
      <c r="F386" s="2">
        <v>313.06</v>
      </c>
      <c r="G386" t="s">
        <v>33</v>
      </c>
      <c r="H386" s="1">
        <v>45445</v>
      </c>
      <c r="I386" s="1">
        <v>45455</v>
      </c>
      <c r="J386" t="s">
        <v>37</v>
      </c>
      <c r="K386" s="8">
        <f>Table2[[#This Row],[CurrentStock]]*Table2[[#This Row],[UnitPrice]]</f>
        <v>97048.6</v>
      </c>
      <c r="L386" t="str">
        <f>IF(Table2[[#This Row],[CurrentStock]]&lt;=Table2[[#This Row],[ReorderLevel]], "Reorder Needed", "Okay")</f>
        <v>Okay</v>
      </c>
      <c r="M386" t="str">
        <f>IF(Table2[[#This Row],[CurrentStock]]-Table2[[#This Row],[ReorderLevel]]&lt;0,Table2[[#This Row],[CurrentStock]]-Table2[[#This Row],[ReorderLevel]],"")</f>
        <v/>
      </c>
      <c r="N386" t="str">
        <f>IF(Table2[[#This Row],[Stock Gap]]&lt;0, "Understock","Okay")</f>
        <v>Okay</v>
      </c>
      <c r="O386" s="13" t="str">
        <f>IF(Table2[[#This Row],[Stock Gap]]&lt;0, "Yes", "No")</f>
        <v>No</v>
      </c>
      <c r="P386" s="13" t="str">
        <f>IF(Table2[[#This Row],[CurrentStock]]&lt;Table2[[#This Row],[ReorderLevel]],"Reorder", "Okay")</f>
        <v>Okay</v>
      </c>
      <c r="Q386" s="13" t="str">
        <f>IF(Table2[[#This Row],[CurrentStock]]&gt;Table2[[#This Row],[ReorderLevel]]*3, "Overstock", "Okay")</f>
        <v>Overstock</v>
      </c>
    </row>
    <row r="387" spans="1:17" x14ac:dyDescent="0.35">
      <c r="A387">
        <v>65745</v>
      </c>
      <c r="B387" t="s">
        <v>15</v>
      </c>
      <c r="C387" t="s">
        <v>29</v>
      </c>
      <c r="D387">
        <v>124</v>
      </c>
      <c r="E387">
        <v>30</v>
      </c>
      <c r="F387" s="2">
        <v>350.66</v>
      </c>
      <c r="G387" t="s">
        <v>32</v>
      </c>
      <c r="H387" s="1">
        <v>45590</v>
      </c>
      <c r="I387" s="1">
        <v>45610</v>
      </c>
      <c r="J387" t="s">
        <v>37</v>
      </c>
      <c r="K387" s="8">
        <f>Table2[[#This Row],[CurrentStock]]*Table2[[#This Row],[UnitPrice]]</f>
        <v>43481.840000000004</v>
      </c>
      <c r="L387" t="str">
        <f>IF(Table2[[#This Row],[CurrentStock]]&lt;=Table2[[#This Row],[ReorderLevel]], "Reorder Needed", "Okay")</f>
        <v>Okay</v>
      </c>
      <c r="M387" t="str">
        <f>IF(Table2[[#This Row],[CurrentStock]]-Table2[[#This Row],[ReorderLevel]]&lt;0,Table2[[#This Row],[CurrentStock]]-Table2[[#This Row],[ReorderLevel]],"")</f>
        <v/>
      </c>
      <c r="N387" t="str">
        <f>IF(Table2[[#This Row],[Stock Gap]]&lt;0, "Understock","Okay")</f>
        <v>Okay</v>
      </c>
      <c r="O387" s="13" t="str">
        <f>IF(Table2[[#This Row],[Stock Gap]]&lt;0, "Yes", "No")</f>
        <v>No</v>
      </c>
      <c r="P387" s="13" t="str">
        <f>IF(Table2[[#This Row],[CurrentStock]]&lt;Table2[[#This Row],[ReorderLevel]],"Reorder", "Okay")</f>
        <v>Okay</v>
      </c>
      <c r="Q387" s="13" t="str">
        <f>IF(Table2[[#This Row],[CurrentStock]]&gt;Table2[[#This Row],[ReorderLevel]]*3, "Overstock", "Okay")</f>
        <v>Overstock</v>
      </c>
    </row>
    <row r="388" spans="1:17" x14ac:dyDescent="0.35">
      <c r="A388">
        <v>66746</v>
      </c>
      <c r="B388" t="s">
        <v>22</v>
      </c>
      <c r="C388" t="s">
        <v>29</v>
      </c>
      <c r="D388">
        <v>7</v>
      </c>
      <c r="E388">
        <v>100</v>
      </c>
      <c r="F388" s="2">
        <v>360.57</v>
      </c>
      <c r="G388" t="s">
        <v>34</v>
      </c>
      <c r="H388" s="1">
        <v>45385</v>
      </c>
      <c r="I388" s="1">
        <v>45390</v>
      </c>
      <c r="J388" t="s">
        <v>37</v>
      </c>
      <c r="K388" s="8">
        <f>Table2[[#This Row],[CurrentStock]]*Table2[[#This Row],[UnitPrice]]</f>
        <v>2523.9899999999998</v>
      </c>
      <c r="L388" t="str">
        <f>IF(Table2[[#This Row],[CurrentStock]]&lt;=Table2[[#This Row],[ReorderLevel]], "Reorder Needed", "Okay")</f>
        <v>Reorder Needed</v>
      </c>
      <c r="M388" s="7">
        <f>IF(Table2[[#This Row],[CurrentStock]]-Table2[[#This Row],[ReorderLevel]]&lt;0,Table2[[#This Row],[CurrentStock]]-Table2[[#This Row],[ReorderLevel]],"")</f>
        <v>-93</v>
      </c>
      <c r="N388" t="str">
        <f>IF(Table2[[#This Row],[Stock Gap]]&lt;0, "Understock","Okay")</f>
        <v>Understock</v>
      </c>
      <c r="O388" s="13" t="str">
        <f>IF(Table2[[#This Row],[Stock Gap]]&lt;0, "Yes", "No")</f>
        <v>Yes</v>
      </c>
      <c r="P388" s="13" t="str">
        <f>IF(Table2[[#This Row],[CurrentStock]]&lt;Table2[[#This Row],[ReorderLevel]],"Reorder", "Okay")</f>
        <v>Reorder</v>
      </c>
      <c r="Q388" s="13" t="str">
        <f>IF(Table2[[#This Row],[CurrentStock]]&gt;Table2[[#This Row],[ReorderLevel]]*3, "Overstock", "Okay")</f>
        <v>Okay</v>
      </c>
    </row>
    <row r="389" spans="1:17" x14ac:dyDescent="0.35">
      <c r="A389">
        <v>94388</v>
      </c>
      <c r="B389" t="s">
        <v>10</v>
      </c>
      <c r="C389" t="s">
        <v>26</v>
      </c>
      <c r="D389">
        <v>241</v>
      </c>
      <c r="E389">
        <v>100</v>
      </c>
      <c r="F389" s="2">
        <v>428.33</v>
      </c>
      <c r="G389" t="s">
        <v>32</v>
      </c>
      <c r="H389" s="1">
        <v>45335</v>
      </c>
      <c r="I389" s="1">
        <v>45348</v>
      </c>
      <c r="J389" t="s">
        <v>36</v>
      </c>
      <c r="K389" s="8">
        <f>Table2[[#This Row],[CurrentStock]]*Table2[[#This Row],[UnitPrice]]</f>
        <v>103227.53</v>
      </c>
      <c r="L389" t="str">
        <f>IF(Table2[[#This Row],[CurrentStock]]&lt;=Table2[[#This Row],[ReorderLevel]], "Reorder Needed", "Okay")</f>
        <v>Okay</v>
      </c>
      <c r="M389" t="str">
        <f>IF(Table2[[#This Row],[CurrentStock]]-Table2[[#This Row],[ReorderLevel]]&lt;0,Table2[[#This Row],[CurrentStock]]-Table2[[#This Row],[ReorderLevel]],"")</f>
        <v/>
      </c>
      <c r="N389" t="str">
        <f>IF(Table2[[#This Row],[Stock Gap]]&lt;0, "Understock","Okay")</f>
        <v>Okay</v>
      </c>
      <c r="O389" s="13" t="str">
        <f>IF(Table2[[#This Row],[Stock Gap]]&lt;0, "Yes", "No")</f>
        <v>No</v>
      </c>
      <c r="P389" s="13" t="str">
        <f>IF(Table2[[#This Row],[CurrentStock]]&lt;Table2[[#This Row],[ReorderLevel]],"Reorder", "Okay")</f>
        <v>Okay</v>
      </c>
      <c r="Q389" s="13" t="str">
        <f>IF(Table2[[#This Row],[CurrentStock]]&gt;Table2[[#This Row],[ReorderLevel]]*3, "Overstock", "Okay")</f>
        <v>Okay</v>
      </c>
    </row>
    <row r="390" spans="1:17" x14ac:dyDescent="0.35">
      <c r="A390">
        <v>30022</v>
      </c>
      <c r="B390" t="s">
        <v>10</v>
      </c>
      <c r="C390" t="s">
        <v>26</v>
      </c>
      <c r="D390">
        <v>155</v>
      </c>
      <c r="E390">
        <v>30</v>
      </c>
      <c r="F390" s="2">
        <v>403.35</v>
      </c>
      <c r="G390" t="s">
        <v>31</v>
      </c>
      <c r="H390" s="1">
        <v>45507</v>
      </c>
      <c r="I390" s="1">
        <v>45513</v>
      </c>
      <c r="J390" t="s">
        <v>38</v>
      </c>
      <c r="K390" s="8">
        <f>Table2[[#This Row],[CurrentStock]]*Table2[[#This Row],[UnitPrice]]</f>
        <v>62519.25</v>
      </c>
      <c r="L390" t="str">
        <f>IF(Table2[[#This Row],[CurrentStock]]&lt;=Table2[[#This Row],[ReorderLevel]], "Reorder Needed", "Okay")</f>
        <v>Okay</v>
      </c>
      <c r="M390" t="str">
        <f>IF(Table2[[#This Row],[CurrentStock]]-Table2[[#This Row],[ReorderLevel]]&lt;0,Table2[[#This Row],[CurrentStock]]-Table2[[#This Row],[ReorderLevel]],"")</f>
        <v/>
      </c>
      <c r="N390" t="str">
        <f>IF(Table2[[#This Row],[Stock Gap]]&lt;0, "Understock","Okay")</f>
        <v>Okay</v>
      </c>
      <c r="O390" s="13" t="str">
        <f>IF(Table2[[#This Row],[Stock Gap]]&lt;0, "Yes", "No")</f>
        <v>No</v>
      </c>
      <c r="P390" s="13" t="str">
        <f>IF(Table2[[#This Row],[CurrentStock]]&lt;Table2[[#This Row],[ReorderLevel]],"Reorder", "Okay")</f>
        <v>Okay</v>
      </c>
      <c r="Q390" s="13" t="str">
        <f>IF(Table2[[#This Row],[CurrentStock]]&gt;Table2[[#This Row],[ReorderLevel]]*3, "Overstock", "Okay")</f>
        <v>Overstock</v>
      </c>
    </row>
    <row r="391" spans="1:17" x14ac:dyDescent="0.35">
      <c r="A391">
        <v>78323</v>
      </c>
      <c r="B391" t="s">
        <v>15</v>
      </c>
      <c r="C391" t="s">
        <v>29</v>
      </c>
      <c r="D391">
        <v>376</v>
      </c>
      <c r="E391">
        <v>80</v>
      </c>
      <c r="F391" s="2">
        <v>243.04</v>
      </c>
      <c r="G391" t="s">
        <v>34</v>
      </c>
      <c r="H391" s="1">
        <v>45432</v>
      </c>
      <c r="I391" s="1">
        <v>45446</v>
      </c>
      <c r="J391" t="s">
        <v>38</v>
      </c>
      <c r="K391" s="8">
        <f>Table2[[#This Row],[CurrentStock]]*Table2[[#This Row],[UnitPrice]]</f>
        <v>91383.039999999994</v>
      </c>
      <c r="L391" t="str">
        <f>IF(Table2[[#This Row],[CurrentStock]]&lt;=Table2[[#This Row],[ReorderLevel]], "Reorder Needed", "Okay")</f>
        <v>Okay</v>
      </c>
      <c r="M391" t="str">
        <f>IF(Table2[[#This Row],[CurrentStock]]-Table2[[#This Row],[ReorderLevel]]&lt;0,Table2[[#This Row],[CurrentStock]]-Table2[[#This Row],[ReorderLevel]],"")</f>
        <v/>
      </c>
      <c r="N391" t="str">
        <f>IF(Table2[[#This Row],[Stock Gap]]&lt;0, "Understock","Okay")</f>
        <v>Okay</v>
      </c>
      <c r="O391" s="13" t="str">
        <f>IF(Table2[[#This Row],[Stock Gap]]&lt;0, "Yes", "No")</f>
        <v>No</v>
      </c>
      <c r="P391" s="13" t="str">
        <f>IF(Table2[[#This Row],[CurrentStock]]&lt;Table2[[#This Row],[ReorderLevel]],"Reorder", "Okay")</f>
        <v>Okay</v>
      </c>
      <c r="Q391" s="13" t="str">
        <f>IF(Table2[[#This Row],[CurrentStock]]&gt;Table2[[#This Row],[ReorderLevel]]*3, "Overstock", "Okay")</f>
        <v>Overstock</v>
      </c>
    </row>
    <row r="392" spans="1:17" x14ac:dyDescent="0.35">
      <c r="A392">
        <v>95744</v>
      </c>
      <c r="B392" t="s">
        <v>14</v>
      </c>
      <c r="C392" t="s">
        <v>28</v>
      </c>
      <c r="D392">
        <v>498</v>
      </c>
      <c r="E392">
        <v>20</v>
      </c>
      <c r="F392" s="2">
        <v>27.23</v>
      </c>
      <c r="G392" t="s">
        <v>31</v>
      </c>
      <c r="H392" s="1">
        <v>45384</v>
      </c>
      <c r="I392" s="1">
        <v>45395</v>
      </c>
      <c r="J392" t="s">
        <v>36</v>
      </c>
      <c r="K392" s="8">
        <f>Table2[[#This Row],[CurrentStock]]*Table2[[#This Row],[UnitPrice]]</f>
        <v>13560.54</v>
      </c>
      <c r="L392" t="str">
        <f>IF(Table2[[#This Row],[CurrentStock]]&lt;=Table2[[#This Row],[ReorderLevel]], "Reorder Needed", "Okay")</f>
        <v>Okay</v>
      </c>
      <c r="M392" t="str">
        <f>IF(Table2[[#This Row],[CurrentStock]]-Table2[[#This Row],[ReorderLevel]]&lt;0,Table2[[#This Row],[CurrentStock]]-Table2[[#This Row],[ReorderLevel]],"")</f>
        <v/>
      </c>
      <c r="N392" t="str">
        <f>IF(Table2[[#This Row],[Stock Gap]]&lt;0, "Understock","Okay")</f>
        <v>Okay</v>
      </c>
      <c r="O392" s="13" t="str">
        <f>IF(Table2[[#This Row],[Stock Gap]]&lt;0, "Yes", "No")</f>
        <v>No</v>
      </c>
      <c r="P392" s="13" t="str">
        <f>IF(Table2[[#This Row],[CurrentStock]]&lt;Table2[[#This Row],[ReorderLevel]],"Reorder", "Okay")</f>
        <v>Okay</v>
      </c>
      <c r="Q392" s="13" t="str">
        <f>IF(Table2[[#This Row],[CurrentStock]]&gt;Table2[[#This Row],[ReorderLevel]]*3, "Overstock", "Okay")</f>
        <v>Overstock</v>
      </c>
    </row>
    <row r="393" spans="1:17" x14ac:dyDescent="0.35">
      <c r="A393">
        <v>63521</v>
      </c>
      <c r="B393" t="s">
        <v>12</v>
      </c>
      <c r="C393" t="s">
        <v>28</v>
      </c>
      <c r="D393">
        <v>112</v>
      </c>
      <c r="E393">
        <v>150</v>
      </c>
      <c r="F393" s="2">
        <v>290.68</v>
      </c>
      <c r="G393" t="s">
        <v>35</v>
      </c>
      <c r="H393" s="1">
        <v>45497</v>
      </c>
      <c r="I393" s="1">
        <v>45518</v>
      </c>
      <c r="J393" t="s">
        <v>36</v>
      </c>
      <c r="K393" s="8">
        <f>Table2[[#This Row],[CurrentStock]]*Table2[[#This Row],[UnitPrice]]</f>
        <v>32556.16</v>
      </c>
      <c r="L393" t="str">
        <f>IF(Table2[[#This Row],[CurrentStock]]&lt;=Table2[[#This Row],[ReorderLevel]], "Reorder Needed", "Okay")</f>
        <v>Reorder Needed</v>
      </c>
      <c r="M393" s="7">
        <f>IF(Table2[[#This Row],[CurrentStock]]-Table2[[#This Row],[ReorderLevel]]&lt;0,Table2[[#This Row],[CurrentStock]]-Table2[[#This Row],[ReorderLevel]],"")</f>
        <v>-38</v>
      </c>
      <c r="N393" t="str">
        <f>IF(Table2[[#This Row],[Stock Gap]]&lt;0, "Understock","Okay")</f>
        <v>Understock</v>
      </c>
      <c r="O393" s="13" t="str">
        <f>IF(Table2[[#This Row],[Stock Gap]]&lt;0, "Yes", "No")</f>
        <v>Yes</v>
      </c>
      <c r="P393" s="13" t="str">
        <f>IF(Table2[[#This Row],[CurrentStock]]&lt;Table2[[#This Row],[ReorderLevel]],"Reorder", "Okay")</f>
        <v>Reorder</v>
      </c>
      <c r="Q393" s="13" t="str">
        <f>IF(Table2[[#This Row],[CurrentStock]]&gt;Table2[[#This Row],[ReorderLevel]]*3, "Overstock", "Okay")</f>
        <v>Okay</v>
      </c>
    </row>
    <row r="394" spans="1:17" x14ac:dyDescent="0.35">
      <c r="A394">
        <v>25417</v>
      </c>
      <c r="B394" t="s">
        <v>9</v>
      </c>
      <c r="C394" t="s">
        <v>26</v>
      </c>
      <c r="D394">
        <v>90</v>
      </c>
      <c r="E394">
        <v>30</v>
      </c>
      <c r="F394" s="2">
        <v>330.03</v>
      </c>
      <c r="G394" t="s">
        <v>32</v>
      </c>
      <c r="H394" s="1">
        <v>45405</v>
      </c>
      <c r="I394" s="1">
        <v>45410</v>
      </c>
      <c r="J394" t="s">
        <v>36</v>
      </c>
      <c r="K394" s="8">
        <f>Table2[[#This Row],[CurrentStock]]*Table2[[#This Row],[UnitPrice]]</f>
        <v>29702.699999999997</v>
      </c>
      <c r="L394" t="str">
        <f>IF(Table2[[#This Row],[CurrentStock]]&lt;=Table2[[#This Row],[ReorderLevel]], "Reorder Needed", "Okay")</f>
        <v>Okay</v>
      </c>
      <c r="M394" t="str">
        <f>IF(Table2[[#This Row],[CurrentStock]]-Table2[[#This Row],[ReorderLevel]]&lt;0,Table2[[#This Row],[CurrentStock]]-Table2[[#This Row],[ReorderLevel]],"")</f>
        <v/>
      </c>
      <c r="N394" t="str">
        <f>IF(Table2[[#This Row],[Stock Gap]]&lt;0, "Understock","Okay")</f>
        <v>Okay</v>
      </c>
      <c r="O394" s="13" t="str">
        <f>IF(Table2[[#This Row],[Stock Gap]]&lt;0, "Yes", "No")</f>
        <v>No</v>
      </c>
      <c r="P394" s="13" t="str">
        <f>IF(Table2[[#This Row],[CurrentStock]]&lt;Table2[[#This Row],[ReorderLevel]],"Reorder", "Okay")</f>
        <v>Okay</v>
      </c>
      <c r="Q394" s="13" t="str">
        <f>IF(Table2[[#This Row],[CurrentStock]]&gt;Table2[[#This Row],[ReorderLevel]]*3, "Overstock", "Okay")</f>
        <v>Okay</v>
      </c>
    </row>
    <row r="395" spans="1:17" x14ac:dyDescent="0.35">
      <c r="A395">
        <v>44681</v>
      </c>
      <c r="B395" t="s">
        <v>10</v>
      </c>
      <c r="C395" t="s">
        <v>26</v>
      </c>
      <c r="D395">
        <v>342</v>
      </c>
      <c r="E395">
        <v>30</v>
      </c>
      <c r="F395" s="2">
        <v>420.71</v>
      </c>
      <c r="G395" t="s">
        <v>34</v>
      </c>
      <c r="H395" s="1">
        <v>45332</v>
      </c>
      <c r="I395" s="1">
        <v>45341</v>
      </c>
      <c r="J395" t="s">
        <v>36</v>
      </c>
      <c r="K395" s="8">
        <f>Table2[[#This Row],[CurrentStock]]*Table2[[#This Row],[UnitPrice]]</f>
        <v>143882.82</v>
      </c>
      <c r="L395" t="str">
        <f>IF(Table2[[#This Row],[CurrentStock]]&lt;=Table2[[#This Row],[ReorderLevel]], "Reorder Needed", "Okay")</f>
        <v>Okay</v>
      </c>
      <c r="M395" t="str">
        <f>IF(Table2[[#This Row],[CurrentStock]]-Table2[[#This Row],[ReorderLevel]]&lt;0,Table2[[#This Row],[CurrentStock]]-Table2[[#This Row],[ReorderLevel]],"")</f>
        <v/>
      </c>
      <c r="N395" t="str">
        <f>IF(Table2[[#This Row],[Stock Gap]]&lt;0, "Understock","Okay")</f>
        <v>Okay</v>
      </c>
      <c r="O395" s="13" t="str">
        <f>IF(Table2[[#This Row],[Stock Gap]]&lt;0, "Yes", "No")</f>
        <v>No</v>
      </c>
      <c r="P395" s="13" t="str">
        <f>IF(Table2[[#This Row],[CurrentStock]]&lt;Table2[[#This Row],[ReorderLevel]],"Reorder", "Okay")</f>
        <v>Okay</v>
      </c>
      <c r="Q395" s="13" t="str">
        <f>IF(Table2[[#This Row],[CurrentStock]]&gt;Table2[[#This Row],[ReorderLevel]]*3, "Overstock", "Okay")</f>
        <v>Overstock</v>
      </c>
    </row>
    <row r="396" spans="1:17" x14ac:dyDescent="0.35">
      <c r="A396">
        <v>12871</v>
      </c>
      <c r="B396" t="s">
        <v>23</v>
      </c>
      <c r="C396" t="s">
        <v>30</v>
      </c>
      <c r="D396">
        <v>424</v>
      </c>
      <c r="E396">
        <v>80</v>
      </c>
      <c r="F396" s="2">
        <v>218.53</v>
      </c>
      <c r="G396" t="s">
        <v>31</v>
      </c>
      <c r="H396" s="1">
        <v>45547</v>
      </c>
      <c r="I396" s="1">
        <v>45562</v>
      </c>
      <c r="J396" t="s">
        <v>36</v>
      </c>
      <c r="K396" s="8">
        <f>Table2[[#This Row],[CurrentStock]]*Table2[[#This Row],[UnitPrice]]</f>
        <v>92656.72</v>
      </c>
      <c r="L396" t="str">
        <f>IF(Table2[[#This Row],[CurrentStock]]&lt;=Table2[[#This Row],[ReorderLevel]], "Reorder Needed", "Okay")</f>
        <v>Okay</v>
      </c>
      <c r="M396" t="str">
        <f>IF(Table2[[#This Row],[CurrentStock]]-Table2[[#This Row],[ReorderLevel]]&lt;0,Table2[[#This Row],[CurrentStock]]-Table2[[#This Row],[ReorderLevel]],"")</f>
        <v/>
      </c>
      <c r="N396" t="str">
        <f>IF(Table2[[#This Row],[Stock Gap]]&lt;0, "Understock","Okay")</f>
        <v>Okay</v>
      </c>
      <c r="O396" s="13" t="str">
        <f>IF(Table2[[#This Row],[Stock Gap]]&lt;0, "Yes", "No")</f>
        <v>No</v>
      </c>
      <c r="P396" s="13" t="str">
        <f>IF(Table2[[#This Row],[CurrentStock]]&lt;Table2[[#This Row],[ReorderLevel]],"Reorder", "Okay")</f>
        <v>Okay</v>
      </c>
      <c r="Q396" s="13" t="str">
        <f>IF(Table2[[#This Row],[CurrentStock]]&gt;Table2[[#This Row],[ReorderLevel]]*3, "Overstock", "Okay")</f>
        <v>Overstock</v>
      </c>
    </row>
    <row r="397" spans="1:17" x14ac:dyDescent="0.35">
      <c r="A397">
        <v>55607</v>
      </c>
      <c r="B397" t="s">
        <v>14</v>
      </c>
      <c r="C397" t="s">
        <v>28</v>
      </c>
      <c r="D397">
        <v>370</v>
      </c>
      <c r="E397">
        <v>40</v>
      </c>
      <c r="F397" s="2">
        <v>76.19</v>
      </c>
      <c r="G397" t="s">
        <v>35</v>
      </c>
      <c r="H397" s="1">
        <v>45490</v>
      </c>
      <c r="I397" s="1">
        <v>45501</v>
      </c>
      <c r="J397" t="s">
        <v>36</v>
      </c>
      <c r="K397" s="8">
        <f>Table2[[#This Row],[CurrentStock]]*Table2[[#This Row],[UnitPrice]]</f>
        <v>28190.3</v>
      </c>
      <c r="L397" t="str">
        <f>IF(Table2[[#This Row],[CurrentStock]]&lt;=Table2[[#This Row],[ReorderLevel]], "Reorder Needed", "Okay")</f>
        <v>Okay</v>
      </c>
      <c r="M397" t="str">
        <f>IF(Table2[[#This Row],[CurrentStock]]-Table2[[#This Row],[ReorderLevel]]&lt;0,Table2[[#This Row],[CurrentStock]]-Table2[[#This Row],[ReorderLevel]],"")</f>
        <v/>
      </c>
      <c r="N397" t="str">
        <f>IF(Table2[[#This Row],[Stock Gap]]&lt;0, "Understock","Okay")</f>
        <v>Okay</v>
      </c>
      <c r="O397" s="13" t="str">
        <f>IF(Table2[[#This Row],[Stock Gap]]&lt;0, "Yes", "No")</f>
        <v>No</v>
      </c>
      <c r="P397" s="13" t="str">
        <f>IF(Table2[[#This Row],[CurrentStock]]&lt;Table2[[#This Row],[ReorderLevel]],"Reorder", "Okay")</f>
        <v>Okay</v>
      </c>
      <c r="Q397" s="13" t="str">
        <f>IF(Table2[[#This Row],[CurrentStock]]&gt;Table2[[#This Row],[ReorderLevel]]*3, "Overstock", "Okay")</f>
        <v>Overstock</v>
      </c>
    </row>
    <row r="398" spans="1:17" x14ac:dyDescent="0.35">
      <c r="A398">
        <v>49464</v>
      </c>
      <c r="B398" t="s">
        <v>21</v>
      </c>
      <c r="C398" t="s">
        <v>26</v>
      </c>
      <c r="D398">
        <v>361</v>
      </c>
      <c r="E398">
        <v>50</v>
      </c>
      <c r="F398" s="2">
        <v>251.28</v>
      </c>
      <c r="G398" t="s">
        <v>31</v>
      </c>
      <c r="H398" s="1">
        <v>45407</v>
      </c>
      <c r="I398" s="1">
        <v>45440</v>
      </c>
      <c r="J398" t="s">
        <v>37</v>
      </c>
      <c r="K398" s="8">
        <f>Table2[[#This Row],[CurrentStock]]*Table2[[#This Row],[UnitPrice]]</f>
        <v>90712.08</v>
      </c>
      <c r="L398" t="str">
        <f>IF(Table2[[#This Row],[CurrentStock]]&lt;=Table2[[#This Row],[ReorderLevel]], "Reorder Needed", "Okay")</f>
        <v>Okay</v>
      </c>
      <c r="M398" t="str">
        <f>IF(Table2[[#This Row],[CurrentStock]]-Table2[[#This Row],[ReorderLevel]]&lt;0,Table2[[#This Row],[CurrentStock]]-Table2[[#This Row],[ReorderLevel]],"")</f>
        <v/>
      </c>
      <c r="N398" t="str">
        <f>IF(Table2[[#This Row],[Stock Gap]]&lt;0, "Understock","Okay")</f>
        <v>Okay</v>
      </c>
      <c r="O398" s="13" t="str">
        <f>IF(Table2[[#This Row],[Stock Gap]]&lt;0, "Yes", "No")</f>
        <v>No</v>
      </c>
      <c r="P398" s="13" t="str">
        <f>IF(Table2[[#This Row],[CurrentStock]]&lt;Table2[[#This Row],[ReorderLevel]],"Reorder", "Okay")</f>
        <v>Okay</v>
      </c>
      <c r="Q398" s="13" t="str">
        <f>IF(Table2[[#This Row],[CurrentStock]]&gt;Table2[[#This Row],[ReorderLevel]]*3, "Overstock", "Okay")</f>
        <v>Overstock</v>
      </c>
    </row>
    <row r="399" spans="1:17" x14ac:dyDescent="0.35">
      <c r="A399">
        <v>55095</v>
      </c>
      <c r="B399" t="s">
        <v>13</v>
      </c>
      <c r="C399" t="s">
        <v>26</v>
      </c>
      <c r="D399">
        <v>474</v>
      </c>
      <c r="E399">
        <v>50</v>
      </c>
      <c r="F399" s="2">
        <v>151.13999999999999</v>
      </c>
      <c r="G399" t="s">
        <v>35</v>
      </c>
      <c r="H399" s="1">
        <v>45486</v>
      </c>
      <c r="I399" s="1">
        <v>45514</v>
      </c>
      <c r="J399" t="s">
        <v>38</v>
      </c>
      <c r="K399" s="8">
        <f>Table2[[#This Row],[CurrentStock]]*Table2[[#This Row],[UnitPrice]]</f>
        <v>71640.36</v>
      </c>
      <c r="L399" t="str">
        <f>IF(Table2[[#This Row],[CurrentStock]]&lt;=Table2[[#This Row],[ReorderLevel]], "Reorder Needed", "Okay")</f>
        <v>Okay</v>
      </c>
      <c r="M399" t="str">
        <f>IF(Table2[[#This Row],[CurrentStock]]-Table2[[#This Row],[ReorderLevel]]&lt;0,Table2[[#This Row],[CurrentStock]]-Table2[[#This Row],[ReorderLevel]],"")</f>
        <v/>
      </c>
      <c r="N399" t="str">
        <f>IF(Table2[[#This Row],[Stock Gap]]&lt;0, "Understock","Okay")</f>
        <v>Okay</v>
      </c>
      <c r="O399" s="13" t="str">
        <f>IF(Table2[[#This Row],[Stock Gap]]&lt;0, "Yes", "No")</f>
        <v>No</v>
      </c>
      <c r="P399" s="13" t="str">
        <f>IF(Table2[[#This Row],[CurrentStock]]&lt;Table2[[#This Row],[ReorderLevel]],"Reorder", "Okay")</f>
        <v>Okay</v>
      </c>
      <c r="Q399" s="13" t="str">
        <f>IF(Table2[[#This Row],[CurrentStock]]&gt;Table2[[#This Row],[ReorderLevel]]*3, "Overstock", "Okay")</f>
        <v>Overstock</v>
      </c>
    </row>
    <row r="400" spans="1:17" x14ac:dyDescent="0.35">
      <c r="A400">
        <v>17415</v>
      </c>
      <c r="B400" t="s">
        <v>16</v>
      </c>
      <c r="C400" t="s">
        <v>29</v>
      </c>
      <c r="D400">
        <v>23</v>
      </c>
      <c r="E400">
        <v>30</v>
      </c>
      <c r="F400" s="2">
        <v>413.27</v>
      </c>
      <c r="G400" t="s">
        <v>33</v>
      </c>
      <c r="H400" s="1">
        <v>45581</v>
      </c>
      <c r="I400" s="1">
        <v>45608</v>
      </c>
      <c r="J400" t="s">
        <v>37</v>
      </c>
      <c r="K400" s="8">
        <f>Table2[[#This Row],[CurrentStock]]*Table2[[#This Row],[UnitPrice]]</f>
        <v>9505.2099999999991</v>
      </c>
      <c r="L400" t="str">
        <f>IF(Table2[[#This Row],[CurrentStock]]&lt;=Table2[[#This Row],[ReorderLevel]], "Reorder Needed", "Okay")</f>
        <v>Reorder Needed</v>
      </c>
      <c r="M400" s="7">
        <f>IF(Table2[[#This Row],[CurrentStock]]-Table2[[#This Row],[ReorderLevel]]&lt;0,Table2[[#This Row],[CurrentStock]]-Table2[[#This Row],[ReorderLevel]],"")</f>
        <v>-7</v>
      </c>
      <c r="N400" t="str">
        <f>IF(Table2[[#This Row],[Stock Gap]]&lt;0, "Understock","Okay")</f>
        <v>Understock</v>
      </c>
      <c r="O400" s="13" t="str">
        <f>IF(Table2[[#This Row],[Stock Gap]]&lt;0, "Yes", "No")</f>
        <v>Yes</v>
      </c>
      <c r="P400" s="13" t="str">
        <f>IF(Table2[[#This Row],[CurrentStock]]&lt;Table2[[#This Row],[ReorderLevel]],"Reorder", "Okay")</f>
        <v>Reorder</v>
      </c>
      <c r="Q400" s="13" t="str">
        <f>IF(Table2[[#This Row],[CurrentStock]]&gt;Table2[[#This Row],[ReorderLevel]]*3, "Overstock", "Okay")</f>
        <v>Okay</v>
      </c>
    </row>
    <row r="401" spans="1:17" x14ac:dyDescent="0.35">
      <c r="A401">
        <v>44148</v>
      </c>
      <c r="B401" t="s">
        <v>25</v>
      </c>
      <c r="C401" t="s">
        <v>29</v>
      </c>
      <c r="D401">
        <v>350</v>
      </c>
      <c r="E401">
        <v>100</v>
      </c>
      <c r="F401" s="2">
        <v>275.62</v>
      </c>
      <c r="G401" t="s">
        <v>34</v>
      </c>
      <c r="H401" s="1">
        <v>45460</v>
      </c>
      <c r="I401" s="1">
        <v>45470</v>
      </c>
      <c r="J401" t="s">
        <v>38</v>
      </c>
      <c r="K401" s="8">
        <f>Table2[[#This Row],[CurrentStock]]*Table2[[#This Row],[UnitPrice]]</f>
        <v>96467</v>
      </c>
      <c r="L401" t="str">
        <f>IF(Table2[[#This Row],[CurrentStock]]&lt;=Table2[[#This Row],[ReorderLevel]], "Reorder Needed", "Okay")</f>
        <v>Okay</v>
      </c>
      <c r="M401" t="str">
        <f>IF(Table2[[#This Row],[CurrentStock]]-Table2[[#This Row],[ReorderLevel]]&lt;0,Table2[[#This Row],[CurrentStock]]-Table2[[#This Row],[ReorderLevel]],"")</f>
        <v/>
      </c>
      <c r="N401" t="str">
        <f>IF(Table2[[#This Row],[Stock Gap]]&lt;0, "Understock","Okay")</f>
        <v>Okay</v>
      </c>
      <c r="O401" s="13" t="str">
        <f>IF(Table2[[#This Row],[Stock Gap]]&lt;0, "Yes", "No")</f>
        <v>No</v>
      </c>
      <c r="P401" s="13" t="str">
        <f>IF(Table2[[#This Row],[CurrentStock]]&lt;Table2[[#This Row],[ReorderLevel]],"Reorder", "Okay")</f>
        <v>Okay</v>
      </c>
      <c r="Q401" s="13" t="str">
        <f>IF(Table2[[#This Row],[CurrentStock]]&gt;Table2[[#This Row],[ReorderLevel]]*3, "Overstock", "Okay")</f>
        <v>Overstock</v>
      </c>
    </row>
    <row r="402" spans="1:17" x14ac:dyDescent="0.35">
      <c r="A402">
        <v>87787</v>
      </c>
      <c r="B402" t="s">
        <v>25</v>
      </c>
      <c r="C402" t="s">
        <v>29</v>
      </c>
      <c r="D402">
        <v>211</v>
      </c>
      <c r="E402">
        <v>40</v>
      </c>
      <c r="F402" s="2">
        <v>441.95</v>
      </c>
      <c r="G402" t="s">
        <v>33</v>
      </c>
      <c r="H402" s="1">
        <v>45633</v>
      </c>
      <c r="I402" s="1">
        <v>45641</v>
      </c>
      <c r="J402" t="s">
        <v>38</v>
      </c>
      <c r="K402" s="8">
        <f>Table2[[#This Row],[CurrentStock]]*Table2[[#This Row],[UnitPrice]]</f>
        <v>93251.45</v>
      </c>
      <c r="L402" t="str">
        <f>IF(Table2[[#This Row],[CurrentStock]]&lt;=Table2[[#This Row],[ReorderLevel]], "Reorder Needed", "Okay")</f>
        <v>Okay</v>
      </c>
      <c r="M402" t="str">
        <f>IF(Table2[[#This Row],[CurrentStock]]-Table2[[#This Row],[ReorderLevel]]&lt;0,Table2[[#This Row],[CurrentStock]]-Table2[[#This Row],[ReorderLevel]],"")</f>
        <v/>
      </c>
      <c r="N402" t="str">
        <f>IF(Table2[[#This Row],[Stock Gap]]&lt;0, "Understock","Okay")</f>
        <v>Okay</v>
      </c>
      <c r="O402" s="13" t="str">
        <f>IF(Table2[[#This Row],[Stock Gap]]&lt;0, "Yes", "No")</f>
        <v>No</v>
      </c>
      <c r="P402" s="13" t="str">
        <f>IF(Table2[[#This Row],[CurrentStock]]&lt;Table2[[#This Row],[ReorderLevel]],"Reorder", "Okay")</f>
        <v>Okay</v>
      </c>
      <c r="Q402" s="13" t="str">
        <f>IF(Table2[[#This Row],[CurrentStock]]&gt;Table2[[#This Row],[ReorderLevel]]*3, "Overstock", "Okay")</f>
        <v>Overstock</v>
      </c>
    </row>
    <row r="403" spans="1:17" x14ac:dyDescent="0.35">
      <c r="A403">
        <v>45517</v>
      </c>
      <c r="B403" t="s">
        <v>12</v>
      </c>
      <c r="C403" t="s">
        <v>28</v>
      </c>
      <c r="D403">
        <v>419</v>
      </c>
      <c r="E403">
        <v>150</v>
      </c>
      <c r="F403" s="2">
        <v>210.89</v>
      </c>
      <c r="G403" t="s">
        <v>35</v>
      </c>
      <c r="H403" s="1">
        <v>45634</v>
      </c>
      <c r="I403" s="1">
        <v>45668</v>
      </c>
      <c r="J403" t="s">
        <v>36</v>
      </c>
      <c r="K403" s="8">
        <f>Table2[[#This Row],[CurrentStock]]*Table2[[#This Row],[UnitPrice]]</f>
        <v>88362.909999999989</v>
      </c>
      <c r="L403" t="str">
        <f>IF(Table2[[#This Row],[CurrentStock]]&lt;=Table2[[#This Row],[ReorderLevel]], "Reorder Needed", "Okay")</f>
        <v>Okay</v>
      </c>
      <c r="M403" t="str">
        <f>IF(Table2[[#This Row],[CurrentStock]]-Table2[[#This Row],[ReorderLevel]]&lt;0,Table2[[#This Row],[CurrentStock]]-Table2[[#This Row],[ReorderLevel]],"")</f>
        <v/>
      </c>
      <c r="N403" t="str">
        <f>IF(Table2[[#This Row],[Stock Gap]]&lt;0, "Understock","Okay")</f>
        <v>Okay</v>
      </c>
      <c r="O403" s="13" t="str">
        <f>IF(Table2[[#This Row],[Stock Gap]]&lt;0, "Yes", "No")</f>
        <v>No</v>
      </c>
      <c r="P403" s="13" t="str">
        <f>IF(Table2[[#This Row],[CurrentStock]]&lt;Table2[[#This Row],[ReorderLevel]],"Reorder", "Okay")</f>
        <v>Okay</v>
      </c>
      <c r="Q403" s="13" t="str">
        <f>IF(Table2[[#This Row],[CurrentStock]]&gt;Table2[[#This Row],[ReorderLevel]]*3, "Overstock", "Okay")</f>
        <v>Okay</v>
      </c>
    </row>
    <row r="404" spans="1:17" x14ac:dyDescent="0.35">
      <c r="A404">
        <v>37127</v>
      </c>
      <c r="B404" t="s">
        <v>12</v>
      </c>
      <c r="C404" t="s">
        <v>28</v>
      </c>
      <c r="D404">
        <v>205</v>
      </c>
      <c r="E404">
        <v>20</v>
      </c>
      <c r="F404" s="2">
        <v>188.62</v>
      </c>
      <c r="G404" t="s">
        <v>35</v>
      </c>
      <c r="H404" s="1">
        <v>45338</v>
      </c>
      <c r="I404" s="1">
        <v>45358</v>
      </c>
      <c r="J404" t="s">
        <v>38</v>
      </c>
      <c r="K404" s="8">
        <f>Table2[[#This Row],[CurrentStock]]*Table2[[#This Row],[UnitPrice]]</f>
        <v>38667.1</v>
      </c>
      <c r="L404" t="str">
        <f>IF(Table2[[#This Row],[CurrentStock]]&lt;=Table2[[#This Row],[ReorderLevel]], "Reorder Needed", "Okay")</f>
        <v>Okay</v>
      </c>
      <c r="M404" t="str">
        <f>IF(Table2[[#This Row],[CurrentStock]]-Table2[[#This Row],[ReorderLevel]]&lt;0,Table2[[#This Row],[CurrentStock]]-Table2[[#This Row],[ReorderLevel]],"")</f>
        <v/>
      </c>
      <c r="N404" t="str">
        <f>IF(Table2[[#This Row],[Stock Gap]]&lt;0, "Understock","Okay")</f>
        <v>Okay</v>
      </c>
      <c r="O404" s="13" t="str">
        <f>IF(Table2[[#This Row],[Stock Gap]]&lt;0, "Yes", "No")</f>
        <v>No</v>
      </c>
      <c r="P404" s="13" t="str">
        <f>IF(Table2[[#This Row],[CurrentStock]]&lt;Table2[[#This Row],[ReorderLevel]],"Reorder", "Okay")</f>
        <v>Okay</v>
      </c>
      <c r="Q404" s="13" t="str">
        <f>IF(Table2[[#This Row],[CurrentStock]]&gt;Table2[[#This Row],[ReorderLevel]]*3, "Overstock", "Okay")</f>
        <v>Overstock</v>
      </c>
    </row>
    <row r="405" spans="1:17" x14ac:dyDescent="0.35">
      <c r="A405">
        <v>40881</v>
      </c>
      <c r="B405" t="s">
        <v>16</v>
      </c>
      <c r="C405" t="s">
        <v>29</v>
      </c>
      <c r="D405">
        <v>240</v>
      </c>
      <c r="E405">
        <v>40</v>
      </c>
      <c r="F405" s="2">
        <v>210.16</v>
      </c>
      <c r="G405" t="s">
        <v>34</v>
      </c>
      <c r="H405" s="1">
        <v>45493</v>
      </c>
      <c r="I405" s="1">
        <v>45529</v>
      </c>
      <c r="J405" t="s">
        <v>36</v>
      </c>
      <c r="K405" s="8">
        <f>Table2[[#This Row],[CurrentStock]]*Table2[[#This Row],[UnitPrice]]</f>
        <v>50438.400000000001</v>
      </c>
      <c r="L405" t="str">
        <f>IF(Table2[[#This Row],[CurrentStock]]&lt;=Table2[[#This Row],[ReorderLevel]], "Reorder Needed", "Okay")</f>
        <v>Okay</v>
      </c>
      <c r="M405" t="str">
        <f>IF(Table2[[#This Row],[CurrentStock]]-Table2[[#This Row],[ReorderLevel]]&lt;0,Table2[[#This Row],[CurrentStock]]-Table2[[#This Row],[ReorderLevel]],"")</f>
        <v/>
      </c>
      <c r="N405" t="str">
        <f>IF(Table2[[#This Row],[Stock Gap]]&lt;0, "Understock","Okay")</f>
        <v>Okay</v>
      </c>
      <c r="O405" s="13" t="str">
        <f>IF(Table2[[#This Row],[Stock Gap]]&lt;0, "Yes", "No")</f>
        <v>No</v>
      </c>
      <c r="P405" s="13" t="str">
        <f>IF(Table2[[#This Row],[CurrentStock]]&lt;Table2[[#This Row],[ReorderLevel]],"Reorder", "Okay")</f>
        <v>Okay</v>
      </c>
      <c r="Q405" s="13" t="str">
        <f>IF(Table2[[#This Row],[CurrentStock]]&gt;Table2[[#This Row],[ReorderLevel]]*3, "Overstock", "Okay")</f>
        <v>Overstock</v>
      </c>
    </row>
    <row r="406" spans="1:17" x14ac:dyDescent="0.35">
      <c r="A406">
        <v>21156</v>
      </c>
      <c r="B406" t="s">
        <v>14</v>
      </c>
      <c r="C406" t="s">
        <v>28</v>
      </c>
      <c r="D406">
        <v>213</v>
      </c>
      <c r="E406">
        <v>20</v>
      </c>
      <c r="F406" s="2">
        <v>184.05</v>
      </c>
      <c r="G406" t="s">
        <v>35</v>
      </c>
      <c r="H406" s="1">
        <v>45339</v>
      </c>
      <c r="I406" s="1">
        <v>45368</v>
      </c>
      <c r="J406" t="s">
        <v>38</v>
      </c>
      <c r="K406" s="8">
        <f>Table2[[#This Row],[CurrentStock]]*Table2[[#This Row],[UnitPrice]]</f>
        <v>39202.65</v>
      </c>
      <c r="L406" t="str">
        <f>IF(Table2[[#This Row],[CurrentStock]]&lt;=Table2[[#This Row],[ReorderLevel]], "Reorder Needed", "Okay")</f>
        <v>Okay</v>
      </c>
      <c r="M406" t="str">
        <f>IF(Table2[[#This Row],[CurrentStock]]-Table2[[#This Row],[ReorderLevel]]&lt;0,Table2[[#This Row],[CurrentStock]]-Table2[[#This Row],[ReorderLevel]],"")</f>
        <v/>
      </c>
      <c r="N406" t="str">
        <f>IF(Table2[[#This Row],[Stock Gap]]&lt;0, "Understock","Okay")</f>
        <v>Okay</v>
      </c>
      <c r="O406" s="13" t="str">
        <f>IF(Table2[[#This Row],[Stock Gap]]&lt;0, "Yes", "No")</f>
        <v>No</v>
      </c>
      <c r="P406" s="13" t="str">
        <f>IF(Table2[[#This Row],[CurrentStock]]&lt;Table2[[#This Row],[ReorderLevel]],"Reorder", "Okay")</f>
        <v>Okay</v>
      </c>
      <c r="Q406" s="13" t="str">
        <f>IF(Table2[[#This Row],[CurrentStock]]&gt;Table2[[#This Row],[ReorderLevel]]*3, "Overstock", "Okay")</f>
        <v>Overstock</v>
      </c>
    </row>
    <row r="407" spans="1:17" x14ac:dyDescent="0.35">
      <c r="A407">
        <v>30583</v>
      </c>
      <c r="B407" t="s">
        <v>17</v>
      </c>
      <c r="C407" t="s">
        <v>27</v>
      </c>
      <c r="D407">
        <v>190</v>
      </c>
      <c r="E407">
        <v>20</v>
      </c>
      <c r="F407" s="2">
        <v>90.18</v>
      </c>
      <c r="G407" t="s">
        <v>31</v>
      </c>
      <c r="H407" s="1">
        <v>45372</v>
      </c>
      <c r="I407" s="1">
        <v>45400</v>
      </c>
      <c r="J407" t="s">
        <v>38</v>
      </c>
      <c r="K407" s="8">
        <f>Table2[[#This Row],[CurrentStock]]*Table2[[#This Row],[UnitPrice]]</f>
        <v>17134.2</v>
      </c>
      <c r="L407" t="str">
        <f>IF(Table2[[#This Row],[CurrentStock]]&lt;=Table2[[#This Row],[ReorderLevel]], "Reorder Needed", "Okay")</f>
        <v>Okay</v>
      </c>
      <c r="M407" t="str">
        <f>IF(Table2[[#This Row],[CurrentStock]]-Table2[[#This Row],[ReorderLevel]]&lt;0,Table2[[#This Row],[CurrentStock]]-Table2[[#This Row],[ReorderLevel]],"")</f>
        <v/>
      </c>
      <c r="N407" t="str">
        <f>IF(Table2[[#This Row],[Stock Gap]]&lt;0, "Understock","Okay")</f>
        <v>Okay</v>
      </c>
      <c r="O407" s="13" t="str">
        <f>IF(Table2[[#This Row],[Stock Gap]]&lt;0, "Yes", "No")</f>
        <v>No</v>
      </c>
      <c r="P407" s="13" t="str">
        <f>IF(Table2[[#This Row],[CurrentStock]]&lt;Table2[[#This Row],[ReorderLevel]],"Reorder", "Okay")</f>
        <v>Okay</v>
      </c>
      <c r="Q407" s="13" t="str">
        <f>IF(Table2[[#This Row],[CurrentStock]]&gt;Table2[[#This Row],[ReorderLevel]]*3, "Overstock", "Okay")</f>
        <v>Overstock</v>
      </c>
    </row>
    <row r="408" spans="1:17" x14ac:dyDescent="0.35">
      <c r="A408">
        <v>29873</v>
      </c>
      <c r="B408" t="s">
        <v>18</v>
      </c>
      <c r="C408" t="s">
        <v>27</v>
      </c>
      <c r="D408">
        <v>406</v>
      </c>
      <c r="E408">
        <v>30</v>
      </c>
      <c r="F408" s="2">
        <v>365.85</v>
      </c>
      <c r="G408" t="s">
        <v>31</v>
      </c>
      <c r="H408" s="1">
        <v>45417</v>
      </c>
      <c r="I408" s="1">
        <v>45438</v>
      </c>
      <c r="J408" t="s">
        <v>36</v>
      </c>
      <c r="K408" s="8">
        <f>Table2[[#This Row],[CurrentStock]]*Table2[[#This Row],[UnitPrice]]</f>
        <v>148535.1</v>
      </c>
      <c r="L408" t="str">
        <f>IF(Table2[[#This Row],[CurrentStock]]&lt;=Table2[[#This Row],[ReorderLevel]], "Reorder Needed", "Okay")</f>
        <v>Okay</v>
      </c>
      <c r="M408" t="str">
        <f>IF(Table2[[#This Row],[CurrentStock]]-Table2[[#This Row],[ReorderLevel]]&lt;0,Table2[[#This Row],[CurrentStock]]-Table2[[#This Row],[ReorderLevel]],"")</f>
        <v/>
      </c>
      <c r="N408" t="str">
        <f>IF(Table2[[#This Row],[Stock Gap]]&lt;0, "Understock","Okay")</f>
        <v>Okay</v>
      </c>
      <c r="O408" s="13" t="str">
        <f>IF(Table2[[#This Row],[Stock Gap]]&lt;0, "Yes", "No")</f>
        <v>No</v>
      </c>
      <c r="P408" s="13" t="str">
        <f>IF(Table2[[#This Row],[CurrentStock]]&lt;Table2[[#This Row],[ReorderLevel]],"Reorder", "Okay")</f>
        <v>Okay</v>
      </c>
      <c r="Q408" s="13" t="str">
        <f>IF(Table2[[#This Row],[CurrentStock]]&gt;Table2[[#This Row],[ReorderLevel]]*3, "Overstock", "Okay")</f>
        <v>Overstock</v>
      </c>
    </row>
    <row r="409" spans="1:17" x14ac:dyDescent="0.35">
      <c r="A409">
        <v>46176</v>
      </c>
      <c r="B409" t="s">
        <v>25</v>
      </c>
      <c r="C409" t="s">
        <v>29</v>
      </c>
      <c r="D409">
        <v>140</v>
      </c>
      <c r="E409">
        <v>100</v>
      </c>
      <c r="F409" s="2">
        <v>171.13</v>
      </c>
      <c r="G409" t="s">
        <v>34</v>
      </c>
      <c r="H409" s="1">
        <v>45599</v>
      </c>
      <c r="I409" s="1">
        <v>45606</v>
      </c>
      <c r="J409" t="s">
        <v>37</v>
      </c>
      <c r="K409" s="8">
        <f>Table2[[#This Row],[CurrentStock]]*Table2[[#This Row],[UnitPrice]]</f>
        <v>23958.2</v>
      </c>
      <c r="L409" t="str">
        <f>IF(Table2[[#This Row],[CurrentStock]]&lt;=Table2[[#This Row],[ReorderLevel]], "Reorder Needed", "Okay")</f>
        <v>Okay</v>
      </c>
      <c r="M409" t="str">
        <f>IF(Table2[[#This Row],[CurrentStock]]-Table2[[#This Row],[ReorderLevel]]&lt;0,Table2[[#This Row],[CurrentStock]]-Table2[[#This Row],[ReorderLevel]],"")</f>
        <v/>
      </c>
      <c r="N409" t="str">
        <f>IF(Table2[[#This Row],[Stock Gap]]&lt;0, "Understock","Okay")</f>
        <v>Okay</v>
      </c>
      <c r="O409" s="13" t="str">
        <f>IF(Table2[[#This Row],[Stock Gap]]&lt;0, "Yes", "No")</f>
        <v>No</v>
      </c>
      <c r="P409" s="13" t="str">
        <f>IF(Table2[[#This Row],[CurrentStock]]&lt;Table2[[#This Row],[ReorderLevel]],"Reorder", "Okay")</f>
        <v>Okay</v>
      </c>
      <c r="Q409" s="13" t="str">
        <f>IF(Table2[[#This Row],[CurrentStock]]&gt;Table2[[#This Row],[ReorderLevel]]*3, "Overstock", "Okay")</f>
        <v>Okay</v>
      </c>
    </row>
    <row r="410" spans="1:17" x14ac:dyDescent="0.35">
      <c r="A410">
        <v>43919</v>
      </c>
      <c r="B410" t="s">
        <v>15</v>
      </c>
      <c r="C410" t="s">
        <v>29</v>
      </c>
      <c r="D410">
        <v>191</v>
      </c>
      <c r="E410">
        <v>20</v>
      </c>
      <c r="F410" s="2">
        <v>159.43</v>
      </c>
      <c r="G410" t="s">
        <v>33</v>
      </c>
      <c r="H410" s="1">
        <v>45562</v>
      </c>
      <c r="I410" s="1">
        <v>45598</v>
      </c>
      <c r="J410" t="s">
        <v>38</v>
      </c>
      <c r="K410" s="8">
        <f>Table2[[#This Row],[CurrentStock]]*Table2[[#This Row],[UnitPrice]]</f>
        <v>30451.13</v>
      </c>
      <c r="L410" t="str">
        <f>IF(Table2[[#This Row],[CurrentStock]]&lt;=Table2[[#This Row],[ReorderLevel]], "Reorder Needed", "Okay")</f>
        <v>Okay</v>
      </c>
      <c r="M410" t="str">
        <f>IF(Table2[[#This Row],[CurrentStock]]-Table2[[#This Row],[ReorderLevel]]&lt;0,Table2[[#This Row],[CurrentStock]]-Table2[[#This Row],[ReorderLevel]],"")</f>
        <v/>
      </c>
      <c r="N410" t="str">
        <f>IF(Table2[[#This Row],[Stock Gap]]&lt;0, "Understock","Okay")</f>
        <v>Okay</v>
      </c>
      <c r="O410" s="13" t="str">
        <f>IF(Table2[[#This Row],[Stock Gap]]&lt;0, "Yes", "No")</f>
        <v>No</v>
      </c>
      <c r="P410" s="13" t="str">
        <f>IF(Table2[[#This Row],[CurrentStock]]&lt;Table2[[#This Row],[ReorderLevel]],"Reorder", "Okay")</f>
        <v>Okay</v>
      </c>
      <c r="Q410" s="13" t="str">
        <f>IF(Table2[[#This Row],[CurrentStock]]&gt;Table2[[#This Row],[ReorderLevel]]*3, "Overstock", "Okay")</f>
        <v>Overstock</v>
      </c>
    </row>
    <row r="411" spans="1:17" x14ac:dyDescent="0.35">
      <c r="A411">
        <v>60445</v>
      </c>
      <c r="B411" t="s">
        <v>18</v>
      </c>
      <c r="C411" t="s">
        <v>27</v>
      </c>
      <c r="D411">
        <v>42</v>
      </c>
      <c r="E411">
        <v>50</v>
      </c>
      <c r="F411" s="2">
        <v>66.569999999999993</v>
      </c>
      <c r="G411" t="s">
        <v>32</v>
      </c>
      <c r="H411" s="1">
        <v>45369</v>
      </c>
      <c r="I411" s="1">
        <v>45406</v>
      </c>
      <c r="J411" t="s">
        <v>36</v>
      </c>
      <c r="K411" s="8">
        <f>Table2[[#This Row],[CurrentStock]]*Table2[[#This Row],[UnitPrice]]</f>
        <v>2795.9399999999996</v>
      </c>
      <c r="L411" t="str">
        <f>IF(Table2[[#This Row],[CurrentStock]]&lt;=Table2[[#This Row],[ReorderLevel]], "Reorder Needed", "Okay")</f>
        <v>Reorder Needed</v>
      </c>
      <c r="M411" s="7">
        <f>IF(Table2[[#This Row],[CurrentStock]]-Table2[[#This Row],[ReorderLevel]]&lt;0,Table2[[#This Row],[CurrentStock]]-Table2[[#This Row],[ReorderLevel]],"")</f>
        <v>-8</v>
      </c>
      <c r="N411" t="str">
        <f>IF(Table2[[#This Row],[Stock Gap]]&lt;0, "Understock","Okay")</f>
        <v>Understock</v>
      </c>
      <c r="O411" s="13" t="str">
        <f>IF(Table2[[#This Row],[Stock Gap]]&lt;0, "Yes", "No")</f>
        <v>Yes</v>
      </c>
      <c r="P411" s="13" t="str">
        <f>IF(Table2[[#This Row],[CurrentStock]]&lt;Table2[[#This Row],[ReorderLevel]],"Reorder", "Okay")</f>
        <v>Reorder</v>
      </c>
      <c r="Q411" s="13" t="str">
        <f>IF(Table2[[#This Row],[CurrentStock]]&gt;Table2[[#This Row],[ReorderLevel]]*3, "Overstock", "Okay")</f>
        <v>Okay</v>
      </c>
    </row>
    <row r="412" spans="1:17" x14ac:dyDescent="0.35">
      <c r="A412">
        <v>28624</v>
      </c>
      <c r="B412" t="s">
        <v>10</v>
      </c>
      <c r="C412" t="s">
        <v>26</v>
      </c>
      <c r="D412">
        <v>314</v>
      </c>
      <c r="E412">
        <v>80</v>
      </c>
      <c r="F412" s="2">
        <v>409.48</v>
      </c>
      <c r="G412" t="s">
        <v>35</v>
      </c>
      <c r="H412" s="1">
        <v>45459</v>
      </c>
      <c r="I412" s="1">
        <v>45482</v>
      </c>
      <c r="J412" t="s">
        <v>37</v>
      </c>
      <c r="K412" s="8">
        <f>Table2[[#This Row],[CurrentStock]]*Table2[[#This Row],[UnitPrice]]</f>
        <v>128576.72</v>
      </c>
      <c r="L412" t="str">
        <f>IF(Table2[[#This Row],[CurrentStock]]&lt;=Table2[[#This Row],[ReorderLevel]], "Reorder Needed", "Okay")</f>
        <v>Okay</v>
      </c>
      <c r="M412" t="str">
        <f>IF(Table2[[#This Row],[CurrentStock]]-Table2[[#This Row],[ReorderLevel]]&lt;0,Table2[[#This Row],[CurrentStock]]-Table2[[#This Row],[ReorderLevel]],"")</f>
        <v/>
      </c>
      <c r="N412" t="str">
        <f>IF(Table2[[#This Row],[Stock Gap]]&lt;0, "Understock","Okay")</f>
        <v>Okay</v>
      </c>
      <c r="O412" s="13" t="str">
        <f>IF(Table2[[#This Row],[Stock Gap]]&lt;0, "Yes", "No")</f>
        <v>No</v>
      </c>
      <c r="P412" s="13" t="str">
        <f>IF(Table2[[#This Row],[CurrentStock]]&lt;Table2[[#This Row],[ReorderLevel]],"Reorder", "Okay")</f>
        <v>Okay</v>
      </c>
      <c r="Q412" s="13" t="str">
        <f>IF(Table2[[#This Row],[CurrentStock]]&gt;Table2[[#This Row],[ReorderLevel]]*3, "Overstock", "Okay")</f>
        <v>Overstock</v>
      </c>
    </row>
    <row r="413" spans="1:17" x14ac:dyDescent="0.35">
      <c r="A413">
        <v>14986</v>
      </c>
      <c r="B413" t="s">
        <v>16</v>
      </c>
      <c r="C413" t="s">
        <v>29</v>
      </c>
      <c r="D413">
        <v>319</v>
      </c>
      <c r="E413">
        <v>100</v>
      </c>
      <c r="F413" s="2">
        <v>278.58999999999997</v>
      </c>
      <c r="G413" t="s">
        <v>31</v>
      </c>
      <c r="H413" s="1">
        <v>45495</v>
      </c>
      <c r="I413" s="1">
        <v>45515</v>
      </c>
      <c r="J413" t="s">
        <v>38</v>
      </c>
      <c r="K413" s="8">
        <f>Table2[[#This Row],[CurrentStock]]*Table2[[#This Row],[UnitPrice]]</f>
        <v>88870.209999999992</v>
      </c>
      <c r="L413" t="str">
        <f>IF(Table2[[#This Row],[CurrentStock]]&lt;=Table2[[#This Row],[ReorderLevel]], "Reorder Needed", "Okay")</f>
        <v>Okay</v>
      </c>
      <c r="M413" t="str">
        <f>IF(Table2[[#This Row],[CurrentStock]]-Table2[[#This Row],[ReorderLevel]]&lt;0,Table2[[#This Row],[CurrentStock]]-Table2[[#This Row],[ReorderLevel]],"")</f>
        <v/>
      </c>
      <c r="N413" t="str">
        <f>IF(Table2[[#This Row],[Stock Gap]]&lt;0, "Understock","Okay")</f>
        <v>Okay</v>
      </c>
      <c r="O413" s="13" t="str">
        <f>IF(Table2[[#This Row],[Stock Gap]]&lt;0, "Yes", "No")</f>
        <v>No</v>
      </c>
      <c r="P413" s="13" t="str">
        <f>IF(Table2[[#This Row],[CurrentStock]]&lt;Table2[[#This Row],[ReorderLevel]],"Reorder", "Okay")</f>
        <v>Okay</v>
      </c>
      <c r="Q413" s="13" t="str">
        <f>IF(Table2[[#This Row],[CurrentStock]]&gt;Table2[[#This Row],[ReorderLevel]]*3, "Overstock", "Okay")</f>
        <v>Overstock</v>
      </c>
    </row>
    <row r="414" spans="1:17" x14ac:dyDescent="0.35">
      <c r="A414">
        <v>53526</v>
      </c>
      <c r="B414" t="s">
        <v>18</v>
      </c>
      <c r="C414" t="s">
        <v>27</v>
      </c>
      <c r="D414">
        <v>451</v>
      </c>
      <c r="E414">
        <v>50</v>
      </c>
      <c r="F414" s="2">
        <v>148.57</v>
      </c>
      <c r="G414" t="s">
        <v>31</v>
      </c>
      <c r="H414" s="1">
        <v>45313</v>
      </c>
      <c r="I414" s="1">
        <v>45325</v>
      </c>
      <c r="J414" t="s">
        <v>38</v>
      </c>
      <c r="K414" s="8">
        <f>Table2[[#This Row],[CurrentStock]]*Table2[[#This Row],[UnitPrice]]</f>
        <v>67005.069999999992</v>
      </c>
      <c r="L414" t="str">
        <f>IF(Table2[[#This Row],[CurrentStock]]&lt;=Table2[[#This Row],[ReorderLevel]], "Reorder Needed", "Okay")</f>
        <v>Okay</v>
      </c>
      <c r="M414" t="str">
        <f>IF(Table2[[#This Row],[CurrentStock]]-Table2[[#This Row],[ReorderLevel]]&lt;0,Table2[[#This Row],[CurrentStock]]-Table2[[#This Row],[ReorderLevel]],"")</f>
        <v/>
      </c>
      <c r="N414" t="str">
        <f>IF(Table2[[#This Row],[Stock Gap]]&lt;0, "Understock","Okay")</f>
        <v>Okay</v>
      </c>
      <c r="O414" s="13" t="str">
        <f>IF(Table2[[#This Row],[Stock Gap]]&lt;0, "Yes", "No")</f>
        <v>No</v>
      </c>
      <c r="P414" s="13" t="str">
        <f>IF(Table2[[#This Row],[CurrentStock]]&lt;Table2[[#This Row],[ReorderLevel]],"Reorder", "Okay")</f>
        <v>Okay</v>
      </c>
      <c r="Q414" s="13" t="str">
        <f>IF(Table2[[#This Row],[CurrentStock]]&gt;Table2[[#This Row],[ReorderLevel]]*3, "Overstock", "Okay")</f>
        <v>Overstock</v>
      </c>
    </row>
    <row r="415" spans="1:17" x14ac:dyDescent="0.35">
      <c r="A415">
        <v>10112</v>
      </c>
      <c r="B415" t="s">
        <v>12</v>
      </c>
      <c r="C415" t="s">
        <v>28</v>
      </c>
      <c r="D415">
        <v>209</v>
      </c>
      <c r="E415">
        <v>50</v>
      </c>
      <c r="F415" s="2">
        <v>338.64</v>
      </c>
      <c r="G415" t="s">
        <v>33</v>
      </c>
      <c r="H415" s="1">
        <v>45415</v>
      </c>
      <c r="I415" s="1">
        <v>45452</v>
      </c>
      <c r="J415" t="s">
        <v>38</v>
      </c>
      <c r="K415" s="8">
        <f>Table2[[#This Row],[CurrentStock]]*Table2[[#This Row],[UnitPrice]]</f>
        <v>70775.759999999995</v>
      </c>
      <c r="L415" t="str">
        <f>IF(Table2[[#This Row],[CurrentStock]]&lt;=Table2[[#This Row],[ReorderLevel]], "Reorder Needed", "Okay")</f>
        <v>Okay</v>
      </c>
      <c r="M415" t="str">
        <f>IF(Table2[[#This Row],[CurrentStock]]-Table2[[#This Row],[ReorderLevel]]&lt;0,Table2[[#This Row],[CurrentStock]]-Table2[[#This Row],[ReorderLevel]],"")</f>
        <v/>
      </c>
      <c r="N415" t="str">
        <f>IF(Table2[[#This Row],[Stock Gap]]&lt;0, "Understock","Okay")</f>
        <v>Okay</v>
      </c>
      <c r="O415" s="13" t="str">
        <f>IF(Table2[[#This Row],[Stock Gap]]&lt;0, "Yes", "No")</f>
        <v>No</v>
      </c>
      <c r="P415" s="13" t="str">
        <f>IF(Table2[[#This Row],[CurrentStock]]&lt;Table2[[#This Row],[ReorderLevel]],"Reorder", "Okay")</f>
        <v>Okay</v>
      </c>
      <c r="Q415" s="13" t="str">
        <f>IF(Table2[[#This Row],[CurrentStock]]&gt;Table2[[#This Row],[ReorderLevel]]*3, "Overstock", "Okay")</f>
        <v>Overstock</v>
      </c>
    </row>
    <row r="416" spans="1:17" x14ac:dyDescent="0.35">
      <c r="A416">
        <v>20808</v>
      </c>
      <c r="B416" t="s">
        <v>15</v>
      </c>
      <c r="C416" t="s">
        <v>29</v>
      </c>
      <c r="D416">
        <v>388</v>
      </c>
      <c r="E416">
        <v>40</v>
      </c>
      <c r="F416" s="2">
        <v>208.77</v>
      </c>
      <c r="G416" t="s">
        <v>33</v>
      </c>
      <c r="H416" s="1">
        <v>45388</v>
      </c>
      <c r="I416" s="1">
        <v>45397</v>
      </c>
      <c r="J416" t="s">
        <v>38</v>
      </c>
      <c r="K416" s="8">
        <f>Table2[[#This Row],[CurrentStock]]*Table2[[#This Row],[UnitPrice]]</f>
        <v>81002.760000000009</v>
      </c>
      <c r="L416" t="str">
        <f>IF(Table2[[#This Row],[CurrentStock]]&lt;=Table2[[#This Row],[ReorderLevel]], "Reorder Needed", "Okay")</f>
        <v>Okay</v>
      </c>
      <c r="M416" t="str">
        <f>IF(Table2[[#This Row],[CurrentStock]]-Table2[[#This Row],[ReorderLevel]]&lt;0,Table2[[#This Row],[CurrentStock]]-Table2[[#This Row],[ReorderLevel]],"")</f>
        <v/>
      </c>
      <c r="N416" t="str">
        <f>IF(Table2[[#This Row],[Stock Gap]]&lt;0, "Understock","Okay")</f>
        <v>Okay</v>
      </c>
      <c r="O416" s="13" t="str">
        <f>IF(Table2[[#This Row],[Stock Gap]]&lt;0, "Yes", "No")</f>
        <v>No</v>
      </c>
      <c r="P416" s="13" t="str">
        <f>IF(Table2[[#This Row],[CurrentStock]]&lt;Table2[[#This Row],[ReorderLevel]],"Reorder", "Okay")</f>
        <v>Okay</v>
      </c>
      <c r="Q416" s="13" t="str">
        <f>IF(Table2[[#This Row],[CurrentStock]]&gt;Table2[[#This Row],[ReorderLevel]]*3, "Overstock", "Okay")</f>
        <v>Overstock</v>
      </c>
    </row>
    <row r="417" spans="1:17" x14ac:dyDescent="0.35">
      <c r="A417">
        <v>96741</v>
      </c>
      <c r="B417" t="s">
        <v>22</v>
      </c>
      <c r="C417" t="s">
        <v>29</v>
      </c>
      <c r="D417">
        <v>375</v>
      </c>
      <c r="E417">
        <v>40</v>
      </c>
      <c r="F417" s="2">
        <v>181.15</v>
      </c>
      <c r="G417" t="s">
        <v>35</v>
      </c>
      <c r="H417" s="1">
        <v>45341</v>
      </c>
      <c r="I417" s="1">
        <v>45364</v>
      </c>
      <c r="J417" t="s">
        <v>37</v>
      </c>
      <c r="K417" s="8">
        <f>Table2[[#This Row],[CurrentStock]]*Table2[[#This Row],[UnitPrice]]</f>
        <v>67931.25</v>
      </c>
      <c r="L417" t="str">
        <f>IF(Table2[[#This Row],[CurrentStock]]&lt;=Table2[[#This Row],[ReorderLevel]], "Reorder Needed", "Okay")</f>
        <v>Okay</v>
      </c>
      <c r="M417" t="str">
        <f>IF(Table2[[#This Row],[CurrentStock]]-Table2[[#This Row],[ReorderLevel]]&lt;0,Table2[[#This Row],[CurrentStock]]-Table2[[#This Row],[ReorderLevel]],"")</f>
        <v/>
      </c>
      <c r="N417" t="str">
        <f>IF(Table2[[#This Row],[Stock Gap]]&lt;0, "Understock","Okay")</f>
        <v>Okay</v>
      </c>
      <c r="O417" s="13" t="str">
        <f>IF(Table2[[#This Row],[Stock Gap]]&lt;0, "Yes", "No")</f>
        <v>No</v>
      </c>
      <c r="P417" s="13" t="str">
        <f>IF(Table2[[#This Row],[CurrentStock]]&lt;Table2[[#This Row],[ReorderLevel]],"Reorder", "Okay")</f>
        <v>Okay</v>
      </c>
      <c r="Q417" s="13" t="str">
        <f>IF(Table2[[#This Row],[CurrentStock]]&gt;Table2[[#This Row],[ReorderLevel]]*3, "Overstock", "Okay")</f>
        <v>Overstock</v>
      </c>
    </row>
    <row r="418" spans="1:17" x14ac:dyDescent="0.35">
      <c r="A418">
        <v>13765</v>
      </c>
      <c r="B418" t="s">
        <v>20</v>
      </c>
      <c r="C418" t="s">
        <v>30</v>
      </c>
      <c r="D418">
        <v>46</v>
      </c>
      <c r="E418">
        <v>150</v>
      </c>
      <c r="F418" s="2">
        <v>472.5</v>
      </c>
      <c r="G418" t="s">
        <v>31</v>
      </c>
      <c r="H418" s="1">
        <v>45432</v>
      </c>
      <c r="I418" s="1">
        <v>45456</v>
      </c>
      <c r="J418" t="s">
        <v>38</v>
      </c>
      <c r="K418" s="8">
        <f>Table2[[#This Row],[CurrentStock]]*Table2[[#This Row],[UnitPrice]]</f>
        <v>21735</v>
      </c>
      <c r="L418" t="str">
        <f>IF(Table2[[#This Row],[CurrentStock]]&lt;=Table2[[#This Row],[ReorderLevel]], "Reorder Needed", "Okay")</f>
        <v>Reorder Needed</v>
      </c>
      <c r="M418" s="7">
        <f>IF(Table2[[#This Row],[CurrentStock]]-Table2[[#This Row],[ReorderLevel]]&lt;0,Table2[[#This Row],[CurrentStock]]-Table2[[#This Row],[ReorderLevel]],"")</f>
        <v>-104</v>
      </c>
      <c r="N418" t="str">
        <f>IF(Table2[[#This Row],[Stock Gap]]&lt;0, "Understock","Okay")</f>
        <v>Understock</v>
      </c>
      <c r="O418" s="13" t="str">
        <f>IF(Table2[[#This Row],[Stock Gap]]&lt;0, "Yes", "No")</f>
        <v>Yes</v>
      </c>
      <c r="P418" s="13" t="str">
        <f>IF(Table2[[#This Row],[CurrentStock]]&lt;Table2[[#This Row],[ReorderLevel]],"Reorder", "Okay")</f>
        <v>Reorder</v>
      </c>
      <c r="Q418" s="13" t="str">
        <f>IF(Table2[[#This Row],[CurrentStock]]&gt;Table2[[#This Row],[ReorderLevel]]*3, "Overstock", "Okay")</f>
        <v>Okay</v>
      </c>
    </row>
    <row r="419" spans="1:17" x14ac:dyDescent="0.35">
      <c r="A419">
        <v>35991</v>
      </c>
      <c r="B419" t="s">
        <v>16</v>
      </c>
      <c r="C419" t="s">
        <v>29</v>
      </c>
      <c r="D419">
        <v>403</v>
      </c>
      <c r="E419">
        <v>80</v>
      </c>
      <c r="F419" s="2">
        <v>166</v>
      </c>
      <c r="G419" t="s">
        <v>32</v>
      </c>
      <c r="H419" s="1">
        <v>45610</v>
      </c>
      <c r="I419" s="1">
        <v>45624</v>
      </c>
      <c r="J419" t="s">
        <v>38</v>
      </c>
      <c r="K419" s="8">
        <f>Table2[[#This Row],[CurrentStock]]*Table2[[#This Row],[UnitPrice]]</f>
        <v>66898</v>
      </c>
      <c r="L419" t="str">
        <f>IF(Table2[[#This Row],[CurrentStock]]&lt;=Table2[[#This Row],[ReorderLevel]], "Reorder Needed", "Okay")</f>
        <v>Okay</v>
      </c>
      <c r="M419" t="str">
        <f>IF(Table2[[#This Row],[CurrentStock]]-Table2[[#This Row],[ReorderLevel]]&lt;0,Table2[[#This Row],[CurrentStock]]-Table2[[#This Row],[ReorderLevel]],"")</f>
        <v/>
      </c>
      <c r="N419" t="str">
        <f>IF(Table2[[#This Row],[Stock Gap]]&lt;0, "Understock","Okay")</f>
        <v>Okay</v>
      </c>
      <c r="O419" s="13" t="str">
        <f>IF(Table2[[#This Row],[Stock Gap]]&lt;0, "Yes", "No")</f>
        <v>No</v>
      </c>
      <c r="P419" s="13" t="str">
        <f>IF(Table2[[#This Row],[CurrentStock]]&lt;Table2[[#This Row],[ReorderLevel]],"Reorder", "Okay")</f>
        <v>Okay</v>
      </c>
      <c r="Q419" s="13" t="str">
        <f>IF(Table2[[#This Row],[CurrentStock]]&gt;Table2[[#This Row],[ReorderLevel]]*3, "Overstock", "Okay")</f>
        <v>Overstock</v>
      </c>
    </row>
    <row r="420" spans="1:17" x14ac:dyDescent="0.35">
      <c r="A420">
        <v>35917</v>
      </c>
      <c r="B420" t="s">
        <v>22</v>
      </c>
      <c r="C420" t="s">
        <v>29</v>
      </c>
      <c r="D420">
        <v>16</v>
      </c>
      <c r="E420">
        <v>30</v>
      </c>
      <c r="F420" s="2">
        <v>485.48</v>
      </c>
      <c r="G420" t="s">
        <v>34</v>
      </c>
      <c r="H420" s="1">
        <v>45616</v>
      </c>
      <c r="I420" s="1">
        <v>45648</v>
      </c>
      <c r="J420" t="s">
        <v>36</v>
      </c>
      <c r="K420" s="8">
        <f>Table2[[#This Row],[CurrentStock]]*Table2[[#This Row],[UnitPrice]]</f>
        <v>7767.68</v>
      </c>
      <c r="L420" t="str">
        <f>IF(Table2[[#This Row],[CurrentStock]]&lt;=Table2[[#This Row],[ReorderLevel]], "Reorder Needed", "Okay")</f>
        <v>Reorder Needed</v>
      </c>
      <c r="M420" s="7">
        <f>IF(Table2[[#This Row],[CurrentStock]]-Table2[[#This Row],[ReorderLevel]]&lt;0,Table2[[#This Row],[CurrentStock]]-Table2[[#This Row],[ReorderLevel]],"")</f>
        <v>-14</v>
      </c>
      <c r="N420" t="str">
        <f>IF(Table2[[#This Row],[Stock Gap]]&lt;0, "Understock","Okay")</f>
        <v>Understock</v>
      </c>
      <c r="O420" s="13" t="str">
        <f>IF(Table2[[#This Row],[Stock Gap]]&lt;0, "Yes", "No")</f>
        <v>Yes</v>
      </c>
      <c r="P420" s="13" t="str">
        <f>IF(Table2[[#This Row],[CurrentStock]]&lt;Table2[[#This Row],[ReorderLevel]],"Reorder", "Okay")</f>
        <v>Reorder</v>
      </c>
      <c r="Q420" s="13" t="str">
        <f>IF(Table2[[#This Row],[CurrentStock]]&gt;Table2[[#This Row],[ReorderLevel]]*3, "Overstock", "Okay")</f>
        <v>Okay</v>
      </c>
    </row>
    <row r="421" spans="1:17" x14ac:dyDescent="0.35">
      <c r="A421">
        <v>38230</v>
      </c>
      <c r="B421" t="s">
        <v>20</v>
      </c>
      <c r="C421" t="s">
        <v>30</v>
      </c>
      <c r="D421">
        <v>467</v>
      </c>
      <c r="E421">
        <v>20</v>
      </c>
      <c r="F421" s="2">
        <v>106.2</v>
      </c>
      <c r="G421" t="s">
        <v>31</v>
      </c>
      <c r="H421" s="1">
        <v>45468</v>
      </c>
      <c r="I421" s="1">
        <v>45484</v>
      </c>
      <c r="J421" t="s">
        <v>37</v>
      </c>
      <c r="K421" s="8">
        <f>Table2[[#This Row],[CurrentStock]]*Table2[[#This Row],[UnitPrice]]</f>
        <v>49595.4</v>
      </c>
      <c r="L421" t="str">
        <f>IF(Table2[[#This Row],[CurrentStock]]&lt;=Table2[[#This Row],[ReorderLevel]], "Reorder Needed", "Okay")</f>
        <v>Okay</v>
      </c>
      <c r="M421" t="str">
        <f>IF(Table2[[#This Row],[CurrentStock]]-Table2[[#This Row],[ReorderLevel]]&lt;0,Table2[[#This Row],[CurrentStock]]-Table2[[#This Row],[ReorderLevel]],"")</f>
        <v/>
      </c>
      <c r="N421" t="str">
        <f>IF(Table2[[#This Row],[Stock Gap]]&lt;0, "Understock","Okay")</f>
        <v>Okay</v>
      </c>
      <c r="O421" s="13" t="str">
        <f>IF(Table2[[#This Row],[Stock Gap]]&lt;0, "Yes", "No")</f>
        <v>No</v>
      </c>
      <c r="P421" s="13" t="str">
        <f>IF(Table2[[#This Row],[CurrentStock]]&lt;Table2[[#This Row],[ReorderLevel]],"Reorder", "Okay")</f>
        <v>Okay</v>
      </c>
      <c r="Q421" s="13" t="str">
        <f>IF(Table2[[#This Row],[CurrentStock]]&gt;Table2[[#This Row],[ReorderLevel]]*3, "Overstock", "Okay")</f>
        <v>Overstock</v>
      </c>
    </row>
    <row r="422" spans="1:17" x14ac:dyDescent="0.35">
      <c r="A422">
        <v>86361</v>
      </c>
      <c r="B422" t="s">
        <v>20</v>
      </c>
      <c r="C422" t="s">
        <v>30</v>
      </c>
      <c r="D422">
        <v>344</v>
      </c>
      <c r="E422">
        <v>40</v>
      </c>
      <c r="F422" s="2">
        <v>137.91999999999999</v>
      </c>
      <c r="G422" t="s">
        <v>32</v>
      </c>
      <c r="H422" s="1">
        <v>45415</v>
      </c>
      <c r="I422" s="1">
        <v>45443</v>
      </c>
      <c r="J422" t="s">
        <v>37</v>
      </c>
      <c r="K422" s="8">
        <f>Table2[[#This Row],[CurrentStock]]*Table2[[#This Row],[UnitPrice]]</f>
        <v>47444.479999999996</v>
      </c>
      <c r="L422" t="str">
        <f>IF(Table2[[#This Row],[CurrentStock]]&lt;=Table2[[#This Row],[ReorderLevel]], "Reorder Needed", "Okay")</f>
        <v>Okay</v>
      </c>
      <c r="M422" t="str">
        <f>IF(Table2[[#This Row],[CurrentStock]]-Table2[[#This Row],[ReorderLevel]]&lt;0,Table2[[#This Row],[CurrentStock]]-Table2[[#This Row],[ReorderLevel]],"")</f>
        <v/>
      </c>
      <c r="N422" t="str">
        <f>IF(Table2[[#This Row],[Stock Gap]]&lt;0, "Understock","Okay")</f>
        <v>Okay</v>
      </c>
      <c r="O422" s="13" t="str">
        <f>IF(Table2[[#This Row],[Stock Gap]]&lt;0, "Yes", "No")</f>
        <v>No</v>
      </c>
      <c r="P422" s="13" t="str">
        <f>IF(Table2[[#This Row],[CurrentStock]]&lt;Table2[[#This Row],[ReorderLevel]],"Reorder", "Okay")</f>
        <v>Okay</v>
      </c>
      <c r="Q422" s="13" t="str">
        <f>IF(Table2[[#This Row],[CurrentStock]]&gt;Table2[[#This Row],[ReorderLevel]]*3, "Overstock", "Okay")</f>
        <v>Overstock</v>
      </c>
    </row>
    <row r="423" spans="1:17" x14ac:dyDescent="0.35">
      <c r="A423">
        <v>74619</v>
      </c>
      <c r="B423" t="s">
        <v>19</v>
      </c>
      <c r="C423" t="s">
        <v>28</v>
      </c>
      <c r="D423">
        <v>494</v>
      </c>
      <c r="E423">
        <v>100</v>
      </c>
      <c r="F423" s="2">
        <v>38.83</v>
      </c>
      <c r="G423" t="s">
        <v>31</v>
      </c>
      <c r="H423" s="1">
        <v>45332</v>
      </c>
      <c r="I423" s="1">
        <v>45356</v>
      </c>
      <c r="J423" t="s">
        <v>37</v>
      </c>
      <c r="K423" s="8">
        <f>Table2[[#This Row],[CurrentStock]]*Table2[[#This Row],[UnitPrice]]</f>
        <v>19182.02</v>
      </c>
      <c r="L423" t="str">
        <f>IF(Table2[[#This Row],[CurrentStock]]&lt;=Table2[[#This Row],[ReorderLevel]], "Reorder Needed", "Okay")</f>
        <v>Okay</v>
      </c>
      <c r="M423" t="str">
        <f>IF(Table2[[#This Row],[CurrentStock]]-Table2[[#This Row],[ReorderLevel]]&lt;0,Table2[[#This Row],[CurrentStock]]-Table2[[#This Row],[ReorderLevel]],"")</f>
        <v/>
      </c>
      <c r="N423" t="str">
        <f>IF(Table2[[#This Row],[Stock Gap]]&lt;0, "Understock","Okay")</f>
        <v>Okay</v>
      </c>
      <c r="O423" s="13" t="str">
        <f>IF(Table2[[#This Row],[Stock Gap]]&lt;0, "Yes", "No")</f>
        <v>No</v>
      </c>
      <c r="P423" s="13" t="str">
        <f>IF(Table2[[#This Row],[CurrentStock]]&lt;Table2[[#This Row],[ReorderLevel]],"Reorder", "Okay")</f>
        <v>Okay</v>
      </c>
      <c r="Q423" s="13" t="str">
        <f>IF(Table2[[#This Row],[CurrentStock]]&gt;Table2[[#This Row],[ReorderLevel]]*3, "Overstock", "Okay")</f>
        <v>Overstock</v>
      </c>
    </row>
    <row r="424" spans="1:17" x14ac:dyDescent="0.35">
      <c r="A424">
        <v>11306</v>
      </c>
      <c r="B424" t="s">
        <v>20</v>
      </c>
      <c r="C424" t="s">
        <v>30</v>
      </c>
      <c r="D424">
        <v>308</v>
      </c>
      <c r="E424">
        <v>30</v>
      </c>
      <c r="F424" s="2">
        <v>353.38</v>
      </c>
      <c r="G424" t="s">
        <v>32</v>
      </c>
      <c r="H424" s="1">
        <v>45425</v>
      </c>
      <c r="I424" s="1">
        <v>45444</v>
      </c>
      <c r="J424" t="s">
        <v>36</v>
      </c>
      <c r="K424" s="8">
        <f>Table2[[#This Row],[CurrentStock]]*Table2[[#This Row],[UnitPrice]]</f>
        <v>108841.04</v>
      </c>
      <c r="L424" t="str">
        <f>IF(Table2[[#This Row],[CurrentStock]]&lt;=Table2[[#This Row],[ReorderLevel]], "Reorder Needed", "Okay")</f>
        <v>Okay</v>
      </c>
      <c r="M424" t="str">
        <f>IF(Table2[[#This Row],[CurrentStock]]-Table2[[#This Row],[ReorderLevel]]&lt;0,Table2[[#This Row],[CurrentStock]]-Table2[[#This Row],[ReorderLevel]],"")</f>
        <v/>
      </c>
      <c r="N424" t="str">
        <f>IF(Table2[[#This Row],[Stock Gap]]&lt;0, "Understock","Okay")</f>
        <v>Okay</v>
      </c>
      <c r="O424" s="13" t="str">
        <f>IF(Table2[[#This Row],[Stock Gap]]&lt;0, "Yes", "No")</f>
        <v>No</v>
      </c>
      <c r="P424" s="13" t="str">
        <f>IF(Table2[[#This Row],[CurrentStock]]&lt;Table2[[#This Row],[ReorderLevel]],"Reorder", "Okay")</f>
        <v>Okay</v>
      </c>
      <c r="Q424" s="13" t="str">
        <f>IF(Table2[[#This Row],[CurrentStock]]&gt;Table2[[#This Row],[ReorderLevel]]*3, "Overstock", "Okay")</f>
        <v>Overstock</v>
      </c>
    </row>
    <row r="425" spans="1:17" x14ac:dyDescent="0.35">
      <c r="A425">
        <v>50387</v>
      </c>
      <c r="B425" t="s">
        <v>11</v>
      </c>
      <c r="C425" t="s">
        <v>27</v>
      </c>
      <c r="D425">
        <v>232</v>
      </c>
      <c r="E425">
        <v>40</v>
      </c>
      <c r="F425" s="2">
        <v>139.19</v>
      </c>
      <c r="G425" t="s">
        <v>34</v>
      </c>
      <c r="H425" s="1">
        <v>45549</v>
      </c>
      <c r="I425" s="1">
        <v>45582</v>
      </c>
      <c r="J425" t="s">
        <v>37</v>
      </c>
      <c r="K425" s="8">
        <f>Table2[[#This Row],[CurrentStock]]*Table2[[#This Row],[UnitPrice]]</f>
        <v>32292.079999999998</v>
      </c>
      <c r="L425" t="str">
        <f>IF(Table2[[#This Row],[CurrentStock]]&lt;=Table2[[#This Row],[ReorderLevel]], "Reorder Needed", "Okay")</f>
        <v>Okay</v>
      </c>
      <c r="M425" t="str">
        <f>IF(Table2[[#This Row],[CurrentStock]]-Table2[[#This Row],[ReorderLevel]]&lt;0,Table2[[#This Row],[CurrentStock]]-Table2[[#This Row],[ReorderLevel]],"")</f>
        <v/>
      </c>
      <c r="N425" t="str">
        <f>IF(Table2[[#This Row],[Stock Gap]]&lt;0, "Understock","Okay")</f>
        <v>Okay</v>
      </c>
      <c r="O425" s="13" t="str">
        <f>IF(Table2[[#This Row],[Stock Gap]]&lt;0, "Yes", "No")</f>
        <v>No</v>
      </c>
      <c r="P425" s="13" t="str">
        <f>IF(Table2[[#This Row],[CurrentStock]]&lt;Table2[[#This Row],[ReorderLevel]],"Reorder", "Okay")</f>
        <v>Okay</v>
      </c>
      <c r="Q425" s="13" t="str">
        <f>IF(Table2[[#This Row],[CurrentStock]]&gt;Table2[[#This Row],[ReorderLevel]]*3, "Overstock", "Okay")</f>
        <v>Overstock</v>
      </c>
    </row>
    <row r="426" spans="1:17" x14ac:dyDescent="0.35">
      <c r="A426">
        <v>11813</v>
      </c>
      <c r="B426" t="s">
        <v>23</v>
      </c>
      <c r="C426" t="s">
        <v>30</v>
      </c>
      <c r="D426">
        <v>265</v>
      </c>
      <c r="E426">
        <v>80</v>
      </c>
      <c r="F426" s="2">
        <v>472.64</v>
      </c>
      <c r="G426" t="s">
        <v>33</v>
      </c>
      <c r="H426" s="1">
        <v>45441</v>
      </c>
      <c r="I426" s="1">
        <v>45466</v>
      </c>
      <c r="J426" t="s">
        <v>38</v>
      </c>
      <c r="K426" s="8">
        <f>Table2[[#This Row],[CurrentStock]]*Table2[[#This Row],[UnitPrice]]</f>
        <v>125249.59999999999</v>
      </c>
      <c r="L426" t="str">
        <f>IF(Table2[[#This Row],[CurrentStock]]&lt;=Table2[[#This Row],[ReorderLevel]], "Reorder Needed", "Okay")</f>
        <v>Okay</v>
      </c>
      <c r="M426" t="str">
        <f>IF(Table2[[#This Row],[CurrentStock]]-Table2[[#This Row],[ReorderLevel]]&lt;0,Table2[[#This Row],[CurrentStock]]-Table2[[#This Row],[ReorderLevel]],"")</f>
        <v/>
      </c>
      <c r="N426" t="str">
        <f>IF(Table2[[#This Row],[Stock Gap]]&lt;0, "Understock","Okay")</f>
        <v>Okay</v>
      </c>
      <c r="O426" s="13" t="str">
        <f>IF(Table2[[#This Row],[Stock Gap]]&lt;0, "Yes", "No")</f>
        <v>No</v>
      </c>
      <c r="P426" s="13" t="str">
        <f>IF(Table2[[#This Row],[CurrentStock]]&lt;Table2[[#This Row],[ReorderLevel]],"Reorder", "Okay")</f>
        <v>Okay</v>
      </c>
      <c r="Q426" s="13" t="str">
        <f>IF(Table2[[#This Row],[CurrentStock]]&gt;Table2[[#This Row],[ReorderLevel]]*3, "Overstock", "Okay")</f>
        <v>Overstock</v>
      </c>
    </row>
    <row r="427" spans="1:17" x14ac:dyDescent="0.35">
      <c r="A427">
        <v>92736</v>
      </c>
      <c r="B427" t="s">
        <v>17</v>
      </c>
      <c r="C427" t="s">
        <v>27</v>
      </c>
      <c r="D427">
        <v>283</v>
      </c>
      <c r="E427">
        <v>20</v>
      </c>
      <c r="F427" s="2">
        <v>12.62</v>
      </c>
      <c r="G427" t="s">
        <v>34</v>
      </c>
      <c r="H427" s="1">
        <v>45359</v>
      </c>
      <c r="I427" s="1">
        <v>45370</v>
      </c>
      <c r="J427" t="s">
        <v>37</v>
      </c>
      <c r="K427" s="8">
        <f>Table2[[#This Row],[CurrentStock]]*Table2[[#This Row],[UnitPrice]]</f>
        <v>3571.4599999999996</v>
      </c>
      <c r="L427" t="str">
        <f>IF(Table2[[#This Row],[CurrentStock]]&lt;=Table2[[#This Row],[ReorderLevel]], "Reorder Needed", "Okay")</f>
        <v>Okay</v>
      </c>
      <c r="M427" t="str">
        <f>IF(Table2[[#This Row],[CurrentStock]]-Table2[[#This Row],[ReorderLevel]]&lt;0,Table2[[#This Row],[CurrentStock]]-Table2[[#This Row],[ReorderLevel]],"")</f>
        <v/>
      </c>
      <c r="N427" t="str">
        <f>IF(Table2[[#This Row],[Stock Gap]]&lt;0, "Understock","Okay")</f>
        <v>Okay</v>
      </c>
      <c r="O427" s="13" t="str">
        <f>IF(Table2[[#This Row],[Stock Gap]]&lt;0, "Yes", "No")</f>
        <v>No</v>
      </c>
      <c r="P427" s="13" t="str">
        <f>IF(Table2[[#This Row],[CurrentStock]]&lt;Table2[[#This Row],[ReorderLevel]],"Reorder", "Okay")</f>
        <v>Okay</v>
      </c>
      <c r="Q427" s="13" t="str">
        <f>IF(Table2[[#This Row],[CurrentStock]]&gt;Table2[[#This Row],[ReorderLevel]]*3, "Overstock", "Okay")</f>
        <v>Overstock</v>
      </c>
    </row>
    <row r="428" spans="1:17" x14ac:dyDescent="0.35">
      <c r="A428">
        <v>34351</v>
      </c>
      <c r="B428" t="s">
        <v>11</v>
      </c>
      <c r="C428" t="s">
        <v>27</v>
      </c>
      <c r="D428">
        <v>419</v>
      </c>
      <c r="E428">
        <v>20</v>
      </c>
      <c r="F428" s="2">
        <v>420.7</v>
      </c>
      <c r="G428" t="s">
        <v>34</v>
      </c>
      <c r="H428" s="1">
        <v>45397</v>
      </c>
      <c r="I428" s="1">
        <v>45433</v>
      </c>
      <c r="J428" t="s">
        <v>38</v>
      </c>
      <c r="K428" s="8">
        <f>Table2[[#This Row],[CurrentStock]]*Table2[[#This Row],[UnitPrice]]</f>
        <v>176273.3</v>
      </c>
      <c r="L428" t="str">
        <f>IF(Table2[[#This Row],[CurrentStock]]&lt;=Table2[[#This Row],[ReorderLevel]], "Reorder Needed", "Okay")</f>
        <v>Okay</v>
      </c>
      <c r="M428" t="str">
        <f>IF(Table2[[#This Row],[CurrentStock]]-Table2[[#This Row],[ReorderLevel]]&lt;0,Table2[[#This Row],[CurrentStock]]-Table2[[#This Row],[ReorderLevel]],"")</f>
        <v/>
      </c>
      <c r="N428" t="str">
        <f>IF(Table2[[#This Row],[Stock Gap]]&lt;0, "Understock","Okay")</f>
        <v>Okay</v>
      </c>
      <c r="O428" s="13" t="str">
        <f>IF(Table2[[#This Row],[Stock Gap]]&lt;0, "Yes", "No")</f>
        <v>No</v>
      </c>
      <c r="P428" s="13" t="str">
        <f>IF(Table2[[#This Row],[CurrentStock]]&lt;Table2[[#This Row],[ReorderLevel]],"Reorder", "Okay")</f>
        <v>Okay</v>
      </c>
      <c r="Q428" s="13" t="str">
        <f>IF(Table2[[#This Row],[CurrentStock]]&gt;Table2[[#This Row],[ReorderLevel]]*3, "Overstock", "Okay")</f>
        <v>Overstock</v>
      </c>
    </row>
    <row r="429" spans="1:17" x14ac:dyDescent="0.35">
      <c r="A429">
        <v>70686</v>
      </c>
      <c r="B429" t="s">
        <v>24</v>
      </c>
      <c r="C429" t="s">
        <v>30</v>
      </c>
      <c r="D429">
        <v>53</v>
      </c>
      <c r="E429">
        <v>30</v>
      </c>
      <c r="F429" s="2">
        <v>50.85</v>
      </c>
      <c r="G429" t="s">
        <v>33</v>
      </c>
      <c r="H429" s="1">
        <v>45632</v>
      </c>
      <c r="I429" s="1">
        <v>45661</v>
      </c>
      <c r="J429" t="s">
        <v>36</v>
      </c>
      <c r="K429" s="8">
        <f>Table2[[#This Row],[CurrentStock]]*Table2[[#This Row],[UnitPrice]]</f>
        <v>2695.05</v>
      </c>
      <c r="L429" t="str">
        <f>IF(Table2[[#This Row],[CurrentStock]]&lt;=Table2[[#This Row],[ReorderLevel]], "Reorder Needed", "Okay")</f>
        <v>Okay</v>
      </c>
      <c r="M429" t="str">
        <f>IF(Table2[[#This Row],[CurrentStock]]-Table2[[#This Row],[ReorderLevel]]&lt;0,Table2[[#This Row],[CurrentStock]]-Table2[[#This Row],[ReorderLevel]],"")</f>
        <v/>
      </c>
      <c r="N429" t="str">
        <f>IF(Table2[[#This Row],[Stock Gap]]&lt;0, "Understock","Okay")</f>
        <v>Okay</v>
      </c>
      <c r="O429" s="13" t="str">
        <f>IF(Table2[[#This Row],[Stock Gap]]&lt;0, "Yes", "No")</f>
        <v>No</v>
      </c>
      <c r="P429" s="13" t="str">
        <f>IF(Table2[[#This Row],[CurrentStock]]&lt;Table2[[#This Row],[ReorderLevel]],"Reorder", "Okay")</f>
        <v>Okay</v>
      </c>
      <c r="Q429" s="13" t="str">
        <f>IF(Table2[[#This Row],[CurrentStock]]&gt;Table2[[#This Row],[ReorderLevel]]*3, "Overstock", "Okay")</f>
        <v>Okay</v>
      </c>
    </row>
    <row r="430" spans="1:17" x14ac:dyDescent="0.35">
      <c r="A430">
        <v>14138</v>
      </c>
      <c r="B430" t="s">
        <v>19</v>
      </c>
      <c r="C430" t="s">
        <v>28</v>
      </c>
      <c r="D430">
        <v>410</v>
      </c>
      <c r="E430">
        <v>30</v>
      </c>
      <c r="F430" s="2">
        <v>498.15</v>
      </c>
      <c r="G430" t="s">
        <v>34</v>
      </c>
      <c r="H430" s="1">
        <v>45639</v>
      </c>
      <c r="I430" s="1">
        <v>45660</v>
      </c>
      <c r="J430" t="s">
        <v>36</v>
      </c>
      <c r="K430" s="8">
        <f>Table2[[#This Row],[CurrentStock]]*Table2[[#This Row],[UnitPrice]]</f>
        <v>204241.5</v>
      </c>
      <c r="L430" t="str">
        <f>IF(Table2[[#This Row],[CurrentStock]]&lt;=Table2[[#This Row],[ReorderLevel]], "Reorder Needed", "Okay")</f>
        <v>Okay</v>
      </c>
      <c r="M430" t="str">
        <f>IF(Table2[[#This Row],[CurrentStock]]-Table2[[#This Row],[ReorderLevel]]&lt;0,Table2[[#This Row],[CurrentStock]]-Table2[[#This Row],[ReorderLevel]],"")</f>
        <v/>
      </c>
      <c r="N430" t="str">
        <f>IF(Table2[[#This Row],[Stock Gap]]&lt;0, "Understock","Okay")</f>
        <v>Okay</v>
      </c>
      <c r="O430" s="13" t="str">
        <f>IF(Table2[[#This Row],[Stock Gap]]&lt;0, "Yes", "No")</f>
        <v>No</v>
      </c>
      <c r="P430" s="13" t="str">
        <f>IF(Table2[[#This Row],[CurrentStock]]&lt;Table2[[#This Row],[ReorderLevel]],"Reorder", "Okay")</f>
        <v>Okay</v>
      </c>
      <c r="Q430" s="13" t="str">
        <f>IF(Table2[[#This Row],[CurrentStock]]&gt;Table2[[#This Row],[ReorderLevel]]*3, "Overstock", "Okay")</f>
        <v>Overstock</v>
      </c>
    </row>
    <row r="431" spans="1:17" x14ac:dyDescent="0.35">
      <c r="A431">
        <v>11134</v>
      </c>
      <c r="B431" t="s">
        <v>20</v>
      </c>
      <c r="C431" t="s">
        <v>30</v>
      </c>
      <c r="D431">
        <v>211</v>
      </c>
      <c r="E431">
        <v>80</v>
      </c>
      <c r="F431" s="2">
        <v>50.24</v>
      </c>
      <c r="G431" t="s">
        <v>33</v>
      </c>
      <c r="H431" s="1">
        <v>45536</v>
      </c>
      <c r="I431" s="1">
        <v>45563</v>
      </c>
      <c r="J431" t="s">
        <v>37</v>
      </c>
      <c r="K431" s="8">
        <f>Table2[[#This Row],[CurrentStock]]*Table2[[#This Row],[UnitPrice]]</f>
        <v>10600.640000000001</v>
      </c>
      <c r="L431" t="str">
        <f>IF(Table2[[#This Row],[CurrentStock]]&lt;=Table2[[#This Row],[ReorderLevel]], "Reorder Needed", "Okay")</f>
        <v>Okay</v>
      </c>
      <c r="M431" t="str">
        <f>IF(Table2[[#This Row],[CurrentStock]]-Table2[[#This Row],[ReorderLevel]]&lt;0,Table2[[#This Row],[CurrentStock]]-Table2[[#This Row],[ReorderLevel]],"")</f>
        <v/>
      </c>
      <c r="N431" t="str">
        <f>IF(Table2[[#This Row],[Stock Gap]]&lt;0, "Understock","Okay")</f>
        <v>Okay</v>
      </c>
      <c r="O431" s="13" t="str">
        <f>IF(Table2[[#This Row],[Stock Gap]]&lt;0, "Yes", "No")</f>
        <v>No</v>
      </c>
      <c r="P431" s="13" t="str">
        <f>IF(Table2[[#This Row],[CurrentStock]]&lt;Table2[[#This Row],[ReorderLevel]],"Reorder", "Okay")</f>
        <v>Okay</v>
      </c>
      <c r="Q431" s="13" t="str">
        <f>IF(Table2[[#This Row],[CurrentStock]]&gt;Table2[[#This Row],[ReorderLevel]]*3, "Overstock", "Okay")</f>
        <v>Okay</v>
      </c>
    </row>
    <row r="432" spans="1:17" x14ac:dyDescent="0.35">
      <c r="A432">
        <v>83788</v>
      </c>
      <c r="B432" t="s">
        <v>17</v>
      </c>
      <c r="C432" t="s">
        <v>27</v>
      </c>
      <c r="D432">
        <v>365</v>
      </c>
      <c r="E432">
        <v>80</v>
      </c>
      <c r="F432" s="2">
        <v>43.19</v>
      </c>
      <c r="G432" t="s">
        <v>32</v>
      </c>
      <c r="H432" s="1">
        <v>45581</v>
      </c>
      <c r="I432" s="1">
        <v>45596</v>
      </c>
      <c r="J432" t="s">
        <v>37</v>
      </c>
      <c r="K432" s="8">
        <f>Table2[[#This Row],[CurrentStock]]*Table2[[#This Row],[UnitPrice]]</f>
        <v>15764.349999999999</v>
      </c>
      <c r="L432" t="str">
        <f>IF(Table2[[#This Row],[CurrentStock]]&lt;=Table2[[#This Row],[ReorderLevel]], "Reorder Needed", "Okay")</f>
        <v>Okay</v>
      </c>
      <c r="M432" t="str">
        <f>IF(Table2[[#This Row],[CurrentStock]]-Table2[[#This Row],[ReorderLevel]]&lt;0,Table2[[#This Row],[CurrentStock]]-Table2[[#This Row],[ReorderLevel]],"")</f>
        <v/>
      </c>
      <c r="N432" t="str">
        <f>IF(Table2[[#This Row],[Stock Gap]]&lt;0, "Understock","Okay")</f>
        <v>Okay</v>
      </c>
      <c r="O432" s="13" t="str">
        <f>IF(Table2[[#This Row],[Stock Gap]]&lt;0, "Yes", "No")</f>
        <v>No</v>
      </c>
      <c r="P432" s="13" t="str">
        <f>IF(Table2[[#This Row],[CurrentStock]]&lt;Table2[[#This Row],[ReorderLevel]],"Reorder", "Okay")</f>
        <v>Okay</v>
      </c>
      <c r="Q432" s="13" t="str">
        <f>IF(Table2[[#This Row],[CurrentStock]]&gt;Table2[[#This Row],[ReorderLevel]]*3, "Overstock", "Okay")</f>
        <v>Overstock</v>
      </c>
    </row>
    <row r="433" spans="1:17" x14ac:dyDescent="0.35">
      <c r="A433">
        <v>36149</v>
      </c>
      <c r="B433" t="s">
        <v>23</v>
      </c>
      <c r="C433" t="s">
        <v>30</v>
      </c>
      <c r="D433">
        <v>330</v>
      </c>
      <c r="E433">
        <v>30</v>
      </c>
      <c r="F433" s="2">
        <v>189.24</v>
      </c>
      <c r="G433" t="s">
        <v>31</v>
      </c>
      <c r="H433" s="1">
        <v>45429</v>
      </c>
      <c r="I433" s="1">
        <v>45451</v>
      </c>
      <c r="J433" t="s">
        <v>37</v>
      </c>
      <c r="K433" s="8">
        <f>Table2[[#This Row],[CurrentStock]]*Table2[[#This Row],[UnitPrice]]</f>
        <v>62449.200000000004</v>
      </c>
      <c r="L433" t="str">
        <f>IF(Table2[[#This Row],[CurrentStock]]&lt;=Table2[[#This Row],[ReorderLevel]], "Reorder Needed", "Okay")</f>
        <v>Okay</v>
      </c>
      <c r="M433" t="str">
        <f>IF(Table2[[#This Row],[CurrentStock]]-Table2[[#This Row],[ReorderLevel]]&lt;0,Table2[[#This Row],[CurrentStock]]-Table2[[#This Row],[ReorderLevel]],"")</f>
        <v/>
      </c>
      <c r="N433" t="str">
        <f>IF(Table2[[#This Row],[Stock Gap]]&lt;0, "Understock","Okay")</f>
        <v>Okay</v>
      </c>
      <c r="O433" s="13" t="str">
        <f>IF(Table2[[#This Row],[Stock Gap]]&lt;0, "Yes", "No")</f>
        <v>No</v>
      </c>
      <c r="P433" s="13" t="str">
        <f>IF(Table2[[#This Row],[CurrentStock]]&lt;Table2[[#This Row],[ReorderLevel]],"Reorder", "Okay")</f>
        <v>Okay</v>
      </c>
      <c r="Q433" s="13" t="str">
        <f>IF(Table2[[#This Row],[CurrentStock]]&gt;Table2[[#This Row],[ReorderLevel]]*3, "Overstock", "Okay")</f>
        <v>Overstock</v>
      </c>
    </row>
    <row r="434" spans="1:17" x14ac:dyDescent="0.35">
      <c r="A434">
        <v>43458</v>
      </c>
      <c r="B434" t="s">
        <v>16</v>
      </c>
      <c r="C434" t="s">
        <v>29</v>
      </c>
      <c r="D434">
        <v>173</v>
      </c>
      <c r="E434">
        <v>40</v>
      </c>
      <c r="F434" s="2">
        <v>310.31</v>
      </c>
      <c r="G434" t="s">
        <v>32</v>
      </c>
      <c r="H434" s="1">
        <v>45612</v>
      </c>
      <c r="I434" s="1">
        <v>45643</v>
      </c>
      <c r="J434" t="s">
        <v>36</v>
      </c>
      <c r="K434" s="8">
        <f>Table2[[#This Row],[CurrentStock]]*Table2[[#This Row],[UnitPrice]]</f>
        <v>53683.63</v>
      </c>
      <c r="L434" t="str">
        <f>IF(Table2[[#This Row],[CurrentStock]]&lt;=Table2[[#This Row],[ReorderLevel]], "Reorder Needed", "Okay")</f>
        <v>Okay</v>
      </c>
      <c r="M434" t="str">
        <f>IF(Table2[[#This Row],[CurrentStock]]-Table2[[#This Row],[ReorderLevel]]&lt;0,Table2[[#This Row],[CurrentStock]]-Table2[[#This Row],[ReorderLevel]],"")</f>
        <v/>
      </c>
      <c r="N434" t="str">
        <f>IF(Table2[[#This Row],[Stock Gap]]&lt;0, "Understock","Okay")</f>
        <v>Okay</v>
      </c>
      <c r="O434" s="13" t="str">
        <f>IF(Table2[[#This Row],[Stock Gap]]&lt;0, "Yes", "No")</f>
        <v>No</v>
      </c>
      <c r="P434" s="13" t="str">
        <f>IF(Table2[[#This Row],[CurrentStock]]&lt;Table2[[#This Row],[ReorderLevel]],"Reorder", "Okay")</f>
        <v>Okay</v>
      </c>
      <c r="Q434" s="13" t="str">
        <f>IF(Table2[[#This Row],[CurrentStock]]&gt;Table2[[#This Row],[ReorderLevel]]*3, "Overstock", "Okay")</f>
        <v>Overstock</v>
      </c>
    </row>
    <row r="435" spans="1:17" x14ac:dyDescent="0.35">
      <c r="A435">
        <v>96664</v>
      </c>
      <c r="B435" t="s">
        <v>17</v>
      </c>
      <c r="C435" t="s">
        <v>27</v>
      </c>
      <c r="D435">
        <v>389</v>
      </c>
      <c r="E435">
        <v>40</v>
      </c>
      <c r="F435" s="2">
        <v>271.47000000000003</v>
      </c>
      <c r="G435" t="s">
        <v>32</v>
      </c>
      <c r="H435" s="1">
        <v>45575</v>
      </c>
      <c r="I435" s="1">
        <v>45612</v>
      </c>
      <c r="J435" t="s">
        <v>37</v>
      </c>
      <c r="K435" s="8">
        <f>Table2[[#This Row],[CurrentStock]]*Table2[[#This Row],[UnitPrice]]</f>
        <v>105601.83000000002</v>
      </c>
      <c r="L435" t="str">
        <f>IF(Table2[[#This Row],[CurrentStock]]&lt;=Table2[[#This Row],[ReorderLevel]], "Reorder Needed", "Okay")</f>
        <v>Okay</v>
      </c>
      <c r="M435" t="str">
        <f>IF(Table2[[#This Row],[CurrentStock]]-Table2[[#This Row],[ReorderLevel]]&lt;0,Table2[[#This Row],[CurrentStock]]-Table2[[#This Row],[ReorderLevel]],"")</f>
        <v/>
      </c>
      <c r="N435" t="str">
        <f>IF(Table2[[#This Row],[Stock Gap]]&lt;0, "Understock","Okay")</f>
        <v>Okay</v>
      </c>
      <c r="O435" s="13" t="str">
        <f>IF(Table2[[#This Row],[Stock Gap]]&lt;0, "Yes", "No")</f>
        <v>No</v>
      </c>
      <c r="P435" s="13" t="str">
        <f>IF(Table2[[#This Row],[CurrentStock]]&lt;Table2[[#This Row],[ReorderLevel]],"Reorder", "Okay")</f>
        <v>Okay</v>
      </c>
      <c r="Q435" s="13" t="str">
        <f>IF(Table2[[#This Row],[CurrentStock]]&gt;Table2[[#This Row],[ReorderLevel]]*3, "Overstock", "Okay")</f>
        <v>Overstock</v>
      </c>
    </row>
    <row r="436" spans="1:17" x14ac:dyDescent="0.35">
      <c r="A436">
        <v>57195</v>
      </c>
      <c r="B436" t="s">
        <v>22</v>
      </c>
      <c r="C436" t="s">
        <v>29</v>
      </c>
      <c r="D436">
        <v>444</v>
      </c>
      <c r="E436">
        <v>30</v>
      </c>
      <c r="F436" s="2">
        <v>127.95</v>
      </c>
      <c r="G436" t="s">
        <v>32</v>
      </c>
      <c r="H436" s="1">
        <v>45479</v>
      </c>
      <c r="I436" s="1">
        <v>45498</v>
      </c>
      <c r="J436" t="s">
        <v>38</v>
      </c>
      <c r="K436" s="8">
        <f>Table2[[#This Row],[CurrentStock]]*Table2[[#This Row],[UnitPrice]]</f>
        <v>56809.8</v>
      </c>
      <c r="L436" t="str">
        <f>IF(Table2[[#This Row],[CurrentStock]]&lt;=Table2[[#This Row],[ReorderLevel]], "Reorder Needed", "Okay")</f>
        <v>Okay</v>
      </c>
      <c r="M436" t="str">
        <f>IF(Table2[[#This Row],[CurrentStock]]-Table2[[#This Row],[ReorderLevel]]&lt;0,Table2[[#This Row],[CurrentStock]]-Table2[[#This Row],[ReorderLevel]],"")</f>
        <v/>
      </c>
      <c r="N436" t="str">
        <f>IF(Table2[[#This Row],[Stock Gap]]&lt;0, "Understock","Okay")</f>
        <v>Okay</v>
      </c>
      <c r="O436" s="13" t="str">
        <f>IF(Table2[[#This Row],[Stock Gap]]&lt;0, "Yes", "No")</f>
        <v>No</v>
      </c>
      <c r="P436" s="13" t="str">
        <f>IF(Table2[[#This Row],[CurrentStock]]&lt;Table2[[#This Row],[ReorderLevel]],"Reorder", "Okay")</f>
        <v>Okay</v>
      </c>
      <c r="Q436" s="13" t="str">
        <f>IF(Table2[[#This Row],[CurrentStock]]&gt;Table2[[#This Row],[ReorderLevel]]*3, "Overstock", "Okay")</f>
        <v>Overstock</v>
      </c>
    </row>
    <row r="437" spans="1:17" x14ac:dyDescent="0.35">
      <c r="A437">
        <v>64122</v>
      </c>
      <c r="B437" t="s">
        <v>14</v>
      </c>
      <c r="C437" t="s">
        <v>28</v>
      </c>
      <c r="D437">
        <v>184</v>
      </c>
      <c r="E437">
        <v>80</v>
      </c>
      <c r="F437" s="2">
        <v>154.02000000000001</v>
      </c>
      <c r="G437" t="s">
        <v>33</v>
      </c>
      <c r="H437" s="1">
        <v>45547</v>
      </c>
      <c r="I437" s="1">
        <v>45558</v>
      </c>
      <c r="J437" t="s">
        <v>37</v>
      </c>
      <c r="K437" s="8">
        <f>Table2[[#This Row],[CurrentStock]]*Table2[[#This Row],[UnitPrice]]</f>
        <v>28339.68</v>
      </c>
      <c r="L437" t="str">
        <f>IF(Table2[[#This Row],[CurrentStock]]&lt;=Table2[[#This Row],[ReorderLevel]], "Reorder Needed", "Okay")</f>
        <v>Okay</v>
      </c>
      <c r="M437" t="str">
        <f>IF(Table2[[#This Row],[CurrentStock]]-Table2[[#This Row],[ReorderLevel]]&lt;0,Table2[[#This Row],[CurrentStock]]-Table2[[#This Row],[ReorderLevel]],"")</f>
        <v/>
      </c>
      <c r="N437" t="str">
        <f>IF(Table2[[#This Row],[Stock Gap]]&lt;0, "Understock","Okay")</f>
        <v>Okay</v>
      </c>
      <c r="O437" s="13" t="str">
        <f>IF(Table2[[#This Row],[Stock Gap]]&lt;0, "Yes", "No")</f>
        <v>No</v>
      </c>
      <c r="P437" s="13" t="str">
        <f>IF(Table2[[#This Row],[CurrentStock]]&lt;Table2[[#This Row],[ReorderLevel]],"Reorder", "Okay")</f>
        <v>Okay</v>
      </c>
      <c r="Q437" s="13" t="str">
        <f>IF(Table2[[#This Row],[CurrentStock]]&gt;Table2[[#This Row],[ReorderLevel]]*3, "Overstock", "Okay")</f>
        <v>Okay</v>
      </c>
    </row>
    <row r="438" spans="1:17" x14ac:dyDescent="0.35">
      <c r="A438">
        <v>77173</v>
      </c>
      <c r="B438" t="s">
        <v>18</v>
      </c>
      <c r="C438" t="s">
        <v>27</v>
      </c>
      <c r="D438">
        <v>2</v>
      </c>
      <c r="E438">
        <v>100</v>
      </c>
      <c r="F438" s="2">
        <v>10.69</v>
      </c>
      <c r="G438" t="s">
        <v>35</v>
      </c>
      <c r="H438" s="1">
        <v>45412</v>
      </c>
      <c r="I438" s="1">
        <v>45417</v>
      </c>
      <c r="J438" t="s">
        <v>36</v>
      </c>
      <c r="K438" s="8">
        <f>Table2[[#This Row],[CurrentStock]]*Table2[[#This Row],[UnitPrice]]</f>
        <v>21.38</v>
      </c>
      <c r="L438" t="str">
        <f>IF(Table2[[#This Row],[CurrentStock]]&lt;=Table2[[#This Row],[ReorderLevel]], "Reorder Needed", "Okay")</f>
        <v>Reorder Needed</v>
      </c>
      <c r="M438" s="7">
        <f>IF(Table2[[#This Row],[CurrentStock]]-Table2[[#This Row],[ReorderLevel]]&lt;0,Table2[[#This Row],[CurrentStock]]-Table2[[#This Row],[ReorderLevel]],"")</f>
        <v>-98</v>
      </c>
      <c r="N438" t="str">
        <f>IF(Table2[[#This Row],[Stock Gap]]&lt;0, "Understock","Okay")</f>
        <v>Understock</v>
      </c>
      <c r="O438" s="13" t="str">
        <f>IF(Table2[[#This Row],[Stock Gap]]&lt;0, "Yes", "No")</f>
        <v>Yes</v>
      </c>
      <c r="P438" s="13" t="str">
        <f>IF(Table2[[#This Row],[CurrentStock]]&lt;Table2[[#This Row],[ReorderLevel]],"Reorder", "Okay")</f>
        <v>Reorder</v>
      </c>
      <c r="Q438" s="13" t="str">
        <f>IF(Table2[[#This Row],[CurrentStock]]&gt;Table2[[#This Row],[ReorderLevel]]*3, "Overstock", "Okay")</f>
        <v>Okay</v>
      </c>
    </row>
    <row r="439" spans="1:17" x14ac:dyDescent="0.35">
      <c r="A439">
        <v>25954</v>
      </c>
      <c r="B439" t="s">
        <v>25</v>
      </c>
      <c r="C439" t="s">
        <v>29</v>
      </c>
      <c r="D439">
        <v>201</v>
      </c>
      <c r="E439">
        <v>50</v>
      </c>
      <c r="F439" s="2">
        <v>333.79</v>
      </c>
      <c r="G439" t="s">
        <v>31</v>
      </c>
      <c r="H439" s="1">
        <v>45400</v>
      </c>
      <c r="I439" s="1">
        <v>45424</v>
      </c>
      <c r="J439" t="s">
        <v>36</v>
      </c>
      <c r="K439" s="8">
        <f>Table2[[#This Row],[CurrentStock]]*Table2[[#This Row],[UnitPrice]]</f>
        <v>67091.790000000008</v>
      </c>
      <c r="L439" t="str">
        <f>IF(Table2[[#This Row],[CurrentStock]]&lt;=Table2[[#This Row],[ReorderLevel]], "Reorder Needed", "Okay")</f>
        <v>Okay</v>
      </c>
      <c r="M439" t="str">
        <f>IF(Table2[[#This Row],[CurrentStock]]-Table2[[#This Row],[ReorderLevel]]&lt;0,Table2[[#This Row],[CurrentStock]]-Table2[[#This Row],[ReorderLevel]],"")</f>
        <v/>
      </c>
      <c r="N439" t="str">
        <f>IF(Table2[[#This Row],[Stock Gap]]&lt;0, "Understock","Okay")</f>
        <v>Okay</v>
      </c>
      <c r="O439" s="13" t="str">
        <f>IF(Table2[[#This Row],[Stock Gap]]&lt;0, "Yes", "No")</f>
        <v>No</v>
      </c>
      <c r="P439" s="13" t="str">
        <f>IF(Table2[[#This Row],[CurrentStock]]&lt;Table2[[#This Row],[ReorderLevel]],"Reorder", "Okay")</f>
        <v>Okay</v>
      </c>
      <c r="Q439" s="13" t="str">
        <f>IF(Table2[[#This Row],[CurrentStock]]&gt;Table2[[#This Row],[ReorderLevel]]*3, "Overstock", "Okay")</f>
        <v>Overstock</v>
      </c>
    </row>
    <row r="440" spans="1:17" x14ac:dyDescent="0.35">
      <c r="A440">
        <v>81832</v>
      </c>
      <c r="B440" t="s">
        <v>18</v>
      </c>
      <c r="C440" t="s">
        <v>27</v>
      </c>
      <c r="D440">
        <v>311</v>
      </c>
      <c r="E440">
        <v>30</v>
      </c>
      <c r="F440" s="2">
        <v>270.10000000000002</v>
      </c>
      <c r="G440" t="s">
        <v>35</v>
      </c>
      <c r="H440" s="1">
        <v>45568</v>
      </c>
      <c r="I440" s="1">
        <v>45596</v>
      </c>
      <c r="J440" t="s">
        <v>37</v>
      </c>
      <c r="K440" s="8">
        <f>Table2[[#This Row],[CurrentStock]]*Table2[[#This Row],[UnitPrice]]</f>
        <v>84001.1</v>
      </c>
      <c r="L440" t="str">
        <f>IF(Table2[[#This Row],[CurrentStock]]&lt;=Table2[[#This Row],[ReorderLevel]], "Reorder Needed", "Okay")</f>
        <v>Okay</v>
      </c>
      <c r="M440" t="str">
        <f>IF(Table2[[#This Row],[CurrentStock]]-Table2[[#This Row],[ReorderLevel]]&lt;0,Table2[[#This Row],[CurrentStock]]-Table2[[#This Row],[ReorderLevel]],"")</f>
        <v/>
      </c>
      <c r="N440" t="str">
        <f>IF(Table2[[#This Row],[Stock Gap]]&lt;0, "Understock","Okay")</f>
        <v>Okay</v>
      </c>
      <c r="O440" s="13" t="str">
        <f>IF(Table2[[#This Row],[Stock Gap]]&lt;0, "Yes", "No")</f>
        <v>No</v>
      </c>
      <c r="P440" s="13" t="str">
        <f>IF(Table2[[#This Row],[CurrentStock]]&lt;Table2[[#This Row],[ReorderLevel]],"Reorder", "Okay")</f>
        <v>Okay</v>
      </c>
      <c r="Q440" s="13" t="str">
        <f>IF(Table2[[#This Row],[CurrentStock]]&gt;Table2[[#This Row],[ReorderLevel]]*3, "Overstock", "Okay")</f>
        <v>Overstock</v>
      </c>
    </row>
    <row r="441" spans="1:17" x14ac:dyDescent="0.35">
      <c r="A441">
        <v>40816</v>
      </c>
      <c r="B441" t="s">
        <v>16</v>
      </c>
      <c r="C441" t="s">
        <v>29</v>
      </c>
      <c r="D441">
        <v>109</v>
      </c>
      <c r="E441">
        <v>30</v>
      </c>
      <c r="F441" s="2">
        <v>189.89</v>
      </c>
      <c r="G441" t="s">
        <v>34</v>
      </c>
      <c r="H441" s="1">
        <v>45605</v>
      </c>
      <c r="I441" s="1">
        <v>45625</v>
      </c>
      <c r="J441" t="s">
        <v>36</v>
      </c>
      <c r="K441" s="8">
        <f>Table2[[#This Row],[CurrentStock]]*Table2[[#This Row],[UnitPrice]]</f>
        <v>20698.009999999998</v>
      </c>
      <c r="L441" t="str">
        <f>IF(Table2[[#This Row],[CurrentStock]]&lt;=Table2[[#This Row],[ReorderLevel]], "Reorder Needed", "Okay")</f>
        <v>Okay</v>
      </c>
      <c r="M441" t="str">
        <f>IF(Table2[[#This Row],[CurrentStock]]-Table2[[#This Row],[ReorderLevel]]&lt;0,Table2[[#This Row],[CurrentStock]]-Table2[[#This Row],[ReorderLevel]],"")</f>
        <v/>
      </c>
      <c r="N441" t="str">
        <f>IF(Table2[[#This Row],[Stock Gap]]&lt;0, "Understock","Okay")</f>
        <v>Okay</v>
      </c>
      <c r="O441" s="13" t="str">
        <f>IF(Table2[[#This Row],[Stock Gap]]&lt;0, "Yes", "No")</f>
        <v>No</v>
      </c>
      <c r="P441" s="13" t="str">
        <f>IF(Table2[[#This Row],[CurrentStock]]&lt;Table2[[#This Row],[ReorderLevel]],"Reorder", "Okay")</f>
        <v>Okay</v>
      </c>
      <c r="Q441" s="13" t="str">
        <f>IF(Table2[[#This Row],[CurrentStock]]&gt;Table2[[#This Row],[ReorderLevel]]*3, "Overstock", "Okay")</f>
        <v>Overstock</v>
      </c>
    </row>
    <row r="442" spans="1:17" x14ac:dyDescent="0.35">
      <c r="A442">
        <v>42854</v>
      </c>
      <c r="B442" t="s">
        <v>25</v>
      </c>
      <c r="C442" t="s">
        <v>29</v>
      </c>
      <c r="D442">
        <v>5</v>
      </c>
      <c r="E442">
        <v>40</v>
      </c>
      <c r="F442" s="2">
        <v>415.29</v>
      </c>
      <c r="G442" t="s">
        <v>34</v>
      </c>
      <c r="H442" s="1">
        <v>45330</v>
      </c>
      <c r="I442" s="1">
        <v>45356</v>
      </c>
      <c r="J442" t="s">
        <v>37</v>
      </c>
      <c r="K442" s="8">
        <f>Table2[[#This Row],[CurrentStock]]*Table2[[#This Row],[UnitPrice]]</f>
        <v>2076.4500000000003</v>
      </c>
      <c r="L442" t="str">
        <f>IF(Table2[[#This Row],[CurrentStock]]&lt;=Table2[[#This Row],[ReorderLevel]], "Reorder Needed", "Okay")</f>
        <v>Reorder Needed</v>
      </c>
      <c r="M442" s="7">
        <f>IF(Table2[[#This Row],[CurrentStock]]-Table2[[#This Row],[ReorderLevel]]&lt;0,Table2[[#This Row],[CurrentStock]]-Table2[[#This Row],[ReorderLevel]],"")</f>
        <v>-35</v>
      </c>
      <c r="N442" t="str">
        <f>IF(Table2[[#This Row],[Stock Gap]]&lt;0, "Understock","Okay")</f>
        <v>Understock</v>
      </c>
      <c r="O442" s="13" t="str">
        <f>IF(Table2[[#This Row],[Stock Gap]]&lt;0, "Yes", "No")</f>
        <v>Yes</v>
      </c>
      <c r="P442" s="13" t="str">
        <f>IF(Table2[[#This Row],[CurrentStock]]&lt;Table2[[#This Row],[ReorderLevel]],"Reorder", "Okay")</f>
        <v>Reorder</v>
      </c>
      <c r="Q442" s="13" t="str">
        <f>IF(Table2[[#This Row],[CurrentStock]]&gt;Table2[[#This Row],[ReorderLevel]]*3, "Overstock", "Okay")</f>
        <v>Okay</v>
      </c>
    </row>
    <row r="443" spans="1:17" x14ac:dyDescent="0.35">
      <c r="A443">
        <v>33199</v>
      </c>
      <c r="B443" t="s">
        <v>14</v>
      </c>
      <c r="C443" t="s">
        <v>28</v>
      </c>
      <c r="D443">
        <v>312</v>
      </c>
      <c r="E443">
        <v>150</v>
      </c>
      <c r="F443" s="2">
        <v>307.22000000000003</v>
      </c>
      <c r="G443" t="s">
        <v>33</v>
      </c>
      <c r="H443" s="1">
        <v>45576</v>
      </c>
      <c r="I443" s="1">
        <v>45603</v>
      </c>
      <c r="J443" t="s">
        <v>37</v>
      </c>
      <c r="K443" s="8">
        <f>Table2[[#This Row],[CurrentStock]]*Table2[[#This Row],[UnitPrice]]</f>
        <v>95852.640000000014</v>
      </c>
      <c r="L443" t="str">
        <f>IF(Table2[[#This Row],[CurrentStock]]&lt;=Table2[[#This Row],[ReorderLevel]], "Reorder Needed", "Okay")</f>
        <v>Okay</v>
      </c>
      <c r="M443" t="str">
        <f>IF(Table2[[#This Row],[CurrentStock]]-Table2[[#This Row],[ReorderLevel]]&lt;0,Table2[[#This Row],[CurrentStock]]-Table2[[#This Row],[ReorderLevel]],"")</f>
        <v/>
      </c>
      <c r="N443" t="str">
        <f>IF(Table2[[#This Row],[Stock Gap]]&lt;0, "Understock","Okay")</f>
        <v>Okay</v>
      </c>
      <c r="O443" s="13" t="str">
        <f>IF(Table2[[#This Row],[Stock Gap]]&lt;0, "Yes", "No")</f>
        <v>No</v>
      </c>
      <c r="P443" s="13" t="str">
        <f>IF(Table2[[#This Row],[CurrentStock]]&lt;Table2[[#This Row],[ReorderLevel]],"Reorder", "Okay")</f>
        <v>Okay</v>
      </c>
      <c r="Q443" s="13" t="str">
        <f>IF(Table2[[#This Row],[CurrentStock]]&gt;Table2[[#This Row],[ReorderLevel]]*3, "Overstock", "Okay")</f>
        <v>Okay</v>
      </c>
    </row>
    <row r="444" spans="1:17" x14ac:dyDescent="0.35">
      <c r="A444">
        <v>23917</v>
      </c>
      <c r="B444" t="s">
        <v>25</v>
      </c>
      <c r="C444" t="s">
        <v>29</v>
      </c>
      <c r="D444">
        <v>246</v>
      </c>
      <c r="E444">
        <v>80</v>
      </c>
      <c r="F444" s="2">
        <v>360.78</v>
      </c>
      <c r="G444" t="s">
        <v>34</v>
      </c>
      <c r="H444" s="1">
        <v>45425</v>
      </c>
      <c r="I444" s="1">
        <v>45447</v>
      </c>
      <c r="J444" t="s">
        <v>38</v>
      </c>
      <c r="K444" s="8">
        <f>Table2[[#This Row],[CurrentStock]]*Table2[[#This Row],[UnitPrice]]</f>
        <v>88751.87999999999</v>
      </c>
      <c r="L444" t="str">
        <f>IF(Table2[[#This Row],[CurrentStock]]&lt;=Table2[[#This Row],[ReorderLevel]], "Reorder Needed", "Okay")</f>
        <v>Okay</v>
      </c>
      <c r="M444" t="str">
        <f>IF(Table2[[#This Row],[CurrentStock]]-Table2[[#This Row],[ReorderLevel]]&lt;0,Table2[[#This Row],[CurrentStock]]-Table2[[#This Row],[ReorderLevel]],"")</f>
        <v/>
      </c>
      <c r="N444" t="str">
        <f>IF(Table2[[#This Row],[Stock Gap]]&lt;0, "Understock","Okay")</f>
        <v>Okay</v>
      </c>
      <c r="O444" s="13" t="str">
        <f>IF(Table2[[#This Row],[Stock Gap]]&lt;0, "Yes", "No")</f>
        <v>No</v>
      </c>
      <c r="P444" s="13" t="str">
        <f>IF(Table2[[#This Row],[CurrentStock]]&lt;Table2[[#This Row],[ReorderLevel]],"Reorder", "Okay")</f>
        <v>Okay</v>
      </c>
      <c r="Q444" s="13" t="str">
        <f>IF(Table2[[#This Row],[CurrentStock]]&gt;Table2[[#This Row],[ReorderLevel]]*3, "Overstock", "Okay")</f>
        <v>Overstock</v>
      </c>
    </row>
    <row r="445" spans="1:17" x14ac:dyDescent="0.35">
      <c r="A445">
        <v>53939</v>
      </c>
      <c r="B445" t="s">
        <v>11</v>
      </c>
      <c r="C445" t="s">
        <v>27</v>
      </c>
      <c r="D445">
        <v>234</v>
      </c>
      <c r="E445">
        <v>30</v>
      </c>
      <c r="F445" s="2">
        <v>441.42</v>
      </c>
      <c r="G445" t="s">
        <v>32</v>
      </c>
      <c r="H445" s="1">
        <v>45413</v>
      </c>
      <c r="I445" s="1">
        <v>45427</v>
      </c>
      <c r="J445" t="s">
        <v>36</v>
      </c>
      <c r="K445" s="8">
        <f>Table2[[#This Row],[CurrentStock]]*Table2[[#This Row],[UnitPrice]]</f>
        <v>103292.28</v>
      </c>
      <c r="L445" t="str">
        <f>IF(Table2[[#This Row],[CurrentStock]]&lt;=Table2[[#This Row],[ReorderLevel]], "Reorder Needed", "Okay")</f>
        <v>Okay</v>
      </c>
      <c r="M445" t="str">
        <f>IF(Table2[[#This Row],[CurrentStock]]-Table2[[#This Row],[ReorderLevel]]&lt;0,Table2[[#This Row],[CurrentStock]]-Table2[[#This Row],[ReorderLevel]],"")</f>
        <v/>
      </c>
      <c r="N445" t="str">
        <f>IF(Table2[[#This Row],[Stock Gap]]&lt;0, "Understock","Okay")</f>
        <v>Okay</v>
      </c>
      <c r="O445" s="13" t="str">
        <f>IF(Table2[[#This Row],[Stock Gap]]&lt;0, "Yes", "No")</f>
        <v>No</v>
      </c>
      <c r="P445" s="13" t="str">
        <f>IF(Table2[[#This Row],[CurrentStock]]&lt;Table2[[#This Row],[ReorderLevel]],"Reorder", "Okay")</f>
        <v>Okay</v>
      </c>
      <c r="Q445" s="13" t="str">
        <f>IF(Table2[[#This Row],[CurrentStock]]&gt;Table2[[#This Row],[ReorderLevel]]*3, "Overstock", "Okay")</f>
        <v>Overstock</v>
      </c>
    </row>
    <row r="446" spans="1:17" x14ac:dyDescent="0.35">
      <c r="A446">
        <v>57221</v>
      </c>
      <c r="B446" t="s">
        <v>24</v>
      </c>
      <c r="C446" t="s">
        <v>30</v>
      </c>
      <c r="D446">
        <v>205</v>
      </c>
      <c r="E446">
        <v>150</v>
      </c>
      <c r="F446" s="2">
        <v>33.58</v>
      </c>
      <c r="G446" t="s">
        <v>33</v>
      </c>
      <c r="H446" s="1">
        <v>45537</v>
      </c>
      <c r="I446" s="1">
        <v>45560</v>
      </c>
      <c r="J446" t="s">
        <v>37</v>
      </c>
      <c r="K446" s="8">
        <f>Table2[[#This Row],[CurrentStock]]*Table2[[#This Row],[UnitPrice]]</f>
        <v>6883.9</v>
      </c>
      <c r="L446" t="str">
        <f>IF(Table2[[#This Row],[CurrentStock]]&lt;=Table2[[#This Row],[ReorderLevel]], "Reorder Needed", "Okay")</f>
        <v>Okay</v>
      </c>
      <c r="M446" t="str">
        <f>IF(Table2[[#This Row],[CurrentStock]]-Table2[[#This Row],[ReorderLevel]]&lt;0,Table2[[#This Row],[CurrentStock]]-Table2[[#This Row],[ReorderLevel]],"")</f>
        <v/>
      </c>
      <c r="N446" t="str">
        <f>IF(Table2[[#This Row],[Stock Gap]]&lt;0, "Understock","Okay")</f>
        <v>Okay</v>
      </c>
      <c r="O446" s="13" t="str">
        <f>IF(Table2[[#This Row],[Stock Gap]]&lt;0, "Yes", "No")</f>
        <v>No</v>
      </c>
      <c r="P446" s="13" t="str">
        <f>IF(Table2[[#This Row],[CurrentStock]]&lt;Table2[[#This Row],[ReorderLevel]],"Reorder", "Okay")</f>
        <v>Okay</v>
      </c>
      <c r="Q446" s="13" t="str">
        <f>IF(Table2[[#This Row],[CurrentStock]]&gt;Table2[[#This Row],[ReorderLevel]]*3, "Overstock", "Okay")</f>
        <v>Okay</v>
      </c>
    </row>
    <row r="447" spans="1:17" x14ac:dyDescent="0.35">
      <c r="A447">
        <v>90201</v>
      </c>
      <c r="B447" t="s">
        <v>25</v>
      </c>
      <c r="C447" t="s">
        <v>29</v>
      </c>
      <c r="D447">
        <v>174</v>
      </c>
      <c r="E447">
        <v>20</v>
      </c>
      <c r="F447" s="2">
        <v>217.33</v>
      </c>
      <c r="G447" t="s">
        <v>32</v>
      </c>
      <c r="H447" s="1">
        <v>45310</v>
      </c>
      <c r="I447" s="1">
        <v>45317</v>
      </c>
      <c r="J447" t="s">
        <v>36</v>
      </c>
      <c r="K447" s="8">
        <f>Table2[[#This Row],[CurrentStock]]*Table2[[#This Row],[UnitPrice]]</f>
        <v>37815.420000000006</v>
      </c>
      <c r="L447" t="str">
        <f>IF(Table2[[#This Row],[CurrentStock]]&lt;=Table2[[#This Row],[ReorderLevel]], "Reorder Needed", "Okay")</f>
        <v>Okay</v>
      </c>
      <c r="M447" t="str">
        <f>IF(Table2[[#This Row],[CurrentStock]]-Table2[[#This Row],[ReorderLevel]]&lt;0,Table2[[#This Row],[CurrentStock]]-Table2[[#This Row],[ReorderLevel]],"")</f>
        <v/>
      </c>
      <c r="N447" t="str">
        <f>IF(Table2[[#This Row],[Stock Gap]]&lt;0, "Understock","Okay")</f>
        <v>Okay</v>
      </c>
      <c r="O447" s="13" t="str">
        <f>IF(Table2[[#This Row],[Stock Gap]]&lt;0, "Yes", "No")</f>
        <v>No</v>
      </c>
      <c r="P447" s="13" t="str">
        <f>IF(Table2[[#This Row],[CurrentStock]]&lt;Table2[[#This Row],[ReorderLevel]],"Reorder", "Okay")</f>
        <v>Okay</v>
      </c>
      <c r="Q447" s="13" t="str">
        <f>IF(Table2[[#This Row],[CurrentStock]]&gt;Table2[[#This Row],[ReorderLevel]]*3, "Overstock", "Okay")</f>
        <v>Overstock</v>
      </c>
    </row>
    <row r="448" spans="1:17" x14ac:dyDescent="0.35">
      <c r="A448">
        <v>20799</v>
      </c>
      <c r="B448" t="s">
        <v>22</v>
      </c>
      <c r="C448" t="s">
        <v>29</v>
      </c>
      <c r="D448">
        <v>353</v>
      </c>
      <c r="E448">
        <v>40</v>
      </c>
      <c r="F448" s="2">
        <v>275.61</v>
      </c>
      <c r="G448" t="s">
        <v>34</v>
      </c>
      <c r="H448" s="1">
        <v>45384</v>
      </c>
      <c r="I448" s="1">
        <v>45401</v>
      </c>
      <c r="J448" t="s">
        <v>36</v>
      </c>
      <c r="K448" s="8">
        <f>Table2[[#This Row],[CurrentStock]]*Table2[[#This Row],[UnitPrice]]</f>
        <v>97290.33</v>
      </c>
      <c r="L448" t="str">
        <f>IF(Table2[[#This Row],[CurrentStock]]&lt;=Table2[[#This Row],[ReorderLevel]], "Reorder Needed", "Okay")</f>
        <v>Okay</v>
      </c>
      <c r="M448" t="str">
        <f>IF(Table2[[#This Row],[CurrentStock]]-Table2[[#This Row],[ReorderLevel]]&lt;0,Table2[[#This Row],[CurrentStock]]-Table2[[#This Row],[ReorderLevel]],"")</f>
        <v/>
      </c>
      <c r="N448" t="str">
        <f>IF(Table2[[#This Row],[Stock Gap]]&lt;0, "Understock","Okay")</f>
        <v>Okay</v>
      </c>
      <c r="O448" s="13" t="str">
        <f>IF(Table2[[#This Row],[Stock Gap]]&lt;0, "Yes", "No")</f>
        <v>No</v>
      </c>
      <c r="P448" s="13" t="str">
        <f>IF(Table2[[#This Row],[CurrentStock]]&lt;Table2[[#This Row],[ReorderLevel]],"Reorder", "Okay")</f>
        <v>Okay</v>
      </c>
      <c r="Q448" s="13" t="str">
        <f>IF(Table2[[#This Row],[CurrentStock]]&gt;Table2[[#This Row],[ReorderLevel]]*3, "Overstock", "Okay")</f>
        <v>Overstock</v>
      </c>
    </row>
    <row r="449" spans="1:17" x14ac:dyDescent="0.35">
      <c r="A449">
        <v>71744</v>
      </c>
      <c r="B449" t="s">
        <v>25</v>
      </c>
      <c r="C449" t="s">
        <v>29</v>
      </c>
      <c r="D449">
        <v>294</v>
      </c>
      <c r="E449">
        <v>30</v>
      </c>
      <c r="F449" s="2">
        <v>258.58</v>
      </c>
      <c r="G449" t="s">
        <v>31</v>
      </c>
      <c r="H449" s="1">
        <v>45560</v>
      </c>
      <c r="I449" s="1">
        <v>45569</v>
      </c>
      <c r="J449" t="s">
        <v>37</v>
      </c>
      <c r="K449" s="8">
        <f>Table2[[#This Row],[CurrentStock]]*Table2[[#This Row],[UnitPrice]]</f>
        <v>76022.51999999999</v>
      </c>
      <c r="L449" t="str">
        <f>IF(Table2[[#This Row],[CurrentStock]]&lt;=Table2[[#This Row],[ReorderLevel]], "Reorder Needed", "Okay")</f>
        <v>Okay</v>
      </c>
      <c r="M449" t="str">
        <f>IF(Table2[[#This Row],[CurrentStock]]-Table2[[#This Row],[ReorderLevel]]&lt;0,Table2[[#This Row],[CurrentStock]]-Table2[[#This Row],[ReorderLevel]],"")</f>
        <v/>
      </c>
      <c r="N449" t="str">
        <f>IF(Table2[[#This Row],[Stock Gap]]&lt;0, "Understock","Okay")</f>
        <v>Okay</v>
      </c>
      <c r="O449" s="13" t="str">
        <f>IF(Table2[[#This Row],[Stock Gap]]&lt;0, "Yes", "No")</f>
        <v>No</v>
      </c>
      <c r="P449" s="13" t="str">
        <f>IF(Table2[[#This Row],[CurrentStock]]&lt;Table2[[#This Row],[ReorderLevel]],"Reorder", "Okay")</f>
        <v>Okay</v>
      </c>
      <c r="Q449" s="13" t="str">
        <f>IF(Table2[[#This Row],[CurrentStock]]&gt;Table2[[#This Row],[ReorderLevel]]*3, "Overstock", "Okay")</f>
        <v>Overstock</v>
      </c>
    </row>
    <row r="450" spans="1:17" x14ac:dyDescent="0.35">
      <c r="A450">
        <v>49082</v>
      </c>
      <c r="B450" t="s">
        <v>23</v>
      </c>
      <c r="C450" t="s">
        <v>30</v>
      </c>
      <c r="D450">
        <v>102</v>
      </c>
      <c r="E450">
        <v>80</v>
      </c>
      <c r="F450" s="2">
        <v>389.36</v>
      </c>
      <c r="G450" t="s">
        <v>34</v>
      </c>
      <c r="H450" s="1">
        <v>45353</v>
      </c>
      <c r="I450" s="1">
        <v>45374</v>
      </c>
      <c r="J450" t="s">
        <v>37</v>
      </c>
      <c r="K450" s="8">
        <f>Table2[[#This Row],[CurrentStock]]*Table2[[#This Row],[UnitPrice]]</f>
        <v>39714.720000000001</v>
      </c>
      <c r="L450" t="str">
        <f>IF(Table2[[#This Row],[CurrentStock]]&lt;=Table2[[#This Row],[ReorderLevel]], "Reorder Needed", "Okay")</f>
        <v>Okay</v>
      </c>
      <c r="M450" t="str">
        <f>IF(Table2[[#This Row],[CurrentStock]]-Table2[[#This Row],[ReorderLevel]]&lt;0,Table2[[#This Row],[CurrentStock]]-Table2[[#This Row],[ReorderLevel]],"")</f>
        <v/>
      </c>
      <c r="N450" t="str">
        <f>IF(Table2[[#This Row],[Stock Gap]]&lt;0, "Understock","Okay")</f>
        <v>Okay</v>
      </c>
      <c r="O450" s="13" t="str">
        <f>IF(Table2[[#This Row],[Stock Gap]]&lt;0, "Yes", "No")</f>
        <v>No</v>
      </c>
      <c r="P450" s="13" t="str">
        <f>IF(Table2[[#This Row],[CurrentStock]]&lt;Table2[[#This Row],[ReorderLevel]],"Reorder", "Okay")</f>
        <v>Okay</v>
      </c>
      <c r="Q450" s="13" t="str">
        <f>IF(Table2[[#This Row],[CurrentStock]]&gt;Table2[[#This Row],[ReorderLevel]]*3, "Overstock", "Okay")</f>
        <v>Okay</v>
      </c>
    </row>
    <row r="451" spans="1:17" x14ac:dyDescent="0.35">
      <c r="A451">
        <v>52056</v>
      </c>
      <c r="B451" t="s">
        <v>15</v>
      </c>
      <c r="C451" t="s">
        <v>29</v>
      </c>
      <c r="D451">
        <v>206</v>
      </c>
      <c r="E451">
        <v>80</v>
      </c>
      <c r="F451" s="2">
        <v>316.07</v>
      </c>
      <c r="G451" t="s">
        <v>34</v>
      </c>
      <c r="H451" s="1">
        <v>45573</v>
      </c>
      <c r="I451" s="1">
        <v>45593</v>
      </c>
      <c r="J451" t="s">
        <v>36</v>
      </c>
      <c r="K451" s="8">
        <f>Table2[[#This Row],[CurrentStock]]*Table2[[#This Row],[UnitPrice]]</f>
        <v>65110.42</v>
      </c>
      <c r="L451" t="str">
        <f>IF(Table2[[#This Row],[CurrentStock]]&lt;=Table2[[#This Row],[ReorderLevel]], "Reorder Needed", "Okay")</f>
        <v>Okay</v>
      </c>
      <c r="M451" t="str">
        <f>IF(Table2[[#This Row],[CurrentStock]]-Table2[[#This Row],[ReorderLevel]]&lt;0,Table2[[#This Row],[CurrentStock]]-Table2[[#This Row],[ReorderLevel]],"")</f>
        <v/>
      </c>
      <c r="N451" t="str">
        <f>IF(Table2[[#This Row],[Stock Gap]]&lt;0, "Understock","Okay")</f>
        <v>Okay</v>
      </c>
      <c r="O451" s="13" t="str">
        <f>IF(Table2[[#This Row],[Stock Gap]]&lt;0, "Yes", "No")</f>
        <v>No</v>
      </c>
      <c r="P451" s="13" t="str">
        <f>IF(Table2[[#This Row],[CurrentStock]]&lt;Table2[[#This Row],[ReorderLevel]],"Reorder", "Okay")</f>
        <v>Okay</v>
      </c>
      <c r="Q451" s="13" t="str">
        <f>IF(Table2[[#This Row],[CurrentStock]]&gt;Table2[[#This Row],[ReorderLevel]]*3, "Overstock", "Okay")</f>
        <v>Okay</v>
      </c>
    </row>
    <row r="452" spans="1:17" x14ac:dyDescent="0.35">
      <c r="A452">
        <v>10717</v>
      </c>
      <c r="B452" t="s">
        <v>11</v>
      </c>
      <c r="C452" t="s">
        <v>27</v>
      </c>
      <c r="D452">
        <v>335</v>
      </c>
      <c r="E452">
        <v>20</v>
      </c>
      <c r="F452" s="2">
        <v>245.12</v>
      </c>
      <c r="G452" t="s">
        <v>35</v>
      </c>
      <c r="H452" s="1">
        <v>45409</v>
      </c>
      <c r="I452" s="1">
        <v>45420</v>
      </c>
      <c r="J452" t="s">
        <v>37</v>
      </c>
      <c r="K452" s="8">
        <f>Table2[[#This Row],[CurrentStock]]*Table2[[#This Row],[UnitPrice]]</f>
        <v>82115.199999999997</v>
      </c>
      <c r="L452" t="str">
        <f>IF(Table2[[#This Row],[CurrentStock]]&lt;=Table2[[#This Row],[ReorderLevel]], "Reorder Needed", "Okay")</f>
        <v>Okay</v>
      </c>
      <c r="M452" t="str">
        <f>IF(Table2[[#This Row],[CurrentStock]]-Table2[[#This Row],[ReorderLevel]]&lt;0,Table2[[#This Row],[CurrentStock]]-Table2[[#This Row],[ReorderLevel]],"")</f>
        <v/>
      </c>
      <c r="N452" t="str">
        <f>IF(Table2[[#This Row],[Stock Gap]]&lt;0, "Understock","Okay")</f>
        <v>Okay</v>
      </c>
      <c r="O452" s="13" t="str">
        <f>IF(Table2[[#This Row],[Stock Gap]]&lt;0, "Yes", "No")</f>
        <v>No</v>
      </c>
      <c r="P452" s="13" t="str">
        <f>IF(Table2[[#This Row],[CurrentStock]]&lt;Table2[[#This Row],[ReorderLevel]],"Reorder", "Okay")</f>
        <v>Okay</v>
      </c>
      <c r="Q452" s="13" t="str">
        <f>IF(Table2[[#This Row],[CurrentStock]]&gt;Table2[[#This Row],[ReorderLevel]]*3, "Overstock", "Okay")</f>
        <v>Overstock</v>
      </c>
    </row>
    <row r="453" spans="1:17" x14ac:dyDescent="0.35">
      <c r="A453">
        <v>44872</v>
      </c>
      <c r="B453" t="s">
        <v>14</v>
      </c>
      <c r="C453" t="s">
        <v>28</v>
      </c>
      <c r="D453">
        <v>424</v>
      </c>
      <c r="E453">
        <v>80</v>
      </c>
      <c r="F453" s="2">
        <v>244.75</v>
      </c>
      <c r="G453" t="s">
        <v>32</v>
      </c>
      <c r="H453" s="1">
        <v>45430</v>
      </c>
      <c r="I453" s="1">
        <v>45464</v>
      </c>
      <c r="J453" t="s">
        <v>37</v>
      </c>
      <c r="K453" s="8">
        <f>Table2[[#This Row],[CurrentStock]]*Table2[[#This Row],[UnitPrice]]</f>
        <v>103774</v>
      </c>
      <c r="L453" t="str">
        <f>IF(Table2[[#This Row],[CurrentStock]]&lt;=Table2[[#This Row],[ReorderLevel]], "Reorder Needed", "Okay")</f>
        <v>Okay</v>
      </c>
      <c r="M453" t="str">
        <f>IF(Table2[[#This Row],[CurrentStock]]-Table2[[#This Row],[ReorderLevel]]&lt;0,Table2[[#This Row],[CurrentStock]]-Table2[[#This Row],[ReorderLevel]],"")</f>
        <v/>
      </c>
      <c r="N453" t="str">
        <f>IF(Table2[[#This Row],[Stock Gap]]&lt;0, "Understock","Okay")</f>
        <v>Okay</v>
      </c>
      <c r="O453" s="13" t="str">
        <f>IF(Table2[[#This Row],[Stock Gap]]&lt;0, "Yes", "No")</f>
        <v>No</v>
      </c>
      <c r="P453" s="13" t="str">
        <f>IF(Table2[[#This Row],[CurrentStock]]&lt;Table2[[#This Row],[ReorderLevel]],"Reorder", "Okay")</f>
        <v>Okay</v>
      </c>
      <c r="Q453" s="13" t="str">
        <f>IF(Table2[[#This Row],[CurrentStock]]&gt;Table2[[#This Row],[ReorderLevel]]*3, "Overstock", "Okay")</f>
        <v>Overstock</v>
      </c>
    </row>
    <row r="454" spans="1:17" x14ac:dyDescent="0.35">
      <c r="A454">
        <v>35307</v>
      </c>
      <c r="B454" t="s">
        <v>20</v>
      </c>
      <c r="C454" t="s">
        <v>30</v>
      </c>
      <c r="D454">
        <v>5</v>
      </c>
      <c r="E454">
        <v>50</v>
      </c>
      <c r="F454" s="2">
        <v>94.95</v>
      </c>
      <c r="G454" t="s">
        <v>33</v>
      </c>
      <c r="H454" s="1">
        <v>45651</v>
      </c>
      <c r="I454" s="1">
        <v>45670</v>
      </c>
      <c r="J454" t="s">
        <v>36</v>
      </c>
      <c r="K454" s="8">
        <f>Table2[[#This Row],[CurrentStock]]*Table2[[#This Row],[UnitPrice]]</f>
        <v>474.75</v>
      </c>
      <c r="L454" t="str">
        <f>IF(Table2[[#This Row],[CurrentStock]]&lt;=Table2[[#This Row],[ReorderLevel]], "Reorder Needed", "Okay")</f>
        <v>Reorder Needed</v>
      </c>
      <c r="M454" s="7">
        <f>IF(Table2[[#This Row],[CurrentStock]]-Table2[[#This Row],[ReorderLevel]]&lt;0,Table2[[#This Row],[CurrentStock]]-Table2[[#This Row],[ReorderLevel]],"")</f>
        <v>-45</v>
      </c>
      <c r="N454" t="str">
        <f>IF(Table2[[#This Row],[Stock Gap]]&lt;0, "Understock","Okay")</f>
        <v>Understock</v>
      </c>
      <c r="O454" s="13" t="str">
        <f>IF(Table2[[#This Row],[Stock Gap]]&lt;0, "Yes", "No")</f>
        <v>Yes</v>
      </c>
      <c r="P454" s="13" t="str">
        <f>IF(Table2[[#This Row],[CurrentStock]]&lt;Table2[[#This Row],[ReorderLevel]],"Reorder", "Okay")</f>
        <v>Reorder</v>
      </c>
      <c r="Q454" s="13" t="str">
        <f>IF(Table2[[#This Row],[CurrentStock]]&gt;Table2[[#This Row],[ReorderLevel]]*3, "Overstock", "Okay")</f>
        <v>Okay</v>
      </c>
    </row>
    <row r="455" spans="1:17" x14ac:dyDescent="0.35">
      <c r="A455">
        <v>97999</v>
      </c>
      <c r="B455" t="s">
        <v>17</v>
      </c>
      <c r="C455" t="s">
        <v>27</v>
      </c>
      <c r="D455">
        <v>81</v>
      </c>
      <c r="E455">
        <v>30</v>
      </c>
      <c r="F455" s="2">
        <v>259.12</v>
      </c>
      <c r="G455" t="s">
        <v>35</v>
      </c>
      <c r="H455" s="1">
        <v>45626</v>
      </c>
      <c r="I455" s="1">
        <v>45650</v>
      </c>
      <c r="J455" t="s">
        <v>37</v>
      </c>
      <c r="K455" s="8">
        <f>Table2[[#This Row],[CurrentStock]]*Table2[[#This Row],[UnitPrice]]</f>
        <v>20988.720000000001</v>
      </c>
      <c r="L455" t="str">
        <f>IF(Table2[[#This Row],[CurrentStock]]&lt;=Table2[[#This Row],[ReorderLevel]], "Reorder Needed", "Okay")</f>
        <v>Okay</v>
      </c>
      <c r="M455" t="str">
        <f>IF(Table2[[#This Row],[CurrentStock]]-Table2[[#This Row],[ReorderLevel]]&lt;0,Table2[[#This Row],[CurrentStock]]-Table2[[#This Row],[ReorderLevel]],"")</f>
        <v/>
      </c>
      <c r="N455" t="str">
        <f>IF(Table2[[#This Row],[Stock Gap]]&lt;0, "Understock","Okay")</f>
        <v>Okay</v>
      </c>
      <c r="O455" s="13" t="str">
        <f>IF(Table2[[#This Row],[Stock Gap]]&lt;0, "Yes", "No")</f>
        <v>No</v>
      </c>
      <c r="P455" s="13" t="str">
        <f>IF(Table2[[#This Row],[CurrentStock]]&lt;Table2[[#This Row],[ReorderLevel]],"Reorder", "Okay")</f>
        <v>Okay</v>
      </c>
      <c r="Q455" s="13" t="str">
        <f>IF(Table2[[#This Row],[CurrentStock]]&gt;Table2[[#This Row],[ReorderLevel]]*3, "Overstock", "Okay")</f>
        <v>Okay</v>
      </c>
    </row>
    <row r="456" spans="1:17" x14ac:dyDescent="0.35">
      <c r="A456">
        <v>32010</v>
      </c>
      <c r="B456" t="s">
        <v>23</v>
      </c>
      <c r="C456" t="s">
        <v>30</v>
      </c>
      <c r="D456">
        <v>322</v>
      </c>
      <c r="E456">
        <v>40</v>
      </c>
      <c r="F456" s="2">
        <v>39.65</v>
      </c>
      <c r="G456" t="s">
        <v>33</v>
      </c>
      <c r="H456" s="1">
        <v>45497</v>
      </c>
      <c r="I456" s="1">
        <v>45505</v>
      </c>
      <c r="J456" t="s">
        <v>37</v>
      </c>
      <c r="K456" s="8">
        <f>Table2[[#This Row],[CurrentStock]]*Table2[[#This Row],[UnitPrice]]</f>
        <v>12767.3</v>
      </c>
      <c r="L456" t="str">
        <f>IF(Table2[[#This Row],[CurrentStock]]&lt;=Table2[[#This Row],[ReorderLevel]], "Reorder Needed", "Okay")</f>
        <v>Okay</v>
      </c>
      <c r="M456" t="str">
        <f>IF(Table2[[#This Row],[CurrentStock]]-Table2[[#This Row],[ReorderLevel]]&lt;0,Table2[[#This Row],[CurrentStock]]-Table2[[#This Row],[ReorderLevel]],"")</f>
        <v/>
      </c>
      <c r="N456" t="str">
        <f>IF(Table2[[#This Row],[Stock Gap]]&lt;0, "Understock","Okay")</f>
        <v>Okay</v>
      </c>
      <c r="O456" s="13" t="str">
        <f>IF(Table2[[#This Row],[Stock Gap]]&lt;0, "Yes", "No")</f>
        <v>No</v>
      </c>
      <c r="P456" s="13" t="str">
        <f>IF(Table2[[#This Row],[CurrentStock]]&lt;Table2[[#This Row],[ReorderLevel]],"Reorder", "Okay")</f>
        <v>Okay</v>
      </c>
      <c r="Q456" s="13" t="str">
        <f>IF(Table2[[#This Row],[CurrentStock]]&gt;Table2[[#This Row],[ReorderLevel]]*3, "Overstock", "Okay")</f>
        <v>Overstock</v>
      </c>
    </row>
    <row r="457" spans="1:17" x14ac:dyDescent="0.35">
      <c r="A457">
        <v>24683</v>
      </c>
      <c r="B457" t="s">
        <v>24</v>
      </c>
      <c r="C457" t="s">
        <v>30</v>
      </c>
      <c r="D457">
        <v>106</v>
      </c>
      <c r="E457">
        <v>40</v>
      </c>
      <c r="F457" s="2">
        <v>192.72</v>
      </c>
      <c r="G457" t="s">
        <v>33</v>
      </c>
      <c r="H457" s="1">
        <v>45353</v>
      </c>
      <c r="I457" s="1">
        <v>45366</v>
      </c>
      <c r="J457" t="s">
        <v>38</v>
      </c>
      <c r="K457" s="8">
        <f>Table2[[#This Row],[CurrentStock]]*Table2[[#This Row],[UnitPrice]]</f>
        <v>20428.32</v>
      </c>
      <c r="L457" t="str">
        <f>IF(Table2[[#This Row],[CurrentStock]]&lt;=Table2[[#This Row],[ReorderLevel]], "Reorder Needed", "Okay")</f>
        <v>Okay</v>
      </c>
      <c r="M457" t="str">
        <f>IF(Table2[[#This Row],[CurrentStock]]-Table2[[#This Row],[ReorderLevel]]&lt;0,Table2[[#This Row],[CurrentStock]]-Table2[[#This Row],[ReorderLevel]],"")</f>
        <v/>
      </c>
      <c r="N457" t="str">
        <f>IF(Table2[[#This Row],[Stock Gap]]&lt;0, "Understock","Okay")</f>
        <v>Okay</v>
      </c>
      <c r="O457" s="13" t="str">
        <f>IF(Table2[[#This Row],[Stock Gap]]&lt;0, "Yes", "No")</f>
        <v>No</v>
      </c>
      <c r="P457" s="13" t="str">
        <f>IF(Table2[[#This Row],[CurrentStock]]&lt;Table2[[#This Row],[ReorderLevel]],"Reorder", "Okay")</f>
        <v>Okay</v>
      </c>
      <c r="Q457" s="13" t="str">
        <f>IF(Table2[[#This Row],[CurrentStock]]&gt;Table2[[#This Row],[ReorderLevel]]*3, "Overstock", "Okay")</f>
        <v>Okay</v>
      </c>
    </row>
    <row r="458" spans="1:17" x14ac:dyDescent="0.35">
      <c r="A458">
        <v>21577</v>
      </c>
      <c r="B458" t="s">
        <v>16</v>
      </c>
      <c r="C458" t="s">
        <v>29</v>
      </c>
      <c r="D458">
        <v>206</v>
      </c>
      <c r="E458">
        <v>20</v>
      </c>
      <c r="F458" s="2">
        <v>292.60000000000002</v>
      </c>
      <c r="G458" t="s">
        <v>33</v>
      </c>
      <c r="H458" s="1">
        <v>45492</v>
      </c>
      <c r="I458" s="1">
        <v>45528</v>
      </c>
      <c r="J458" t="s">
        <v>36</v>
      </c>
      <c r="K458" s="8">
        <f>Table2[[#This Row],[CurrentStock]]*Table2[[#This Row],[UnitPrice]]</f>
        <v>60275.600000000006</v>
      </c>
      <c r="L458" t="str">
        <f>IF(Table2[[#This Row],[CurrentStock]]&lt;=Table2[[#This Row],[ReorderLevel]], "Reorder Needed", "Okay")</f>
        <v>Okay</v>
      </c>
      <c r="M458" t="str">
        <f>IF(Table2[[#This Row],[CurrentStock]]-Table2[[#This Row],[ReorderLevel]]&lt;0,Table2[[#This Row],[CurrentStock]]-Table2[[#This Row],[ReorderLevel]],"")</f>
        <v/>
      </c>
      <c r="N458" t="str">
        <f>IF(Table2[[#This Row],[Stock Gap]]&lt;0, "Understock","Okay")</f>
        <v>Okay</v>
      </c>
      <c r="O458" s="13" t="str">
        <f>IF(Table2[[#This Row],[Stock Gap]]&lt;0, "Yes", "No")</f>
        <v>No</v>
      </c>
      <c r="P458" s="13" t="str">
        <f>IF(Table2[[#This Row],[CurrentStock]]&lt;Table2[[#This Row],[ReorderLevel]],"Reorder", "Okay")</f>
        <v>Okay</v>
      </c>
      <c r="Q458" s="13" t="str">
        <f>IF(Table2[[#This Row],[CurrentStock]]&gt;Table2[[#This Row],[ReorderLevel]]*3, "Overstock", "Okay")</f>
        <v>Overstock</v>
      </c>
    </row>
    <row r="459" spans="1:17" x14ac:dyDescent="0.35">
      <c r="A459">
        <v>45710</v>
      </c>
      <c r="B459" t="s">
        <v>19</v>
      </c>
      <c r="C459" t="s">
        <v>28</v>
      </c>
      <c r="D459">
        <v>210</v>
      </c>
      <c r="E459">
        <v>50</v>
      </c>
      <c r="F459" s="2">
        <v>372.42</v>
      </c>
      <c r="G459" t="s">
        <v>33</v>
      </c>
      <c r="H459" s="1">
        <v>45362</v>
      </c>
      <c r="I459" s="1">
        <v>45394</v>
      </c>
      <c r="J459" t="s">
        <v>38</v>
      </c>
      <c r="K459" s="8">
        <f>Table2[[#This Row],[CurrentStock]]*Table2[[#This Row],[UnitPrice]]</f>
        <v>78208.2</v>
      </c>
      <c r="L459" t="str">
        <f>IF(Table2[[#This Row],[CurrentStock]]&lt;=Table2[[#This Row],[ReorderLevel]], "Reorder Needed", "Okay")</f>
        <v>Okay</v>
      </c>
      <c r="M459" t="str">
        <f>IF(Table2[[#This Row],[CurrentStock]]-Table2[[#This Row],[ReorderLevel]]&lt;0,Table2[[#This Row],[CurrentStock]]-Table2[[#This Row],[ReorderLevel]],"")</f>
        <v/>
      </c>
      <c r="N459" t="str">
        <f>IF(Table2[[#This Row],[Stock Gap]]&lt;0, "Understock","Okay")</f>
        <v>Okay</v>
      </c>
      <c r="O459" s="13" t="str">
        <f>IF(Table2[[#This Row],[Stock Gap]]&lt;0, "Yes", "No")</f>
        <v>No</v>
      </c>
      <c r="P459" s="13" t="str">
        <f>IF(Table2[[#This Row],[CurrentStock]]&lt;Table2[[#This Row],[ReorderLevel]],"Reorder", "Okay")</f>
        <v>Okay</v>
      </c>
      <c r="Q459" s="13" t="str">
        <f>IF(Table2[[#This Row],[CurrentStock]]&gt;Table2[[#This Row],[ReorderLevel]]*3, "Overstock", "Okay")</f>
        <v>Overstock</v>
      </c>
    </row>
    <row r="460" spans="1:17" x14ac:dyDescent="0.35">
      <c r="A460">
        <v>76025</v>
      </c>
      <c r="B460" t="s">
        <v>22</v>
      </c>
      <c r="C460" t="s">
        <v>29</v>
      </c>
      <c r="D460">
        <v>400</v>
      </c>
      <c r="E460">
        <v>150</v>
      </c>
      <c r="F460" s="2">
        <v>304.68</v>
      </c>
      <c r="G460" t="s">
        <v>35</v>
      </c>
      <c r="H460" s="1">
        <v>45568</v>
      </c>
      <c r="I460" s="1">
        <v>45598</v>
      </c>
      <c r="J460" t="s">
        <v>36</v>
      </c>
      <c r="K460" s="8">
        <f>Table2[[#This Row],[CurrentStock]]*Table2[[#This Row],[UnitPrice]]</f>
        <v>121872</v>
      </c>
      <c r="L460" t="str">
        <f>IF(Table2[[#This Row],[CurrentStock]]&lt;=Table2[[#This Row],[ReorderLevel]], "Reorder Needed", "Okay")</f>
        <v>Okay</v>
      </c>
      <c r="M460" t="str">
        <f>IF(Table2[[#This Row],[CurrentStock]]-Table2[[#This Row],[ReorderLevel]]&lt;0,Table2[[#This Row],[CurrentStock]]-Table2[[#This Row],[ReorderLevel]],"")</f>
        <v/>
      </c>
      <c r="N460" t="str">
        <f>IF(Table2[[#This Row],[Stock Gap]]&lt;0, "Understock","Okay")</f>
        <v>Okay</v>
      </c>
      <c r="O460" s="13" t="str">
        <f>IF(Table2[[#This Row],[Stock Gap]]&lt;0, "Yes", "No")</f>
        <v>No</v>
      </c>
      <c r="P460" s="13" t="str">
        <f>IF(Table2[[#This Row],[CurrentStock]]&lt;Table2[[#This Row],[ReorderLevel]],"Reorder", "Okay")</f>
        <v>Okay</v>
      </c>
      <c r="Q460" s="13" t="str">
        <f>IF(Table2[[#This Row],[CurrentStock]]&gt;Table2[[#This Row],[ReorderLevel]]*3, "Overstock", "Okay")</f>
        <v>Okay</v>
      </c>
    </row>
    <row r="461" spans="1:17" x14ac:dyDescent="0.35">
      <c r="A461">
        <v>26999</v>
      </c>
      <c r="B461" t="s">
        <v>20</v>
      </c>
      <c r="C461" t="s">
        <v>30</v>
      </c>
      <c r="D461">
        <v>444</v>
      </c>
      <c r="E461">
        <v>80</v>
      </c>
      <c r="F461" s="2">
        <v>357.82</v>
      </c>
      <c r="G461" t="s">
        <v>31</v>
      </c>
      <c r="H461" s="1">
        <v>45307</v>
      </c>
      <c r="I461" s="1">
        <v>45319</v>
      </c>
      <c r="J461" t="s">
        <v>36</v>
      </c>
      <c r="K461" s="8">
        <f>Table2[[#This Row],[CurrentStock]]*Table2[[#This Row],[UnitPrice]]</f>
        <v>158872.07999999999</v>
      </c>
      <c r="L461" t="str">
        <f>IF(Table2[[#This Row],[CurrentStock]]&lt;=Table2[[#This Row],[ReorderLevel]], "Reorder Needed", "Okay")</f>
        <v>Okay</v>
      </c>
      <c r="M461" t="str">
        <f>IF(Table2[[#This Row],[CurrentStock]]-Table2[[#This Row],[ReorderLevel]]&lt;0,Table2[[#This Row],[CurrentStock]]-Table2[[#This Row],[ReorderLevel]],"")</f>
        <v/>
      </c>
      <c r="N461" t="str">
        <f>IF(Table2[[#This Row],[Stock Gap]]&lt;0, "Understock","Okay")</f>
        <v>Okay</v>
      </c>
      <c r="O461" s="13" t="str">
        <f>IF(Table2[[#This Row],[Stock Gap]]&lt;0, "Yes", "No")</f>
        <v>No</v>
      </c>
      <c r="P461" s="13" t="str">
        <f>IF(Table2[[#This Row],[CurrentStock]]&lt;Table2[[#This Row],[ReorderLevel]],"Reorder", "Okay")</f>
        <v>Okay</v>
      </c>
      <c r="Q461" s="13" t="str">
        <f>IF(Table2[[#This Row],[CurrentStock]]&gt;Table2[[#This Row],[ReorderLevel]]*3, "Overstock", "Okay")</f>
        <v>Overstock</v>
      </c>
    </row>
    <row r="462" spans="1:17" x14ac:dyDescent="0.35">
      <c r="A462">
        <v>31839</v>
      </c>
      <c r="B462" t="s">
        <v>15</v>
      </c>
      <c r="C462" t="s">
        <v>29</v>
      </c>
      <c r="D462">
        <v>385</v>
      </c>
      <c r="E462">
        <v>100</v>
      </c>
      <c r="F462" s="2">
        <v>434.98</v>
      </c>
      <c r="G462" t="s">
        <v>34</v>
      </c>
      <c r="H462" s="1">
        <v>45429</v>
      </c>
      <c r="I462" s="1">
        <v>45444</v>
      </c>
      <c r="J462" t="s">
        <v>38</v>
      </c>
      <c r="K462" s="8">
        <f>Table2[[#This Row],[CurrentStock]]*Table2[[#This Row],[UnitPrice]]</f>
        <v>167467.30000000002</v>
      </c>
      <c r="L462" t="str">
        <f>IF(Table2[[#This Row],[CurrentStock]]&lt;=Table2[[#This Row],[ReorderLevel]], "Reorder Needed", "Okay")</f>
        <v>Okay</v>
      </c>
      <c r="M462" t="str">
        <f>IF(Table2[[#This Row],[CurrentStock]]-Table2[[#This Row],[ReorderLevel]]&lt;0,Table2[[#This Row],[CurrentStock]]-Table2[[#This Row],[ReorderLevel]],"")</f>
        <v/>
      </c>
      <c r="N462" t="str">
        <f>IF(Table2[[#This Row],[Stock Gap]]&lt;0, "Understock","Okay")</f>
        <v>Okay</v>
      </c>
      <c r="O462" s="13" t="str">
        <f>IF(Table2[[#This Row],[Stock Gap]]&lt;0, "Yes", "No")</f>
        <v>No</v>
      </c>
      <c r="P462" s="13" t="str">
        <f>IF(Table2[[#This Row],[CurrentStock]]&lt;Table2[[#This Row],[ReorderLevel]],"Reorder", "Okay")</f>
        <v>Okay</v>
      </c>
      <c r="Q462" s="13" t="str">
        <f>IF(Table2[[#This Row],[CurrentStock]]&gt;Table2[[#This Row],[ReorderLevel]]*3, "Overstock", "Okay")</f>
        <v>Overstock</v>
      </c>
    </row>
    <row r="463" spans="1:17" x14ac:dyDescent="0.35">
      <c r="A463">
        <v>26767</v>
      </c>
      <c r="B463" t="s">
        <v>20</v>
      </c>
      <c r="C463" t="s">
        <v>30</v>
      </c>
      <c r="D463">
        <v>395</v>
      </c>
      <c r="E463">
        <v>40</v>
      </c>
      <c r="F463" s="2">
        <v>411.81</v>
      </c>
      <c r="G463" t="s">
        <v>34</v>
      </c>
      <c r="H463" s="1">
        <v>45437</v>
      </c>
      <c r="I463" s="1">
        <v>45473</v>
      </c>
      <c r="J463" t="s">
        <v>37</v>
      </c>
      <c r="K463" s="8">
        <f>Table2[[#This Row],[CurrentStock]]*Table2[[#This Row],[UnitPrice]]</f>
        <v>162664.95000000001</v>
      </c>
      <c r="L463" t="str">
        <f>IF(Table2[[#This Row],[CurrentStock]]&lt;=Table2[[#This Row],[ReorderLevel]], "Reorder Needed", "Okay")</f>
        <v>Okay</v>
      </c>
      <c r="M463" t="str">
        <f>IF(Table2[[#This Row],[CurrentStock]]-Table2[[#This Row],[ReorderLevel]]&lt;0,Table2[[#This Row],[CurrentStock]]-Table2[[#This Row],[ReorderLevel]],"")</f>
        <v/>
      </c>
      <c r="N463" t="str">
        <f>IF(Table2[[#This Row],[Stock Gap]]&lt;0, "Understock","Okay")</f>
        <v>Okay</v>
      </c>
      <c r="O463" s="13" t="str">
        <f>IF(Table2[[#This Row],[Stock Gap]]&lt;0, "Yes", "No")</f>
        <v>No</v>
      </c>
      <c r="P463" s="13" t="str">
        <f>IF(Table2[[#This Row],[CurrentStock]]&lt;Table2[[#This Row],[ReorderLevel]],"Reorder", "Okay")</f>
        <v>Okay</v>
      </c>
      <c r="Q463" s="13" t="str">
        <f>IF(Table2[[#This Row],[CurrentStock]]&gt;Table2[[#This Row],[ReorderLevel]]*3, "Overstock", "Okay")</f>
        <v>Overstock</v>
      </c>
    </row>
    <row r="464" spans="1:17" x14ac:dyDescent="0.35">
      <c r="A464">
        <v>47019</v>
      </c>
      <c r="B464" t="s">
        <v>14</v>
      </c>
      <c r="C464" t="s">
        <v>28</v>
      </c>
      <c r="D464">
        <v>450</v>
      </c>
      <c r="E464">
        <v>100</v>
      </c>
      <c r="F464" s="2">
        <v>116.4</v>
      </c>
      <c r="G464" t="s">
        <v>35</v>
      </c>
      <c r="H464" s="1">
        <v>45464</v>
      </c>
      <c r="I464" s="1">
        <v>45500</v>
      </c>
      <c r="J464" t="s">
        <v>38</v>
      </c>
      <c r="K464" s="8">
        <f>Table2[[#This Row],[CurrentStock]]*Table2[[#This Row],[UnitPrice]]</f>
        <v>52380</v>
      </c>
      <c r="L464" t="str">
        <f>IF(Table2[[#This Row],[CurrentStock]]&lt;=Table2[[#This Row],[ReorderLevel]], "Reorder Needed", "Okay")</f>
        <v>Okay</v>
      </c>
      <c r="M464" t="str">
        <f>IF(Table2[[#This Row],[CurrentStock]]-Table2[[#This Row],[ReorderLevel]]&lt;0,Table2[[#This Row],[CurrentStock]]-Table2[[#This Row],[ReorderLevel]],"")</f>
        <v/>
      </c>
      <c r="N464" t="str">
        <f>IF(Table2[[#This Row],[Stock Gap]]&lt;0, "Understock","Okay")</f>
        <v>Okay</v>
      </c>
      <c r="O464" s="13" t="str">
        <f>IF(Table2[[#This Row],[Stock Gap]]&lt;0, "Yes", "No")</f>
        <v>No</v>
      </c>
      <c r="P464" s="13" t="str">
        <f>IF(Table2[[#This Row],[CurrentStock]]&lt;Table2[[#This Row],[ReorderLevel]],"Reorder", "Okay")</f>
        <v>Okay</v>
      </c>
      <c r="Q464" s="13" t="str">
        <f>IF(Table2[[#This Row],[CurrentStock]]&gt;Table2[[#This Row],[ReorderLevel]]*3, "Overstock", "Okay")</f>
        <v>Overstock</v>
      </c>
    </row>
    <row r="465" spans="1:17" x14ac:dyDescent="0.35">
      <c r="A465">
        <v>34031</v>
      </c>
      <c r="B465" t="s">
        <v>15</v>
      </c>
      <c r="C465" t="s">
        <v>29</v>
      </c>
      <c r="D465">
        <v>355</v>
      </c>
      <c r="E465">
        <v>150</v>
      </c>
      <c r="F465" s="2">
        <v>135.99</v>
      </c>
      <c r="G465" t="s">
        <v>33</v>
      </c>
      <c r="H465" s="1">
        <v>45498</v>
      </c>
      <c r="I465" s="1">
        <v>45506</v>
      </c>
      <c r="J465" t="s">
        <v>38</v>
      </c>
      <c r="K465" s="8">
        <f>Table2[[#This Row],[CurrentStock]]*Table2[[#This Row],[UnitPrice]]</f>
        <v>48276.450000000004</v>
      </c>
      <c r="L465" t="str">
        <f>IF(Table2[[#This Row],[CurrentStock]]&lt;=Table2[[#This Row],[ReorderLevel]], "Reorder Needed", "Okay")</f>
        <v>Okay</v>
      </c>
      <c r="M465" t="str">
        <f>IF(Table2[[#This Row],[CurrentStock]]-Table2[[#This Row],[ReorderLevel]]&lt;0,Table2[[#This Row],[CurrentStock]]-Table2[[#This Row],[ReorderLevel]],"")</f>
        <v/>
      </c>
      <c r="N465" t="str">
        <f>IF(Table2[[#This Row],[Stock Gap]]&lt;0, "Understock","Okay")</f>
        <v>Okay</v>
      </c>
      <c r="O465" s="13" t="str">
        <f>IF(Table2[[#This Row],[Stock Gap]]&lt;0, "Yes", "No")</f>
        <v>No</v>
      </c>
      <c r="P465" s="13" t="str">
        <f>IF(Table2[[#This Row],[CurrentStock]]&lt;Table2[[#This Row],[ReorderLevel]],"Reorder", "Okay")</f>
        <v>Okay</v>
      </c>
      <c r="Q465" s="13" t="str">
        <f>IF(Table2[[#This Row],[CurrentStock]]&gt;Table2[[#This Row],[ReorderLevel]]*3, "Overstock", "Okay")</f>
        <v>Okay</v>
      </c>
    </row>
    <row r="466" spans="1:17" x14ac:dyDescent="0.35">
      <c r="A466">
        <v>76629</v>
      </c>
      <c r="B466" t="s">
        <v>16</v>
      </c>
      <c r="C466" t="s">
        <v>29</v>
      </c>
      <c r="D466">
        <v>203</v>
      </c>
      <c r="E466">
        <v>20</v>
      </c>
      <c r="F466" s="2">
        <v>219.01</v>
      </c>
      <c r="G466" t="s">
        <v>35</v>
      </c>
      <c r="H466" s="1">
        <v>45548</v>
      </c>
      <c r="I466" s="1">
        <v>45574</v>
      </c>
      <c r="J466" t="s">
        <v>36</v>
      </c>
      <c r="K466" s="8">
        <f>Table2[[#This Row],[CurrentStock]]*Table2[[#This Row],[UnitPrice]]</f>
        <v>44459.03</v>
      </c>
      <c r="L466" t="str">
        <f>IF(Table2[[#This Row],[CurrentStock]]&lt;=Table2[[#This Row],[ReorderLevel]], "Reorder Needed", "Okay")</f>
        <v>Okay</v>
      </c>
      <c r="M466" t="str">
        <f>IF(Table2[[#This Row],[CurrentStock]]-Table2[[#This Row],[ReorderLevel]]&lt;0,Table2[[#This Row],[CurrentStock]]-Table2[[#This Row],[ReorderLevel]],"")</f>
        <v/>
      </c>
      <c r="N466" t="str">
        <f>IF(Table2[[#This Row],[Stock Gap]]&lt;0, "Understock","Okay")</f>
        <v>Okay</v>
      </c>
      <c r="O466" s="13" t="str">
        <f>IF(Table2[[#This Row],[Stock Gap]]&lt;0, "Yes", "No")</f>
        <v>No</v>
      </c>
      <c r="P466" s="13" t="str">
        <f>IF(Table2[[#This Row],[CurrentStock]]&lt;Table2[[#This Row],[ReorderLevel]],"Reorder", "Okay")</f>
        <v>Okay</v>
      </c>
      <c r="Q466" s="13" t="str">
        <f>IF(Table2[[#This Row],[CurrentStock]]&gt;Table2[[#This Row],[ReorderLevel]]*3, "Overstock", "Okay")</f>
        <v>Overstock</v>
      </c>
    </row>
    <row r="467" spans="1:17" x14ac:dyDescent="0.35">
      <c r="A467">
        <v>12103</v>
      </c>
      <c r="B467" t="s">
        <v>12</v>
      </c>
      <c r="C467" t="s">
        <v>28</v>
      </c>
      <c r="D467">
        <v>4</v>
      </c>
      <c r="E467">
        <v>50</v>
      </c>
      <c r="F467" s="2">
        <v>24.29</v>
      </c>
      <c r="G467" t="s">
        <v>31</v>
      </c>
      <c r="H467" s="1">
        <v>45469</v>
      </c>
      <c r="I467" s="1">
        <v>45479</v>
      </c>
      <c r="J467" t="s">
        <v>37</v>
      </c>
      <c r="K467" s="8">
        <f>Table2[[#This Row],[CurrentStock]]*Table2[[#This Row],[UnitPrice]]</f>
        <v>97.16</v>
      </c>
      <c r="L467" t="str">
        <f>IF(Table2[[#This Row],[CurrentStock]]&lt;=Table2[[#This Row],[ReorderLevel]], "Reorder Needed", "Okay")</f>
        <v>Reorder Needed</v>
      </c>
      <c r="M467" s="7">
        <f>IF(Table2[[#This Row],[CurrentStock]]-Table2[[#This Row],[ReorderLevel]]&lt;0,Table2[[#This Row],[CurrentStock]]-Table2[[#This Row],[ReorderLevel]],"")</f>
        <v>-46</v>
      </c>
      <c r="N467" t="str">
        <f>IF(Table2[[#This Row],[Stock Gap]]&lt;0, "Understock","Okay")</f>
        <v>Understock</v>
      </c>
      <c r="O467" s="13" t="str">
        <f>IF(Table2[[#This Row],[Stock Gap]]&lt;0, "Yes", "No")</f>
        <v>Yes</v>
      </c>
      <c r="P467" s="13" t="str">
        <f>IF(Table2[[#This Row],[CurrentStock]]&lt;Table2[[#This Row],[ReorderLevel]],"Reorder", "Okay")</f>
        <v>Reorder</v>
      </c>
      <c r="Q467" s="13" t="str">
        <f>IF(Table2[[#This Row],[CurrentStock]]&gt;Table2[[#This Row],[ReorderLevel]]*3, "Overstock", "Okay")</f>
        <v>Okay</v>
      </c>
    </row>
    <row r="468" spans="1:17" x14ac:dyDescent="0.35">
      <c r="A468">
        <v>77914</v>
      </c>
      <c r="B468" t="s">
        <v>15</v>
      </c>
      <c r="C468" t="s">
        <v>29</v>
      </c>
      <c r="D468">
        <v>103</v>
      </c>
      <c r="E468">
        <v>80</v>
      </c>
      <c r="F468" s="2">
        <v>413.58</v>
      </c>
      <c r="G468" t="s">
        <v>34</v>
      </c>
      <c r="H468" s="1">
        <v>45549</v>
      </c>
      <c r="I468" s="1">
        <v>45561</v>
      </c>
      <c r="J468" t="s">
        <v>38</v>
      </c>
      <c r="K468" s="8">
        <f>Table2[[#This Row],[CurrentStock]]*Table2[[#This Row],[UnitPrice]]</f>
        <v>42598.74</v>
      </c>
      <c r="L468" t="str">
        <f>IF(Table2[[#This Row],[CurrentStock]]&lt;=Table2[[#This Row],[ReorderLevel]], "Reorder Needed", "Okay")</f>
        <v>Okay</v>
      </c>
      <c r="M468" t="str">
        <f>IF(Table2[[#This Row],[CurrentStock]]-Table2[[#This Row],[ReorderLevel]]&lt;0,Table2[[#This Row],[CurrentStock]]-Table2[[#This Row],[ReorderLevel]],"")</f>
        <v/>
      </c>
      <c r="N468" t="str">
        <f>IF(Table2[[#This Row],[Stock Gap]]&lt;0, "Understock","Okay")</f>
        <v>Okay</v>
      </c>
      <c r="O468" s="13" t="str">
        <f>IF(Table2[[#This Row],[Stock Gap]]&lt;0, "Yes", "No")</f>
        <v>No</v>
      </c>
      <c r="P468" s="13" t="str">
        <f>IF(Table2[[#This Row],[CurrentStock]]&lt;Table2[[#This Row],[ReorderLevel]],"Reorder", "Okay")</f>
        <v>Okay</v>
      </c>
      <c r="Q468" s="13" t="str">
        <f>IF(Table2[[#This Row],[CurrentStock]]&gt;Table2[[#This Row],[ReorderLevel]]*3, "Overstock", "Okay")</f>
        <v>Okay</v>
      </c>
    </row>
    <row r="469" spans="1:17" x14ac:dyDescent="0.35">
      <c r="A469">
        <v>84842</v>
      </c>
      <c r="B469" t="s">
        <v>16</v>
      </c>
      <c r="C469" t="s">
        <v>29</v>
      </c>
      <c r="D469">
        <v>37</v>
      </c>
      <c r="E469">
        <v>40</v>
      </c>
      <c r="F469" s="2">
        <v>499.45</v>
      </c>
      <c r="G469" t="s">
        <v>35</v>
      </c>
      <c r="H469" s="1">
        <v>45590</v>
      </c>
      <c r="I469" s="1">
        <v>45625</v>
      </c>
      <c r="J469" t="s">
        <v>38</v>
      </c>
      <c r="K469" s="8">
        <f>Table2[[#This Row],[CurrentStock]]*Table2[[#This Row],[UnitPrice]]</f>
        <v>18479.649999999998</v>
      </c>
      <c r="L469" t="str">
        <f>IF(Table2[[#This Row],[CurrentStock]]&lt;=Table2[[#This Row],[ReorderLevel]], "Reorder Needed", "Okay")</f>
        <v>Reorder Needed</v>
      </c>
      <c r="M469" s="7">
        <f>IF(Table2[[#This Row],[CurrentStock]]-Table2[[#This Row],[ReorderLevel]]&lt;0,Table2[[#This Row],[CurrentStock]]-Table2[[#This Row],[ReorderLevel]],"")</f>
        <v>-3</v>
      </c>
      <c r="N469" t="str">
        <f>IF(Table2[[#This Row],[Stock Gap]]&lt;0, "Understock","Okay")</f>
        <v>Understock</v>
      </c>
      <c r="O469" s="13" t="str">
        <f>IF(Table2[[#This Row],[Stock Gap]]&lt;0, "Yes", "No")</f>
        <v>Yes</v>
      </c>
      <c r="P469" s="13" t="str">
        <f>IF(Table2[[#This Row],[CurrentStock]]&lt;Table2[[#This Row],[ReorderLevel]],"Reorder", "Okay")</f>
        <v>Reorder</v>
      </c>
      <c r="Q469" s="13" t="str">
        <f>IF(Table2[[#This Row],[CurrentStock]]&gt;Table2[[#This Row],[ReorderLevel]]*3, "Overstock", "Okay")</f>
        <v>Okay</v>
      </c>
    </row>
    <row r="470" spans="1:17" x14ac:dyDescent="0.35">
      <c r="A470">
        <v>73344</v>
      </c>
      <c r="B470" t="s">
        <v>19</v>
      </c>
      <c r="C470" t="s">
        <v>28</v>
      </c>
      <c r="D470">
        <v>346</v>
      </c>
      <c r="E470">
        <v>40</v>
      </c>
      <c r="F470" s="2">
        <v>287.73</v>
      </c>
      <c r="G470" t="s">
        <v>31</v>
      </c>
      <c r="H470" s="1">
        <v>45544</v>
      </c>
      <c r="I470" s="1">
        <v>45561</v>
      </c>
      <c r="J470" t="s">
        <v>37</v>
      </c>
      <c r="K470" s="8">
        <f>Table2[[#This Row],[CurrentStock]]*Table2[[#This Row],[UnitPrice]]</f>
        <v>99554.58</v>
      </c>
      <c r="L470" t="str">
        <f>IF(Table2[[#This Row],[CurrentStock]]&lt;=Table2[[#This Row],[ReorderLevel]], "Reorder Needed", "Okay")</f>
        <v>Okay</v>
      </c>
      <c r="M470" t="str">
        <f>IF(Table2[[#This Row],[CurrentStock]]-Table2[[#This Row],[ReorderLevel]]&lt;0,Table2[[#This Row],[CurrentStock]]-Table2[[#This Row],[ReorderLevel]],"")</f>
        <v/>
      </c>
      <c r="N470" t="str">
        <f>IF(Table2[[#This Row],[Stock Gap]]&lt;0, "Understock","Okay")</f>
        <v>Okay</v>
      </c>
      <c r="O470" s="13" t="str">
        <f>IF(Table2[[#This Row],[Stock Gap]]&lt;0, "Yes", "No")</f>
        <v>No</v>
      </c>
      <c r="P470" s="13" t="str">
        <f>IF(Table2[[#This Row],[CurrentStock]]&lt;Table2[[#This Row],[ReorderLevel]],"Reorder", "Okay")</f>
        <v>Okay</v>
      </c>
      <c r="Q470" s="13" t="str">
        <f>IF(Table2[[#This Row],[CurrentStock]]&gt;Table2[[#This Row],[ReorderLevel]]*3, "Overstock", "Okay")</f>
        <v>Overstock</v>
      </c>
    </row>
    <row r="471" spans="1:17" x14ac:dyDescent="0.35">
      <c r="A471">
        <v>42933</v>
      </c>
      <c r="B471" t="s">
        <v>19</v>
      </c>
      <c r="C471" t="s">
        <v>28</v>
      </c>
      <c r="D471">
        <v>498</v>
      </c>
      <c r="E471">
        <v>100</v>
      </c>
      <c r="F471" s="2">
        <v>285.26</v>
      </c>
      <c r="G471" t="s">
        <v>32</v>
      </c>
      <c r="H471" s="1">
        <v>45595</v>
      </c>
      <c r="I471" s="1">
        <v>45634</v>
      </c>
      <c r="J471" t="s">
        <v>36</v>
      </c>
      <c r="K471" s="8">
        <f>Table2[[#This Row],[CurrentStock]]*Table2[[#This Row],[UnitPrice]]</f>
        <v>142059.47999999998</v>
      </c>
      <c r="L471" t="str">
        <f>IF(Table2[[#This Row],[CurrentStock]]&lt;=Table2[[#This Row],[ReorderLevel]], "Reorder Needed", "Okay")</f>
        <v>Okay</v>
      </c>
      <c r="M471" t="str">
        <f>IF(Table2[[#This Row],[CurrentStock]]-Table2[[#This Row],[ReorderLevel]]&lt;0,Table2[[#This Row],[CurrentStock]]-Table2[[#This Row],[ReorderLevel]],"")</f>
        <v/>
      </c>
      <c r="N471" t="str">
        <f>IF(Table2[[#This Row],[Stock Gap]]&lt;0, "Understock","Okay")</f>
        <v>Okay</v>
      </c>
      <c r="O471" s="13" t="str">
        <f>IF(Table2[[#This Row],[Stock Gap]]&lt;0, "Yes", "No")</f>
        <v>No</v>
      </c>
      <c r="P471" s="13" t="str">
        <f>IF(Table2[[#This Row],[CurrentStock]]&lt;Table2[[#This Row],[ReorderLevel]],"Reorder", "Okay")</f>
        <v>Okay</v>
      </c>
      <c r="Q471" s="13" t="str">
        <f>IF(Table2[[#This Row],[CurrentStock]]&gt;Table2[[#This Row],[ReorderLevel]]*3, "Overstock", "Okay")</f>
        <v>Overstock</v>
      </c>
    </row>
    <row r="472" spans="1:17" x14ac:dyDescent="0.35">
      <c r="A472">
        <v>56287</v>
      </c>
      <c r="B472" t="s">
        <v>10</v>
      </c>
      <c r="C472" t="s">
        <v>26</v>
      </c>
      <c r="D472">
        <v>182</v>
      </c>
      <c r="E472">
        <v>150</v>
      </c>
      <c r="F472" s="2">
        <v>258.26</v>
      </c>
      <c r="G472" t="s">
        <v>35</v>
      </c>
      <c r="H472" s="1">
        <v>45646</v>
      </c>
      <c r="I472" s="1">
        <v>45653</v>
      </c>
      <c r="J472" t="s">
        <v>36</v>
      </c>
      <c r="K472" s="8">
        <f>Table2[[#This Row],[CurrentStock]]*Table2[[#This Row],[UnitPrice]]</f>
        <v>47003.32</v>
      </c>
      <c r="L472" t="str">
        <f>IF(Table2[[#This Row],[CurrentStock]]&lt;=Table2[[#This Row],[ReorderLevel]], "Reorder Needed", "Okay")</f>
        <v>Okay</v>
      </c>
      <c r="M472" t="str">
        <f>IF(Table2[[#This Row],[CurrentStock]]-Table2[[#This Row],[ReorderLevel]]&lt;0,Table2[[#This Row],[CurrentStock]]-Table2[[#This Row],[ReorderLevel]],"")</f>
        <v/>
      </c>
      <c r="N472" t="str">
        <f>IF(Table2[[#This Row],[Stock Gap]]&lt;0, "Understock","Okay")</f>
        <v>Okay</v>
      </c>
      <c r="O472" s="13" t="str">
        <f>IF(Table2[[#This Row],[Stock Gap]]&lt;0, "Yes", "No")</f>
        <v>No</v>
      </c>
      <c r="P472" s="13" t="str">
        <f>IF(Table2[[#This Row],[CurrentStock]]&lt;Table2[[#This Row],[ReorderLevel]],"Reorder", "Okay")</f>
        <v>Okay</v>
      </c>
      <c r="Q472" s="13" t="str">
        <f>IF(Table2[[#This Row],[CurrentStock]]&gt;Table2[[#This Row],[ReorderLevel]]*3, "Overstock", "Okay")</f>
        <v>Okay</v>
      </c>
    </row>
    <row r="473" spans="1:17" x14ac:dyDescent="0.35">
      <c r="A473">
        <v>20922</v>
      </c>
      <c r="B473" t="s">
        <v>22</v>
      </c>
      <c r="C473" t="s">
        <v>29</v>
      </c>
      <c r="D473">
        <v>338</v>
      </c>
      <c r="E473">
        <v>20</v>
      </c>
      <c r="F473" s="2">
        <v>39.32</v>
      </c>
      <c r="G473" t="s">
        <v>32</v>
      </c>
      <c r="H473" s="1">
        <v>45320</v>
      </c>
      <c r="I473" s="1">
        <v>45343</v>
      </c>
      <c r="J473" t="s">
        <v>38</v>
      </c>
      <c r="K473" s="8">
        <f>Table2[[#This Row],[CurrentStock]]*Table2[[#This Row],[UnitPrice]]</f>
        <v>13290.16</v>
      </c>
      <c r="L473" t="str">
        <f>IF(Table2[[#This Row],[CurrentStock]]&lt;=Table2[[#This Row],[ReorderLevel]], "Reorder Needed", "Okay")</f>
        <v>Okay</v>
      </c>
      <c r="M473" t="str">
        <f>IF(Table2[[#This Row],[CurrentStock]]-Table2[[#This Row],[ReorderLevel]]&lt;0,Table2[[#This Row],[CurrentStock]]-Table2[[#This Row],[ReorderLevel]],"")</f>
        <v/>
      </c>
      <c r="N473" t="str">
        <f>IF(Table2[[#This Row],[Stock Gap]]&lt;0, "Understock","Okay")</f>
        <v>Okay</v>
      </c>
      <c r="O473" s="13" t="str">
        <f>IF(Table2[[#This Row],[Stock Gap]]&lt;0, "Yes", "No")</f>
        <v>No</v>
      </c>
      <c r="P473" s="13" t="str">
        <f>IF(Table2[[#This Row],[CurrentStock]]&lt;Table2[[#This Row],[ReorderLevel]],"Reorder", "Okay")</f>
        <v>Okay</v>
      </c>
      <c r="Q473" s="13" t="str">
        <f>IF(Table2[[#This Row],[CurrentStock]]&gt;Table2[[#This Row],[ReorderLevel]]*3, "Overstock", "Okay")</f>
        <v>Overstock</v>
      </c>
    </row>
    <row r="474" spans="1:17" x14ac:dyDescent="0.35">
      <c r="A474">
        <v>43418</v>
      </c>
      <c r="B474" t="s">
        <v>15</v>
      </c>
      <c r="C474" t="s">
        <v>29</v>
      </c>
      <c r="D474">
        <v>152</v>
      </c>
      <c r="E474">
        <v>50</v>
      </c>
      <c r="F474" s="2">
        <v>286.89</v>
      </c>
      <c r="G474" t="s">
        <v>32</v>
      </c>
      <c r="H474" s="1">
        <v>45634</v>
      </c>
      <c r="I474" s="1">
        <v>45662</v>
      </c>
      <c r="J474" t="s">
        <v>37</v>
      </c>
      <c r="K474" s="8">
        <f>Table2[[#This Row],[CurrentStock]]*Table2[[#This Row],[UnitPrice]]</f>
        <v>43607.28</v>
      </c>
      <c r="L474" t="str">
        <f>IF(Table2[[#This Row],[CurrentStock]]&lt;=Table2[[#This Row],[ReorderLevel]], "Reorder Needed", "Okay")</f>
        <v>Okay</v>
      </c>
      <c r="M474" t="str">
        <f>IF(Table2[[#This Row],[CurrentStock]]-Table2[[#This Row],[ReorderLevel]]&lt;0,Table2[[#This Row],[CurrentStock]]-Table2[[#This Row],[ReorderLevel]],"")</f>
        <v/>
      </c>
      <c r="N474" t="str">
        <f>IF(Table2[[#This Row],[Stock Gap]]&lt;0, "Understock","Okay")</f>
        <v>Okay</v>
      </c>
      <c r="O474" s="13" t="str">
        <f>IF(Table2[[#This Row],[Stock Gap]]&lt;0, "Yes", "No")</f>
        <v>No</v>
      </c>
      <c r="P474" s="13" t="str">
        <f>IF(Table2[[#This Row],[CurrentStock]]&lt;Table2[[#This Row],[ReorderLevel]],"Reorder", "Okay")</f>
        <v>Okay</v>
      </c>
      <c r="Q474" s="13" t="str">
        <f>IF(Table2[[#This Row],[CurrentStock]]&gt;Table2[[#This Row],[ReorderLevel]]*3, "Overstock", "Okay")</f>
        <v>Overstock</v>
      </c>
    </row>
    <row r="475" spans="1:17" x14ac:dyDescent="0.35">
      <c r="A475">
        <v>40257</v>
      </c>
      <c r="B475" t="s">
        <v>9</v>
      </c>
      <c r="C475" t="s">
        <v>26</v>
      </c>
      <c r="D475">
        <v>190</v>
      </c>
      <c r="E475">
        <v>40</v>
      </c>
      <c r="F475" s="2">
        <v>237.3</v>
      </c>
      <c r="G475" t="s">
        <v>33</v>
      </c>
      <c r="H475" s="1">
        <v>45440</v>
      </c>
      <c r="I475" s="1">
        <v>45456</v>
      </c>
      <c r="J475" t="s">
        <v>38</v>
      </c>
      <c r="K475" s="8">
        <f>Table2[[#This Row],[CurrentStock]]*Table2[[#This Row],[UnitPrice]]</f>
        <v>45087</v>
      </c>
      <c r="L475" t="str">
        <f>IF(Table2[[#This Row],[CurrentStock]]&lt;=Table2[[#This Row],[ReorderLevel]], "Reorder Needed", "Okay")</f>
        <v>Okay</v>
      </c>
      <c r="M475" t="str">
        <f>IF(Table2[[#This Row],[CurrentStock]]-Table2[[#This Row],[ReorderLevel]]&lt;0,Table2[[#This Row],[CurrentStock]]-Table2[[#This Row],[ReorderLevel]],"")</f>
        <v/>
      </c>
      <c r="N475" t="str">
        <f>IF(Table2[[#This Row],[Stock Gap]]&lt;0, "Understock","Okay")</f>
        <v>Okay</v>
      </c>
      <c r="O475" s="13" t="str">
        <f>IF(Table2[[#This Row],[Stock Gap]]&lt;0, "Yes", "No")</f>
        <v>No</v>
      </c>
      <c r="P475" s="13" t="str">
        <f>IF(Table2[[#This Row],[CurrentStock]]&lt;Table2[[#This Row],[ReorderLevel]],"Reorder", "Okay")</f>
        <v>Okay</v>
      </c>
      <c r="Q475" s="13" t="str">
        <f>IF(Table2[[#This Row],[CurrentStock]]&gt;Table2[[#This Row],[ReorderLevel]]*3, "Overstock", "Okay")</f>
        <v>Overstock</v>
      </c>
    </row>
    <row r="476" spans="1:17" x14ac:dyDescent="0.35">
      <c r="A476">
        <v>40908</v>
      </c>
      <c r="B476" t="s">
        <v>11</v>
      </c>
      <c r="C476" t="s">
        <v>27</v>
      </c>
      <c r="D476">
        <v>467</v>
      </c>
      <c r="E476">
        <v>100</v>
      </c>
      <c r="F476" s="2">
        <v>298.61</v>
      </c>
      <c r="G476" t="s">
        <v>32</v>
      </c>
      <c r="H476" s="1">
        <v>45494</v>
      </c>
      <c r="I476" s="1">
        <v>45530</v>
      </c>
      <c r="J476" t="s">
        <v>37</v>
      </c>
      <c r="K476" s="8">
        <f>Table2[[#This Row],[CurrentStock]]*Table2[[#This Row],[UnitPrice]]</f>
        <v>139450.87</v>
      </c>
      <c r="L476" t="str">
        <f>IF(Table2[[#This Row],[CurrentStock]]&lt;=Table2[[#This Row],[ReorderLevel]], "Reorder Needed", "Okay")</f>
        <v>Okay</v>
      </c>
      <c r="M476" t="str">
        <f>IF(Table2[[#This Row],[CurrentStock]]-Table2[[#This Row],[ReorderLevel]]&lt;0,Table2[[#This Row],[CurrentStock]]-Table2[[#This Row],[ReorderLevel]],"")</f>
        <v/>
      </c>
      <c r="N476" t="str">
        <f>IF(Table2[[#This Row],[Stock Gap]]&lt;0, "Understock","Okay")</f>
        <v>Okay</v>
      </c>
      <c r="O476" s="13" t="str">
        <f>IF(Table2[[#This Row],[Stock Gap]]&lt;0, "Yes", "No")</f>
        <v>No</v>
      </c>
      <c r="P476" s="13" t="str">
        <f>IF(Table2[[#This Row],[CurrentStock]]&lt;Table2[[#This Row],[ReorderLevel]],"Reorder", "Okay")</f>
        <v>Okay</v>
      </c>
      <c r="Q476" s="13" t="str">
        <f>IF(Table2[[#This Row],[CurrentStock]]&gt;Table2[[#This Row],[ReorderLevel]]*3, "Overstock", "Okay")</f>
        <v>Overstock</v>
      </c>
    </row>
    <row r="477" spans="1:17" x14ac:dyDescent="0.35">
      <c r="A477">
        <v>88824</v>
      </c>
      <c r="B477" t="s">
        <v>24</v>
      </c>
      <c r="C477" t="s">
        <v>30</v>
      </c>
      <c r="D477">
        <v>74</v>
      </c>
      <c r="E477">
        <v>80</v>
      </c>
      <c r="F477" s="2">
        <v>317.66000000000003</v>
      </c>
      <c r="G477" t="s">
        <v>32</v>
      </c>
      <c r="H477" s="1">
        <v>45634</v>
      </c>
      <c r="I477" s="1">
        <v>45663</v>
      </c>
      <c r="J477" t="s">
        <v>38</v>
      </c>
      <c r="K477" s="8">
        <f>Table2[[#This Row],[CurrentStock]]*Table2[[#This Row],[UnitPrice]]</f>
        <v>23506.84</v>
      </c>
      <c r="L477" t="str">
        <f>IF(Table2[[#This Row],[CurrentStock]]&lt;=Table2[[#This Row],[ReorderLevel]], "Reorder Needed", "Okay")</f>
        <v>Reorder Needed</v>
      </c>
      <c r="M477" s="7">
        <f>IF(Table2[[#This Row],[CurrentStock]]-Table2[[#This Row],[ReorderLevel]]&lt;0,Table2[[#This Row],[CurrentStock]]-Table2[[#This Row],[ReorderLevel]],"")</f>
        <v>-6</v>
      </c>
      <c r="N477" t="str">
        <f>IF(Table2[[#This Row],[Stock Gap]]&lt;0, "Understock","Okay")</f>
        <v>Understock</v>
      </c>
      <c r="O477" s="13" t="str">
        <f>IF(Table2[[#This Row],[Stock Gap]]&lt;0, "Yes", "No")</f>
        <v>Yes</v>
      </c>
      <c r="P477" s="13" t="str">
        <f>IF(Table2[[#This Row],[CurrentStock]]&lt;Table2[[#This Row],[ReorderLevel]],"Reorder", "Okay")</f>
        <v>Reorder</v>
      </c>
      <c r="Q477" s="13" t="str">
        <f>IF(Table2[[#This Row],[CurrentStock]]&gt;Table2[[#This Row],[ReorderLevel]]*3, "Overstock", "Okay")</f>
        <v>Okay</v>
      </c>
    </row>
    <row r="478" spans="1:17" x14ac:dyDescent="0.35">
      <c r="A478">
        <v>71845</v>
      </c>
      <c r="B478" t="s">
        <v>19</v>
      </c>
      <c r="C478" t="s">
        <v>28</v>
      </c>
      <c r="D478">
        <v>63</v>
      </c>
      <c r="E478">
        <v>150</v>
      </c>
      <c r="F478" s="2">
        <v>301.64999999999998</v>
      </c>
      <c r="G478" t="s">
        <v>32</v>
      </c>
      <c r="H478" s="1">
        <v>45434</v>
      </c>
      <c r="I478" s="1">
        <v>45450</v>
      </c>
      <c r="J478" t="s">
        <v>37</v>
      </c>
      <c r="K478" s="8">
        <f>Table2[[#This Row],[CurrentStock]]*Table2[[#This Row],[UnitPrice]]</f>
        <v>19003.949999999997</v>
      </c>
      <c r="L478" t="str">
        <f>IF(Table2[[#This Row],[CurrentStock]]&lt;=Table2[[#This Row],[ReorderLevel]], "Reorder Needed", "Okay")</f>
        <v>Reorder Needed</v>
      </c>
      <c r="M478" s="7">
        <f>IF(Table2[[#This Row],[CurrentStock]]-Table2[[#This Row],[ReorderLevel]]&lt;0,Table2[[#This Row],[CurrentStock]]-Table2[[#This Row],[ReorderLevel]],"")</f>
        <v>-87</v>
      </c>
      <c r="N478" t="str">
        <f>IF(Table2[[#This Row],[Stock Gap]]&lt;0, "Understock","Okay")</f>
        <v>Understock</v>
      </c>
      <c r="O478" s="13" t="str">
        <f>IF(Table2[[#This Row],[Stock Gap]]&lt;0, "Yes", "No")</f>
        <v>Yes</v>
      </c>
      <c r="P478" s="13" t="str">
        <f>IF(Table2[[#This Row],[CurrentStock]]&lt;Table2[[#This Row],[ReorderLevel]],"Reorder", "Okay")</f>
        <v>Reorder</v>
      </c>
      <c r="Q478" s="13" t="str">
        <f>IF(Table2[[#This Row],[CurrentStock]]&gt;Table2[[#This Row],[ReorderLevel]]*3, "Overstock", "Okay")</f>
        <v>Okay</v>
      </c>
    </row>
    <row r="479" spans="1:17" x14ac:dyDescent="0.35">
      <c r="A479">
        <v>84102</v>
      </c>
      <c r="B479" t="s">
        <v>17</v>
      </c>
      <c r="C479" t="s">
        <v>27</v>
      </c>
      <c r="D479">
        <v>429</v>
      </c>
      <c r="E479">
        <v>100</v>
      </c>
      <c r="F479" s="2">
        <v>35</v>
      </c>
      <c r="G479" t="s">
        <v>31</v>
      </c>
      <c r="H479" s="1">
        <v>45403</v>
      </c>
      <c r="I479" s="1">
        <v>45440</v>
      </c>
      <c r="J479" t="s">
        <v>37</v>
      </c>
      <c r="K479" s="8">
        <f>Table2[[#This Row],[CurrentStock]]*Table2[[#This Row],[UnitPrice]]</f>
        <v>15015</v>
      </c>
      <c r="L479" t="str">
        <f>IF(Table2[[#This Row],[CurrentStock]]&lt;=Table2[[#This Row],[ReorderLevel]], "Reorder Needed", "Okay")</f>
        <v>Okay</v>
      </c>
      <c r="M479" t="str">
        <f>IF(Table2[[#This Row],[CurrentStock]]-Table2[[#This Row],[ReorderLevel]]&lt;0,Table2[[#This Row],[CurrentStock]]-Table2[[#This Row],[ReorderLevel]],"")</f>
        <v/>
      </c>
      <c r="N479" t="str">
        <f>IF(Table2[[#This Row],[Stock Gap]]&lt;0, "Understock","Okay")</f>
        <v>Okay</v>
      </c>
      <c r="O479" s="13" t="str">
        <f>IF(Table2[[#This Row],[Stock Gap]]&lt;0, "Yes", "No")</f>
        <v>No</v>
      </c>
      <c r="P479" s="13" t="str">
        <f>IF(Table2[[#This Row],[CurrentStock]]&lt;Table2[[#This Row],[ReorderLevel]],"Reorder", "Okay")</f>
        <v>Okay</v>
      </c>
      <c r="Q479" s="13" t="str">
        <f>IF(Table2[[#This Row],[CurrentStock]]&gt;Table2[[#This Row],[ReorderLevel]]*3, "Overstock", "Okay")</f>
        <v>Overstock</v>
      </c>
    </row>
    <row r="480" spans="1:17" x14ac:dyDescent="0.35">
      <c r="A480">
        <v>13255</v>
      </c>
      <c r="B480" t="s">
        <v>10</v>
      </c>
      <c r="C480" t="s">
        <v>26</v>
      </c>
      <c r="D480">
        <v>117</v>
      </c>
      <c r="E480">
        <v>50</v>
      </c>
      <c r="F480" s="2">
        <v>480.66</v>
      </c>
      <c r="G480" t="s">
        <v>32</v>
      </c>
      <c r="H480" s="1">
        <v>45422</v>
      </c>
      <c r="I480" s="1">
        <v>45454</v>
      </c>
      <c r="J480" t="s">
        <v>38</v>
      </c>
      <c r="K480" s="8">
        <f>Table2[[#This Row],[CurrentStock]]*Table2[[#This Row],[UnitPrice]]</f>
        <v>56237.22</v>
      </c>
      <c r="L480" t="str">
        <f>IF(Table2[[#This Row],[CurrentStock]]&lt;=Table2[[#This Row],[ReorderLevel]], "Reorder Needed", "Okay")</f>
        <v>Okay</v>
      </c>
      <c r="M480" t="str">
        <f>IF(Table2[[#This Row],[CurrentStock]]-Table2[[#This Row],[ReorderLevel]]&lt;0,Table2[[#This Row],[CurrentStock]]-Table2[[#This Row],[ReorderLevel]],"")</f>
        <v/>
      </c>
      <c r="N480" t="str">
        <f>IF(Table2[[#This Row],[Stock Gap]]&lt;0, "Understock","Okay")</f>
        <v>Okay</v>
      </c>
      <c r="O480" s="13" t="str">
        <f>IF(Table2[[#This Row],[Stock Gap]]&lt;0, "Yes", "No")</f>
        <v>No</v>
      </c>
      <c r="P480" s="13" t="str">
        <f>IF(Table2[[#This Row],[CurrentStock]]&lt;Table2[[#This Row],[ReorderLevel]],"Reorder", "Okay")</f>
        <v>Okay</v>
      </c>
      <c r="Q480" s="13" t="str">
        <f>IF(Table2[[#This Row],[CurrentStock]]&gt;Table2[[#This Row],[ReorderLevel]]*3, "Overstock", "Okay")</f>
        <v>Okay</v>
      </c>
    </row>
    <row r="481" spans="1:17" x14ac:dyDescent="0.35">
      <c r="A481">
        <v>34519</v>
      </c>
      <c r="B481" t="s">
        <v>25</v>
      </c>
      <c r="C481" t="s">
        <v>29</v>
      </c>
      <c r="D481">
        <v>321</v>
      </c>
      <c r="E481">
        <v>80</v>
      </c>
      <c r="F481" s="2">
        <v>417.73</v>
      </c>
      <c r="G481" t="s">
        <v>33</v>
      </c>
      <c r="H481" s="1">
        <v>45613</v>
      </c>
      <c r="I481" s="1">
        <v>45643</v>
      </c>
      <c r="J481" t="s">
        <v>37</v>
      </c>
      <c r="K481" s="8">
        <f>Table2[[#This Row],[CurrentStock]]*Table2[[#This Row],[UnitPrice]]</f>
        <v>134091.33000000002</v>
      </c>
      <c r="L481" t="str">
        <f>IF(Table2[[#This Row],[CurrentStock]]&lt;=Table2[[#This Row],[ReorderLevel]], "Reorder Needed", "Okay")</f>
        <v>Okay</v>
      </c>
      <c r="M481" t="str">
        <f>IF(Table2[[#This Row],[CurrentStock]]-Table2[[#This Row],[ReorderLevel]]&lt;0,Table2[[#This Row],[CurrentStock]]-Table2[[#This Row],[ReorderLevel]],"")</f>
        <v/>
      </c>
      <c r="N481" t="str">
        <f>IF(Table2[[#This Row],[Stock Gap]]&lt;0, "Understock","Okay")</f>
        <v>Okay</v>
      </c>
      <c r="O481" s="13" t="str">
        <f>IF(Table2[[#This Row],[Stock Gap]]&lt;0, "Yes", "No")</f>
        <v>No</v>
      </c>
      <c r="P481" s="13" t="str">
        <f>IF(Table2[[#This Row],[CurrentStock]]&lt;Table2[[#This Row],[ReorderLevel]],"Reorder", "Okay")</f>
        <v>Okay</v>
      </c>
      <c r="Q481" s="13" t="str">
        <f>IF(Table2[[#This Row],[CurrentStock]]&gt;Table2[[#This Row],[ReorderLevel]]*3, "Overstock", "Okay")</f>
        <v>Overstock</v>
      </c>
    </row>
    <row r="482" spans="1:17" x14ac:dyDescent="0.35">
      <c r="A482">
        <v>49350</v>
      </c>
      <c r="B482" t="s">
        <v>10</v>
      </c>
      <c r="C482" t="s">
        <v>26</v>
      </c>
      <c r="D482">
        <v>28</v>
      </c>
      <c r="E482">
        <v>30</v>
      </c>
      <c r="F482" s="2">
        <v>46.86</v>
      </c>
      <c r="G482" t="s">
        <v>31</v>
      </c>
      <c r="H482" s="1">
        <v>45419</v>
      </c>
      <c r="I482" s="1">
        <v>45443</v>
      </c>
      <c r="J482" t="s">
        <v>37</v>
      </c>
      <c r="K482" s="8">
        <f>Table2[[#This Row],[CurrentStock]]*Table2[[#This Row],[UnitPrice]]</f>
        <v>1312.08</v>
      </c>
      <c r="L482" t="str">
        <f>IF(Table2[[#This Row],[CurrentStock]]&lt;=Table2[[#This Row],[ReorderLevel]], "Reorder Needed", "Okay")</f>
        <v>Reorder Needed</v>
      </c>
      <c r="M482" s="7">
        <f>IF(Table2[[#This Row],[CurrentStock]]-Table2[[#This Row],[ReorderLevel]]&lt;0,Table2[[#This Row],[CurrentStock]]-Table2[[#This Row],[ReorderLevel]],"")</f>
        <v>-2</v>
      </c>
      <c r="N482" t="str">
        <f>IF(Table2[[#This Row],[Stock Gap]]&lt;0, "Understock","Okay")</f>
        <v>Understock</v>
      </c>
      <c r="O482" s="13" t="str">
        <f>IF(Table2[[#This Row],[Stock Gap]]&lt;0, "Yes", "No")</f>
        <v>Yes</v>
      </c>
      <c r="P482" s="13" t="str">
        <f>IF(Table2[[#This Row],[CurrentStock]]&lt;Table2[[#This Row],[ReorderLevel]],"Reorder", "Okay")</f>
        <v>Reorder</v>
      </c>
      <c r="Q482" s="13" t="str">
        <f>IF(Table2[[#This Row],[CurrentStock]]&gt;Table2[[#This Row],[ReorderLevel]]*3, "Overstock", "Okay")</f>
        <v>Okay</v>
      </c>
    </row>
    <row r="483" spans="1:17" x14ac:dyDescent="0.35">
      <c r="A483">
        <v>74418</v>
      </c>
      <c r="B483" t="s">
        <v>15</v>
      </c>
      <c r="C483" t="s">
        <v>29</v>
      </c>
      <c r="D483">
        <v>238</v>
      </c>
      <c r="E483">
        <v>40</v>
      </c>
      <c r="F483" s="2">
        <v>370.03</v>
      </c>
      <c r="G483" t="s">
        <v>31</v>
      </c>
      <c r="H483" s="1">
        <v>45379</v>
      </c>
      <c r="I483" s="1">
        <v>45392</v>
      </c>
      <c r="J483" t="s">
        <v>36</v>
      </c>
      <c r="K483" s="8">
        <f>Table2[[#This Row],[CurrentStock]]*Table2[[#This Row],[UnitPrice]]</f>
        <v>88067.14</v>
      </c>
      <c r="L483" t="str">
        <f>IF(Table2[[#This Row],[CurrentStock]]&lt;=Table2[[#This Row],[ReorderLevel]], "Reorder Needed", "Okay")</f>
        <v>Okay</v>
      </c>
      <c r="M483" t="str">
        <f>IF(Table2[[#This Row],[CurrentStock]]-Table2[[#This Row],[ReorderLevel]]&lt;0,Table2[[#This Row],[CurrentStock]]-Table2[[#This Row],[ReorderLevel]],"")</f>
        <v/>
      </c>
      <c r="N483" t="str">
        <f>IF(Table2[[#This Row],[Stock Gap]]&lt;0, "Understock","Okay")</f>
        <v>Okay</v>
      </c>
      <c r="O483" s="13" t="str">
        <f>IF(Table2[[#This Row],[Stock Gap]]&lt;0, "Yes", "No")</f>
        <v>No</v>
      </c>
      <c r="P483" s="13" t="str">
        <f>IF(Table2[[#This Row],[CurrentStock]]&lt;Table2[[#This Row],[ReorderLevel]],"Reorder", "Okay")</f>
        <v>Okay</v>
      </c>
      <c r="Q483" s="13" t="str">
        <f>IF(Table2[[#This Row],[CurrentStock]]&gt;Table2[[#This Row],[ReorderLevel]]*3, "Overstock", "Okay")</f>
        <v>Overstock</v>
      </c>
    </row>
    <row r="484" spans="1:17" x14ac:dyDescent="0.35">
      <c r="A484">
        <v>37230</v>
      </c>
      <c r="B484" t="s">
        <v>23</v>
      </c>
      <c r="C484" t="s">
        <v>30</v>
      </c>
      <c r="D484">
        <v>238</v>
      </c>
      <c r="E484">
        <v>150</v>
      </c>
      <c r="F484" s="2">
        <v>486.82</v>
      </c>
      <c r="G484" t="s">
        <v>35</v>
      </c>
      <c r="H484" s="1">
        <v>45555</v>
      </c>
      <c r="I484" s="1">
        <v>45574</v>
      </c>
      <c r="J484" t="s">
        <v>38</v>
      </c>
      <c r="K484" s="8">
        <f>Table2[[#This Row],[CurrentStock]]*Table2[[#This Row],[UnitPrice]]</f>
        <v>115863.16</v>
      </c>
      <c r="L484" t="str">
        <f>IF(Table2[[#This Row],[CurrentStock]]&lt;=Table2[[#This Row],[ReorderLevel]], "Reorder Needed", "Okay")</f>
        <v>Okay</v>
      </c>
      <c r="M484" t="str">
        <f>IF(Table2[[#This Row],[CurrentStock]]-Table2[[#This Row],[ReorderLevel]]&lt;0,Table2[[#This Row],[CurrentStock]]-Table2[[#This Row],[ReorderLevel]],"")</f>
        <v/>
      </c>
      <c r="N484" t="str">
        <f>IF(Table2[[#This Row],[Stock Gap]]&lt;0, "Understock","Okay")</f>
        <v>Okay</v>
      </c>
      <c r="O484" s="13" t="str">
        <f>IF(Table2[[#This Row],[Stock Gap]]&lt;0, "Yes", "No")</f>
        <v>No</v>
      </c>
      <c r="P484" s="13" t="str">
        <f>IF(Table2[[#This Row],[CurrentStock]]&lt;Table2[[#This Row],[ReorderLevel]],"Reorder", "Okay")</f>
        <v>Okay</v>
      </c>
      <c r="Q484" s="13" t="str">
        <f>IF(Table2[[#This Row],[CurrentStock]]&gt;Table2[[#This Row],[ReorderLevel]]*3, "Overstock", "Okay")</f>
        <v>Okay</v>
      </c>
    </row>
    <row r="485" spans="1:17" x14ac:dyDescent="0.35">
      <c r="A485">
        <v>97954</v>
      </c>
      <c r="B485" t="s">
        <v>10</v>
      </c>
      <c r="C485" t="s">
        <v>26</v>
      </c>
      <c r="D485">
        <v>230</v>
      </c>
      <c r="E485">
        <v>80</v>
      </c>
      <c r="F485" s="2">
        <v>487.79</v>
      </c>
      <c r="G485" t="s">
        <v>31</v>
      </c>
      <c r="H485" s="1">
        <v>45564</v>
      </c>
      <c r="I485" s="1">
        <v>45598</v>
      </c>
      <c r="J485" t="s">
        <v>38</v>
      </c>
      <c r="K485" s="8">
        <f>Table2[[#This Row],[CurrentStock]]*Table2[[#This Row],[UnitPrice]]</f>
        <v>112191.70000000001</v>
      </c>
      <c r="L485" t="str">
        <f>IF(Table2[[#This Row],[CurrentStock]]&lt;=Table2[[#This Row],[ReorderLevel]], "Reorder Needed", "Okay")</f>
        <v>Okay</v>
      </c>
      <c r="M485" t="str">
        <f>IF(Table2[[#This Row],[CurrentStock]]-Table2[[#This Row],[ReorderLevel]]&lt;0,Table2[[#This Row],[CurrentStock]]-Table2[[#This Row],[ReorderLevel]],"")</f>
        <v/>
      </c>
      <c r="N485" t="str">
        <f>IF(Table2[[#This Row],[Stock Gap]]&lt;0, "Understock","Okay")</f>
        <v>Okay</v>
      </c>
      <c r="O485" s="13" t="str">
        <f>IF(Table2[[#This Row],[Stock Gap]]&lt;0, "Yes", "No")</f>
        <v>No</v>
      </c>
      <c r="P485" s="13" t="str">
        <f>IF(Table2[[#This Row],[CurrentStock]]&lt;Table2[[#This Row],[ReorderLevel]],"Reorder", "Okay")</f>
        <v>Okay</v>
      </c>
      <c r="Q485" s="13" t="str">
        <f>IF(Table2[[#This Row],[CurrentStock]]&gt;Table2[[#This Row],[ReorderLevel]]*3, "Overstock", "Okay")</f>
        <v>Okay</v>
      </c>
    </row>
    <row r="486" spans="1:17" x14ac:dyDescent="0.35">
      <c r="A486">
        <v>55619</v>
      </c>
      <c r="B486" t="s">
        <v>24</v>
      </c>
      <c r="C486" t="s">
        <v>30</v>
      </c>
      <c r="D486">
        <v>363</v>
      </c>
      <c r="E486">
        <v>30</v>
      </c>
      <c r="F486" s="2">
        <v>118.54</v>
      </c>
      <c r="G486" t="s">
        <v>35</v>
      </c>
      <c r="H486" s="1">
        <v>45567</v>
      </c>
      <c r="I486" s="1">
        <v>45595</v>
      </c>
      <c r="J486" t="s">
        <v>37</v>
      </c>
      <c r="K486" s="8">
        <f>Table2[[#This Row],[CurrentStock]]*Table2[[#This Row],[UnitPrice]]</f>
        <v>43030.020000000004</v>
      </c>
      <c r="L486" t="str">
        <f>IF(Table2[[#This Row],[CurrentStock]]&lt;=Table2[[#This Row],[ReorderLevel]], "Reorder Needed", "Okay")</f>
        <v>Okay</v>
      </c>
      <c r="M486" t="str">
        <f>IF(Table2[[#This Row],[CurrentStock]]-Table2[[#This Row],[ReorderLevel]]&lt;0,Table2[[#This Row],[CurrentStock]]-Table2[[#This Row],[ReorderLevel]],"")</f>
        <v/>
      </c>
      <c r="N486" t="str">
        <f>IF(Table2[[#This Row],[Stock Gap]]&lt;0, "Understock","Okay")</f>
        <v>Okay</v>
      </c>
      <c r="O486" s="13" t="str">
        <f>IF(Table2[[#This Row],[Stock Gap]]&lt;0, "Yes", "No")</f>
        <v>No</v>
      </c>
      <c r="P486" s="13" t="str">
        <f>IF(Table2[[#This Row],[CurrentStock]]&lt;Table2[[#This Row],[ReorderLevel]],"Reorder", "Okay")</f>
        <v>Okay</v>
      </c>
      <c r="Q486" s="13" t="str">
        <f>IF(Table2[[#This Row],[CurrentStock]]&gt;Table2[[#This Row],[ReorderLevel]]*3, "Overstock", "Okay")</f>
        <v>Overstock</v>
      </c>
    </row>
    <row r="487" spans="1:17" x14ac:dyDescent="0.35">
      <c r="A487">
        <v>35479</v>
      </c>
      <c r="B487" t="s">
        <v>22</v>
      </c>
      <c r="C487" t="s">
        <v>29</v>
      </c>
      <c r="D487">
        <v>295</v>
      </c>
      <c r="E487">
        <v>50</v>
      </c>
      <c r="F487" s="2">
        <v>142.79</v>
      </c>
      <c r="G487" t="s">
        <v>35</v>
      </c>
      <c r="H487" s="1">
        <v>45651</v>
      </c>
      <c r="I487" s="1">
        <v>45666</v>
      </c>
      <c r="J487" t="s">
        <v>38</v>
      </c>
      <c r="K487" s="8">
        <f>Table2[[#This Row],[CurrentStock]]*Table2[[#This Row],[UnitPrice]]</f>
        <v>42123.049999999996</v>
      </c>
      <c r="L487" t="str">
        <f>IF(Table2[[#This Row],[CurrentStock]]&lt;=Table2[[#This Row],[ReorderLevel]], "Reorder Needed", "Okay")</f>
        <v>Okay</v>
      </c>
      <c r="M487" t="str">
        <f>IF(Table2[[#This Row],[CurrentStock]]-Table2[[#This Row],[ReorderLevel]]&lt;0,Table2[[#This Row],[CurrentStock]]-Table2[[#This Row],[ReorderLevel]],"")</f>
        <v/>
      </c>
      <c r="N487" t="str">
        <f>IF(Table2[[#This Row],[Stock Gap]]&lt;0, "Understock","Okay")</f>
        <v>Okay</v>
      </c>
      <c r="O487" s="13" t="str">
        <f>IF(Table2[[#This Row],[Stock Gap]]&lt;0, "Yes", "No")</f>
        <v>No</v>
      </c>
      <c r="P487" s="13" t="str">
        <f>IF(Table2[[#This Row],[CurrentStock]]&lt;Table2[[#This Row],[ReorderLevel]],"Reorder", "Okay")</f>
        <v>Okay</v>
      </c>
      <c r="Q487" s="13" t="str">
        <f>IF(Table2[[#This Row],[CurrentStock]]&gt;Table2[[#This Row],[ReorderLevel]]*3, "Overstock", "Okay")</f>
        <v>Overstock</v>
      </c>
    </row>
    <row r="488" spans="1:17" x14ac:dyDescent="0.35">
      <c r="A488">
        <v>26351</v>
      </c>
      <c r="B488" t="s">
        <v>13</v>
      </c>
      <c r="C488" t="s">
        <v>26</v>
      </c>
      <c r="D488">
        <v>38</v>
      </c>
      <c r="E488">
        <v>50</v>
      </c>
      <c r="F488" s="2">
        <v>180.88</v>
      </c>
      <c r="G488" t="s">
        <v>33</v>
      </c>
      <c r="H488" s="1">
        <v>45416</v>
      </c>
      <c r="I488" s="1">
        <v>45433</v>
      </c>
      <c r="J488" t="s">
        <v>36</v>
      </c>
      <c r="K488" s="8">
        <f>Table2[[#This Row],[CurrentStock]]*Table2[[#This Row],[UnitPrice]]</f>
        <v>6873.44</v>
      </c>
      <c r="L488" t="str">
        <f>IF(Table2[[#This Row],[CurrentStock]]&lt;=Table2[[#This Row],[ReorderLevel]], "Reorder Needed", "Okay")</f>
        <v>Reorder Needed</v>
      </c>
      <c r="M488" s="7">
        <f>IF(Table2[[#This Row],[CurrentStock]]-Table2[[#This Row],[ReorderLevel]]&lt;0,Table2[[#This Row],[CurrentStock]]-Table2[[#This Row],[ReorderLevel]],"")</f>
        <v>-12</v>
      </c>
      <c r="N488" t="str">
        <f>IF(Table2[[#This Row],[Stock Gap]]&lt;0, "Understock","Okay")</f>
        <v>Understock</v>
      </c>
      <c r="O488" s="13" t="str">
        <f>IF(Table2[[#This Row],[Stock Gap]]&lt;0, "Yes", "No")</f>
        <v>Yes</v>
      </c>
      <c r="P488" s="13" t="str">
        <f>IF(Table2[[#This Row],[CurrentStock]]&lt;Table2[[#This Row],[ReorderLevel]],"Reorder", "Okay")</f>
        <v>Reorder</v>
      </c>
      <c r="Q488" s="13" t="str">
        <f>IF(Table2[[#This Row],[CurrentStock]]&gt;Table2[[#This Row],[ReorderLevel]]*3, "Overstock", "Okay")</f>
        <v>Okay</v>
      </c>
    </row>
    <row r="489" spans="1:17" x14ac:dyDescent="0.35">
      <c r="A489">
        <v>87694</v>
      </c>
      <c r="B489" t="s">
        <v>20</v>
      </c>
      <c r="C489" t="s">
        <v>30</v>
      </c>
      <c r="D489">
        <v>3</v>
      </c>
      <c r="E489">
        <v>150</v>
      </c>
      <c r="F489" s="2">
        <v>389.52</v>
      </c>
      <c r="G489" t="s">
        <v>32</v>
      </c>
      <c r="H489" s="1">
        <v>45457</v>
      </c>
      <c r="I489" s="1">
        <v>45485</v>
      </c>
      <c r="J489" t="s">
        <v>37</v>
      </c>
      <c r="K489" s="8">
        <f>Table2[[#This Row],[CurrentStock]]*Table2[[#This Row],[UnitPrice]]</f>
        <v>1168.56</v>
      </c>
      <c r="L489" t="str">
        <f>IF(Table2[[#This Row],[CurrentStock]]&lt;=Table2[[#This Row],[ReorderLevel]], "Reorder Needed", "Okay")</f>
        <v>Reorder Needed</v>
      </c>
      <c r="M489" s="7">
        <f>IF(Table2[[#This Row],[CurrentStock]]-Table2[[#This Row],[ReorderLevel]]&lt;0,Table2[[#This Row],[CurrentStock]]-Table2[[#This Row],[ReorderLevel]],"")</f>
        <v>-147</v>
      </c>
      <c r="N489" t="str">
        <f>IF(Table2[[#This Row],[Stock Gap]]&lt;0, "Understock","Okay")</f>
        <v>Understock</v>
      </c>
      <c r="O489" s="13" t="str">
        <f>IF(Table2[[#This Row],[Stock Gap]]&lt;0, "Yes", "No")</f>
        <v>Yes</v>
      </c>
      <c r="P489" s="13" t="str">
        <f>IF(Table2[[#This Row],[CurrentStock]]&lt;Table2[[#This Row],[ReorderLevel]],"Reorder", "Okay")</f>
        <v>Reorder</v>
      </c>
      <c r="Q489" s="13" t="str">
        <f>IF(Table2[[#This Row],[CurrentStock]]&gt;Table2[[#This Row],[ReorderLevel]]*3, "Overstock", "Okay")</f>
        <v>Okay</v>
      </c>
    </row>
    <row r="490" spans="1:17" x14ac:dyDescent="0.35">
      <c r="A490">
        <v>33906</v>
      </c>
      <c r="B490" t="s">
        <v>14</v>
      </c>
      <c r="C490" t="s">
        <v>28</v>
      </c>
      <c r="D490">
        <v>95</v>
      </c>
      <c r="E490">
        <v>100</v>
      </c>
      <c r="F490" s="2">
        <v>72.89</v>
      </c>
      <c r="G490" t="s">
        <v>33</v>
      </c>
      <c r="H490" s="1">
        <v>45557</v>
      </c>
      <c r="I490" s="1">
        <v>45585</v>
      </c>
      <c r="J490" t="s">
        <v>38</v>
      </c>
      <c r="K490" s="8">
        <f>Table2[[#This Row],[CurrentStock]]*Table2[[#This Row],[UnitPrice]]</f>
        <v>6924.55</v>
      </c>
      <c r="L490" t="str">
        <f>IF(Table2[[#This Row],[CurrentStock]]&lt;=Table2[[#This Row],[ReorderLevel]], "Reorder Needed", "Okay")</f>
        <v>Reorder Needed</v>
      </c>
      <c r="M490" s="7">
        <f>IF(Table2[[#This Row],[CurrentStock]]-Table2[[#This Row],[ReorderLevel]]&lt;0,Table2[[#This Row],[CurrentStock]]-Table2[[#This Row],[ReorderLevel]],"")</f>
        <v>-5</v>
      </c>
      <c r="N490" t="str">
        <f>IF(Table2[[#This Row],[Stock Gap]]&lt;0, "Understock","Okay")</f>
        <v>Understock</v>
      </c>
      <c r="O490" s="13" t="str">
        <f>IF(Table2[[#This Row],[Stock Gap]]&lt;0, "Yes", "No")</f>
        <v>Yes</v>
      </c>
      <c r="P490" s="13" t="str">
        <f>IF(Table2[[#This Row],[CurrentStock]]&lt;Table2[[#This Row],[ReorderLevel]],"Reorder", "Okay")</f>
        <v>Reorder</v>
      </c>
      <c r="Q490" s="13" t="str">
        <f>IF(Table2[[#This Row],[CurrentStock]]&gt;Table2[[#This Row],[ReorderLevel]]*3, "Overstock", "Okay")</f>
        <v>Okay</v>
      </c>
    </row>
    <row r="491" spans="1:17" x14ac:dyDescent="0.35">
      <c r="A491">
        <v>80744</v>
      </c>
      <c r="B491" t="s">
        <v>17</v>
      </c>
      <c r="C491" t="s">
        <v>27</v>
      </c>
      <c r="D491">
        <v>246</v>
      </c>
      <c r="E491">
        <v>150</v>
      </c>
      <c r="F491" s="2">
        <v>156.69999999999999</v>
      </c>
      <c r="G491" t="s">
        <v>32</v>
      </c>
      <c r="H491" s="1">
        <v>45604</v>
      </c>
      <c r="I491" s="1">
        <v>45642</v>
      </c>
      <c r="J491" t="s">
        <v>37</v>
      </c>
      <c r="K491" s="8">
        <f>Table2[[#This Row],[CurrentStock]]*Table2[[#This Row],[UnitPrice]]</f>
        <v>38548.199999999997</v>
      </c>
      <c r="L491" t="str">
        <f>IF(Table2[[#This Row],[CurrentStock]]&lt;=Table2[[#This Row],[ReorderLevel]], "Reorder Needed", "Okay")</f>
        <v>Okay</v>
      </c>
      <c r="M491" t="str">
        <f>IF(Table2[[#This Row],[CurrentStock]]-Table2[[#This Row],[ReorderLevel]]&lt;0,Table2[[#This Row],[CurrentStock]]-Table2[[#This Row],[ReorderLevel]],"")</f>
        <v/>
      </c>
      <c r="N491" t="str">
        <f>IF(Table2[[#This Row],[Stock Gap]]&lt;0, "Understock","Okay")</f>
        <v>Okay</v>
      </c>
      <c r="O491" s="13" t="str">
        <f>IF(Table2[[#This Row],[Stock Gap]]&lt;0, "Yes", "No")</f>
        <v>No</v>
      </c>
      <c r="P491" s="13" t="str">
        <f>IF(Table2[[#This Row],[CurrentStock]]&lt;Table2[[#This Row],[ReorderLevel]],"Reorder", "Okay")</f>
        <v>Okay</v>
      </c>
      <c r="Q491" s="13" t="str">
        <f>IF(Table2[[#This Row],[CurrentStock]]&gt;Table2[[#This Row],[ReorderLevel]]*3, "Overstock", "Okay")</f>
        <v>Okay</v>
      </c>
    </row>
    <row r="492" spans="1:17" x14ac:dyDescent="0.35">
      <c r="A492">
        <v>53856</v>
      </c>
      <c r="B492" t="s">
        <v>10</v>
      </c>
      <c r="C492" t="s">
        <v>26</v>
      </c>
      <c r="D492">
        <v>400</v>
      </c>
      <c r="E492">
        <v>150</v>
      </c>
      <c r="F492" s="2">
        <v>103.63</v>
      </c>
      <c r="G492" t="s">
        <v>34</v>
      </c>
      <c r="H492" s="1">
        <v>45610</v>
      </c>
      <c r="I492" s="1">
        <v>45627</v>
      </c>
      <c r="J492" t="s">
        <v>38</v>
      </c>
      <c r="K492" s="8">
        <f>Table2[[#This Row],[CurrentStock]]*Table2[[#This Row],[UnitPrice]]</f>
        <v>41452</v>
      </c>
      <c r="L492" t="str">
        <f>IF(Table2[[#This Row],[CurrentStock]]&lt;=Table2[[#This Row],[ReorderLevel]], "Reorder Needed", "Okay")</f>
        <v>Okay</v>
      </c>
      <c r="M492" t="str">
        <f>IF(Table2[[#This Row],[CurrentStock]]-Table2[[#This Row],[ReorderLevel]]&lt;0,Table2[[#This Row],[CurrentStock]]-Table2[[#This Row],[ReorderLevel]],"")</f>
        <v/>
      </c>
      <c r="N492" t="str">
        <f>IF(Table2[[#This Row],[Stock Gap]]&lt;0, "Understock","Okay")</f>
        <v>Okay</v>
      </c>
      <c r="O492" s="13" t="str">
        <f>IF(Table2[[#This Row],[Stock Gap]]&lt;0, "Yes", "No")</f>
        <v>No</v>
      </c>
      <c r="P492" s="13" t="str">
        <f>IF(Table2[[#This Row],[CurrentStock]]&lt;Table2[[#This Row],[ReorderLevel]],"Reorder", "Okay")</f>
        <v>Okay</v>
      </c>
      <c r="Q492" s="13" t="str">
        <f>IF(Table2[[#This Row],[CurrentStock]]&gt;Table2[[#This Row],[ReorderLevel]]*3, "Overstock", "Okay")</f>
        <v>Okay</v>
      </c>
    </row>
    <row r="493" spans="1:17" x14ac:dyDescent="0.35">
      <c r="A493">
        <v>16587</v>
      </c>
      <c r="B493" t="s">
        <v>19</v>
      </c>
      <c r="C493" t="s">
        <v>28</v>
      </c>
      <c r="D493">
        <v>81</v>
      </c>
      <c r="E493">
        <v>80</v>
      </c>
      <c r="F493" s="2">
        <v>372.11</v>
      </c>
      <c r="G493" t="s">
        <v>34</v>
      </c>
      <c r="H493" s="1">
        <v>45623</v>
      </c>
      <c r="I493" s="1">
        <v>45646</v>
      </c>
      <c r="J493" t="s">
        <v>37</v>
      </c>
      <c r="K493" s="8">
        <f>Table2[[#This Row],[CurrentStock]]*Table2[[#This Row],[UnitPrice]]</f>
        <v>30140.91</v>
      </c>
      <c r="L493" t="str">
        <f>IF(Table2[[#This Row],[CurrentStock]]&lt;=Table2[[#This Row],[ReorderLevel]], "Reorder Needed", "Okay")</f>
        <v>Okay</v>
      </c>
      <c r="M493" t="str">
        <f>IF(Table2[[#This Row],[CurrentStock]]-Table2[[#This Row],[ReorderLevel]]&lt;0,Table2[[#This Row],[CurrentStock]]-Table2[[#This Row],[ReorderLevel]],"")</f>
        <v/>
      </c>
      <c r="N493" t="str">
        <f>IF(Table2[[#This Row],[Stock Gap]]&lt;0, "Understock","Okay")</f>
        <v>Okay</v>
      </c>
      <c r="O493" s="13" t="str">
        <f>IF(Table2[[#This Row],[Stock Gap]]&lt;0, "Yes", "No")</f>
        <v>No</v>
      </c>
      <c r="P493" s="13" t="str">
        <f>IF(Table2[[#This Row],[CurrentStock]]&lt;Table2[[#This Row],[ReorderLevel]],"Reorder", "Okay")</f>
        <v>Okay</v>
      </c>
      <c r="Q493" s="13" t="str">
        <f>IF(Table2[[#This Row],[CurrentStock]]&gt;Table2[[#This Row],[ReorderLevel]]*3, "Overstock", "Okay")</f>
        <v>Okay</v>
      </c>
    </row>
    <row r="494" spans="1:17" x14ac:dyDescent="0.35">
      <c r="A494">
        <v>77568</v>
      </c>
      <c r="B494" t="s">
        <v>24</v>
      </c>
      <c r="C494" t="s">
        <v>30</v>
      </c>
      <c r="D494">
        <v>294</v>
      </c>
      <c r="E494">
        <v>50</v>
      </c>
      <c r="F494" s="2">
        <v>210.99</v>
      </c>
      <c r="G494" t="s">
        <v>35</v>
      </c>
      <c r="H494" s="1">
        <v>45515</v>
      </c>
      <c r="I494" s="1">
        <v>45532</v>
      </c>
      <c r="J494" t="s">
        <v>38</v>
      </c>
      <c r="K494" s="8">
        <f>Table2[[#This Row],[CurrentStock]]*Table2[[#This Row],[UnitPrice]]</f>
        <v>62031.060000000005</v>
      </c>
      <c r="L494" t="str">
        <f>IF(Table2[[#This Row],[CurrentStock]]&lt;=Table2[[#This Row],[ReorderLevel]], "Reorder Needed", "Okay")</f>
        <v>Okay</v>
      </c>
      <c r="M494" t="str">
        <f>IF(Table2[[#This Row],[CurrentStock]]-Table2[[#This Row],[ReorderLevel]]&lt;0,Table2[[#This Row],[CurrentStock]]-Table2[[#This Row],[ReorderLevel]],"")</f>
        <v/>
      </c>
      <c r="N494" t="str">
        <f>IF(Table2[[#This Row],[Stock Gap]]&lt;0, "Understock","Okay")</f>
        <v>Okay</v>
      </c>
      <c r="O494" s="13" t="str">
        <f>IF(Table2[[#This Row],[Stock Gap]]&lt;0, "Yes", "No")</f>
        <v>No</v>
      </c>
      <c r="P494" s="13" t="str">
        <f>IF(Table2[[#This Row],[CurrentStock]]&lt;Table2[[#This Row],[ReorderLevel]],"Reorder", "Okay")</f>
        <v>Okay</v>
      </c>
      <c r="Q494" s="13" t="str">
        <f>IF(Table2[[#This Row],[CurrentStock]]&gt;Table2[[#This Row],[ReorderLevel]]*3, "Overstock", "Okay")</f>
        <v>Overstock</v>
      </c>
    </row>
    <row r="495" spans="1:17" x14ac:dyDescent="0.35">
      <c r="A495">
        <v>98059</v>
      </c>
      <c r="B495" t="s">
        <v>19</v>
      </c>
      <c r="C495" t="s">
        <v>28</v>
      </c>
      <c r="D495">
        <v>187</v>
      </c>
      <c r="E495">
        <v>30</v>
      </c>
      <c r="F495" s="2">
        <v>435.46</v>
      </c>
      <c r="G495" t="s">
        <v>34</v>
      </c>
      <c r="H495" s="1">
        <v>45601</v>
      </c>
      <c r="I495" s="1">
        <v>45609</v>
      </c>
      <c r="J495" t="s">
        <v>36</v>
      </c>
      <c r="K495" s="8">
        <f>Table2[[#This Row],[CurrentStock]]*Table2[[#This Row],[UnitPrice]]</f>
        <v>81431.01999999999</v>
      </c>
      <c r="L495" t="str">
        <f>IF(Table2[[#This Row],[CurrentStock]]&lt;=Table2[[#This Row],[ReorderLevel]], "Reorder Needed", "Okay")</f>
        <v>Okay</v>
      </c>
      <c r="M495" t="str">
        <f>IF(Table2[[#This Row],[CurrentStock]]-Table2[[#This Row],[ReorderLevel]]&lt;0,Table2[[#This Row],[CurrentStock]]-Table2[[#This Row],[ReorderLevel]],"")</f>
        <v/>
      </c>
      <c r="N495" t="str">
        <f>IF(Table2[[#This Row],[Stock Gap]]&lt;0, "Understock","Okay")</f>
        <v>Okay</v>
      </c>
      <c r="O495" s="13" t="str">
        <f>IF(Table2[[#This Row],[Stock Gap]]&lt;0, "Yes", "No")</f>
        <v>No</v>
      </c>
      <c r="P495" s="13" t="str">
        <f>IF(Table2[[#This Row],[CurrentStock]]&lt;Table2[[#This Row],[ReorderLevel]],"Reorder", "Okay")</f>
        <v>Okay</v>
      </c>
      <c r="Q495" s="13" t="str">
        <f>IF(Table2[[#This Row],[CurrentStock]]&gt;Table2[[#This Row],[ReorderLevel]]*3, "Overstock", "Okay")</f>
        <v>Overstock</v>
      </c>
    </row>
    <row r="496" spans="1:17" x14ac:dyDescent="0.35">
      <c r="A496">
        <v>64722</v>
      </c>
      <c r="B496" t="s">
        <v>14</v>
      </c>
      <c r="C496" t="s">
        <v>28</v>
      </c>
      <c r="D496">
        <v>190</v>
      </c>
      <c r="E496">
        <v>100</v>
      </c>
      <c r="F496" s="2">
        <v>428.08</v>
      </c>
      <c r="G496" t="s">
        <v>33</v>
      </c>
      <c r="H496" s="1">
        <v>45344</v>
      </c>
      <c r="I496" s="1">
        <v>45378</v>
      </c>
      <c r="J496" t="s">
        <v>37</v>
      </c>
      <c r="K496" s="8">
        <f>Table2[[#This Row],[CurrentStock]]*Table2[[#This Row],[UnitPrice]]</f>
        <v>81335.199999999997</v>
      </c>
      <c r="L496" t="str">
        <f>IF(Table2[[#This Row],[CurrentStock]]&lt;=Table2[[#This Row],[ReorderLevel]], "Reorder Needed", "Okay")</f>
        <v>Okay</v>
      </c>
      <c r="M496" t="str">
        <f>IF(Table2[[#This Row],[CurrentStock]]-Table2[[#This Row],[ReorderLevel]]&lt;0,Table2[[#This Row],[CurrentStock]]-Table2[[#This Row],[ReorderLevel]],"")</f>
        <v/>
      </c>
      <c r="N496" t="str">
        <f>IF(Table2[[#This Row],[Stock Gap]]&lt;0, "Understock","Okay")</f>
        <v>Okay</v>
      </c>
      <c r="O496" s="13" t="str">
        <f>IF(Table2[[#This Row],[Stock Gap]]&lt;0, "Yes", "No")</f>
        <v>No</v>
      </c>
      <c r="P496" s="13" t="str">
        <f>IF(Table2[[#This Row],[CurrentStock]]&lt;Table2[[#This Row],[ReorderLevel]],"Reorder", "Okay")</f>
        <v>Okay</v>
      </c>
      <c r="Q496" s="13" t="str">
        <f>IF(Table2[[#This Row],[CurrentStock]]&gt;Table2[[#This Row],[ReorderLevel]]*3, "Overstock", "Okay")</f>
        <v>Okay</v>
      </c>
    </row>
    <row r="497" spans="1:17" x14ac:dyDescent="0.35">
      <c r="A497">
        <v>73293</v>
      </c>
      <c r="B497" t="s">
        <v>22</v>
      </c>
      <c r="C497" t="s">
        <v>29</v>
      </c>
      <c r="D497">
        <v>225</v>
      </c>
      <c r="E497">
        <v>100</v>
      </c>
      <c r="F497" s="2">
        <v>303.91000000000003</v>
      </c>
      <c r="G497" t="s">
        <v>34</v>
      </c>
      <c r="H497" s="1">
        <v>45491</v>
      </c>
      <c r="I497" s="1">
        <v>45503</v>
      </c>
      <c r="J497" t="s">
        <v>38</v>
      </c>
      <c r="K497" s="8">
        <f>Table2[[#This Row],[CurrentStock]]*Table2[[#This Row],[UnitPrice]]</f>
        <v>68379.75</v>
      </c>
      <c r="L497" t="str">
        <f>IF(Table2[[#This Row],[CurrentStock]]&lt;=Table2[[#This Row],[ReorderLevel]], "Reorder Needed", "Okay")</f>
        <v>Okay</v>
      </c>
      <c r="M497" t="str">
        <f>IF(Table2[[#This Row],[CurrentStock]]-Table2[[#This Row],[ReorderLevel]]&lt;0,Table2[[#This Row],[CurrentStock]]-Table2[[#This Row],[ReorderLevel]],"")</f>
        <v/>
      </c>
      <c r="N497" t="str">
        <f>IF(Table2[[#This Row],[Stock Gap]]&lt;0, "Understock","Okay")</f>
        <v>Okay</v>
      </c>
      <c r="O497" s="13" t="str">
        <f>IF(Table2[[#This Row],[Stock Gap]]&lt;0, "Yes", "No")</f>
        <v>No</v>
      </c>
      <c r="P497" s="13" t="str">
        <f>IF(Table2[[#This Row],[CurrentStock]]&lt;Table2[[#This Row],[ReorderLevel]],"Reorder", "Okay")</f>
        <v>Okay</v>
      </c>
      <c r="Q497" s="13" t="str">
        <f>IF(Table2[[#This Row],[CurrentStock]]&gt;Table2[[#This Row],[ReorderLevel]]*3, "Overstock", "Okay")</f>
        <v>Okay</v>
      </c>
    </row>
    <row r="498" spans="1:17" x14ac:dyDescent="0.35">
      <c r="A498">
        <v>59500</v>
      </c>
      <c r="B498" t="s">
        <v>14</v>
      </c>
      <c r="C498" t="s">
        <v>28</v>
      </c>
      <c r="D498">
        <v>386</v>
      </c>
      <c r="E498">
        <v>40</v>
      </c>
      <c r="F498" s="2">
        <v>172.05</v>
      </c>
      <c r="G498" t="s">
        <v>35</v>
      </c>
      <c r="H498" s="1">
        <v>45606</v>
      </c>
      <c r="I498" s="1">
        <v>45641</v>
      </c>
      <c r="J498" t="s">
        <v>38</v>
      </c>
      <c r="K498" s="8">
        <f>Table2[[#This Row],[CurrentStock]]*Table2[[#This Row],[UnitPrice]]</f>
        <v>66411.3</v>
      </c>
      <c r="L498" t="str">
        <f>IF(Table2[[#This Row],[CurrentStock]]&lt;=Table2[[#This Row],[ReorderLevel]], "Reorder Needed", "Okay")</f>
        <v>Okay</v>
      </c>
      <c r="M498" t="str">
        <f>IF(Table2[[#This Row],[CurrentStock]]-Table2[[#This Row],[ReorderLevel]]&lt;0,Table2[[#This Row],[CurrentStock]]-Table2[[#This Row],[ReorderLevel]],"")</f>
        <v/>
      </c>
      <c r="N498" t="str">
        <f>IF(Table2[[#This Row],[Stock Gap]]&lt;0, "Understock","Okay")</f>
        <v>Okay</v>
      </c>
      <c r="O498" s="13" t="str">
        <f>IF(Table2[[#This Row],[Stock Gap]]&lt;0, "Yes", "No")</f>
        <v>No</v>
      </c>
      <c r="P498" s="13" t="str">
        <f>IF(Table2[[#This Row],[CurrentStock]]&lt;Table2[[#This Row],[ReorderLevel]],"Reorder", "Okay")</f>
        <v>Okay</v>
      </c>
      <c r="Q498" s="13" t="str">
        <f>IF(Table2[[#This Row],[CurrentStock]]&gt;Table2[[#This Row],[ReorderLevel]]*3, "Overstock", "Okay")</f>
        <v>Overstock</v>
      </c>
    </row>
    <row r="499" spans="1:17" x14ac:dyDescent="0.35">
      <c r="A499">
        <v>29942</v>
      </c>
      <c r="B499" t="s">
        <v>9</v>
      </c>
      <c r="C499" t="s">
        <v>26</v>
      </c>
      <c r="D499">
        <v>126</v>
      </c>
      <c r="E499">
        <v>20</v>
      </c>
      <c r="F499" s="2">
        <v>130.06</v>
      </c>
      <c r="G499" t="s">
        <v>33</v>
      </c>
      <c r="H499" s="1">
        <v>45504</v>
      </c>
      <c r="I499" s="1">
        <v>45528</v>
      </c>
      <c r="J499" t="s">
        <v>36</v>
      </c>
      <c r="K499" s="8">
        <f>Table2[[#This Row],[CurrentStock]]*Table2[[#This Row],[UnitPrice]]</f>
        <v>16387.560000000001</v>
      </c>
      <c r="L499" t="str">
        <f>IF(Table2[[#This Row],[CurrentStock]]&lt;=Table2[[#This Row],[ReorderLevel]], "Reorder Needed", "Okay")</f>
        <v>Okay</v>
      </c>
      <c r="M499" t="str">
        <f>IF(Table2[[#This Row],[CurrentStock]]-Table2[[#This Row],[ReorderLevel]]&lt;0,Table2[[#This Row],[CurrentStock]]-Table2[[#This Row],[ReorderLevel]],"")</f>
        <v/>
      </c>
      <c r="N499" t="str">
        <f>IF(Table2[[#This Row],[Stock Gap]]&lt;0, "Understock","Okay")</f>
        <v>Okay</v>
      </c>
      <c r="O499" s="13" t="str">
        <f>IF(Table2[[#This Row],[Stock Gap]]&lt;0, "Yes", "No")</f>
        <v>No</v>
      </c>
      <c r="P499" s="13" t="str">
        <f>IF(Table2[[#This Row],[CurrentStock]]&lt;Table2[[#This Row],[ReorderLevel]],"Reorder", "Okay")</f>
        <v>Okay</v>
      </c>
      <c r="Q499" s="13" t="str">
        <f>IF(Table2[[#This Row],[CurrentStock]]&gt;Table2[[#This Row],[ReorderLevel]]*3, "Overstock", "Okay")</f>
        <v>Overstock</v>
      </c>
    </row>
    <row r="500" spans="1:17" x14ac:dyDescent="0.35">
      <c r="A500">
        <v>52933</v>
      </c>
      <c r="B500" t="s">
        <v>15</v>
      </c>
      <c r="C500" t="s">
        <v>29</v>
      </c>
      <c r="D500">
        <v>425</v>
      </c>
      <c r="E500">
        <v>30</v>
      </c>
      <c r="F500" s="2">
        <v>31.49</v>
      </c>
      <c r="G500" t="s">
        <v>33</v>
      </c>
      <c r="H500" s="1">
        <v>45496</v>
      </c>
      <c r="I500" s="1">
        <v>45517</v>
      </c>
      <c r="J500" t="s">
        <v>36</v>
      </c>
      <c r="K500" s="8">
        <f>Table2[[#This Row],[CurrentStock]]*Table2[[#This Row],[UnitPrice]]</f>
        <v>13383.25</v>
      </c>
      <c r="L500" t="str">
        <f>IF(Table2[[#This Row],[CurrentStock]]&lt;=Table2[[#This Row],[ReorderLevel]], "Reorder Needed", "Okay")</f>
        <v>Okay</v>
      </c>
      <c r="M500" t="str">
        <f>IF(Table2[[#This Row],[CurrentStock]]-Table2[[#This Row],[ReorderLevel]]&lt;0,Table2[[#This Row],[CurrentStock]]-Table2[[#This Row],[ReorderLevel]],"")</f>
        <v/>
      </c>
      <c r="N500" t="str">
        <f>IF(Table2[[#This Row],[Stock Gap]]&lt;0, "Understock","Okay")</f>
        <v>Okay</v>
      </c>
      <c r="O500" s="13" t="str">
        <f>IF(Table2[[#This Row],[Stock Gap]]&lt;0, "Yes", "No")</f>
        <v>No</v>
      </c>
      <c r="P500" s="13" t="str">
        <f>IF(Table2[[#This Row],[CurrentStock]]&lt;Table2[[#This Row],[ReorderLevel]],"Reorder", "Okay")</f>
        <v>Okay</v>
      </c>
      <c r="Q500" s="13" t="str">
        <f>IF(Table2[[#This Row],[CurrentStock]]&gt;Table2[[#This Row],[ReorderLevel]]*3, "Overstock", "Okay")</f>
        <v>Overstock</v>
      </c>
    </row>
    <row r="501" spans="1:17" x14ac:dyDescent="0.35">
      <c r="A501">
        <v>96124</v>
      </c>
      <c r="B501" t="s">
        <v>18</v>
      </c>
      <c r="C501" t="s">
        <v>27</v>
      </c>
      <c r="D501">
        <v>460</v>
      </c>
      <c r="E501">
        <v>20</v>
      </c>
      <c r="F501" s="2">
        <v>150.5</v>
      </c>
      <c r="G501" t="s">
        <v>31</v>
      </c>
      <c r="H501" s="1">
        <v>45619</v>
      </c>
      <c r="I501" s="1">
        <v>45650</v>
      </c>
      <c r="J501" t="s">
        <v>38</v>
      </c>
      <c r="K501" s="8">
        <f>Table2[[#This Row],[CurrentStock]]*Table2[[#This Row],[UnitPrice]]</f>
        <v>69230</v>
      </c>
      <c r="L501" t="str">
        <f>IF(Table2[[#This Row],[CurrentStock]]&lt;=Table2[[#This Row],[ReorderLevel]], "Reorder Needed", "Okay")</f>
        <v>Okay</v>
      </c>
      <c r="M501" t="str">
        <f>IF(Table2[[#This Row],[CurrentStock]]-Table2[[#This Row],[ReorderLevel]]&lt;0,Table2[[#This Row],[CurrentStock]]-Table2[[#This Row],[ReorderLevel]],"")</f>
        <v/>
      </c>
      <c r="N501" t="str">
        <f>IF(Table2[[#This Row],[Stock Gap]]&lt;0, "Understock","Okay")</f>
        <v>Okay</v>
      </c>
      <c r="O501" s="13" t="str">
        <f>IF(Table2[[#This Row],[Stock Gap]]&lt;0, "Yes", "No")</f>
        <v>No</v>
      </c>
      <c r="P501" s="13" t="str">
        <f>IF(Table2[[#This Row],[CurrentStock]]&lt;Table2[[#This Row],[ReorderLevel]],"Reorder", "Okay")</f>
        <v>Okay</v>
      </c>
      <c r="Q501" s="13" t="str">
        <f>IF(Table2[[#This Row],[CurrentStock]]&gt;Table2[[#This Row],[ReorderLevel]]*3, "Overstock", "Okay")</f>
        <v>Overstock</v>
      </c>
    </row>
    <row r="502" spans="1:17" x14ac:dyDescent="0.35">
      <c r="A502">
        <v>92806</v>
      </c>
      <c r="B502" t="s">
        <v>19</v>
      </c>
      <c r="C502" t="s">
        <v>28</v>
      </c>
      <c r="D502">
        <v>422</v>
      </c>
      <c r="E502">
        <v>80</v>
      </c>
      <c r="F502" s="2">
        <v>235.82</v>
      </c>
      <c r="G502" t="s">
        <v>32</v>
      </c>
      <c r="H502" s="1">
        <v>45480</v>
      </c>
      <c r="I502" s="1">
        <v>45500</v>
      </c>
      <c r="J502" t="s">
        <v>38</v>
      </c>
      <c r="K502" s="8">
        <f>Table2[[#This Row],[CurrentStock]]*Table2[[#This Row],[UnitPrice]]</f>
        <v>99516.04</v>
      </c>
      <c r="L502" t="str">
        <f>IF(Table2[[#This Row],[CurrentStock]]&lt;=Table2[[#This Row],[ReorderLevel]], "Reorder Needed", "Okay")</f>
        <v>Okay</v>
      </c>
      <c r="M502" t="str">
        <f>IF(Table2[[#This Row],[CurrentStock]]-Table2[[#This Row],[ReorderLevel]]&lt;0,Table2[[#This Row],[CurrentStock]]-Table2[[#This Row],[ReorderLevel]],"")</f>
        <v/>
      </c>
      <c r="N502" t="str">
        <f>IF(Table2[[#This Row],[Stock Gap]]&lt;0, "Understock","Okay")</f>
        <v>Okay</v>
      </c>
      <c r="O502" s="13" t="str">
        <f>IF(Table2[[#This Row],[Stock Gap]]&lt;0, "Yes", "No")</f>
        <v>No</v>
      </c>
      <c r="P502" s="13" t="str">
        <f>IF(Table2[[#This Row],[CurrentStock]]&lt;Table2[[#This Row],[ReorderLevel]],"Reorder", "Okay")</f>
        <v>Okay</v>
      </c>
      <c r="Q502" s="13" t="str">
        <f>IF(Table2[[#This Row],[CurrentStock]]&gt;Table2[[#This Row],[ReorderLevel]]*3, "Overstock", "Okay")</f>
        <v>Overstock</v>
      </c>
    </row>
    <row r="503" spans="1:17" x14ac:dyDescent="0.35">
      <c r="A503">
        <v>43885</v>
      </c>
      <c r="B503" t="s">
        <v>24</v>
      </c>
      <c r="C503" t="s">
        <v>30</v>
      </c>
      <c r="D503">
        <v>400</v>
      </c>
      <c r="E503">
        <v>100</v>
      </c>
      <c r="F503" s="2">
        <v>499.78</v>
      </c>
      <c r="G503" t="s">
        <v>32</v>
      </c>
      <c r="H503" s="1">
        <v>45387</v>
      </c>
      <c r="I503" s="1">
        <v>45420</v>
      </c>
      <c r="J503" t="s">
        <v>36</v>
      </c>
      <c r="K503" s="8">
        <f>Table2[[#This Row],[CurrentStock]]*Table2[[#This Row],[UnitPrice]]</f>
        <v>199912</v>
      </c>
      <c r="L503" t="str">
        <f>IF(Table2[[#This Row],[CurrentStock]]&lt;=Table2[[#This Row],[ReorderLevel]], "Reorder Needed", "Okay")</f>
        <v>Okay</v>
      </c>
      <c r="M503" t="str">
        <f>IF(Table2[[#This Row],[CurrentStock]]-Table2[[#This Row],[ReorderLevel]]&lt;0,Table2[[#This Row],[CurrentStock]]-Table2[[#This Row],[ReorderLevel]],"")</f>
        <v/>
      </c>
      <c r="N503" t="str">
        <f>IF(Table2[[#This Row],[Stock Gap]]&lt;0, "Understock","Okay")</f>
        <v>Okay</v>
      </c>
      <c r="O503" s="13" t="str">
        <f>IF(Table2[[#This Row],[Stock Gap]]&lt;0, "Yes", "No")</f>
        <v>No</v>
      </c>
      <c r="P503" s="13" t="str">
        <f>IF(Table2[[#This Row],[CurrentStock]]&lt;Table2[[#This Row],[ReorderLevel]],"Reorder", "Okay")</f>
        <v>Okay</v>
      </c>
      <c r="Q503" s="13" t="str">
        <f>IF(Table2[[#This Row],[CurrentStock]]&gt;Table2[[#This Row],[ReorderLevel]]*3, "Overstock", "Okay")</f>
        <v>Overstock</v>
      </c>
    </row>
    <row r="504" spans="1:17" x14ac:dyDescent="0.35">
      <c r="A504">
        <v>82307</v>
      </c>
      <c r="B504" t="s">
        <v>19</v>
      </c>
      <c r="C504" t="s">
        <v>28</v>
      </c>
      <c r="D504">
        <v>93</v>
      </c>
      <c r="E504">
        <v>80</v>
      </c>
      <c r="F504" s="2">
        <v>27.5</v>
      </c>
      <c r="G504" t="s">
        <v>34</v>
      </c>
      <c r="H504" s="1">
        <v>45628</v>
      </c>
      <c r="I504" s="1">
        <v>45651</v>
      </c>
      <c r="J504" t="s">
        <v>38</v>
      </c>
      <c r="K504" s="8">
        <f>Table2[[#This Row],[CurrentStock]]*Table2[[#This Row],[UnitPrice]]</f>
        <v>2557.5</v>
      </c>
      <c r="L504" t="str">
        <f>IF(Table2[[#This Row],[CurrentStock]]&lt;=Table2[[#This Row],[ReorderLevel]], "Reorder Needed", "Okay")</f>
        <v>Okay</v>
      </c>
      <c r="M504" t="str">
        <f>IF(Table2[[#This Row],[CurrentStock]]-Table2[[#This Row],[ReorderLevel]]&lt;0,Table2[[#This Row],[CurrentStock]]-Table2[[#This Row],[ReorderLevel]],"")</f>
        <v/>
      </c>
      <c r="N504" t="str">
        <f>IF(Table2[[#This Row],[Stock Gap]]&lt;0, "Understock","Okay")</f>
        <v>Okay</v>
      </c>
      <c r="O504" s="13" t="str">
        <f>IF(Table2[[#This Row],[Stock Gap]]&lt;0, "Yes", "No")</f>
        <v>No</v>
      </c>
      <c r="P504" s="13" t="str">
        <f>IF(Table2[[#This Row],[CurrentStock]]&lt;Table2[[#This Row],[ReorderLevel]],"Reorder", "Okay")</f>
        <v>Okay</v>
      </c>
      <c r="Q504" s="13" t="str">
        <f>IF(Table2[[#This Row],[CurrentStock]]&gt;Table2[[#This Row],[ReorderLevel]]*3, "Overstock", "Okay")</f>
        <v>Okay</v>
      </c>
    </row>
    <row r="505" spans="1:17" x14ac:dyDescent="0.35">
      <c r="A505">
        <v>44485</v>
      </c>
      <c r="B505" t="s">
        <v>21</v>
      </c>
      <c r="C505" t="s">
        <v>26</v>
      </c>
      <c r="D505">
        <v>52</v>
      </c>
      <c r="E505">
        <v>150</v>
      </c>
      <c r="F505" s="2">
        <v>315.02999999999997</v>
      </c>
      <c r="G505" t="s">
        <v>34</v>
      </c>
      <c r="H505" s="1">
        <v>45604</v>
      </c>
      <c r="I505" s="1">
        <v>45617</v>
      </c>
      <c r="J505" t="s">
        <v>37</v>
      </c>
      <c r="K505" s="8">
        <f>Table2[[#This Row],[CurrentStock]]*Table2[[#This Row],[UnitPrice]]</f>
        <v>16381.559999999998</v>
      </c>
      <c r="L505" t="str">
        <f>IF(Table2[[#This Row],[CurrentStock]]&lt;=Table2[[#This Row],[ReorderLevel]], "Reorder Needed", "Okay")</f>
        <v>Reorder Needed</v>
      </c>
      <c r="M505" s="7">
        <f>IF(Table2[[#This Row],[CurrentStock]]-Table2[[#This Row],[ReorderLevel]]&lt;0,Table2[[#This Row],[CurrentStock]]-Table2[[#This Row],[ReorderLevel]],"")</f>
        <v>-98</v>
      </c>
      <c r="N505" t="str">
        <f>IF(Table2[[#This Row],[Stock Gap]]&lt;0, "Understock","Okay")</f>
        <v>Understock</v>
      </c>
      <c r="O505" s="13" t="str">
        <f>IF(Table2[[#This Row],[Stock Gap]]&lt;0, "Yes", "No")</f>
        <v>Yes</v>
      </c>
      <c r="P505" s="13" t="str">
        <f>IF(Table2[[#This Row],[CurrentStock]]&lt;Table2[[#This Row],[ReorderLevel]],"Reorder", "Okay")</f>
        <v>Reorder</v>
      </c>
      <c r="Q505" s="13" t="str">
        <f>IF(Table2[[#This Row],[CurrentStock]]&gt;Table2[[#This Row],[ReorderLevel]]*3, "Overstock", "Okay")</f>
        <v>Okay</v>
      </c>
    </row>
    <row r="506" spans="1:17" x14ac:dyDescent="0.35">
      <c r="A506">
        <v>29692</v>
      </c>
      <c r="B506" t="s">
        <v>14</v>
      </c>
      <c r="C506" t="s">
        <v>28</v>
      </c>
      <c r="D506">
        <v>207</v>
      </c>
      <c r="E506">
        <v>20</v>
      </c>
      <c r="F506" s="2">
        <v>171.32</v>
      </c>
      <c r="G506" t="s">
        <v>34</v>
      </c>
      <c r="H506" s="1">
        <v>45431</v>
      </c>
      <c r="I506" s="1">
        <v>45468</v>
      </c>
      <c r="J506" t="s">
        <v>36</v>
      </c>
      <c r="K506" s="8">
        <f>Table2[[#This Row],[CurrentStock]]*Table2[[#This Row],[UnitPrice]]</f>
        <v>35463.24</v>
      </c>
      <c r="L506" t="str">
        <f>IF(Table2[[#This Row],[CurrentStock]]&lt;=Table2[[#This Row],[ReorderLevel]], "Reorder Needed", "Okay")</f>
        <v>Okay</v>
      </c>
      <c r="M506" t="str">
        <f>IF(Table2[[#This Row],[CurrentStock]]-Table2[[#This Row],[ReorderLevel]]&lt;0,Table2[[#This Row],[CurrentStock]]-Table2[[#This Row],[ReorderLevel]],"")</f>
        <v/>
      </c>
      <c r="N506" t="str">
        <f>IF(Table2[[#This Row],[Stock Gap]]&lt;0, "Understock","Okay")</f>
        <v>Okay</v>
      </c>
      <c r="O506" s="13" t="str">
        <f>IF(Table2[[#This Row],[Stock Gap]]&lt;0, "Yes", "No")</f>
        <v>No</v>
      </c>
      <c r="P506" s="13" t="str">
        <f>IF(Table2[[#This Row],[CurrentStock]]&lt;Table2[[#This Row],[ReorderLevel]],"Reorder", "Okay")</f>
        <v>Okay</v>
      </c>
      <c r="Q506" s="13" t="str">
        <f>IF(Table2[[#This Row],[CurrentStock]]&gt;Table2[[#This Row],[ReorderLevel]]*3, "Overstock", "Okay")</f>
        <v>Overstock</v>
      </c>
    </row>
    <row r="507" spans="1:17" x14ac:dyDescent="0.35">
      <c r="A507">
        <v>70006</v>
      </c>
      <c r="B507" t="s">
        <v>14</v>
      </c>
      <c r="C507" t="s">
        <v>28</v>
      </c>
      <c r="D507">
        <v>267</v>
      </c>
      <c r="E507">
        <v>20</v>
      </c>
      <c r="F507" s="2">
        <v>307.33</v>
      </c>
      <c r="G507" t="s">
        <v>31</v>
      </c>
      <c r="H507" s="1">
        <v>45333</v>
      </c>
      <c r="I507" s="1">
        <v>45348</v>
      </c>
      <c r="J507" t="s">
        <v>37</v>
      </c>
      <c r="K507" s="8">
        <f>Table2[[#This Row],[CurrentStock]]*Table2[[#This Row],[UnitPrice]]</f>
        <v>82057.11</v>
      </c>
      <c r="L507" t="str">
        <f>IF(Table2[[#This Row],[CurrentStock]]&lt;=Table2[[#This Row],[ReorderLevel]], "Reorder Needed", "Okay")</f>
        <v>Okay</v>
      </c>
      <c r="M507" t="str">
        <f>IF(Table2[[#This Row],[CurrentStock]]-Table2[[#This Row],[ReorderLevel]]&lt;0,Table2[[#This Row],[CurrentStock]]-Table2[[#This Row],[ReorderLevel]],"")</f>
        <v/>
      </c>
      <c r="N507" t="str">
        <f>IF(Table2[[#This Row],[Stock Gap]]&lt;0, "Understock","Okay")</f>
        <v>Okay</v>
      </c>
      <c r="O507" s="13" t="str">
        <f>IF(Table2[[#This Row],[Stock Gap]]&lt;0, "Yes", "No")</f>
        <v>No</v>
      </c>
      <c r="P507" s="13" t="str">
        <f>IF(Table2[[#This Row],[CurrentStock]]&lt;Table2[[#This Row],[ReorderLevel]],"Reorder", "Okay")</f>
        <v>Okay</v>
      </c>
      <c r="Q507" s="13" t="str">
        <f>IF(Table2[[#This Row],[CurrentStock]]&gt;Table2[[#This Row],[ReorderLevel]]*3, "Overstock", "Okay")</f>
        <v>Overstock</v>
      </c>
    </row>
    <row r="508" spans="1:17" x14ac:dyDescent="0.35">
      <c r="A508">
        <v>85319</v>
      </c>
      <c r="B508" t="s">
        <v>17</v>
      </c>
      <c r="C508" t="s">
        <v>27</v>
      </c>
      <c r="D508">
        <v>415</v>
      </c>
      <c r="E508">
        <v>30</v>
      </c>
      <c r="F508" s="2">
        <v>340.31</v>
      </c>
      <c r="G508" t="s">
        <v>32</v>
      </c>
      <c r="H508" s="1">
        <v>45632</v>
      </c>
      <c r="I508" s="1">
        <v>45659</v>
      </c>
      <c r="J508" t="s">
        <v>38</v>
      </c>
      <c r="K508" s="8">
        <f>Table2[[#This Row],[CurrentStock]]*Table2[[#This Row],[UnitPrice]]</f>
        <v>141228.65</v>
      </c>
      <c r="L508" t="str">
        <f>IF(Table2[[#This Row],[CurrentStock]]&lt;=Table2[[#This Row],[ReorderLevel]], "Reorder Needed", "Okay")</f>
        <v>Okay</v>
      </c>
      <c r="M508" t="str">
        <f>IF(Table2[[#This Row],[CurrentStock]]-Table2[[#This Row],[ReorderLevel]]&lt;0,Table2[[#This Row],[CurrentStock]]-Table2[[#This Row],[ReorderLevel]],"")</f>
        <v/>
      </c>
      <c r="N508" t="str">
        <f>IF(Table2[[#This Row],[Stock Gap]]&lt;0, "Understock","Okay")</f>
        <v>Okay</v>
      </c>
      <c r="O508" s="13" t="str">
        <f>IF(Table2[[#This Row],[Stock Gap]]&lt;0, "Yes", "No")</f>
        <v>No</v>
      </c>
      <c r="P508" s="13" t="str">
        <f>IF(Table2[[#This Row],[CurrentStock]]&lt;Table2[[#This Row],[ReorderLevel]],"Reorder", "Okay")</f>
        <v>Okay</v>
      </c>
      <c r="Q508" s="13" t="str">
        <f>IF(Table2[[#This Row],[CurrentStock]]&gt;Table2[[#This Row],[ReorderLevel]]*3, "Overstock", "Okay")</f>
        <v>Overstock</v>
      </c>
    </row>
    <row r="509" spans="1:17" x14ac:dyDescent="0.35">
      <c r="A509">
        <v>23682</v>
      </c>
      <c r="B509" t="s">
        <v>25</v>
      </c>
      <c r="C509" t="s">
        <v>29</v>
      </c>
      <c r="D509">
        <v>191</v>
      </c>
      <c r="E509">
        <v>40</v>
      </c>
      <c r="F509" s="2">
        <v>264.74</v>
      </c>
      <c r="G509" t="s">
        <v>31</v>
      </c>
      <c r="H509" s="1">
        <v>45524</v>
      </c>
      <c r="I509" s="1">
        <v>45563</v>
      </c>
      <c r="J509" t="s">
        <v>36</v>
      </c>
      <c r="K509" s="8">
        <f>Table2[[#This Row],[CurrentStock]]*Table2[[#This Row],[UnitPrice]]</f>
        <v>50565.340000000004</v>
      </c>
      <c r="L509" t="str">
        <f>IF(Table2[[#This Row],[CurrentStock]]&lt;=Table2[[#This Row],[ReorderLevel]], "Reorder Needed", "Okay")</f>
        <v>Okay</v>
      </c>
      <c r="M509" t="str">
        <f>IF(Table2[[#This Row],[CurrentStock]]-Table2[[#This Row],[ReorderLevel]]&lt;0,Table2[[#This Row],[CurrentStock]]-Table2[[#This Row],[ReorderLevel]],"")</f>
        <v/>
      </c>
      <c r="N509" t="str">
        <f>IF(Table2[[#This Row],[Stock Gap]]&lt;0, "Understock","Okay")</f>
        <v>Okay</v>
      </c>
      <c r="O509" s="13" t="str">
        <f>IF(Table2[[#This Row],[Stock Gap]]&lt;0, "Yes", "No")</f>
        <v>No</v>
      </c>
      <c r="P509" s="13" t="str">
        <f>IF(Table2[[#This Row],[CurrentStock]]&lt;Table2[[#This Row],[ReorderLevel]],"Reorder", "Okay")</f>
        <v>Okay</v>
      </c>
      <c r="Q509" s="13" t="str">
        <f>IF(Table2[[#This Row],[CurrentStock]]&gt;Table2[[#This Row],[ReorderLevel]]*3, "Overstock", "Okay")</f>
        <v>Overstock</v>
      </c>
    </row>
    <row r="510" spans="1:17" x14ac:dyDescent="0.35">
      <c r="A510">
        <v>20234</v>
      </c>
      <c r="B510" t="s">
        <v>15</v>
      </c>
      <c r="C510" t="s">
        <v>29</v>
      </c>
      <c r="D510">
        <v>449</v>
      </c>
      <c r="E510">
        <v>150</v>
      </c>
      <c r="F510" s="2">
        <v>25.54</v>
      </c>
      <c r="G510" t="s">
        <v>34</v>
      </c>
      <c r="H510" s="1">
        <v>45650</v>
      </c>
      <c r="I510" s="1">
        <v>45682</v>
      </c>
      <c r="J510" t="s">
        <v>38</v>
      </c>
      <c r="K510" s="8">
        <f>Table2[[#This Row],[CurrentStock]]*Table2[[#This Row],[UnitPrice]]</f>
        <v>11467.46</v>
      </c>
      <c r="L510" t="str">
        <f>IF(Table2[[#This Row],[CurrentStock]]&lt;=Table2[[#This Row],[ReorderLevel]], "Reorder Needed", "Okay")</f>
        <v>Okay</v>
      </c>
      <c r="M510" t="str">
        <f>IF(Table2[[#This Row],[CurrentStock]]-Table2[[#This Row],[ReorderLevel]]&lt;0,Table2[[#This Row],[CurrentStock]]-Table2[[#This Row],[ReorderLevel]],"")</f>
        <v/>
      </c>
      <c r="N510" t="str">
        <f>IF(Table2[[#This Row],[Stock Gap]]&lt;0, "Understock","Okay")</f>
        <v>Okay</v>
      </c>
      <c r="O510" s="13" t="str">
        <f>IF(Table2[[#This Row],[Stock Gap]]&lt;0, "Yes", "No")</f>
        <v>No</v>
      </c>
      <c r="P510" s="13" t="str">
        <f>IF(Table2[[#This Row],[CurrentStock]]&lt;Table2[[#This Row],[ReorderLevel]],"Reorder", "Okay")</f>
        <v>Okay</v>
      </c>
      <c r="Q510" s="13" t="str">
        <f>IF(Table2[[#This Row],[CurrentStock]]&gt;Table2[[#This Row],[ReorderLevel]]*3, "Overstock", "Okay")</f>
        <v>Okay</v>
      </c>
    </row>
    <row r="511" spans="1:17" x14ac:dyDescent="0.35">
      <c r="A511">
        <v>54757</v>
      </c>
      <c r="B511" t="s">
        <v>14</v>
      </c>
      <c r="C511" t="s">
        <v>28</v>
      </c>
      <c r="D511">
        <v>27</v>
      </c>
      <c r="E511">
        <v>30</v>
      </c>
      <c r="F511" s="2">
        <v>311.70999999999998</v>
      </c>
      <c r="G511" t="s">
        <v>32</v>
      </c>
      <c r="H511" s="1">
        <v>45584</v>
      </c>
      <c r="I511" s="1">
        <v>45592</v>
      </c>
      <c r="J511" t="s">
        <v>36</v>
      </c>
      <c r="K511" s="8">
        <f>Table2[[#This Row],[CurrentStock]]*Table2[[#This Row],[UnitPrice]]</f>
        <v>8416.17</v>
      </c>
      <c r="L511" t="str">
        <f>IF(Table2[[#This Row],[CurrentStock]]&lt;=Table2[[#This Row],[ReorderLevel]], "Reorder Needed", "Okay")</f>
        <v>Reorder Needed</v>
      </c>
      <c r="M511" s="7">
        <f>IF(Table2[[#This Row],[CurrentStock]]-Table2[[#This Row],[ReorderLevel]]&lt;0,Table2[[#This Row],[CurrentStock]]-Table2[[#This Row],[ReorderLevel]],"")</f>
        <v>-3</v>
      </c>
      <c r="N511" t="str">
        <f>IF(Table2[[#This Row],[Stock Gap]]&lt;0, "Understock","Okay")</f>
        <v>Understock</v>
      </c>
      <c r="O511" s="13" t="str">
        <f>IF(Table2[[#This Row],[Stock Gap]]&lt;0, "Yes", "No")</f>
        <v>Yes</v>
      </c>
      <c r="P511" s="13" t="str">
        <f>IF(Table2[[#This Row],[CurrentStock]]&lt;Table2[[#This Row],[ReorderLevel]],"Reorder", "Okay")</f>
        <v>Reorder</v>
      </c>
      <c r="Q511" s="13" t="str">
        <f>IF(Table2[[#This Row],[CurrentStock]]&gt;Table2[[#This Row],[ReorderLevel]]*3, "Overstock", "Okay")</f>
        <v>Okay</v>
      </c>
    </row>
    <row r="512" spans="1:17" x14ac:dyDescent="0.35">
      <c r="A512">
        <v>97225</v>
      </c>
      <c r="B512" t="s">
        <v>14</v>
      </c>
      <c r="C512" t="s">
        <v>28</v>
      </c>
      <c r="D512">
        <v>268</v>
      </c>
      <c r="E512">
        <v>50</v>
      </c>
      <c r="F512" s="2">
        <v>340.67</v>
      </c>
      <c r="G512" t="s">
        <v>33</v>
      </c>
      <c r="H512" s="1">
        <v>45396</v>
      </c>
      <c r="I512" s="1">
        <v>45419</v>
      </c>
      <c r="J512" t="s">
        <v>37</v>
      </c>
      <c r="K512" s="8">
        <f>Table2[[#This Row],[CurrentStock]]*Table2[[#This Row],[UnitPrice]]</f>
        <v>91299.56</v>
      </c>
      <c r="L512" t="str">
        <f>IF(Table2[[#This Row],[CurrentStock]]&lt;=Table2[[#This Row],[ReorderLevel]], "Reorder Needed", "Okay")</f>
        <v>Okay</v>
      </c>
      <c r="M512" t="str">
        <f>IF(Table2[[#This Row],[CurrentStock]]-Table2[[#This Row],[ReorderLevel]]&lt;0,Table2[[#This Row],[CurrentStock]]-Table2[[#This Row],[ReorderLevel]],"")</f>
        <v/>
      </c>
      <c r="N512" t="str">
        <f>IF(Table2[[#This Row],[Stock Gap]]&lt;0, "Understock","Okay")</f>
        <v>Okay</v>
      </c>
      <c r="O512" s="13" t="str">
        <f>IF(Table2[[#This Row],[Stock Gap]]&lt;0, "Yes", "No")</f>
        <v>No</v>
      </c>
      <c r="P512" s="13" t="str">
        <f>IF(Table2[[#This Row],[CurrentStock]]&lt;Table2[[#This Row],[ReorderLevel]],"Reorder", "Okay")</f>
        <v>Okay</v>
      </c>
      <c r="Q512" s="13" t="str">
        <f>IF(Table2[[#This Row],[CurrentStock]]&gt;Table2[[#This Row],[ReorderLevel]]*3, "Overstock", "Okay")</f>
        <v>Overstock</v>
      </c>
    </row>
    <row r="513" spans="1:17" x14ac:dyDescent="0.35">
      <c r="A513">
        <v>23255</v>
      </c>
      <c r="B513" t="s">
        <v>19</v>
      </c>
      <c r="C513" t="s">
        <v>28</v>
      </c>
      <c r="D513">
        <v>425</v>
      </c>
      <c r="E513">
        <v>30</v>
      </c>
      <c r="F513" s="2">
        <v>495.89</v>
      </c>
      <c r="G513" t="s">
        <v>32</v>
      </c>
      <c r="H513" s="1">
        <v>45388</v>
      </c>
      <c r="I513" s="1">
        <v>45404</v>
      </c>
      <c r="J513" t="s">
        <v>38</v>
      </c>
      <c r="K513" s="8">
        <f>Table2[[#This Row],[CurrentStock]]*Table2[[#This Row],[UnitPrice]]</f>
        <v>210753.25</v>
      </c>
      <c r="L513" t="str">
        <f>IF(Table2[[#This Row],[CurrentStock]]&lt;=Table2[[#This Row],[ReorderLevel]], "Reorder Needed", "Okay")</f>
        <v>Okay</v>
      </c>
      <c r="M513" t="str">
        <f>IF(Table2[[#This Row],[CurrentStock]]-Table2[[#This Row],[ReorderLevel]]&lt;0,Table2[[#This Row],[CurrentStock]]-Table2[[#This Row],[ReorderLevel]],"")</f>
        <v/>
      </c>
      <c r="N513" t="str">
        <f>IF(Table2[[#This Row],[Stock Gap]]&lt;0, "Understock","Okay")</f>
        <v>Okay</v>
      </c>
      <c r="O513" s="13" t="str">
        <f>IF(Table2[[#This Row],[Stock Gap]]&lt;0, "Yes", "No")</f>
        <v>No</v>
      </c>
      <c r="P513" s="13" t="str">
        <f>IF(Table2[[#This Row],[CurrentStock]]&lt;Table2[[#This Row],[ReorderLevel]],"Reorder", "Okay")</f>
        <v>Okay</v>
      </c>
      <c r="Q513" s="13" t="str">
        <f>IF(Table2[[#This Row],[CurrentStock]]&gt;Table2[[#This Row],[ReorderLevel]]*3, "Overstock", "Okay")</f>
        <v>Overstock</v>
      </c>
    </row>
    <row r="514" spans="1:17" x14ac:dyDescent="0.35">
      <c r="A514">
        <v>98535</v>
      </c>
      <c r="B514" t="s">
        <v>21</v>
      </c>
      <c r="C514" t="s">
        <v>26</v>
      </c>
      <c r="D514">
        <v>136</v>
      </c>
      <c r="E514">
        <v>150</v>
      </c>
      <c r="F514" s="2">
        <v>85.58</v>
      </c>
      <c r="G514" t="s">
        <v>35</v>
      </c>
      <c r="H514" s="1">
        <v>45367</v>
      </c>
      <c r="I514" s="1">
        <v>45402</v>
      </c>
      <c r="J514" t="s">
        <v>36</v>
      </c>
      <c r="K514" s="8">
        <f>Table2[[#This Row],[CurrentStock]]*Table2[[#This Row],[UnitPrice]]</f>
        <v>11638.88</v>
      </c>
      <c r="L514" t="str">
        <f>IF(Table2[[#This Row],[CurrentStock]]&lt;=Table2[[#This Row],[ReorderLevel]], "Reorder Needed", "Okay")</f>
        <v>Reorder Needed</v>
      </c>
      <c r="M514" s="7">
        <f>IF(Table2[[#This Row],[CurrentStock]]-Table2[[#This Row],[ReorderLevel]]&lt;0,Table2[[#This Row],[CurrentStock]]-Table2[[#This Row],[ReorderLevel]],"")</f>
        <v>-14</v>
      </c>
      <c r="N514" t="str">
        <f>IF(Table2[[#This Row],[Stock Gap]]&lt;0, "Understock","Okay")</f>
        <v>Understock</v>
      </c>
      <c r="O514" s="13" t="str">
        <f>IF(Table2[[#This Row],[Stock Gap]]&lt;0, "Yes", "No")</f>
        <v>Yes</v>
      </c>
      <c r="P514" s="13" t="str">
        <f>IF(Table2[[#This Row],[CurrentStock]]&lt;Table2[[#This Row],[ReorderLevel]],"Reorder", "Okay")</f>
        <v>Reorder</v>
      </c>
      <c r="Q514" s="13" t="str">
        <f>IF(Table2[[#This Row],[CurrentStock]]&gt;Table2[[#This Row],[ReorderLevel]]*3, "Overstock", "Okay")</f>
        <v>Okay</v>
      </c>
    </row>
    <row r="515" spans="1:17" x14ac:dyDescent="0.35">
      <c r="A515">
        <v>54041</v>
      </c>
      <c r="B515" t="s">
        <v>24</v>
      </c>
      <c r="C515" t="s">
        <v>30</v>
      </c>
      <c r="D515">
        <v>249</v>
      </c>
      <c r="E515">
        <v>100</v>
      </c>
      <c r="F515" s="2">
        <v>34.75</v>
      </c>
      <c r="G515" t="s">
        <v>31</v>
      </c>
      <c r="H515" s="1">
        <v>45364</v>
      </c>
      <c r="I515" s="1">
        <v>45394</v>
      </c>
      <c r="J515" t="s">
        <v>37</v>
      </c>
      <c r="K515" s="8">
        <f>Table2[[#This Row],[CurrentStock]]*Table2[[#This Row],[UnitPrice]]</f>
        <v>8652.75</v>
      </c>
      <c r="L515" t="str">
        <f>IF(Table2[[#This Row],[CurrentStock]]&lt;=Table2[[#This Row],[ReorderLevel]], "Reorder Needed", "Okay")</f>
        <v>Okay</v>
      </c>
      <c r="M515" t="str">
        <f>IF(Table2[[#This Row],[CurrentStock]]-Table2[[#This Row],[ReorderLevel]]&lt;0,Table2[[#This Row],[CurrentStock]]-Table2[[#This Row],[ReorderLevel]],"")</f>
        <v/>
      </c>
      <c r="N515" t="str">
        <f>IF(Table2[[#This Row],[Stock Gap]]&lt;0, "Understock","Okay")</f>
        <v>Okay</v>
      </c>
      <c r="O515" s="13" t="str">
        <f>IF(Table2[[#This Row],[Stock Gap]]&lt;0, "Yes", "No")</f>
        <v>No</v>
      </c>
      <c r="P515" s="13" t="str">
        <f>IF(Table2[[#This Row],[CurrentStock]]&lt;Table2[[#This Row],[ReorderLevel]],"Reorder", "Okay")</f>
        <v>Okay</v>
      </c>
      <c r="Q515" s="13" t="str">
        <f>IF(Table2[[#This Row],[CurrentStock]]&gt;Table2[[#This Row],[ReorderLevel]]*3, "Overstock", "Okay")</f>
        <v>Okay</v>
      </c>
    </row>
    <row r="516" spans="1:17" x14ac:dyDescent="0.35">
      <c r="A516">
        <v>71899</v>
      </c>
      <c r="B516" t="s">
        <v>15</v>
      </c>
      <c r="C516" t="s">
        <v>29</v>
      </c>
      <c r="D516">
        <v>441</v>
      </c>
      <c r="E516">
        <v>40</v>
      </c>
      <c r="F516" s="2">
        <v>32.520000000000003</v>
      </c>
      <c r="G516" t="s">
        <v>34</v>
      </c>
      <c r="H516" s="1">
        <v>45562</v>
      </c>
      <c r="I516" s="1">
        <v>45601</v>
      </c>
      <c r="J516" t="s">
        <v>36</v>
      </c>
      <c r="K516" s="8">
        <f>Table2[[#This Row],[CurrentStock]]*Table2[[#This Row],[UnitPrice]]</f>
        <v>14341.320000000002</v>
      </c>
      <c r="L516" t="str">
        <f>IF(Table2[[#This Row],[CurrentStock]]&lt;=Table2[[#This Row],[ReorderLevel]], "Reorder Needed", "Okay")</f>
        <v>Okay</v>
      </c>
      <c r="M516" t="str">
        <f>IF(Table2[[#This Row],[CurrentStock]]-Table2[[#This Row],[ReorderLevel]]&lt;0,Table2[[#This Row],[CurrentStock]]-Table2[[#This Row],[ReorderLevel]],"")</f>
        <v/>
      </c>
      <c r="N516" t="str">
        <f>IF(Table2[[#This Row],[Stock Gap]]&lt;0, "Understock","Okay")</f>
        <v>Okay</v>
      </c>
      <c r="O516" s="13" t="str">
        <f>IF(Table2[[#This Row],[Stock Gap]]&lt;0, "Yes", "No")</f>
        <v>No</v>
      </c>
      <c r="P516" s="13" t="str">
        <f>IF(Table2[[#This Row],[CurrentStock]]&lt;Table2[[#This Row],[ReorderLevel]],"Reorder", "Okay")</f>
        <v>Okay</v>
      </c>
      <c r="Q516" s="13" t="str">
        <f>IF(Table2[[#This Row],[CurrentStock]]&gt;Table2[[#This Row],[ReorderLevel]]*3, "Overstock", "Okay")</f>
        <v>Overstock</v>
      </c>
    </row>
    <row r="517" spans="1:17" x14ac:dyDescent="0.35">
      <c r="A517">
        <v>30566</v>
      </c>
      <c r="B517" t="s">
        <v>13</v>
      </c>
      <c r="C517" t="s">
        <v>26</v>
      </c>
      <c r="D517">
        <v>174</v>
      </c>
      <c r="E517">
        <v>30</v>
      </c>
      <c r="F517" s="2">
        <v>428.79</v>
      </c>
      <c r="G517" t="s">
        <v>34</v>
      </c>
      <c r="H517" s="1">
        <v>45631</v>
      </c>
      <c r="I517" s="1">
        <v>45647</v>
      </c>
      <c r="J517" t="s">
        <v>38</v>
      </c>
      <c r="K517" s="8">
        <f>Table2[[#This Row],[CurrentStock]]*Table2[[#This Row],[UnitPrice]]</f>
        <v>74609.460000000006</v>
      </c>
      <c r="L517" t="str">
        <f>IF(Table2[[#This Row],[CurrentStock]]&lt;=Table2[[#This Row],[ReorderLevel]], "Reorder Needed", "Okay")</f>
        <v>Okay</v>
      </c>
      <c r="M517" t="str">
        <f>IF(Table2[[#This Row],[CurrentStock]]-Table2[[#This Row],[ReorderLevel]]&lt;0,Table2[[#This Row],[CurrentStock]]-Table2[[#This Row],[ReorderLevel]],"")</f>
        <v/>
      </c>
      <c r="N517" t="str">
        <f>IF(Table2[[#This Row],[Stock Gap]]&lt;0, "Understock","Okay")</f>
        <v>Okay</v>
      </c>
      <c r="O517" s="13" t="str">
        <f>IF(Table2[[#This Row],[Stock Gap]]&lt;0, "Yes", "No")</f>
        <v>No</v>
      </c>
      <c r="P517" s="13" t="str">
        <f>IF(Table2[[#This Row],[CurrentStock]]&lt;Table2[[#This Row],[ReorderLevel]],"Reorder", "Okay")</f>
        <v>Okay</v>
      </c>
      <c r="Q517" s="13" t="str">
        <f>IF(Table2[[#This Row],[CurrentStock]]&gt;Table2[[#This Row],[ReorderLevel]]*3, "Overstock", "Okay")</f>
        <v>Overstock</v>
      </c>
    </row>
    <row r="518" spans="1:17" x14ac:dyDescent="0.35">
      <c r="A518">
        <v>23780</v>
      </c>
      <c r="B518" t="s">
        <v>11</v>
      </c>
      <c r="C518" t="s">
        <v>27</v>
      </c>
      <c r="D518">
        <v>157</v>
      </c>
      <c r="E518">
        <v>40</v>
      </c>
      <c r="F518" s="2">
        <v>174.34</v>
      </c>
      <c r="G518" t="s">
        <v>35</v>
      </c>
      <c r="H518" s="1">
        <v>45631</v>
      </c>
      <c r="I518" s="1">
        <v>45657</v>
      </c>
      <c r="J518" t="s">
        <v>36</v>
      </c>
      <c r="K518" s="8">
        <f>Table2[[#This Row],[CurrentStock]]*Table2[[#This Row],[UnitPrice]]</f>
        <v>27371.38</v>
      </c>
      <c r="L518" t="str">
        <f>IF(Table2[[#This Row],[CurrentStock]]&lt;=Table2[[#This Row],[ReorderLevel]], "Reorder Needed", "Okay")</f>
        <v>Okay</v>
      </c>
      <c r="M518" t="str">
        <f>IF(Table2[[#This Row],[CurrentStock]]-Table2[[#This Row],[ReorderLevel]]&lt;0,Table2[[#This Row],[CurrentStock]]-Table2[[#This Row],[ReorderLevel]],"")</f>
        <v/>
      </c>
      <c r="N518" t="str">
        <f>IF(Table2[[#This Row],[Stock Gap]]&lt;0, "Understock","Okay")</f>
        <v>Okay</v>
      </c>
      <c r="O518" s="13" t="str">
        <f>IF(Table2[[#This Row],[Stock Gap]]&lt;0, "Yes", "No")</f>
        <v>No</v>
      </c>
      <c r="P518" s="13" t="str">
        <f>IF(Table2[[#This Row],[CurrentStock]]&lt;Table2[[#This Row],[ReorderLevel]],"Reorder", "Okay")</f>
        <v>Okay</v>
      </c>
      <c r="Q518" s="13" t="str">
        <f>IF(Table2[[#This Row],[CurrentStock]]&gt;Table2[[#This Row],[ReorderLevel]]*3, "Overstock", "Okay")</f>
        <v>Overstock</v>
      </c>
    </row>
    <row r="519" spans="1:17" x14ac:dyDescent="0.35">
      <c r="A519">
        <v>41508</v>
      </c>
      <c r="B519" t="s">
        <v>13</v>
      </c>
      <c r="C519" t="s">
        <v>26</v>
      </c>
      <c r="D519">
        <v>252</v>
      </c>
      <c r="E519">
        <v>150</v>
      </c>
      <c r="F519" s="2">
        <v>475.2</v>
      </c>
      <c r="G519" t="s">
        <v>34</v>
      </c>
      <c r="H519" s="1">
        <v>45593</v>
      </c>
      <c r="I519" s="1">
        <v>45622</v>
      </c>
      <c r="J519" t="s">
        <v>38</v>
      </c>
      <c r="K519" s="8">
        <f>Table2[[#This Row],[CurrentStock]]*Table2[[#This Row],[UnitPrice]]</f>
        <v>119750.39999999999</v>
      </c>
      <c r="L519" t="str">
        <f>IF(Table2[[#This Row],[CurrentStock]]&lt;=Table2[[#This Row],[ReorderLevel]], "Reorder Needed", "Okay")</f>
        <v>Okay</v>
      </c>
      <c r="M519" t="str">
        <f>IF(Table2[[#This Row],[CurrentStock]]-Table2[[#This Row],[ReorderLevel]]&lt;0,Table2[[#This Row],[CurrentStock]]-Table2[[#This Row],[ReorderLevel]],"")</f>
        <v/>
      </c>
      <c r="N519" t="str">
        <f>IF(Table2[[#This Row],[Stock Gap]]&lt;0, "Understock","Okay")</f>
        <v>Okay</v>
      </c>
      <c r="O519" s="13" t="str">
        <f>IF(Table2[[#This Row],[Stock Gap]]&lt;0, "Yes", "No")</f>
        <v>No</v>
      </c>
      <c r="P519" s="13" t="str">
        <f>IF(Table2[[#This Row],[CurrentStock]]&lt;Table2[[#This Row],[ReorderLevel]],"Reorder", "Okay")</f>
        <v>Okay</v>
      </c>
      <c r="Q519" s="13" t="str">
        <f>IF(Table2[[#This Row],[CurrentStock]]&gt;Table2[[#This Row],[ReorderLevel]]*3, "Overstock", "Okay")</f>
        <v>Okay</v>
      </c>
    </row>
    <row r="520" spans="1:17" x14ac:dyDescent="0.35">
      <c r="A520">
        <v>11987</v>
      </c>
      <c r="B520" t="s">
        <v>22</v>
      </c>
      <c r="C520" t="s">
        <v>29</v>
      </c>
      <c r="D520">
        <v>112</v>
      </c>
      <c r="E520">
        <v>40</v>
      </c>
      <c r="F520" s="2">
        <v>175.26</v>
      </c>
      <c r="G520" t="s">
        <v>31</v>
      </c>
      <c r="H520" s="1">
        <v>45594</v>
      </c>
      <c r="I520" s="1">
        <v>45621</v>
      </c>
      <c r="J520" t="s">
        <v>38</v>
      </c>
      <c r="K520" s="8">
        <f>Table2[[#This Row],[CurrentStock]]*Table2[[#This Row],[UnitPrice]]</f>
        <v>19629.12</v>
      </c>
      <c r="L520" t="str">
        <f>IF(Table2[[#This Row],[CurrentStock]]&lt;=Table2[[#This Row],[ReorderLevel]], "Reorder Needed", "Okay")</f>
        <v>Okay</v>
      </c>
      <c r="M520" t="str">
        <f>IF(Table2[[#This Row],[CurrentStock]]-Table2[[#This Row],[ReorderLevel]]&lt;0,Table2[[#This Row],[CurrentStock]]-Table2[[#This Row],[ReorderLevel]],"")</f>
        <v/>
      </c>
      <c r="N520" t="str">
        <f>IF(Table2[[#This Row],[Stock Gap]]&lt;0, "Understock","Okay")</f>
        <v>Okay</v>
      </c>
      <c r="O520" s="13" t="str">
        <f>IF(Table2[[#This Row],[Stock Gap]]&lt;0, "Yes", "No")</f>
        <v>No</v>
      </c>
      <c r="P520" s="13" t="str">
        <f>IF(Table2[[#This Row],[CurrentStock]]&lt;Table2[[#This Row],[ReorderLevel]],"Reorder", "Okay")</f>
        <v>Okay</v>
      </c>
      <c r="Q520" s="13" t="str">
        <f>IF(Table2[[#This Row],[CurrentStock]]&gt;Table2[[#This Row],[ReorderLevel]]*3, "Overstock", "Okay")</f>
        <v>Okay</v>
      </c>
    </row>
    <row r="521" spans="1:17" x14ac:dyDescent="0.35">
      <c r="A521">
        <v>66561</v>
      </c>
      <c r="B521" t="s">
        <v>16</v>
      </c>
      <c r="C521" t="s">
        <v>29</v>
      </c>
      <c r="D521">
        <v>226</v>
      </c>
      <c r="E521">
        <v>100</v>
      </c>
      <c r="F521" s="2">
        <v>263.95999999999998</v>
      </c>
      <c r="G521" t="s">
        <v>32</v>
      </c>
      <c r="H521" s="1">
        <v>45483</v>
      </c>
      <c r="I521" s="1">
        <v>45490</v>
      </c>
      <c r="J521" t="s">
        <v>36</v>
      </c>
      <c r="K521" s="8">
        <f>Table2[[#This Row],[CurrentStock]]*Table2[[#This Row],[UnitPrice]]</f>
        <v>59654.959999999992</v>
      </c>
      <c r="L521" t="str">
        <f>IF(Table2[[#This Row],[CurrentStock]]&lt;=Table2[[#This Row],[ReorderLevel]], "Reorder Needed", "Okay")</f>
        <v>Okay</v>
      </c>
      <c r="M521" t="str">
        <f>IF(Table2[[#This Row],[CurrentStock]]-Table2[[#This Row],[ReorderLevel]]&lt;0,Table2[[#This Row],[CurrentStock]]-Table2[[#This Row],[ReorderLevel]],"")</f>
        <v/>
      </c>
      <c r="N521" t="str">
        <f>IF(Table2[[#This Row],[Stock Gap]]&lt;0, "Understock","Okay")</f>
        <v>Okay</v>
      </c>
      <c r="O521" s="13" t="str">
        <f>IF(Table2[[#This Row],[Stock Gap]]&lt;0, "Yes", "No")</f>
        <v>No</v>
      </c>
      <c r="P521" s="13" t="str">
        <f>IF(Table2[[#This Row],[CurrentStock]]&lt;Table2[[#This Row],[ReorderLevel]],"Reorder", "Okay")</f>
        <v>Okay</v>
      </c>
      <c r="Q521" s="13" t="str">
        <f>IF(Table2[[#This Row],[CurrentStock]]&gt;Table2[[#This Row],[ReorderLevel]]*3, "Overstock", "Okay")</f>
        <v>Okay</v>
      </c>
    </row>
    <row r="522" spans="1:17" x14ac:dyDescent="0.35">
      <c r="A522">
        <v>65161</v>
      </c>
      <c r="B522" t="s">
        <v>9</v>
      </c>
      <c r="C522" t="s">
        <v>26</v>
      </c>
      <c r="D522">
        <v>199</v>
      </c>
      <c r="E522">
        <v>150</v>
      </c>
      <c r="F522" s="2">
        <v>130.69999999999999</v>
      </c>
      <c r="G522" t="s">
        <v>35</v>
      </c>
      <c r="H522" s="1">
        <v>45483</v>
      </c>
      <c r="I522" s="1">
        <v>45492</v>
      </c>
      <c r="J522" t="s">
        <v>36</v>
      </c>
      <c r="K522" s="8">
        <f>Table2[[#This Row],[CurrentStock]]*Table2[[#This Row],[UnitPrice]]</f>
        <v>26009.3</v>
      </c>
      <c r="L522" t="str">
        <f>IF(Table2[[#This Row],[CurrentStock]]&lt;=Table2[[#This Row],[ReorderLevel]], "Reorder Needed", "Okay")</f>
        <v>Okay</v>
      </c>
      <c r="M522" t="str">
        <f>IF(Table2[[#This Row],[CurrentStock]]-Table2[[#This Row],[ReorderLevel]]&lt;0,Table2[[#This Row],[CurrentStock]]-Table2[[#This Row],[ReorderLevel]],"")</f>
        <v/>
      </c>
      <c r="N522" t="str">
        <f>IF(Table2[[#This Row],[Stock Gap]]&lt;0, "Understock","Okay")</f>
        <v>Okay</v>
      </c>
      <c r="O522" s="13" t="str">
        <f>IF(Table2[[#This Row],[Stock Gap]]&lt;0, "Yes", "No")</f>
        <v>No</v>
      </c>
      <c r="P522" s="13" t="str">
        <f>IF(Table2[[#This Row],[CurrentStock]]&lt;Table2[[#This Row],[ReorderLevel]],"Reorder", "Okay")</f>
        <v>Okay</v>
      </c>
      <c r="Q522" s="13" t="str">
        <f>IF(Table2[[#This Row],[CurrentStock]]&gt;Table2[[#This Row],[ReorderLevel]]*3, "Overstock", "Okay")</f>
        <v>Okay</v>
      </c>
    </row>
    <row r="523" spans="1:17" x14ac:dyDescent="0.35">
      <c r="A523">
        <v>40266</v>
      </c>
      <c r="B523" t="s">
        <v>16</v>
      </c>
      <c r="C523" t="s">
        <v>29</v>
      </c>
      <c r="D523">
        <v>442</v>
      </c>
      <c r="E523">
        <v>80</v>
      </c>
      <c r="F523" s="2">
        <v>294.61</v>
      </c>
      <c r="G523" t="s">
        <v>32</v>
      </c>
      <c r="H523" s="1">
        <v>45488</v>
      </c>
      <c r="I523" s="1">
        <v>45501</v>
      </c>
      <c r="J523" t="s">
        <v>36</v>
      </c>
      <c r="K523" s="8">
        <f>Table2[[#This Row],[CurrentStock]]*Table2[[#This Row],[UnitPrice]]</f>
        <v>130217.62000000001</v>
      </c>
      <c r="L523" t="str">
        <f>IF(Table2[[#This Row],[CurrentStock]]&lt;=Table2[[#This Row],[ReorderLevel]], "Reorder Needed", "Okay")</f>
        <v>Okay</v>
      </c>
      <c r="M523" t="str">
        <f>IF(Table2[[#This Row],[CurrentStock]]-Table2[[#This Row],[ReorderLevel]]&lt;0,Table2[[#This Row],[CurrentStock]]-Table2[[#This Row],[ReorderLevel]],"")</f>
        <v/>
      </c>
      <c r="N523" t="str">
        <f>IF(Table2[[#This Row],[Stock Gap]]&lt;0, "Understock","Okay")</f>
        <v>Okay</v>
      </c>
      <c r="O523" s="13" t="str">
        <f>IF(Table2[[#This Row],[Stock Gap]]&lt;0, "Yes", "No")</f>
        <v>No</v>
      </c>
      <c r="P523" s="13" t="str">
        <f>IF(Table2[[#This Row],[CurrentStock]]&lt;Table2[[#This Row],[ReorderLevel]],"Reorder", "Okay")</f>
        <v>Okay</v>
      </c>
      <c r="Q523" s="13" t="str">
        <f>IF(Table2[[#This Row],[CurrentStock]]&gt;Table2[[#This Row],[ReorderLevel]]*3, "Overstock", "Okay")</f>
        <v>Overstock</v>
      </c>
    </row>
    <row r="524" spans="1:17" x14ac:dyDescent="0.35">
      <c r="A524">
        <v>20956</v>
      </c>
      <c r="B524" t="s">
        <v>21</v>
      </c>
      <c r="C524" t="s">
        <v>26</v>
      </c>
      <c r="D524">
        <v>29</v>
      </c>
      <c r="E524">
        <v>40</v>
      </c>
      <c r="F524" s="2">
        <v>268.48</v>
      </c>
      <c r="G524" t="s">
        <v>31</v>
      </c>
      <c r="H524" s="1">
        <v>45623</v>
      </c>
      <c r="I524" s="1">
        <v>45653</v>
      </c>
      <c r="J524" t="s">
        <v>37</v>
      </c>
      <c r="K524" s="8">
        <f>Table2[[#This Row],[CurrentStock]]*Table2[[#This Row],[UnitPrice]]</f>
        <v>7785.92</v>
      </c>
      <c r="L524" t="str">
        <f>IF(Table2[[#This Row],[CurrentStock]]&lt;=Table2[[#This Row],[ReorderLevel]], "Reorder Needed", "Okay")</f>
        <v>Reorder Needed</v>
      </c>
      <c r="M524" s="7">
        <f>IF(Table2[[#This Row],[CurrentStock]]-Table2[[#This Row],[ReorderLevel]]&lt;0,Table2[[#This Row],[CurrentStock]]-Table2[[#This Row],[ReorderLevel]],"")</f>
        <v>-11</v>
      </c>
      <c r="N524" t="str">
        <f>IF(Table2[[#This Row],[Stock Gap]]&lt;0, "Understock","Okay")</f>
        <v>Understock</v>
      </c>
      <c r="O524" s="13" t="str">
        <f>IF(Table2[[#This Row],[Stock Gap]]&lt;0, "Yes", "No")</f>
        <v>Yes</v>
      </c>
      <c r="P524" s="13" t="str">
        <f>IF(Table2[[#This Row],[CurrentStock]]&lt;Table2[[#This Row],[ReorderLevel]],"Reorder", "Okay")</f>
        <v>Reorder</v>
      </c>
      <c r="Q524" s="13" t="str">
        <f>IF(Table2[[#This Row],[CurrentStock]]&gt;Table2[[#This Row],[ReorderLevel]]*3, "Overstock", "Okay")</f>
        <v>Okay</v>
      </c>
    </row>
    <row r="525" spans="1:17" x14ac:dyDescent="0.35">
      <c r="A525">
        <v>41417</v>
      </c>
      <c r="B525" t="s">
        <v>25</v>
      </c>
      <c r="C525" t="s">
        <v>29</v>
      </c>
      <c r="D525">
        <v>437</v>
      </c>
      <c r="E525">
        <v>50</v>
      </c>
      <c r="F525" s="2">
        <v>491.87</v>
      </c>
      <c r="G525" t="s">
        <v>35</v>
      </c>
      <c r="H525" s="1">
        <v>45394</v>
      </c>
      <c r="I525" s="1">
        <v>45429</v>
      </c>
      <c r="J525" t="s">
        <v>37</v>
      </c>
      <c r="K525" s="8">
        <f>Table2[[#This Row],[CurrentStock]]*Table2[[#This Row],[UnitPrice]]</f>
        <v>214947.19</v>
      </c>
      <c r="L525" t="str">
        <f>IF(Table2[[#This Row],[CurrentStock]]&lt;=Table2[[#This Row],[ReorderLevel]], "Reorder Needed", "Okay")</f>
        <v>Okay</v>
      </c>
      <c r="M525" t="str">
        <f>IF(Table2[[#This Row],[CurrentStock]]-Table2[[#This Row],[ReorderLevel]]&lt;0,Table2[[#This Row],[CurrentStock]]-Table2[[#This Row],[ReorderLevel]],"")</f>
        <v/>
      </c>
      <c r="N525" t="str">
        <f>IF(Table2[[#This Row],[Stock Gap]]&lt;0, "Understock","Okay")</f>
        <v>Okay</v>
      </c>
      <c r="O525" s="13" t="str">
        <f>IF(Table2[[#This Row],[Stock Gap]]&lt;0, "Yes", "No")</f>
        <v>No</v>
      </c>
      <c r="P525" s="13" t="str">
        <f>IF(Table2[[#This Row],[CurrentStock]]&lt;Table2[[#This Row],[ReorderLevel]],"Reorder", "Okay")</f>
        <v>Okay</v>
      </c>
      <c r="Q525" s="13" t="str">
        <f>IF(Table2[[#This Row],[CurrentStock]]&gt;Table2[[#This Row],[ReorderLevel]]*3, "Overstock", "Okay")</f>
        <v>Overstock</v>
      </c>
    </row>
    <row r="526" spans="1:17" x14ac:dyDescent="0.35">
      <c r="A526">
        <v>95824</v>
      </c>
      <c r="B526" t="s">
        <v>24</v>
      </c>
      <c r="C526" t="s">
        <v>30</v>
      </c>
      <c r="D526">
        <v>30</v>
      </c>
      <c r="E526">
        <v>50</v>
      </c>
      <c r="F526" s="2">
        <v>18.489999999999998</v>
      </c>
      <c r="G526" t="s">
        <v>34</v>
      </c>
      <c r="H526" s="1">
        <v>45569</v>
      </c>
      <c r="I526" s="1">
        <v>45574</v>
      </c>
      <c r="J526" t="s">
        <v>37</v>
      </c>
      <c r="K526" s="8">
        <f>Table2[[#This Row],[CurrentStock]]*Table2[[#This Row],[UnitPrice]]</f>
        <v>554.69999999999993</v>
      </c>
      <c r="L526" t="str">
        <f>IF(Table2[[#This Row],[CurrentStock]]&lt;=Table2[[#This Row],[ReorderLevel]], "Reorder Needed", "Okay")</f>
        <v>Reorder Needed</v>
      </c>
      <c r="M526" s="7">
        <f>IF(Table2[[#This Row],[CurrentStock]]-Table2[[#This Row],[ReorderLevel]]&lt;0,Table2[[#This Row],[CurrentStock]]-Table2[[#This Row],[ReorderLevel]],"")</f>
        <v>-20</v>
      </c>
      <c r="N526" t="str">
        <f>IF(Table2[[#This Row],[Stock Gap]]&lt;0, "Understock","Okay")</f>
        <v>Understock</v>
      </c>
      <c r="O526" s="13" t="str">
        <f>IF(Table2[[#This Row],[Stock Gap]]&lt;0, "Yes", "No")</f>
        <v>Yes</v>
      </c>
      <c r="P526" s="13" t="str">
        <f>IF(Table2[[#This Row],[CurrentStock]]&lt;Table2[[#This Row],[ReorderLevel]],"Reorder", "Okay")</f>
        <v>Reorder</v>
      </c>
      <c r="Q526" s="13" t="str">
        <f>IF(Table2[[#This Row],[CurrentStock]]&gt;Table2[[#This Row],[ReorderLevel]]*3, "Overstock", "Okay")</f>
        <v>Okay</v>
      </c>
    </row>
    <row r="527" spans="1:17" x14ac:dyDescent="0.35">
      <c r="A527">
        <v>93948</v>
      </c>
      <c r="B527" t="s">
        <v>20</v>
      </c>
      <c r="C527" t="s">
        <v>30</v>
      </c>
      <c r="D527">
        <v>425</v>
      </c>
      <c r="E527">
        <v>80</v>
      </c>
      <c r="F527" s="2">
        <v>373.86</v>
      </c>
      <c r="G527" t="s">
        <v>34</v>
      </c>
      <c r="H527" s="1">
        <v>45313</v>
      </c>
      <c r="I527" s="1">
        <v>45352</v>
      </c>
      <c r="J527" t="s">
        <v>36</v>
      </c>
      <c r="K527" s="8">
        <f>Table2[[#This Row],[CurrentStock]]*Table2[[#This Row],[UnitPrice]]</f>
        <v>158890.5</v>
      </c>
      <c r="L527" t="str">
        <f>IF(Table2[[#This Row],[CurrentStock]]&lt;=Table2[[#This Row],[ReorderLevel]], "Reorder Needed", "Okay")</f>
        <v>Okay</v>
      </c>
      <c r="M527" t="str">
        <f>IF(Table2[[#This Row],[CurrentStock]]-Table2[[#This Row],[ReorderLevel]]&lt;0,Table2[[#This Row],[CurrentStock]]-Table2[[#This Row],[ReorderLevel]],"")</f>
        <v/>
      </c>
      <c r="N527" t="str">
        <f>IF(Table2[[#This Row],[Stock Gap]]&lt;0, "Understock","Okay")</f>
        <v>Okay</v>
      </c>
      <c r="O527" s="13" t="str">
        <f>IF(Table2[[#This Row],[Stock Gap]]&lt;0, "Yes", "No")</f>
        <v>No</v>
      </c>
      <c r="P527" s="13" t="str">
        <f>IF(Table2[[#This Row],[CurrentStock]]&lt;Table2[[#This Row],[ReorderLevel]],"Reorder", "Okay")</f>
        <v>Okay</v>
      </c>
      <c r="Q527" s="13" t="str">
        <f>IF(Table2[[#This Row],[CurrentStock]]&gt;Table2[[#This Row],[ReorderLevel]]*3, "Overstock", "Okay")</f>
        <v>Overstock</v>
      </c>
    </row>
    <row r="528" spans="1:17" x14ac:dyDescent="0.35">
      <c r="A528">
        <v>71602</v>
      </c>
      <c r="B528" t="s">
        <v>23</v>
      </c>
      <c r="C528" t="s">
        <v>30</v>
      </c>
      <c r="D528">
        <v>144</v>
      </c>
      <c r="E528">
        <v>100</v>
      </c>
      <c r="F528" s="2">
        <v>236.01</v>
      </c>
      <c r="G528" t="s">
        <v>35</v>
      </c>
      <c r="H528" s="1">
        <v>45369</v>
      </c>
      <c r="I528" s="1">
        <v>45379</v>
      </c>
      <c r="J528" t="s">
        <v>37</v>
      </c>
      <c r="K528" s="8">
        <f>Table2[[#This Row],[CurrentStock]]*Table2[[#This Row],[UnitPrice]]</f>
        <v>33985.440000000002</v>
      </c>
      <c r="L528" t="str">
        <f>IF(Table2[[#This Row],[CurrentStock]]&lt;=Table2[[#This Row],[ReorderLevel]], "Reorder Needed", "Okay")</f>
        <v>Okay</v>
      </c>
      <c r="M528" t="str">
        <f>IF(Table2[[#This Row],[CurrentStock]]-Table2[[#This Row],[ReorderLevel]]&lt;0,Table2[[#This Row],[CurrentStock]]-Table2[[#This Row],[ReorderLevel]],"")</f>
        <v/>
      </c>
      <c r="N528" t="str">
        <f>IF(Table2[[#This Row],[Stock Gap]]&lt;0, "Understock","Okay")</f>
        <v>Okay</v>
      </c>
      <c r="O528" s="13" t="str">
        <f>IF(Table2[[#This Row],[Stock Gap]]&lt;0, "Yes", "No")</f>
        <v>No</v>
      </c>
      <c r="P528" s="13" t="str">
        <f>IF(Table2[[#This Row],[CurrentStock]]&lt;Table2[[#This Row],[ReorderLevel]],"Reorder", "Okay")</f>
        <v>Okay</v>
      </c>
      <c r="Q528" s="13" t="str">
        <f>IF(Table2[[#This Row],[CurrentStock]]&gt;Table2[[#This Row],[ReorderLevel]]*3, "Overstock", "Okay")</f>
        <v>Okay</v>
      </c>
    </row>
    <row r="529" spans="1:17" x14ac:dyDescent="0.35">
      <c r="A529">
        <v>23269</v>
      </c>
      <c r="B529" t="s">
        <v>15</v>
      </c>
      <c r="C529" t="s">
        <v>29</v>
      </c>
      <c r="D529">
        <v>268</v>
      </c>
      <c r="E529">
        <v>20</v>
      </c>
      <c r="F529" s="2">
        <v>141.5</v>
      </c>
      <c r="G529" t="s">
        <v>32</v>
      </c>
      <c r="H529" s="1">
        <v>45454</v>
      </c>
      <c r="I529" s="1">
        <v>45464</v>
      </c>
      <c r="J529" t="s">
        <v>36</v>
      </c>
      <c r="K529" s="8">
        <f>Table2[[#This Row],[CurrentStock]]*Table2[[#This Row],[UnitPrice]]</f>
        <v>37922</v>
      </c>
      <c r="L529" t="str">
        <f>IF(Table2[[#This Row],[CurrentStock]]&lt;=Table2[[#This Row],[ReorderLevel]], "Reorder Needed", "Okay")</f>
        <v>Okay</v>
      </c>
      <c r="M529" t="str">
        <f>IF(Table2[[#This Row],[CurrentStock]]-Table2[[#This Row],[ReorderLevel]]&lt;0,Table2[[#This Row],[CurrentStock]]-Table2[[#This Row],[ReorderLevel]],"")</f>
        <v/>
      </c>
      <c r="N529" t="str">
        <f>IF(Table2[[#This Row],[Stock Gap]]&lt;0, "Understock","Okay")</f>
        <v>Okay</v>
      </c>
      <c r="O529" s="13" t="str">
        <f>IF(Table2[[#This Row],[Stock Gap]]&lt;0, "Yes", "No")</f>
        <v>No</v>
      </c>
      <c r="P529" s="13" t="str">
        <f>IF(Table2[[#This Row],[CurrentStock]]&lt;Table2[[#This Row],[ReorderLevel]],"Reorder", "Okay")</f>
        <v>Okay</v>
      </c>
      <c r="Q529" s="13" t="str">
        <f>IF(Table2[[#This Row],[CurrentStock]]&gt;Table2[[#This Row],[ReorderLevel]]*3, "Overstock", "Okay")</f>
        <v>Overstock</v>
      </c>
    </row>
    <row r="530" spans="1:17" x14ac:dyDescent="0.35">
      <c r="A530">
        <v>78154</v>
      </c>
      <c r="B530" t="s">
        <v>11</v>
      </c>
      <c r="C530" t="s">
        <v>27</v>
      </c>
      <c r="D530">
        <v>25</v>
      </c>
      <c r="E530">
        <v>150</v>
      </c>
      <c r="F530" s="2">
        <v>240.42</v>
      </c>
      <c r="G530" t="s">
        <v>32</v>
      </c>
      <c r="H530" s="1">
        <v>45311</v>
      </c>
      <c r="I530" s="1">
        <v>45321</v>
      </c>
      <c r="J530" t="s">
        <v>38</v>
      </c>
      <c r="K530" s="8">
        <f>Table2[[#This Row],[CurrentStock]]*Table2[[#This Row],[UnitPrice]]</f>
        <v>6010.5</v>
      </c>
      <c r="L530" t="str">
        <f>IF(Table2[[#This Row],[CurrentStock]]&lt;=Table2[[#This Row],[ReorderLevel]], "Reorder Needed", "Okay")</f>
        <v>Reorder Needed</v>
      </c>
      <c r="M530" s="7">
        <f>IF(Table2[[#This Row],[CurrentStock]]-Table2[[#This Row],[ReorderLevel]]&lt;0,Table2[[#This Row],[CurrentStock]]-Table2[[#This Row],[ReorderLevel]],"")</f>
        <v>-125</v>
      </c>
      <c r="N530" t="str">
        <f>IF(Table2[[#This Row],[Stock Gap]]&lt;0, "Understock","Okay")</f>
        <v>Understock</v>
      </c>
      <c r="O530" s="13" t="str">
        <f>IF(Table2[[#This Row],[Stock Gap]]&lt;0, "Yes", "No")</f>
        <v>Yes</v>
      </c>
      <c r="P530" s="13" t="str">
        <f>IF(Table2[[#This Row],[CurrentStock]]&lt;Table2[[#This Row],[ReorderLevel]],"Reorder", "Okay")</f>
        <v>Reorder</v>
      </c>
      <c r="Q530" s="13" t="str">
        <f>IF(Table2[[#This Row],[CurrentStock]]&gt;Table2[[#This Row],[ReorderLevel]]*3, "Overstock", "Okay")</f>
        <v>Okay</v>
      </c>
    </row>
    <row r="531" spans="1:17" x14ac:dyDescent="0.35">
      <c r="A531">
        <v>22306</v>
      </c>
      <c r="B531" t="s">
        <v>9</v>
      </c>
      <c r="C531" t="s">
        <v>26</v>
      </c>
      <c r="D531">
        <v>248</v>
      </c>
      <c r="E531">
        <v>100</v>
      </c>
      <c r="F531" s="2">
        <v>423.21</v>
      </c>
      <c r="G531" t="s">
        <v>31</v>
      </c>
      <c r="H531" s="1">
        <v>45335</v>
      </c>
      <c r="I531" s="1">
        <v>45354</v>
      </c>
      <c r="J531" t="s">
        <v>37</v>
      </c>
      <c r="K531" s="8">
        <f>Table2[[#This Row],[CurrentStock]]*Table2[[#This Row],[UnitPrice]]</f>
        <v>104956.08</v>
      </c>
      <c r="L531" t="str">
        <f>IF(Table2[[#This Row],[CurrentStock]]&lt;=Table2[[#This Row],[ReorderLevel]], "Reorder Needed", "Okay")</f>
        <v>Okay</v>
      </c>
      <c r="M531" t="str">
        <f>IF(Table2[[#This Row],[CurrentStock]]-Table2[[#This Row],[ReorderLevel]]&lt;0,Table2[[#This Row],[CurrentStock]]-Table2[[#This Row],[ReorderLevel]],"")</f>
        <v/>
      </c>
      <c r="N531" t="str">
        <f>IF(Table2[[#This Row],[Stock Gap]]&lt;0, "Understock","Okay")</f>
        <v>Okay</v>
      </c>
      <c r="O531" s="13" t="str">
        <f>IF(Table2[[#This Row],[Stock Gap]]&lt;0, "Yes", "No")</f>
        <v>No</v>
      </c>
      <c r="P531" s="13" t="str">
        <f>IF(Table2[[#This Row],[CurrentStock]]&lt;Table2[[#This Row],[ReorderLevel]],"Reorder", "Okay")</f>
        <v>Okay</v>
      </c>
      <c r="Q531" s="13" t="str">
        <f>IF(Table2[[#This Row],[CurrentStock]]&gt;Table2[[#This Row],[ReorderLevel]]*3, "Overstock", "Okay")</f>
        <v>Okay</v>
      </c>
    </row>
    <row r="532" spans="1:17" x14ac:dyDescent="0.35">
      <c r="A532">
        <v>50863</v>
      </c>
      <c r="B532" t="s">
        <v>21</v>
      </c>
      <c r="C532" t="s">
        <v>26</v>
      </c>
      <c r="D532">
        <v>336</v>
      </c>
      <c r="E532">
        <v>40</v>
      </c>
      <c r="F532" s="2">
        <v>180.56</v>
      </c>
      <c r="G532" t="s">
        <v>32</v>
      </c>
      <c r="H532" s="1">
        <v>45391</v>
      </c>
      <c r="I532" s="1">
        <v>45430</v>
      </c>
      <c r="J532" t="s">
        <v>36</v>
      </c>
      <c r="K532" s="8">
        <f>Table2[[#This Row],[CurrentStock]]*Table2[[#This Row],[UnitPrice]]</f>
        <v>60668.160000000003</v>
      </c>
      <c r="L532" t="str">
        <f>IF(Table2[[#This Row],[CurrentStock]]&lt;=Table2[[#This Row],[ReorderLevel]], "Reorder Needed", "Okay")</f>
        <v>Okay</v>
      </c>
      <c r="M532" t="str">
        <f>IF(Table2[[#This Row],[CurrentStock]]-Table2[[#This Row],[ReorderLevel]]&lt;0,Table2[[#This Row],[CurrentStock]]-Table2[[#This Row],[ReorderLevel]],"")</f>
        <v/>
      </c>
      <c r="N532" t="str">
        <f>IF(Table2[[#This Row],[Stock Gap]]&lt;0, "Understock","Okay")</f>
        <v>Okay</v>
      </c>
      <c r="O532" s="13" t="str">
        <f>IF(Table2[[#This Row],[Stock Gap]]&lt;0, "Yes", "No")</f>
        <v>No</v>
      </c>
      <c r="P532" s="13" t="str">
        <f>IF(Table2[[#This Row],[CurrentStock]]&lt;Table2[[#This Row],[ReorderLevel]],"Reorder", "Okay")</f>
        <v>Okay</v>
      </c>
      <c r="Q532" s="13" t="str">
        <f>IF(Table2[[#This Row],[CurrentStock]]&gt;Table2[[#This Row],[ReorderLevel]]*3, "Overstock", "Okay")</f>
        <v>Overstock</v>
      </c>
    </row>
    <row r="533" spans="1:17" x14ac:dyDescent="0.35">
      <c r="A533">
        <v>71381</v>
      </c>
      <c r="B533" t="s">
        <v>25</v>
      </c>
      <c r="C533" t="s">
        <v>29</v>
      </c>
      <c r="D533">
        <v>326</v>
      </c>
      <c r="E533">
        <v>40</v>
      </c>
      <c r="F533" s="2">
        <v>481.32</v>
      </c>
      <c r="G533" t="s">
        <v>32</v>
      </c>
      <c r="H533" s="1">
        <v>45646</v>
      </c>
      <c r="I533" s="1">
        <v>45682</v>
      </c>
      <c r="J533" t="s">
        <v>38</v>
      </c>
      <c r="K533" s="8">
        <f>Table2[[#This Row],[CurrentStock]]*Table2[[#This Row],[UnitPrice]]</f>
        <v>156910.32</v>
      </c>
      <c r="L533" t="str">
        <f>IF(Table2[[#This Row],[CurrentStock]]&lt;=Table2[[#This Row],[ReorderLevel]], "Reorder Needed", "Okay")</f>
        <v>Okay</v>
      </c>
      <c r="M533" t="str">
        <f>IF(Table2[[#This Row],[CurrentStock]]-Table2[[#This Row],[ReorderLevel]]&lt;0,Table2[[#This Row],[CurrentStock]]-Table2[[#This Row],[ReorderLevel]],"")</f>
        <v/>
      </c>
      <c r="N533" t="str">
        <f>IF(Table2[[#This Row],[Stock Gap]]&lt;0, "Understock","Okay")</f>
        <v>Okay</v>
      </c>
      <c r="O533" s="13" t="str">
        <f>IF(Table2[[#This Row],[Stock Gap]]&lt;0, "Yes", "No")</f>
        <v>No</v>
      </c>
      <c r="P533" s="13" t="str">
        <f>IF(Table2[[#This Row],[CurrentStock]]&lt;Table2[[#This Row],[ReorderLevel]],"Reorder", "Okay")</f>
        <v>Okay</v>
      </c>
      <c r="Q533" s="13" t="str">
        <f>IF(Table2[[#This Row],[CurrentStock]]&gt;Table2[[#This Row],[ReorderLevel]]*3, "Overstock", "Okay")</f>
        <v>Overstock</v>
      </c>
    </row>
    <row r="534" spans="1:17" x14ac:dyDescent="0.35">
      <c r="A534">
        <v>14827</v>
      </c>
      <c r="B534" t="s">
        <v>16</v>
      </c>
      <c r="C534" t="s">
        <v>29</v>
      </c>
      <c r="D534">
        <v>462</v>
      </c>
      <c r="E534">
        <v>150</v>
      </c>
      <c r="F534" s="2">
        <v>147.56</v>
      </c>
      <c r="G534" t="s">
        <v>33</v>
      </c>
      <c r="H534" s="1">
        <v>45587</v>
      </c>
      <c r="I534" s="1">
        <v>45607</v>
      </c>
      <c r="J534" t="s">
        <v>36</v>
      </c>
      <c r="K534" s="8">
        <f>Table2[[#This Row],[CurrentStock]]*Table2[[#This Row],[UnitPrice]]</f>
        <v>68172.72</v>
      </c>
      <c r="L534" t="str">
        <f>IF(Table2[[#This Row],[CurrentStock]]&lt;=Table2[[#This Row],[ReorderLevel]], "Reorder Needed", "Okay")</f>
        <v>Okay</v>
      </c>
      <c r="M534" t="str">
        <f>IF(Table2[[#This Row],[CurrentStock]]-Table2[[#This Row],[ReorderLevel]]&lt;0,Table2[[#This Row],[CurrentStock]]-Table2[[#This Row],[ReorderLevel]],"")</f>
        <v/>
      </c>
      <c r="N534" t="str">
        <f>IF(Table2[[#This Row],[Stock Gap]]&lt;0, "Understock","Okay")</f>
        <v>Okay</v>
      </c>
      <c r="O534" s="13" t="str">
        <f>IF(Table2[[#This Row],[Stock Gap]]&lt;0, "Yes", "No")</f>
        <v>No</v>
      </c>
      <c r="P534" s="13" t="str">
        <f>IF(Table2[[#This Row],[CurrentStock]]&lt;Table2[[#This Row],[ReorderLevel]],"Reorder", "Okay")</f>
        <v>Okay</v>
      </c>
      <c r="Q534" s="13" t="str">
        <f>IF(Table2[[#This Row],[CurrentStock]]&gt;Table2[[#This Row],[ReorderLevel]]*3, "Overstock", "Okay")</f>
        <v>Overstock</v>
      </c>
    </row>
    <row r="535" spans="1:17" x14ac:dyDescent="0.35">
      <c r="A535">
        <v>79390</v>
      </c>
      <c r="B535" t="s">
        <v>23</v>
      </c>
      <c r="C535" t="s">
        <v>30</v>
      </c>
      <c r="D535">
        <v>193</v>
      </c>
      <c r="E535">
        <v>150</v>
      </c>
      <c r="F535" s="2">
        <v>52.39</v>
      </c>
      <c r="G535" t="s">
        <v>31</v>
      </c>
      <c r="H535" s="1">
        <v>45427</v>
      </c>
      <c r="I535" s="1">
        <v>45455</v>
      </c>
      <c r="J535" t="s">
        <v>37</v>
      </c>
      <c r="K535" s="8">
        <f>Table2[[#This Row],[CurrentStock]]*Table2[[#This Row],[UnitPrice]]</f>
        <v>10111.27</v>
      </c>
      <c r="L535" t="str">
        <f>IF(Table2[[#This Row],[CurrentStock]]&lt;=Table2[[#This Row],[ReorderLevel]], "Reorder Needed", "Okay")</f>
        <v>Okay</v>
      </c>
      <c r="M535" t="str">
        <f>IF(Table2[[#This Row],[CurrentStock]]-Table2[[#This Row],[ReorderLevel]]&lt;0,Table2[[#This Row],[CurrentStock]]-Table2[[#This Row],[ReorderLevel]],"")</f>
        <v/>
      </c>
      <c r="N535" t="str">
        <f>IF(Table2[[#This Row],[Stock Gap]]&lt;0, "Understock","Okay")</f>
        <v>Okay</v>
      </c>
      <c r="O535" s="13" t="str">
        <f>IF(Table2[[#This Row],[Stock Gap]]&lt;0, "Yes", "No")</f>
        <v>No</v>
      </c>
      <c r="P535" s="13" t="str">
        <f>IF(Table2[[#This Row],[CurrentStock]]&lt;Table2[[#This Row],[ReorderLevel]],"Reorder", "Okay")</f>
        <v>Okay</v>
      </c>
      <c r="Q535" s="13" t="str">
        <f>IF(Table2[[#This Row],[CurrentStock]]&gt;Table2[[#This Row],[ReorderLevel]]*3, "Overstock", "Okay")</f>
        <v>Okay</v>
      </c>
    </row>
    <row r="536" spans="1:17" x14ac:dyDescent="0.35">
      <c r="A536">
        <v>63218</v>
      </c>
      <c r="B536" t="s">
        <v>18</v>
      </c>
      <c r="C536" t="s">
        <v>27</v>
      </c>
      <c r="D536">
        <v>44</v>
      </c>
      <c r="E536">
        <v>30</v>
      </c>
      <c r="F536" s="2">
        <v>443.66</v>
      </c>
      <c r="G536" t="s">
        <v>32</v>
      </c>
      <c r="H536" s="1">
        <v>45655</v>
      </c>
      <c r="I536" s="1">
        <v>45675</v>
      </c>
      <c r="J536" t="s">
        <v>38</v>
      </c>
      <c r="K536" s="8">
        <f>Table2[[#This Row],[CurrentStock]]*Table2[[#This Row],[UnitPrice]]</f>
        <v>19521.04</v>
      </c>
      <c r="L536" t="str">
        <f>IF(Table2[[#This Row],[CurrentStock]]&lt;=Table2[[#This Row],[ReorderLevel]], "Reorder Needed", "Okay")</f>
        <v>Okay</v>
      </c>
      <c r="M536" t="str">
        <f>IF(Table2[[#This Row],[CurrentStock]]-Table2[[#This Row],[ReorderLevel]]&lt;0,Table2[[#This Row],[CurrentStock]]-Table2[[#This Row],[ReorderLevel]],"")</f>
        <v/>
      </c>
      <c r="N536" t="str">
        <f>IF(Table2[[#This Row],[Stock Gap]]&lt;0, "Understock","Okay")</f>
        <v>Okay</v>
      </c>
      <c r="O536" s="13" t="str">
        <f>IF(Table2[[#This Row],[Stock Gap]]&lt;0, "Yes", "No")</f>
        <v>No</v>
      </c>
      <c r="P536" s="13" t="str">
        <f>IF(Table2[[#This Row],[CurrentStock]]&lt;Table2[[#This Row],[ReorderLevel]],"Reorder", "Okay")</f>
        <v>Okay</v>
      </c>
      <c r="Q536" s="13" t="str">
        <f>IF(Table2[[#This Row],[CurrentStock]]&gt;Table2[[#This Row],[ReorderLevel]]*3, "Overstock", "Okay")</f>
        <v>Okay</v>
      </c>
    </row>
    <row r="537" spans="1:17" x14ac:dyDescent="0.35">
      <c r="A537">
        <v>47034</v>
      </c>
      <c r="B537" t="s">
        <v>20</v>
      </c>
      <c r="C537" t="s">
        <v>30</v>
      </c>
      <c r="D537">
        <v>196</v>
      </c>
      <c r="E537">
        <v>80</v>
      </c>
      <c r="F537" s="2">
        <v>217.09</v>
      </c>
      <c r="G537" t="s">
        <v>35</v>
      </c>
      <c r="H537" s="1">
        <v>45351</v>
      </c>
      <c r="I537" s="1">
        <v>45389</v>
      </c>
      <c r="J537" t="s">
        <v>37</v>
      </c>
      <c r="K537" s="8">
        <f>Table2[[#This Row],[CurrentStock]]*Table2[[#This Row],[UnitPrice]]</f>
        <v>42549.64</v>
      </c>
      <c r="L537" t="str">
        <f>IF(Table2[[#This Row],[CurrentStock]]&lt;=Table2[[#This Row],[ReorderLevel]], "Reorder Needed", "Okay")</f>
        <v>Okay</v>
      </c>
      <c r="M537" t="str">
        <f>IF(Table2[[#This Row],[CurrentStock]]-Table2[[#This Row],[ReorderLevel]]&lt;0,Table2[[#This Row],[CurrentStock]]-Table2[[#This Row],[ReorderLevel]],"")</f>
        <v/>
      </c>
      <c r="N537" t="str">
        <f>IF(Table2[[#This Row],[Stock Gap]]&lt;0, "Understock","Okay")</f>
        <v>Okay</v>
      </c>
      <c r="O537" s="13" t="str">
        <f>IF(Table2[[#This Row],[Stock Gap]]&lt;0, "Yes", "No")</f>
        <v>No</v>
      </c>
      <c r="P537" s="13" t="str">
        <f>IF(Table2[[#This Row],[CurrentStock]]&lt;Table2[[#This Row],[ReorderLevel]],"Reorder", "Okay")</f>
        <v>Okay</v>
      </c>
      <c r="Q537" s="13" t="str">
        <f>IF(Table2[[#This Row],[CurrentStock]]&gt;Table2[[#This Row],[ReorderLevel]]*3, "Overstock", "Okay")</f>
        <v>Okay</v>
      </c>
    </row>
    <row r="538" spans="1:17" x14ac:dyDescent="0.35">
      <c r="A538">
        <v>13164</v>
      </c>
      <c r="B538" t="s">
        <v>22</v>
      </c>
      <c r="C538" t="s">
        <v>29</v>
      </c>
      <c r="D538">
        <v>389</v>
      </c>
      <c r="E538">
        <v>30</v>
      </c>
      <c r="F538" s="2">
        <v>122.39</v>
      </c>
      <c r="G538" t="s">
        <v>32</v>
      </c>
      <c r="H538" s="1">
        <v>45399</v>
      </c>
      <c r="I538" s="1">
        <v>45407</v>
      </c>
      <c r="J538" t="s">
        <v>38</v>
      </c>
      <c r="K538" s="8">
        <f>Table2[[#This Row],[CurrentStock]]*Table2[[#This Row],[UnitPrice]]</f>
        <v>47609.71</v>
      </c>
      <c r="L538" t="str">
        <f>IF(Table2[[#This Row],[CurrentStock]]&lt;=Table2[[#This Row],[ReorderLevel]], "Reorder Needed", "Okay")</f>
        <v>Okay</v>
      </c>
      <c r="M538" t="str">
        <f>IF(Table2[[#This Row],[CurrentStock]]-Table2[[#This Row],[ReorderLevel]]&lt;0,Table2[[#This Row],[CurrentStock]]-Table2[[#This Row],[ReorderLevel]],"")</f>
        <v/>
      </c>
      <c r="N538" t="str">
        <f>IF(Table2[[#This Row],[Stock Gap]]&lt;0, "Understock","Okay")</f>
        <v>Okay</v>
      </c>
      <c r="O538" s="13" t="str">
        <f>IF(Table2[[#This Row],[Stock Gap]]&lt;0, "Yes", "No")</f>
        <v>No</v>
      </c>
      <c r="P538" s="13" t="str">
        <f>IF(Table2[[#This Row],[CurrentStock]]&lt;Table2[[#This Row],[ReorderLevel]],"Reorder", "Okay")</f>
        <v>Okay</v>
      </c>
      <c r="Q538" s="13" t="str">
        <f>IF(Table2[[#This Row],[CurrentStock]]&gt;Table2[[#This Row],[ReorderLevel]]*3, "Overstock", "Okay")</f>
        <v>Overstock</v>
      </c>
    </row>
    <row r="539" spans="1:17" x14ac:dyDescent="0.35">
      <c r="A539">
        <v>13722</v>
      </c>
      <c r="B539" t="s">
        <v>23</v>
      </c>
      <c r="C539" t="s">
        <v>30</v>
      </c>
      <c r="D539">
        <v>228</v>
      </c>
      <c r="E539">
        <v>30</v>
      </c>
      <c r="F539" s="2">
        <v>288.66000000000003</v>
      </c>
      <c r="G539" t="s">
        <v>31</v>
      </c>
      <c r="H539" s="1">
        <v>45403</v>
      </c>
      <c r="I539" s="1">
        <v>45410</v>
      </c>
      <c r="J539" t="s">
        <v>36</v>
      </c>
      <c r="K539" s="8">
        <f>Table2[[#This Row],[CurrentStock]]*Table2[[#This Row],[UnitPrice]]</f>
        <v>65814.48000000001</v>
      </c>
      <c r="L539" t="str">
        <f>IF(Table2[[#This Row],[CurrentStock]]&lt;=Table2[[#This Row],[ReorderLevel]], "Reorder Needed", "Okay")</f>
        <v>Okay</v>
      </c>
      <c r="M539" t="str">
        <f>IF(Table2[[#This Row],[CurrentStock]]-Table2[[#This Row],[ReorderLevel]]&lt;0,Table2[[#This Row],[CurrentStock]]-Table2[[#This Row],[ReorderLevel]],"")</f>
        <v/>
      </c>
      <c r="N539" t="str">
        <f>IF(Table2[[#This Row],[Stock Gap]]&lt;0, "Understock","Okay")</f>
        <v>Okay</v>
      </c>
      <c r="O539" s="13" t="str">
        <f>IF(Table2[[#This Row],[Stock Gap]]&lt;0, "Yes", "No")</f>
        <v>No</v>
      </c>
      <c r="P539" s="13" t="str">
        <f>IF(Table2[[#This Row],[CurrentStock]]&lt;Table2[[#This Row],[ReorderLevel]],"Reorder", "Okay")</f>
        <v>Okay</v>
      </c>
      <c r="Q539" s="13" t="str">
        <f>IF(Table2[[#This Row],[CurrentStock]]&gt;Table2[[#This Row],[ReorderLevel]]*3, "Overstock", "Okay")</f>
        <v>Overstock</v>
      </c>
    </row>
    <row r="540" spans="1:17" x14ac:dyDescent="0.35">
      <c r="A540">
        <v>50469</v>
      </c>
      <c r="B540" t="s">
        <v>21</v>
      </c>
      <c r="C540" t="s">
        <v>26</v>
      </c>
      <c r="D540">
        <v>451</v>
      </c>
      <c r="E540">
        <v>20</v>
      </c>
      <c r="F540" s="2">
        <v>365.54</v>
      </c>
      <c r="G540" t="s">
        <v>34</v>
      </c>
      <c r="H540" s="1">
        <v>45505</v>
      </c>
      <c r="I540" s="1">
        <v>45515</v>
      </c>
      <c r="J540" t="s">
        <v>38</v>
      </c>
      <c r="K540" s="8">
        <f>Table2[[#This Row],[CurrentStock]]*Table2[[#This Row],[UnitPrice]]</f>
        <v>164858.54</v>
      </c>
      <c r="L540" t="str">
        <f>IF(Table2[[#This Row],[CurrentStock]]&lt;=Table2[[#This Row],[ReorderLevel]], "Reorder Needed", "Okay")</f>
        <v>Okay</v>
      </c>
      <c r="M540" t="str">
        <f>IF(Table2[[#This Row],[CurrentStock]]-Table2[[#This Row],[ReorderLevel]]&lt;0,Table2[[#This Row],[CurrentStock]]-Table2[[#This Row],[ReorderLevel]],"")</f>
        <v/>
      </c>
      <c r="N540" t="str">
        <f>IF(Table2[[#This Row],[Stock Gap]]&lt;0, "Understock","Okay")</f>
        <v>Okay</v>
      </c>
      <c r="O540" s="13" t="str">
        <f>IF(Table2[[#This Row],[Stock Gap]]&lt;0, "Yes", "No")</f>
        <v>No</v>
      </c>
      <c r="P540" s="13" t="str">
        <f>IF(Table2[[#This Row],[CurrentStock]]&lt;Table2[[#This Row],[ReorderLevel]],"Reorder", "Okay")</f>
        <v>Okay</v>
      </c>
      <c r="Q540" s="13" t="str">
        <f>IF(Table2[[#This Row],[CurrentStock]]&gt;Table2[[#This Row],[ReorderLevel]]*3, "Overstock", "Okay")</f>
        <v>Overstock</v>
      </c>
    </row>
    <row r="541" spans="1:17" x14ac:dyDescent="0.35">
      <c r="A541">
        <v>72993</v>
      </c>
      <c r="B541" t="s">
        <v>19</v>
      </c>
      <c r="C541" t="s">
        <v>28</v>
      </c>
      <c r="D541">
        <v>250</v>
      </c>
      <c r="E541">
        <v>30</v>
      </c>
      <c r="F541" s="2">
        <v>17.760000000000002</v>
      </c>
      <c r="G541" t="s">
        <v>34</v>
      </c>
      <c r="H541" s="1">
        <v>45607</v>
      </c>
      <c r="I541" s="1">
        <v>45623</v>
      </c>
      <c r="J541" t="s">
        <v>37</v>
      </c>
      <c r="K541" s="8">
        <f>Table2[[#This Row],[CurrentStock]]*Table2[[#This Row],[UnitPrice]]</f>
        <v>4440</v>
      </c>
      <c r="L541" t="str">
        <f>IF(Table2[[#This Row],[CurrentStock]]&lt;=Table2[[#This Row],[ReorderLevel]], "Reorder Needed", "Okay")</f>
        <v>Okay</v>
      </c>
      <c r="M541" t="str">
        <f>IF(Table2[[#This Row],[CurrentStock]]-Table2[[#This Row],[ReorderLevel]]&lt;0,Table2[[#This Row],[CurrentStock]]-Table2[[#This Row],[ReorderLevel]],"")</f>
        <v/>
      </c>
      <c r="N541" t="str">
        <f>IF(Table2[[#This Row],[Stock Gap]]&lt;0, "Understock","Okay")</f>
        <v>Okay</v>
      </c>
      <c r="O541" s="13" t="str">
        <f>IF(Table2[[#This Row],[Stock Gap]]&lt;0, "Yes", "No")</f>
        <v>No</v>
      </c>
      <c r="P541" s="13" t="str">
        <f>IF(Table2[[#This Row],[CurrentStock]]&lt;Table2[[#This Row],[ReorderLevel]],"Reorder", "Okay")</f>
        <v>Okay</v>
      </c>
      <c r="Q541" s="13" t="str">
        <f>IF(Table2[[#This Row],[CurrentStock]]&gt;Table2[[#This Row],[ReorderLevel]]*3, "Overstock", "Okay")</f>
        <v>Overstock</v>
      </c>
    </row>
    <row r="542" spans="1:17" x14ac:dyDescent="0.35">
      <c r="A542">
        <v>45699</v>
      </c>
      <c r="B542" t="s">
        <v>17</v>
      </c>
      <c r="C542" t="s">
        <v>27</v>
      </c>
      <c r="D542">
        <v>278</v>
      </c>
      <c r="E542">
        <v>30</v>
      </c>
      <c r="F542" s="2">
        <v>313.26</v>
      </c>
      <c r="G542" t="s">
        <v>34</v>
      </c>
      <c r="H542" s="1">
        <v>45466</v>
      </c>
      <c r="I542" s="1">
        <v>45475</v>
      </c>
      <c r="J542" t="s">
        <v>38</v>
      </c>
      <c r="K542" s="8">
        <f>Table2[[#This Row],[CurrentStock]]*Table2[[#This Row],[UnitPrice]]</f>
        <v>87086.28</v>
      </c>
      <c r="L542" t="str">
        <f>IF(Table2[[#This Row],[CurrentStock]]&lt;=Table2[[#This Row],[ReorderLevel]], "Reorder Needed", "Okay")</f>
        <v>Okay</v>
      </c>
      <c r="M542" t="str">
        <f>IF(Table2[[#This Row],[CurrentStock]]-Table2[[#This Row],[ReorderLevel]]&lt;0,Table2[[#This Row],[CurrentStock]]-Table2[[#This Row],[ReorderLevel]],"")</f>
        <v/>
      </c>
      <c r="N542" t="str">
        <f>IF(Table2[[#This Row],[Stock Gap]]&lt;0, "Understock","Okay")</f>
        <v>Okay</v>
      </c>
      <c r="O542" s="13" t="str">
        <f>IF(Table2[[#This Row],[Stock Gap]]&lt;0, "Yes", "No")</f>
        <v>No</v>
      </c>
      <c r="P542" s="13" t="str">
        <f>IF(Table2[[#This Row],[CurrentStock]]&lt;Table2[[#This Row],[ReorderLevel]],"Reorder", "Okay")</f>
        <v>Okay</v>
      </c>
      <c r="Q542" s="13" t="str">
        <f>IF(Table2[[#This Row],[CurrentStock]]&gt;Table2[[#This Row],[ReorderLevel]]*3, "Overstock", "Okay")</f>
        <v>Overstock</v>
      </c>
    </row>
    <row r="543" spans="1:17" x14ac:dyDescent="0.35">
      <c r="A543">
        <v>16782</v>
      </c>
      <c r="B543" t="s">
        <v>16</v>
      </c>
      <c r="C543" t="s">
        <v>29</v>
      </c>
      <c r="D543">
        <v>367</v>
      </c>
      <c r="E543">
        <v>150</v>
      </c>
      <c r="F543" s="2">
        <v>379.86</v>
      </c>
      <c r="G543" t="s">
        <v>34</v>
      </c>
      <c r="H543" s="1">
        <v>45497</v>
      </c>
      <c r="I543" s="1">
        <v>45531</v>
      </c>
      <c r="J543" t="s">
        <v>36</v>
      </c>
      <c r="K543" s="8">
        <f>Table2[[#This Row],[CurrentStock]]*Table2[[#This Row],[UnitPrice]]</f>
        <v>139408.62</v>
      </c>
      <c r="L543" t="str">
        <f>IF(Table2[[#This Row],[CurrentStock]]&lt;=Table2[[#This Row],[ReorderLevel]], "Reorder Needed", "Okay")</f>
        <v>Okay</v>
      </c>
      <c r="M543" t="str">
        <f>IF(Table2[[#This Row],[CurrentStock]]-Table2[[#This Row],[ReorderLevel]]&lt;0,Table2[[#This Row],[CurrentStock]]-Table2[[#This Row],[ReorderLevel]],"")</f>
        <v/>
      </c>
      <c r="N543" t="str">
        <f>IF(Table2[[#This Row],[Stock Gap]]&lt;0, "Understock","Okay")</f>
        <v>Okay</v>
      </c>
      <c r="O543" s="13" t="str">
        <f>IF(Table2[[#This Row],[Stock Gap]]&lt;0, "Yes", "No")</f>
        <v>No</v>
      </c>
      <c r="P543" s="13" t="str">
        <f>IF(Table2[[#This Row],[CurrentStock]]&lt;Table2[[#This Row],[ReorderLevel]],"Reorder", "Okay")</f>
        <v>Okay</v>
      </c>
      <c r="Q543" s="13" t="str">
        <f>IF(Table2[[#This Row],[CurrentStock]]&gt;Table2[[#This Row],[ReorderLevel]]*3, "Overstock", "Okay")</f>
        <v>Okay</v>
      </c>
    </row>
    <row r="544" spans="1:17" x14ac:dyDescent="0.35">
      <c r="A544">
        <v>50149</v>
      </c>
      <c r="B544" t="s">
        <v>14</v>
      </c>
      <c r="C544" t="s">
        <v>28</v>
      </c>
      <c r="D544">
        <v>265</v>
      </c>
      <c r="E544">
        <v>40</v>
      </c>
      <c r="F544" s="2">
        <v>121.32</v>
      </c>
      <c r="G544" t="s">
        <v>35</v>
      </c>
      <c r="H544" s="1">
        <v>45376</v>
      </c>
      <c r="I544" s="1">
        <v>45401</v>
      </c>
      <c r="J544" t="s">
        <v>37</v>
      </c>
      <c r="K544" s="8">
        <f>Table2[[#This Row],[CurrentStock]]*Table2[[#This Row],[UnitPrice]]</f>
        <v>32149.8</v>
      </c>
      <c r="L544" t="str">
        <f>IF(Table2[[#This Row],[CurrentStock]]&lt;=Table2[[#This Row],[ReorderLevel]], "Reorder Needed", "Okay")</f>
        <v>Okay</v>
      </c>
      <c r="M544" t="str">
        <f>IF(Table2[[#This Row],[CurrentStock]]-Table2[[#This Row],[ReorderLevel]]&lt;0,Table2[[#This Row],[CurrentStock]]-Table2[[#This Row],[ReorderLevel]],"")</f>
        <v/>
      </c>
      <c r="N544" t="str">
        <f>IF(Table2[[#This Row],[Stock Gap]]&lt;0, "Understock","Okay")</f>
        <v>Okay</v>
      </c>
      <c r="O544" s="13" t="str">
        <f>IF(Table2[[#This Row],[Stock Gap]]&lt;0, "Yes", "No")</f>
        <v>No</v>
      </c>
      <c r="P544" s="13" t="str">
        <f>IF(Table2[[#This Row],[CurrentStock]]&lt;Table2[[#This Row],[ReorderLevel]],"Reorder", "Okay")</f>
        <v>Okay</v>
      </c>
      <c r="Q544" s="13" t="str">
        <f>IF(Table2[[#This Row],[CurrentStock]]&gt;Table2[[#This Row],[ReorderLevel]]*3, "Overstock", "Okay")</f>
        <v>Overstock</v>
      </c>
    </row>
    <row r="545" spans="1:17" x14ac:dyDescent="0.35">
      <c r="A545">
        <v>70410</v>
      </c>
      <c r="B545" t="s">
        <v>11</v>
      </c>
      <c r="C545" t="s">
        <v>27</v>
      </c>
      <c r="D545">
        <v>63</v>
      </c>
      <c r="E545">
        <v>30</v>
      </c>
      <c r="F545" s="2">
        <v>463.6</v>
      </c>
      <c r="G545" t="s">
        <v>31</v>
      </c>
      <c r="H545" s="1">
        <v>45589</v>
      </c>
      <c r="I545" s="1">
        <v>45611</v>
      </c>
      <c r="J545" t="s">
        <v>36</v>
      </c>
      <c r="K545" s="8">
        <f>Table2[[#This Row],[CurrentStock]]*Table2[[#This Row],[UnitPrice]]</f>
        <v>29206.800000000003</v>
      </c>
      <c r="L545" t="str">
        <f>IF(Table2[[#This Row],[CurrentStock]]&lt;=Table2[[#This Row],[ReorderLevel]], "Reorder Needed", "Okay")</f>
        <v>Okay</v>
      </c>
      <c r="M545" t="str">
        <f>IF(Table2[[#This Row],[CurrentStock]]-Table2[[#This Row],[ReorderLevel]]&lt;0,Table2[[#This Row],[CurrentStock]]-Table2[[#This Row],[ReorderLevel]],"")</f>
        <v/>
      </c>
      <c r="N545" t="str">
        <f>IF(Table2[[#This Row],[Stock Gap]]&lt;0, "Understock","Okay")</f>
        <v>Okay</v>
      </c>
      <c r="O545" s="13" t="str">
        <f>IF(Table2[[#This Row],[Stock Gap]]&lt;0, "Yes", "No")</f>
        <v>No</v>
      </c>
      <c r="P545" s="13" t="str">
        <f>IF(Table2[[#This Row],[CurrentStock]]&lt;Table2[[#This Row],[ReorderLevel]],"Reorder", "Okay")</f>
        <v>Okay</v>
      </c>
      <c r="Q545" s="13" t="str">
        <f>IF(Table2[[#This Row],[CurrentStock]]&gt;Table2[[#This Row],[ReorderLevel]]*3, "Overstock", "Okay")</f>
        <v>Okay</v>
      </c>
    </row>
    <row r="546" spans="1:17" x14ac:dyDescent="0.35">
      <c r="A546">
        <v>89211</v>
      </c>
      <c r="B546" t="s">
        <v>14</v>
      </c>
      <c r="C546" t="s">
        <v>28</v>
      </c>
      <c r="D546">
        <v>482</v>
      </c>
      <c r="E546">
        <v>80</v>
      </c>
      <c r="F546" s="2">
        <v>366.92</v>
      </c>
      <c r="G546" t="s">
        <v>31</v>
      </c>
      <c r="H546" s="1">
        <v>45435</v>
      </c>
      <c r="I546" s="1">
        <v>45445</v>
      </c>
      <c r="J546" t="s">
        <v>37</v>
      </c>
      <c r="K546" s="8">
        <f>Table2[[#This Row],[CurrentStock]]*Table2[[#This Row],[UnitPrice]]</f>
        <v>176855.44</v>
      </c>
      <c r="L546" t="str">
        <f>IF(Table2[[#This Row],[CurrentStock]]&lt;=Table2[[#This Row],[ReorderLevel]], "Reorder Needed", "Okay")</f>
        <v>Okay</v>
      </c>
      <c r="M546" t="str">
        <f>IF(Table2[[#This Row],[CurrentStock]]-Table2[[#This Row],[ReorderLevel]]&lt;0,Table2[[#This Row],[CurrentStock]]-Table2[[#This Row],[ReorderLevel]],"")</f>
        <v/>
      </c>
      <c r="N546" t="str">
        <f>IF(Table2[[#This Row],[Stock Gap]]&lt;0, "Understock","Okay")</f>
        <v>Okay</v>
      </c>
      <c r="O546" s="13" t="str">
        <f>IF(Table2[[#This Row],[Stock Gap]]&lt;0, "Yes", "No")</f>
        <v>No</v>
      </c>
      <c r="P546" s="13" t="str">
        <f>IF(Table2[[#This Row],[CurrentStock]]&lt;Table2[[#This Row],[ReorderLevel]],"Reorder", "Okay")</f>
        <v>Okay</v>
      </c>
      <c r="Q546" s="13" t="str">
        <f>IF(Table2[[#This Row],[CurrentStock]]&gt;Table2[[#This Row],[ReorderLevel]]*3, "Overstock", "Okay")</f>
        <v>Overstock</v>
      </c>
    </row>
    <row r="547" spans="1:17" x14ac:dyDescent="0.35">
      <c r="A547">
        <v>14686</v>
      </c>
      <c r="B547" t="s">
        <v>23</v>
      </c>
      <c r="C547" t="s">
        <v>30</v>
      </c>
      <c r="D547">
        <v>387</v>
      </c>
      <c r="E547">
        <v>150</v>
      </c>
      <c r="F547" s="2">
        <v>8.1</v>
      </c>
      <c r="G547" t="s">
        <v>33</v>
      </c>
      <c r="H547" s="1">
        <v>45606</v>
      </c>
      <c r="I547" s="1">
        <v>45637</v>
      </c>
      <c r="J547" t="s">
        <v>36</v>
      </c>
      <c r="K547" s="8">
        <f>Table2[[#This Row],[CurrentStock]]*Table2[[#This Row],[UnitPrice]]</f>
        <v>3134.7</v>
      </c>
      <c r="L547" t="str">
        <f>IF(Table2[[#This Row],[CurrentStock]]&lt;=Table2[[#This Row],[ReorderLevel]], "Reorder Needed", "Okay")</f>
        <v>Okay</v>
      </c>
      <c r="M547" t="str">
        <f>IF(Table2[[#This Row],[CurrentStock]]-Table2[[#This Row],[ReorderLevel]]&lt;0,Table2[[#This Row],[CurrentStock]]-Table2[[#This Row],[ReorderLevel]],"")</f>
        <v/>
      </c>
      <c r="N547" t="str">
        <f>IF(Table2[[#This Row],[Stock Gap]]&lt;0, "Understock","Okay")</f>
        <v>Okay</v>
      </c>
      <c r="O547" s="13" t="str">
        <f>IF(Table2[[#This Row],[Stock Gap]]&lt;0, "Yes", "No")</f>
        <v>No</v>
      </c>
      <c r="P547" s="13" t="str">
        <f>IF(Table2[[#This Row],[CurrentStock]]&lt;Table2[[#This Row],[ReorderLevel]],"Reorder", "Okay")</f>
        <v>Okay</v>
      </c>
      <c r="Q547" s="13" t="str">
        <f>IF(Table2[[#This Row],[CurrentStock]]&gt;Table2[[#This Row],[ReorderLevel]]*3, "Overstock", "Okay")</f>
        <v>Okay</v>
      </c>
    </row>
    <row r="548" spans="1:17" x14ac:dyDescent="0.35">
      <c r="A548">
        <v>35095</v>
      </c>
      <c r="B548" t="s">
        <v>19</v>
      </c>
      <c r="C548" t="s">
        <v>28</v>
      </c>
      <c r="D548">
        <v>62</v>
      </c>
      <c r="E548">
        <v>80</v>
      </c>
      <c r="F548" s="2">
        <v>162.19</v>
      </c>
      <c r="G548" t="s">
        <v>35</v>
      </c>
      <c r="H548" s="1">
        <v>45583</v>
      </c>
      <c r="I548" s="1">
        <v>45608</v>
      </c>
      <c r="J548" t="s">
        <v>38</v>
      </c>
      <c r="K548" s="8">
        <f>Table2[[#This Row],[CurrentStock]]*Table2[[#This Row],[UnitPrice]]</f>
        <v>10055.780000000001</v>
      </c>
      <c r="L548" t="str">
        <f>IF(Table2[[#This Row],[CurrentStock]]&lt;=Table2[[#This Row],[ReorderLevel]], "Reorder Needed", "Okay")</f>
        <v>Reorder Needed</v>
      </c>
      <c r="M548" s="7">
        <f>IF(Table2[[#This Row],[CurrentStock]]-Table2[[#This Row],[ReorderLevel]]&lt;0,Table2[[#This Row],[CurrentStock]]-Table2[[#This Row],[ReorderLevel]],"")</f>
        <v>-18</v>
      </c>
      <c r="N548" t="str">
        <f>IF(Table2[[#This Row],[Stock Gap]]&lt;0, "Understock","Okay")</f>
        <v>Understock</v>
      </c>
      <c r="O548" s="13" t="str">
        <f>IF(Table2[[#This Row],[Stock Gap]]&lt;0, "Yes", "No")</f>
        <v>Yes</v>
      </c>
      <c r="P548" s="13" t="str">
        <f>IF(Table2[[#This Row],[CurrentStock]]&lt;Table2[[#This Row],[ReorderLevel]],"Reorder", "Okay")</f>
        <v>Reorder</v>
      </c>
      <c r="Q548" s="13" t="str">
        <f>IF(Table2[[#This Row],[CurrentStock]]&gt;Table2[[#This Row],[ReorderLevel]]*3, "Overstock", "Okay")</f>
        <v>Okay</v>
      </c>
    </row>
    <row r="549" spans="1:17" x14ac:dyDescent="0.35">
      <c r="A549">
        <v>32927</v>
      </c>
      <c r="B549" t="s">
        <v>10</v>
      </c>
      <c r="C549" t="s">
        <v>26</v>
      </c>
      <c r="D549">
        <v>117</v>
      </c>
      <c r="E549">
        <v>80</v>
      </c>
      <c r="F549" s="2">
        <v>315.10000000000002</v>
      </c>
      <c r="G549" t="s">
        <v>32</v>
      </c>
      <c r="H549" s="1">
        <v>45392</v>
      </c>
      <c r="I549" s="1">
        <v>45426</v>
      </c>
      <c r="J549" t="s">
        <v>37</v>
      </c>
      <c r="K549" s="8">
        <f>Table2[[#This Row],[CurrentStock]]*Table2[[#This Row],[UnitPrice]]</f>
        <v>36866.700000000004</v>
      </c>
      <c r="L549" t="str">
        <f>IF(Table2[[#This Row],[CurrentStock]]&lt;=Table2[[#This Row],[ReorderLevel]], "Reorder Needed", "Okay")</f>
        <v>Okay</v>
      </c>
      <c r="M549" t="str">
        <f>IF(Table2[[#This Row],[CurrentStock]]-Table2[[#This Row],[ReorderLevel]]&lt;0,Table2[[#This Row],[CurrentStock]]-Table2[[#This Row],[ReorderLevel]],"")</f>
        <v/>
      </c>
      <c r="N549" t="str">
        <f>IF(Table2[[#This Row],[Stock Gap]]&lt;0, "Understock","Okay")</f>
        <v>Okay</v>
      </c>
      <c r="O549" s="13" t="str">
        <f>IF(Table2[[#This Row],[Stock Gap]]&lt;0, "Yes", "No")</f>
        <v>No</v>
      </c>
      <c r="P549" s="13" t="str">
        <f>IF(Table2[[#This Row],[CurrentStock]]&lt;Table2[[#This Row],[ReorderLevel]],"Reorder", "Okay")</f>
        <v>Okay</v>
      </c>
      <c r="Q549" s="13" t="str">
        <f>IF(Table2[[#This Row],[CurrentStock]]&gt;Table2[[#This Row],[ReorderLevel]]*3, "Overstock", "Okay")</f>
        <v>Okay</v>
      </c>
    </row>
    <row r="550" spans="1:17" x14ac:dyDescent="0.35">
      <c r="A550">
        <v>55283</v>
      </c>
      <c r="B550" t="s">
        <v>16</v>
      </c>
      <c r="C550" t="s">
        <v>29</v>
      </c>
      <c r="D550">
        <v>123</v>
      </c>
      <c r="E550">
        <v>80</v>
      </c>
      <c r="F550" s="2">
        <v>223.84</v>
      </c>
      <c r="G550" t="s">
        <v>33</v>
      </c>
      <c r="H550" s="1">
        <v>45486</v>
      </c>
      <c r="I550" s="1">
        <v>45505</v>
      </c>
      <c r="J550" t="s">
        <v>37</v>
      </c>
      <c r="K550" s="8">
        <f>Table2[[#This Row],[CurrentStock]]*Table2[[#This Row],[UnitPrice]]</f>
        <v>27532.32</v>
      </c>
      <c r="L550" t="str">
        <f>IF(Table2[[#This Row],[CurrentStock]]&lt;=Table2[[#This Row],[ReorderLevel]], "Reorder Needed", "Okay")</f>
        <v>Okay</v>
      </c>
      <c r="M550" t="str">
        <f>IF(Table2[[#This Row],[CurrentStock]]-Table2[[#This Row],[ReorderLevel]]&lt;0,Table2[[#This Row],[CurrentStock]]-Table2[[#This Row],[ReorderLevel]],"")</f>
        <v/>
      </c>
      <c r="N550" t="str">
        <f>IF(Table2[[#This Row],[Stock Gap]]&lt;0, "Understock","Okay")</f>
        <v>Okay</v>
      </c>
      <c r="O550" s="13" t="str">
        <f>IF(Table2[[#This Row],[Stock Gap]]&lt;0, "Yes", "No")</f>
        <v>No</v>
      </c>
      <c r="P550" s="13" t="str">
        <f>IF(Table2[[#This Row],[CurrentStock]]&lt;Table2[[#This Row],[ReorderLevel]],"Reorder", "Okay")</f>
        <v>Okay</v>
      </c>
      <c r="Q550" s="13" t="str">
        <f>IF(Table2[[#This Row],[CurrentStock]]&gt;Table2[[#This Row],[ReorderLevel]]*3, "Overstock", "Okay")</f>
        <v>Okay</v>
      </c>
    </row>
    <row r="551" spans="1:17" x14ac:dyDescent="0.35">
      <c r="A551">
        <v>90152</v>
      </c>
      <c r="B551" t="s">
        <v>22</v>
      </c>
      <c r="C551" t="s">
        <v>29</v>
      </c>
      <c r="D551">
        <v>20</v>
      </c>
      <c r="E551">
        <v>80</v>
      </c>
      <c r="F551" s="2">
        <v>381.28</v>
      </c>
      <c r="G551" t="s">
        <v>33</v>
      </c>
      <c r="H551" s="1">
        <v>45576</v>
      </c>
      <c r="I551" s="1">
        <v>45600</v>
      </c>
      <c r="J551" t="s">
        <v>38</v>
      </c>
      <c r="K551" s="8">
        <f>Table2[[#This Row],[CurrentStock]]*Table2[[#This Row],[UnitPrice]]</f>
        <v>7625.5999999999995</v>
      </c>
      <c r="L551" t="str">
        <f>IF(Table2[[#This Row],[CurrentStock]]&lt;=Table2[[#This Row],[ReorderLevel]], "Reorder Needed", "Okay")</f>
        <v>Reorder Needed</v>
      </c>
      <c r="M551" s="7">
        <f>IF(Table2[[#This Row],[CurrentStock]]-Table2[[#This Row],[ReorderLevel]]&lt;0,Table2[[#This Row],[CurrentStock]]-Table2[[#This Row],[ReorderLevel]],"")</f>
        <v>-60</v>
      </c>
      <c r="N551" t="str">
        <f>IF(Table2[[#This Row],[Stock Gap]]&lt;0, "Understock","Okay")</f>
        <v>Understock</v>
      </c>
      <c r="O551" s="13" t="str">
        <f>IF(Table2[[#This Row],[Stock Gap]]&lt;0, "Yes", "No")</f>
        <v>Yes</v>
      </c>
      <c r="P551" s="13" t="str">
        <f>IF(Table2[[#This Row],[CurrentStock]]&lt;Table2[[#This Row],[ReorderLevel]],"Reorder", "Okay")</f>
        <v>Reorder</v>
      </c>
      <c r="Q551" s="13" t="str">
        <f>IF(Table2[[#This Row],[CurrentStock]]&gt;Table2[[#This Row],[ReorderLevel]]*3, "Overstock", "Okay")</f>
        <v>Okay</v>
      </c>
    </row>
    <row r="552" spans="1:17" x14ac:dyDescent="0.35">
      <c r="A552">
        <v>74140</v>
      </c>
      <c r="B552" t="s">
        <v>23</v>
      </c>
      <c r="C552" t="s">
        <v>30</v>
      </c>
      <c r="D552">
        <v>437</v>
      </c>
      <c r="E552">
        <v>50</v>
      </c>
      <c r="F552" s="2">
        <v>294.5</v>
      </c>
      <c r="G552" t="s">
        <v>31</v>
      </c>
      <c r="H552" s="1">
        <v>45566</v>
      </c>
      <c r="I552" s="1">
        <v>45593</v>
      </c>
      <c r="J552" t="s">
        <v>38</v>
      </c>
      <c r="K552" s="8">
        <f>Table2[[#This Row],[CurrentStock]]*Table2[[#This Row],[UnitPrice]]</f>
        <v>128696.5</v>
      </c>
      <c r="L552" t="str">
        <f>IF(Table2[[#This Row],[CurrentStock]]&lt;=Table2[[#This Row],[ReorderLevel]], "Reorder Needed", "Okay")</f>
        <v>Okay</v>
      </c>
      <c r="M552" t="str">
        <f>IF(Table2[[#This Row],[CurrentStock]]-Table2[[#This Row],[ReorderLevel]]&lt;0,Table2[[#This Row],[CurrentStock]]-Table2[[#This Row],[ReorderLevel]],"")</f>
        <v/>
      </c>
      <c r="N552" t="str">
        <f>IF(Table2[[#This Row],[Stock Gap]]&lt;0, "Understock","Okay")</f>
        <v>Okay</v>
      </c>
      <c r="O552" s="13" t="str">
        <f>IF(Table2[[#This Row],[Stock Gap]]&lt;0, "Yes", "No")</f>
        <v>No</v>
      </c>
      <c r="P552" s="13" t="str">
        <f>IF(Table2[[#This Row],[CurrentStock]]&lt;Table2[[#This Row],[ReorderLevel]],"Reorder", "Okay")</f>
        <v>Okay</v>
      </c>
      <c r="Q552" s="13" t="str">
        <f>IF(Table2[[#This Row],[CurrentStock]]&gt;Table2[[#This Row],[ReorderLevel]]*3, "Overstock", "Okay")</f>
        <v>Overstock</v>
      </c>
    </row>
    <row r="553" spans="1:17" x14ac:dyDescent="0.35">
      <c r="A553">
        <v>23861</v>
      </c>
      <c r="B553" t="s">
        <v>16</v>
      </c>
      <c r="C553" t="s">
        <v>29</v>
      </c>
      <c r="D553">
        <v>21</v>
      </c>
      <c r="E553">
        <v>50</v>
      </c>
      <c r="F553" s="2">
        <v>448.37</v>
      </c>
      <c r="G553" t="s">
        <v>33</v>
      </c>
      <c r="H553" s="1">
        <v>45620</v>
      </c>
      <c r="I553" s="1">
        <v>45643</v>
      </c>
      <c r="J553" t="s">
        <v>37</v>
      </c>
      <c r="K553" s="8">
        <f>Table2[[#This Row],[CurrentStock]]*Table2[[#This Row],[UnitPrice]]</f>
        <v>9415.77</v>
      </c>
      <c r="L553" t="str">
        <f>IF(Table2[[#This Row],[CurrentStock]]&lt;=Table2[[#This Row],[ReorderLevel]], "Reorder Needed", "Okay")</f>
        <v>Reorder Needed</v>
      </c>
      <c r="M553" s="7">
        <f>IF(Table2[[#This Row],[CurrentStock]]-Table2[[#This Row],[ReorderLevel]]&lt;0,Table2[[#This Row],[CurrentStock]]-Table2[[#This Row],[ReorderLevel]],"")</f>
        <v>-29</v>
      </c>
      <c r="N553" t="str">
        <f>IF(Table2[[#This Row],[Stock Gap]]&lt;0, "Understock","Okay")</f>
        <v>Understock</v>
      </c>
      <c r="O553" s="13" t="str">
        <f>IF(Table2[[#This Row],[Stock Gap]]&lt;0, "Yes", "No")</f>
        <v>Yes</v>
      </c>
      <c r="P553" s="13" t="str">
        <f>IF(Table2[[#This Row],[CurrentStock]]&lt;Table2[[#This Row],[ReorderLevel]],"Reorder", "Okay")</f>
        <v>Reorder</v>
      </c>
      <c r="Q553" s="13" t="str">
        <f>IF(Table2[[#This Row],[CurrentStock]]&gt;Table2[[#This Row],[ReorderLevel]]*3, "Overstock", "Okay")</f>
        <v>Okay</v>
      </c>
    </row>
    <row r="554" spans="1:17" x14ac:dyDescent="0.35">
      <c r="A554">
        <v>69222</v>
      </c>
      <c r="B554" t="s">
        <v>17</v>
      </c>
      <c r="C554" t="s">
        <v>27</v>
      </c>
      <c r="D554">
        <v>287</v>
      </c>
      <c r="E554">
        <v>50</v>
      </c>
      <c r="F554" s="2">
        <v>57.27</v>
      </c>
      <c r="G554" t="s">
        <v>31</v>
      </c>
      <c r="H554" s="1">
        <v>45296</v>
      </c>
      <c r="I554" s="1">
        <v>45320</v>
      </c>
      <c r="J554" t="s">
        <v>36</v>
      </c>
      <c r="K554" s="8">
        <f>Table2[[#This Row],[CurrentStock]]*Table2[[#This Row],[UnitPrice]]</f>
        <v>16436.490000000002</v>
      </c>
      <c r="L554" t="str">
        <f>IF(Table2[[#This Row],[CurrentStock]]&lt;=Table2[[#This Row],[ReorderLevel]], "Reorder Needed", "Okay")</f>
        <v>Okay</v>
      </c>
      <c r="M554" t="str">
        <f>IF(Table2[[#This Row],[CurrentStock]]-Table2[[#This Row],[ReorderLevel]]&lt;0,Table2[[#This Row],[CurrentStock]]-Table2[[#This Row],[ReorderLevel]],"")</f>
        <v/>
      </c>
      <c r="N554" t="str">
        <f>IF(Table2[[#This Row],[Stock Gap]]&lt;0, "Understock","Okay")</f>
        <v>Okay</v>
      </c>
      <c r="O554" s="13" t="str">
        <f>IF(Table2[[#This Row],[Stock Gap]]&lt;0, "Yes", "No")</f>
        <v>No</v>
      </c>
      <c r="P554" s="13" t="str">
        <f>IF(Table2[[#This Row],[CurrentStock]]&lt;Table2[[#This Row],[ReorderLevel]],"Reorder", "Okay")</f>
        <v>Okay</v>
      </c>
      <c r="Q554" s="13" t="str">
        <f>IF(Table2[[#This Row],[CurrentStock]]&gt;Table2[[#This Row],[ReorderLevel]]*3, "Overstock", "Okay")</f>
        <v>Overstock</v>
      </c>
    </row>
    <row r="555" spans="1:17" x14ac:dyDescent="0.35">
      <c r="A555">
        <v>85910</v>
      </c>
      <c r="B555" t="s">
        <v>23</v>
      </c>
      <c r="C555" t="s">
        <v>30</v>
      </c>
      <c r="D555">
        <v>299</v>
      </c>
      <c r="E555">
        <v>30</v>
      </c>
      <c r="F555" s="2">
        <v>19.86</v>
      </c>
      <c r="G555" t="s">
        <v>33</v>
      </c>
      <c r="H555" s="1">
        <v>45428</v>
      </c>
      <c r="I555" s="1">
        <v>45463</v>
      </c>
      <c r="J555" t="s">
        <v>37</v>
      </c>
      <c r="K555" s="8">
        <f>Table2[[#This Row],[CurrentStock]]*Table2[[#This Row],[UnitPrice]]</f>
        <v>5938.1399999999994</v>
      </c>
      <c r="L555" t="str">
        <f>IF(Table2[[#This Row],[CurrentStock]]&lt;=Table2[[#This Row],[ReorderLevel]], "Reorder Needed", "Okay")</f>
        <v>Okay</v>
      </c>
      <c r="M555" t="str">
        <f>IF(Table2[[#This Row],[CurrentStock]]-Table2[[#This Row],[ReorderLevel]]&lt;0,Table2[[#This Row],[CurrentStock]]-Table2[[#This Row],[ReorderLevel]],"")</f>
        <v/>
      </c>
      <c r="N555" t="str">
        <f>IF(Table2[[#This Row],[Stock Gap]]&lt;0, "Understock","Okay")</f>
        <v>Okay</v>
      </c>
      <c r="O555" s="13" t="str">
        <f>IF(Table2[[#This Row],[Stock Gap]]&lt;0, "Yes", "No")</f>
        <v>No</v>
      </c>
      <c r="P555" s="13" t="str">
        <f>IF(Table2[[#This Row],[CurrentStock]]&lt;Table2[[#This Row],[ReorderLevel]],"Reorder", "Okay")</f>
        <v>Okay</v>
      </c>
      <c r="Q555" s="13" t="str">
        <f>IF(Table2[[#This Row],[CurrentStock]]&gt;Table2[[#This Row],[ReorderLevel]]*3, "Overstock", "Okay")</f>
        <v>Overstock</v>
      </c>
    </row>
    <row r="556" spans="1:17" x14ac:dyDescent="0.35">
      <c r="A556">
        <v>56418</v>
      </c>
      <c r="B556" t="s">
        <v>20</v>
      </c>
      <c r="C556" t="s">
        <v>30</v>
      </c>
      <c r="D556">
        <v>158</v>
      </c>
      <c r="E556">
        <v>40</v>
      </c>
      <c r="F556" s="2">
        <v>291.01</v>
      </c>
      <c r="G556" t="s">
        <v>35</v>
      </c>
      <c r="H556" s="1">
        <v>45480</v>
      </c>
      <c r="I556" s="1">
        <v>45515</v>
      </c>
      <c r="J556" t="s">
        <v>38</v>
      </c>
      <c r="K556" s="8">
        <f>Table2[[#This Row],[CurrentStock]]*Table2[[#This Row],[UnitPrice]]</f>
        <v>45979.58</v>
      </c>
      <c r="L556" t="str">
        <f>IF(Table2[[#This Row],[CurrentStock]]&lt;=Table2[[#This Row],[ReorderLevel]], "Reorder Needed", "Okay")</f>
        <v>Okay</v>
      </c>
      <c r="M556" t="str">
        <f>IF(Table2[[#This Row],[CurrentStock]]-Table2[[#This Row],[ReorderLevel]]&lt;0,Table2[[#This Row],[CurrentStock]]-Table2[[#This Row],[ReorderLevel]],"")</f>
        <v/>
      </c>
      <c r="N556" t="str">
        <f>IF(Table2[[#This Row],[Stock Gap]]&lt;0, "Understock","Okay")</f>
        <v>Okay</v>
      </c>
      <c r="O556" s="13" t="str">
        <f>IF(Table2[[#This Row],[Stock Gap]]&lt;0, "Yes", "No")</f>
        <v>No</v>
      </c>
      <c r="P556" s="13" t="str">
        <f>IF(Table2[[#This Row],[CurrentStock]]&lt;Table2[[#This Row],[ReorderLevel]],"Reorder", "Okay")</f>
        <v>Okay</v>
      </c>
      <c r="Q556" s="13" t="str">
        <f>IF(Table2[[#This Row],[CurrentStock]]&gt;Table2[[#This Row],[ReorderLevel]]*3, "Overstock", "Okay")</f>
        <v>Overstock</v>
      </c>
    </row>
    <row r="557" spans="1:17" x14ac:dyDescent="0.35">
      <c r="A557">
        <v>92063</v>
      </c>
      <c r="B557" t="s">
        <v>14</v>
      </c>
      <c r="C557" t="s">
        <v>28</v>
      </c>
      <c r="D557">
        <v>129</v>
      </c>
      <c r="E557">
        <v>30</v>
      </c>
      <c r="F557" s="2">
        <v>168.49</v>
      </c>
      <c r="G557" t="s">
        <v>35</v>
      </c>
      <c r="H557" s="1">
        <v>45564</v>
      </c>
      <c r="I557" s="1">
        <v>45600</v>
      </c>
      <c r="J557" t="s">
        <v>37</v>
      </c>
      <c r="K557" s="8">
        <f>Table2[[#This Row],[CurrentStock]]*Table2[[#This Row],[UnitPrice]]</f>
        <v>21735.210000000003</v>
      </c>
      <c r="L557" t="str">
        <f>IF(Table2[[#This Row],[CurrentStock]]&lt;=Table2[[#This Row],[ReorderLevel]], "Reorder Needed", "Okay")</f>
        <v>Okay</v>
      </c>
      <c r="M557" t="str">
        <f>IF(Table2[[#This Row],[CurrentStock]]-Table2[[#This Row],[ReorderLevel]]&lt;0,Table2[[#This Row],[CurrentStock]]-Table2[[#This Row],[ReorderLevel]],"")</f>
        <v/>
      </c>
      <c r="N557" t="str">
        <f>IF(Table2[[#This Row],[Stock Gap]]&lt;0, "Understock","Okay")</f>
        <v>Okay</v>
      </c>
      <c r="O557" s="13" t="str">
        <f>IF(Table2[[#This Row],[Stock Gap]]&lt;0, "Yes", "No")</f>
        <v>No</v>
      </c>
      <c r="P557" s="13" t="str">
        <f>IF(Table2[[#This Row],[CurrentStock]]&lt;Table2[[#This Row],[ReorderLevel]],"Reorder", "Okay")</f>
        <v>Okay</v>
      </c>
      <c r="Q557" s="13" t="str">
        <f>IF(Table2[[#This Row],[CurrentStock]]&gt;Table2[[#This Row],[ReorderLevel]]*3, "Overstock", "Okay")</f>
        <v>Overstock</v>
      </c>
    </row>
    <row r="558" spans="1:17" x14ac:dyDescent="0.35">
      <c r="A558">
        <v>54910</v>
      </c>
      <c r="B558" t="s">
        <v>19</v>
      </c>
      <c r="C558" t="s">
        <v>28</v>
      </c>
      <c r="D558">
        <v>394</v>
      </c>
      <c r="E558">
        <v>150</v>
      </c>
      <c r="F558" s="2">
        <v>54.28</v>
      </c>
      <c r="G558" t="s">
        <v>32</v>
      </c>
      <c r="H558" s="1">
        <v>45618</v>
      </c>
      <c r="I558" s="1">
        <v>45648</v>
      </c>
      <c r="J558" t="s">
        <v>37</v>
      </c>
      <c r="K558" s="8">
        <f>Table2[[#This Row],[CurrentStock]]*Table2[[#This Row],[UnitPrice]]</f>
        <v>21386.32</v>
      </c>
      <c r="L558" t="str">
        <f>IF(Table2[[#This Row],[CurrentStock]]&lt;=Table2[[#This Row],[ReorderLevel]], "Reorder Needed", "Okay")</f>
        <v>Okay</v>
      </c>
      <c r="M558" t="str">
        <f>IF(Table2[[#This Row],[CurrentStock]]-Table2[[#This Row],[ReorderLevel]]&lt;0,Table2[[#This Row],[CurrentStock]]-Table2[[#This Row],[ReorderLevel]],"")</f>
        <v/>
      </c>
      <c r="N558" t="str">
        <f>IF(Table2[[#This Row],[Stock Gap]]&lt;0, "Understock","Okay")</f>
        <v>Okay</v>
      </c>
      <c r="O558" s="13" t="str">
        <f>IF(Table2[[#This Row],[Stock Gap]]&lt;0, "Yes", "No")</f>
        <v>No</v>
      </c>
      <c r="P558" s="13" t="str">
        <f>IF(Table2[[#This Row],[CurrentStock]]&lt;Table2[[#This Row],[ReorderLevel]],"Reorder", "Okay")</f>
        <v>Okay</v>
      </c>
      <c r="Q558" s="13" t="str">
        <f>IF(Table2[[#This Row],[CurrentStock]]&gt;Table2[[#This Row],[ReorderLevel]]*3, "Overstock", "Okay")</f>
        <v>Okay</v>
      </c>
    </row>
    <row r="559" spans="1:17" x14ac:dyDescent="0.35">
      <c r="A559">
        <v>31684</v>
      </c>
      <c r="B559" t="s">
        <v>17</v>
      </c>
      <c r="C559" t="s">
        <v>27</v>
      </c>
      <c r="D559">
        <v>458</v>
      </c>
      <c r="E559">
        <v>50</v>
      </c>
      <c r="F559" s="2">
        <v>101.53</v>
      </c>
      <c r="G559" t="s">
        <v>32</v>
      </c>
      <c r="H559" s="1">
        <v>45338</v>
      </c>
      <c r="I559" s="1">
        <v>45370</v>
      </c>
      <c r="J559" t="s">
        <v>37</v>
      </c>
      <c r="K559" s="8">
        <f>Table2[[#This Row],[CurrentStock]]*Table2[[#This Row],[UnitPrice]]</f>
        <v>46500.74</v>
      </c>
      <c r="L559" t="str">
        <f>IF(Table2[[#This Row],[CurrentStock]]&lt;=Table2[[#This Row],[ReorderLevel]], "Reorder Needed", "Okay")</f>
        <v>Okay</v>
      </c>
      <c r="M559" t="str">
        <f>IF(Table2[[#This Row],[CurrentStock]]-Table2[[#This Row],[ReorderLevel]]&lt;0,Table2[[#This Row],[CurrentStock]]-Table2[[#This Row],[ReorderLevel]],"")</f>
        <v/>
      </c>
      <c r="N559" t="str">
        <f>IF(Table2[[#This Row],[Stock Gap]]&lt;0, "Understock","Okay")</f>
        <v>Okay</v>
      </c>
      <c r="O559" s="13" t="str">
        <f>IF(Table2[[#This Row],[Stock Gap]]&lt;0, "Yes", "No")</f>
        <v>No</v>
      </c>
      <c r="P559" s="13" t="str">
        <f>IF(Table2[[#This Row],[CurrentStock]]&lt;Table2[[#This Row],[ReorderLevel]],"Reorder", "Okay")</f>
        <v>Okay</v>
      </c>
      <c r="Q559" s="13" t="str">
        <f>IF(Table2[[#This Row],[CurrentStock]]&gt;Table2[[#This Row],[ReorderLevel]]*3, "Overstock", "Okay")</f>
        <v>Overstock</v>
      </c>
    </row>
    <row r="560" spans="1:17" x14ac:dyDescent="0.35">
      <c r="A560">
        <v>50130</v>
      </c>
      <c r="B560" t="s">
        <v>20</v>
      </c>
      <c r="C560" t="s">
        <v>30</v>
      </c>
      <c r="D560">
        <v>279</v>
      </c>
      <c r="E560">
        <v>50</v>
      </c>
      <c r="F560" s="2">
        <v>55.91</v>
      </c>
      <c r="G560" t="s">
        <v>33</v>
      </c>
      <c r="H560" s="1">
        <v>45587</v>
      </c>
      <c r="I560" s="1">
        <v>45602</v>
      </c>
      <c r="J560" t="s">
        <v>37</v>
      </c>
      <c r="K560" s="8">
        <f>Table2[[#This Row],[CurrentStock]]*Table2[[#This Row],[UnitPrice]]</f>
        <v>15598.89</v>
      </c>
      <c r="L560" t="str">
        <f>IF(Table2[[#This Row],[CurrentStock]]&lt;=Table2[[#This Row],[ReorderLevel]], "Reorder Needed", "Okay")</f>
        <v>Okay</v>
      </c>
      <c r="M560" t="str">
        <f>IF(Table2[[#This Row],[CurrentStock]]-Table2[[#This Row],[ReorderLevel]]&lt;0,Table2[[#This Row],[CurrentStock]]-Table2[[#This Row],[ReorderLevel]],"")</f>
        <v/>
      </c>
      <c r="N560" t="str">
        <f>IF(Table2[[#This Row],[Stock Gap]]&lt;0, "Understock","Okay")</f>
        <v>Okay</v>
      </c>
      <c r="O560" s="13" t="str">
        <f>IF(Table2[[#This Row],[Stock Gap]]&lt;0, "Yes", "No")</f>
        <v>No</v>
      </c>
      <c r="P560" s="13" t="str">
        <f>IF(Table2[[#This Row],[CurrentStock]]&lt;Table2[[#This Row],[ReorderLevel]],"Reorder", "Okay")</f>
        <v>Okay</v>
      </c>
      <c r="Q560" s="13" t="str">
        <f>IF(Table2[[#This Row],[CurrentStock]]&gt;Table2[[#This Row],[ReorderLevel]]*3, "Overstock", "Okay")</f>
        <v>Overstock</v>
      </c>
    </row>
    <row r="561" spans="1:17" x14ac:dyDescent="0.35">
      <c r="A561">
        <v>58443</v>
      </c>
      <c r="B561" t="s">
        <v>24</v>
      </c>
      <c r="C561" t="s">
        <v>30</v>
      </c>
      <c r="D561">
        <v>368</v>
      </c>
      <c r="E561">
        <v>100</v>
      </c>
      <c r="F561" s="2">
        <v>303.56</v>
      </c>
      <c r="G561" t="s">
        <v>33</v>
      </c>
      <c r="H561" s="1">
        <v>45435</v>
      </c>
      <c r="I561" s="1">
        <v>45441</v>
      </c>
      <c r="J561" t="s">
        <v>38</v>
      </c>
      <c r="K561" s="8">
        <f>Table2[[#This Row],[CurrentStock]]*Table2[[#This Row],[UnitPrice]]</f>
        <v>111710.08</v>
      </c>
      <c r="L561" t="str">
        <f>IF(Table2[[#This Row],[CurrentStock]]&lt;=Table2[[#This Row],[ReorderLevel]], "Reorder Needed", "Okay")</f>
        <v>Okay</v>
      </c>
      <c r="M561" t="str">
        <f>IF(Table2[[#This Row],[CurrentStock]]-Table2[[#This Row],[ReorderLevel]]&lt;0,Table2[[#This Row],[CurrentStock]]-Table2[[#This Row],[ReorderLevel]],"")</f>
        <v/>
      </c>
      <c r="N561" t="str">
        <f>IF(Table2[[#This Row],[Stock Gap]]&lt;0, "Understock","Okay")</f>
        <v>Okay</v>
      </c>
      <c r="O561" s="13" t="str">
        <f>IF(Table2[[#This Row],[Stock Gap]]&lt;0, "Yes", "No")</f>
        <v>No</v>
      </c>
      <c r="P561" s="13" t="str">
        <f>IF(Table2[[#This Row],[CurrentStock]]&lt;Table2[[#This Row],[ReorderLevel]],"Reorder", "Okay")</f>
        <v>Okay</v>
      </c>
      <c r="Q561" s="13" t="str">
        <f>IF(Table2[[#This Row],[CurrentStock]]&gt;Table2[[#This Row],[ReorderLevel]]*3, "Overstock", "Okay")</f>
        <v>Overstock</v>
      </c>
    </row>
    <row r="562" spans="1:17" x14ac:dyDescent="0.35">
      <c r="A562">
        <v>43783</v>
      </c>
      <c r="B562" t="s">
        <v>9</v>
      </c>
      <c r="C562" t="s">
        <v>26</v>
      </c>
      <c r="D562">
        <v>95</v>
      </c>
      <c r="E562">
        <v>80</v>
      </c>
      <c r="F562" s="2">
        <v>234.71</v>
      </c>
      <c r="G562" t="s">
        <v>34</v>
      </c>
      <c r="H562" s="1">
        <v>45589</v>
      </c>
      <c r="I562" s="1">
        <v>45626</v>
      </c>
      <c r="J562" t="s">
        <v>38</v>
      </c>
      <c r="K562" s="8">
        <f>Table2[[#This Row],[CurrentStock]]*Table2[[#This Row],[UnitPrice]]</f>
        <v>22297.45</v>
      </c>
      <c r="L562" t="str">
        <f>IF(Table2[[#This Row],[CurrentStock]]&lt;=Table2[[#This Row],[ReorderLevel]], "Reorder Needed", "Okay")</f>
        <v>Okay</v>
      </c>
      <c r="M562" t="str">
        <f>IF(Table2[[#This Row],[CurrentStock]]-Table2[[#This Row],[ReorderLevel]]&lt;0,Table2[[#This Row],[CurrentStock]]-Table2[[#This Row],[ReorderLevel]],"")</f>
        <v/>
      </c>
      <c r="N562" t="str">
        <f>IF(Table2[[#This Row],[Stock Gap]]&lt;0, "Understock","Okay")</f>
        <v>Okay</v>
      </c>
      <c r="O562" s="13" t="str">
        <f>IF(Table2[[#This Row],[Stock Gap]]&lt;0, "Yes", "No")</f>
        <v>No</v>
      </c>
      <c r="P562" s="13" t="str">
        <f>IF(Table2[[#This Row],[CurrentStock]]&lt;Table2[[#This Row],[ReorderLevel]],"Reorder", "Okay")</f>
        <v>Okay</v>
      </c>
      <c r="Q562" s="13" t="str">
        <f>IF(Table2[[#This Row],[CurrentStock]]&gt;Table2[[#This Row],[ReorderLevel]]*3, "Overstock", "Okay")</f>
        <v>Okay</v>
      </c>
    </row>
    <row r="563" spans="1:17" x14ac:dyDescent="0.35">
      <c r="A563">
        <v>69754</v>
      </c>
      <c r="B563" t="s">
        <v>24</v>
      </c>
      <c r="C563" t="s">
        <v>30</v>
      </c>
      <c r="D563">
        <v>420</v>
      </c>
      <c r="E563">
        <v>100</v>
      </c>
      <c r="F563" s="2">
        <v>69.83</v>
      </c>
      <c r="G563" t="s">
        <v>31</v>
      </c>
      <c r="H563" s="1">
        <v>45313</v>
      </c>
      <c r="I563" s="1">
        <v>45337</v>
      </c>
      <c r="J563" t="s">
        <v>36</v>
      </c>
      <c r="K563" s="8">
        <f>Table2[[#This Row],[CurrentStock]]*Table2[[#This Row],[UnitPrice]]</f>
        <v>29328.6</v>
      </c>
      <c r="L563" t="str">
        <f>IF(Table2[[#This Row],[CurrentStock]]&lt;=Table2[[#This Row],[ReorderLevel]], "Reorder Needed", "Okay")</f>
        <v>Okay</v>
      </c>
      <c r="M563" t="str">
        <f>IF(Table2[[#This Row],[CurrentStock]]-Table2[[#This Row],[ReorderLevel]]&lt;0,Table2[[#This Row],[CurrentStock]]-Table2[[#This Row],[ReorderLevel]],"")</f>
        <v/>
      </c>
      <c r="N563" t="str">
        <f>IF(Table2[[#This Row],[Stock Gap]]&lt;0, "Understock","Okay")</f>
        <v>Okay</v>
      </c>
      <c r="O563" s="13" t="str">
        <f>IF(Table2[[#This Row],[Stock Gap]]&lt;0, "Yes", "No")</f>
        <v>No</v>
      </c>
      <c r="P563" s="13" t="str">
        <f>IF(Table2[[#This Row],[CurrentStock]]&lt;Table2[[#This Row],[ReorderLevel]],"Reorder", "Okay")</f>
        <v>Okay</v>
      </c>
      <c r="Q563" s="13" t="str">
        <f>IF(Table2[[#This Row],[CurrentStock]]&gt;Table2[[#This Row],[ReorderLevel]]*3, "Overstock", "Okay")</f>
        <v>Overstock</v>
      </c>
    </row>
    <row r="564" spans="1:17" x14ac:dyDescent="0.35">
      <c r="A564">
        <v>61033</v>
      </c>
      <c r="B564" t="s">
        <v>20</v>
      </c>
      <c r="C564" t="s">
        <v>30</v>
      </c>
      <c r="D564">
        <v>88</v>
      </c>
      <c r="E564">
        <v>30</v>
      </c>
      <c r="F564" s="2">
        <v>208.63</v>
      </c>
      <c r="G564" t="s">
        <v>34</v>
      </c>
      <c r="H564" s="1">
        <v>45364</v>
      </c>
      <c r="I564" s="1">
        <v>45380</v>
      </c>
      <c r="J564" t="s">
        <v>38</v>
      </c>
      <c r="K564" s="8">
        <f>Table2[[#This Row],[CurrentStock]]*Table2[[#This Row],[UnitPrice]]</f>
        <v>18359.439999999999</v>
      </c>
      <c r="L564" t="str">
        <f>IF(Table2[[#This Row],[CurrentStock]]&lt;=Table2[[#This Row],[ReorderLevel]], "Reorder Needed", "Okay")</f>
        <v>Okay</v>
      </c>
      <c r="M564" t="str">
        <f>IF(Table2[[#This Row],[CurrentStock]]-Table2[[#This Row],[ReorderLevel]]&lt;0,Table2[[#This Row],[CurrentStock]]-Table2[[#This Row],[ReorderLevel]],"")</f>
        <v/>
      </c>
      <c r="N564" t="str">
        <f>IF(Table2[[#This Row],[Stock Gap]]&lt;0, "Understock","Okay")</f>
        <v>Okay</v>
      </c>
      <c r="O564" s="13" t="str">
        <f>IF(Table2[[#This Row],[Stock Gap]]&lt;0, "Yes", "No")</f>
        <v>No</v>
      </c>
      <c r="P564" s="13" t="str">
        <f>IF(Table2[[#This Row],[CurrentStock]]&lt;Table2[[#This Row],[ReorderLevel]],"Reorder", "Okay")</f>
        <v>Okay</v>
      </c>
      <c r="Q564" s="13" t="str">
        <f>IF(Table2[[#This Row],[CurrentStock]]&gt;Table2[[#This Row],[ReorderLevel]]*3, "Overstock", "Okay")</f>
        <v>Okay</v>
      </c>
    </row>
    <row r="565" spans="1:17" x14ac:dyDescent="0.35">
      <c r="A565">
        <v>91531</v>
      </c>
      <c r="B565" t="s">
        <v>11</v>
      </c>
      <c r="C565" t="s">
        <v>27</v>
      </c>
      <c r="D565">
        <v>175</v>
      </c>
      <c r="E565">
        <v>50</v>
      </c>
      <c r="F565" s="2">
        <v>243.94</v>
      </c>
      <c r="G565" t="s">
        <v>33</v>
      </c>
      <c r="H565" s="1">
        <v>45357</v>
      </c>
      <c r="I565" s="1">
        <v>45362</v>
      </c>
      <c r="J565" t="s">
        <v>38</v>
      </c>
      <c r="K565" s="8">
        <f>Table2[[#This Row],[CurrentStock]]*Table2[[#This Row],[UnitPrice]]</f>
        <v>42689.5</v>
      </c>
      <c r="L565" t="str">
        <f>IF(Table2[[#This Row],[CurrentStock]]&lt;=Table2[[#This Row],[ReorderLevel]], "Reorder Needed", "Okay")</f>
        <v>Okay</v>
      </c>
      <c r="M565" t="str">
        <f>IF(Table2[[#This Row],[CurrentStock]]-Table2[[#This Row],[ReorderLevel]]&lt;0,Table2[[#This Row],[CurrentStock]]-Table2[[#This Row],[ReorderLevel]],"")</f>
        <v/>
      </c>
      <c r="N565" t="str">
        <f>IF(Table2[[#This Row],[Stock Gap]]&lt;0, "Understock","Okay")</f>
        <v>Okay</v>
      </c>
      <c r="O565" s="13" t="str">
        <f>IF(Table2[[#This Row],[Stock Gap]]&lt;0, "Yes", "No")</f>
        <v>No</v>
      </c>
      <c r="P565" s="13" t="str">
        <f>IF(Table2[[#This Row],[CurrentStock]]&lt;Table2[[#This Row],[ReorderLevel]],"Reorder", "Okay")</f>
        <v>Okay</v>
      </c>
      <c r="Q565" s="13" t="str">
        <f>IF(Table2[[#This Row],[CurrentStock]]&gt;Table2[[#This Row],[ReorderLevel]]*3, "Overstock", "Okay")</f>
        <v>Overstock</v>
      </c>
    </row>
    <row r="566" spans="1:17" x14ac:dyDescent="0.35">
      <c r="A566">
        <v>24859</v>
      </c>
      <c r="B566" t="s">
        <v>14</v>
      </c>
      <c r="C566" t="s">
        <v>28</v>
      </c>
      <c r="D566">
        <v>158</v>
      </c>
      <c r="E566">
        <v>20</v>
      </c>
      <c r="F566" s="2">
        <v>482.82</v>
      </c>
      <c r="G566" t="s">
        <v>35</v>
      </c>
      <c r="H566" s="1">
        <v>45576</v>
      </c>
      <c r="I566" s="1">
        <v>45595</v>
      </c>
      <c r="J566" t="s">
        <v>36</v>
      </c>
      <c r="K566" s="8">
        <f>Table2[[#This Row],[CurrentStock]]*Table2[[#This Row],[UnitPrice]]</f>
        <v>76285.56</v>
      </c>
      <c r="L566" t="str">
        <f>IF(Table2[[#This Row],[CurrentStock]]&lt;=Table2[[#This Row],[ReorderLevel]], "Reorder Needed", "Okay")</f>
        <v>Okay</v>
      </c>
      <c r="M566" t="str">
        <f>IF(Table2[[#This Row],[CurrentStock]]-Table2[[#This Row],[ReorderLevel]]&lt;0,Table2[[#This Row],[CurrentStock]]-Table2[[#This Row],[ReorderLevel]],"")</f>
        <v/>
      </c>
      <c r="N566" t="str">
        <f>IF(Table2[[#This Row],[Stock Gap]]&lt;0, "Understock","Okay")</f>
        <v>Okay</v>
      </c>
      <c r="O566" s="13" t="str">
        <f>IF(Table2[[#This Row],[Stock Gap]]&lt;0, "Yes", "No")</f>
        <v>No</v>
      </c>
      <c r="P566" s="13" t="str">
        <f>IF(Table2[[#This Row],[CurrentStock]]&lt;Table2[[#This Row],[ReorderLevel]],"Reorder", "Okay")</f>
        <v>Okay</v>
      </c>
      <c r="Q566" s="13" t="str">
        <f>IF(Table2[[#This Row],[CurrentStock]]&gt;Table2[[#This Row],[ReorderLevel]]*3, "Overstock", "Okay")</f>
        <v>Overstock</v>
      </c>
    </row>
    <row r="567" spans="1:17" x14ac:dyDescent="0.35">
      <c r="A567">
        <v>31153</v>
      </c>
      <c r="B567" t="s">
        <v>22</v>
      </c>
      <c r="C567" t="s">
        <v>29</v>
      </c>
      <c r="D567">
        <v>109</v>
      </c>
      <c r="E567">
        <v>100</v>
      </c>
      <c r="F567" s="2">
        <v>420.71</v>
      </c>
      <c r="G567" t="s">
        <v>32</v>
      </c>
      <c r="H567" s="1">
        <v>45507</v>
      </c>
      <c r="I567" s="1">
        <v>45525</v>
      </c>
      <c r="J567" t="s">
        <v>38</v>
      </c>
      <c r="K567" s="8">
        <f>Table2[[#This Row],[CurrentStock]]*Table2[[#This Row],[UnitPrice]]</f>
        <v>45857.39</v>
      </c>
      <c r="L567" t="str">
        <f>IF(Table2[[#This Row],[CurrentStock]]&lt;=Table2[[#This Row],[ReorderLevel]], "Reorder Needed", "Okay")</f>
        <v>Okay</v>
      </c>
      <c r="M567" t="str">
        <f>IF(Table2[[#This Row],[CurrentStock]]-Table2[[#This Row],[ReorderLevel]]&lt;0,Table2[[#This Row],[CurrentStock]]-Table2[[#This Row],[ReorderLevel]],"")</f>
        <v/>
      </c>
      <c r="N567" t="str">
        <f>IF(Table2[[#This Row],[Stock Gap]]&lt;0, "Understock","Okay")</f>
        <v>Okay</v>
      </c>
      <c r="O567" s="13" t="str">
        <f>IF(Table2[[#This Row],[Stock Gap]]&lt;0, "Yes", "No")</f>
        <v>No</v>
      </c>
      <c r="P567" s="13" t="str">
        <f>IF(Table2[[#This Row],[CurrentStock]]&lt;Table2[[#This Row],[ReorderLevel]],"Reorder", "Okay")</f>
        <v>Okay</v>
      </c>
      <c r="Q567" s="13" t="str">
        <f>IF(Table2[[#This Row],[CurrentStock]]&gt;Table2[[#This Row],[ReorderLevel]]*3, "Overstock", "Okay")</f>
        <v>Okay</v>
      </c>
    </row>
    <row r="568" spans="1:17" x14ac:dyDescent="0.35">
      <c r="A568">
        <v>37564</v>
      </c>
      <c r="B568" t="s">
        <v>9</v>
      </c>
      <c r="C568" t="s">
        <v>26</v>
      </c>
      <c r="D568">
        <v>419</v>
      </c>
      <c r="E568">
        <v>100</v>
      </c>
      <c r="F568" s="2">
        <v>265.11</v>
      </c>
      <c r="G568" t="s">
        <v>33</v>
      </c>
      <c r="H568" s="1">
        <v>45627</v>
      </c>
      <c r="I568" s="1">
        <v>45656</v>
      </c>
      <c r="J568" t="s">
        <v>38</v>
      </c>
      <c r="K568" s="8">
        <f>Table2[[#This Row],[CurrentStock]]*Table2[[#This Row],[UnitPrice]]</f>
        <v>111081.09000000001</v>
      </c>
      <c r="L568" t="str">
        <f>IF(Table2[[#This Row],[CurrentStock]]&lt;=Table2[[#This Row],[ReorderLevel]], "Reorder Needed", "Okay")</f>
        <v>Okay</v>
      </c>
      <c r="M568" t="str">
        <f>IF(Table2[[#This Row],[CurrentStock]]-Table2[[#This Row],[ReorderLevel]]&lt;0,Table2[[#This Row],[CurrentStock]]-Table2[[#This Row],[ReorderLevel]],"")</f>
        <v/>
      </c>
      <c r="N568" t="str">
        <f>IF(Table2[[#This Row],[Stock Gap]]&lt;0, "Understock","Okay")</f>
        <v>Okay</v>
      </c>
      <c r="O568" s="13" t="str">
        <f>IF(Table2[[#This Row],[Stock Gap]]&lt;0, "Yes", "No")</f>
        <v>No</v>
      </c>
      <c r="P568" s="13" t="str">
        <f>IF(Table2[[#This Row],[CurrentStock]]&lt;Table2[[#This Row],[ReorderLevel]],"Reorder", "Okay")</f>
        <v>Okay</v>
      </c>
      <c r="Q568" s="13" t="str">
        <f>IF(Table2[[#This Row],[CurrentStock]]&gt;Table2[[#This Row],[ReorderLevel]]*3, "Overstock", "Okay")</f>
        <v>Overstock</v>
      </c>
    </row>
    <row r="569" spans="1:17" x14ac:dyDescent="0.35">
      <c r="A569">
        <v>86436</v>
      </c>
      <c r="B569" t="s">
        <v>12</v>
      </c>
      <c r="C569" t="s">
        <v>28</v>
      </c>
      <c r="D569">
        <v>479</v>
      </c>
      <c r="E569">
        <v>80</v>
      </c>
      <c r="F569" s="2">
        <v>139.62</v>
      </c>
      <c r="G569" t="s">
        <v>31</v>
      </c>
      <c r="H569" s="1">
        <v>45478</v>
      </c>
      <c r="I569" s="1">
        <v>45487</v>
      </c>
      <c r="J569" t="s">
        <v>38</v>
      </c>
      <c r="K569" s="8">
        <f>Table2[[#This Row],[CurrentStock]]*Table2[[#This Row],[UnitPrice]]</f>
        <v>66877.98</v>
      </c>
      <c r="L569" t="str">
        <f>IF(Table2[[#This Row],[CurrentStock]]&lt;=Table2[[#This Row],[ReorderLevel]], "Reorder Needed", "Okay")</f>
        <v>Okay</v>
      </c>
      <c r="M569" t="str">
        <f>IF(Table2[[#This Row],[CurrentStock]]-Table2[[#This Row],[ReorderLevel]]&lt;0,Table2[[#This Row],[CurrentStock]]-Table2[[#This Row],[ReorderLevel]],"")</f>
        <v/>
      </c>
      <c r="N569" t="str">
        <f>IF(Table2[[#This Row],[Stock Gap]]&lt;0, "Understock","Okay")</f>
        <v>Okay</v>
      </c>
      <c r="O569" s="13" t="str">
        <f>IF(Table2[[#This Row],[Stock Gap]]&lt;0, "Yes", "No")</f>
        <v>No</v>
      </c>
      <c r="P569" s="13" t="str">
        <f>IF(Table2[[#This Row],[CurrentStock]]&lt;Table2[[#This Row],[ReorderLevel]],"Reorder", "Okay")</f>
        <v>Okay</v>
      </c>
      <c r="Q569" s="13" t="str">
        <f>IF(Table2[[#This Row],[CurrentStock]]&gt;Table2[[#This Row],[ReorderLevel]]*3, "Overstock", "Okay")</f>
        <v>Overstock</v>
      </c>
    </row>
    <row r="570" spans="1:17" x14ac:dyDescent="0.35">
      <c r="A570">
        <v>95549</v>
      </c>
      <c r="B570" t="s">
        <v>10</v>
      </c>
      <c r="C570" t="s">
        <v>26</v>
      </c>
      <c r="D570">
        <v>336</v>
      </c>
      <c r="E570">
        <v>80</v>
      </c>
      <c r="F570" s="2">
        <v>419.45</v>
      </c>
      <c r="G570" t="s">
        <v>33</v>
      </c>
      <c r="H570" s="1">
        <v>45608</v>
      </c>
      <c r="I570" s="1">
        <v>45619</v>
      </c>
      <c r="J570" t="s">
        <v>36</v>
      </c>
      <c r="K570" s="8">
        <f>Table2[[#This Row],[CurrentStock]]*Table2[[#This Row],[UnitPrice]]</f>
        <v>140935.19999999998</v>
      </c>
      <c r="L570" t="str">
        <f>IF(Table2[[#This Row],[CurrentStock]]&lt;=Table2[[#This Row],[ReorderLevel]], "Reorder Needed", "Okay")</f>
        <v>Okay</v>
      </c>
      <c r="M570" t="str">
        <f>IF(Table2[[#This Row],[CurrentStock]]-Table2[[#This Row],[ReorderLevel]]&lt;0,Table2[[#This Row],[CurrentStock]]-Table2[[#This Row],[ReorderLevel]],"")</f>
        <v/>
      </c>
      <c r="N570" t="str">
        <f>IF(Table2[[#This Row],[Stock Gap]]&lt;0, "Understock","Okay")</f>
        <v>Okay</v>
      </c>
      <c r="O570" s="13" t="str">
        <f>IF(Table2[[#This Row],[Stock Gap]]&lt;0, "Yes", "No")</f>
        <v>No</v>
      </c>
      <c r="P570" s="13" t="str">
        <f>IF(Table2[[#This Row],[CurrentStock]]&lt;Table2[[#This Row],[ReorderLevel]],"Reorder", "Okay")</f>
        <v>Okay</v>
      </c>
      <c r="Q570" s="13" t="str">
        <f>IF(Table2[[#This Row],[CurrentStock]]&gt;Table2[[#This Row],[ReorderLevel]]*3, "Overstock", "Okay")</f>
        <v>Overstock</v>
      </c>
    </row>
    <row r="571" spans="1:17" x14ac:dyDescent="0.35">
      <c r="A571">
        <v>92291</v>
      </c>
      <c r="B571" t="s">
        <v>11</v>
      </c>
      <c r="C571" t="s">
        <v>27</v>
      </c>
      <c r="D571">
        <v>494</v>
      </c>
      <c r="E571">
        <v>50</v>
      </c>
      <c r="F571" s="2">
        <v>326.64999999999998</v>
      </c>
      <c r="G571" t="s">
        <v>31</v>
      </c>
      <c r="H571" s="1">
        <v>45400</v>
      </c>
      <c r="I571" s="1">
        <v>45431</v>
      </c>
      <c r="J571" t="s">
        <v>38</v>
      </c>
      <c r="K571" s="8">
        <f>Table2[[#This Row],[CurrentStock]]*Table2[[#This Row],[UnitPrice]]</f>
        <v>161365.09999999998</v>
      </c>
      <c r="L571" t="str">
        <f>IF(Table2[[#This Row],[CurrentStock]]&lt;=Table2[[#This Row],[ReorderLevel]], "Reorder Needed", "Okay")</f>
        <v>Okay</v>
      </c>
      <c r="M571" t="str">
        <f>IF(Table2[[#This Row],[CurrentStock]]-Table2[[#This Row],[ReorderLevel]]&lt;0,Table2[[#This Row],[CurrentStock]]-Table2[[#This Row],[ReorderLevel]],"")</f>
        <v/>
      </c>
      <c r="N571" t="str">
        <f>IF(Table2[[#This Row],[Stock Gap]]&lt;0, "Understock","Okay")</f>
        <v>Okay</v>
      </c>
      <c r="O571" s="13" t="str">
        <f>IF(Table2[[#This Row],[Stock Gap]]&lt;0, "Yes", "No")</f>
        <v>No</v>
      </c>
      <c r="P571" s="13" t="str">
        <f>IF(Table2[[#This Row],[CurrentStock]]&lt;Table2[[#This Row],[ReorderLevel]],"Reorder", "Okay")</f>
        <v>Okay</v>
      </c>
      <c r="Q571" s="13" t="str">
        <f>IF(Table2[[#This Row],[CurrentStock]]&gt;Table2[[#This Row],[ReorderLevel]]*3, "Overstock", "Okay")</f>
        <v>Overstock</v>
      </c>
    </row>
    <row r="572" spans="1:17" x14ac:dyDescent="0.35">
      <c r="A572">
        <v>76471</v>
      </c>
      <c r="B572" t="s">
        <v>19</v>
      </c>
      <c r="C572" t="s">
        <v>28</v>
      </c>
      <c r="D572">
        <v>244</v>
      </c>
      <c r="E572">
        <v>150</v>
      </c>
      <c r="F572" s="2">
        <v>164.75</v>
      </c>
      <c r="G572" t="s">
        <v>35</v>
      </c>
      <c r="H572" s="1">
        <v>45374</v>
      </c>
      <c r="I572" s="1">
        <v>45401</v>
      </c>
      <c r="J572" t="s">
        <v>37</v>
      </c>
      <c r="K572" s="8">
        <f>Table2[[#This Row],[CurrentStock]]*Table2[[#This Row],[UnitPrice]]</f>
        <v>40199</v>
      </c>
      <c r="L572" t="str">
        <f>IF(Table2[[#This Row],[CurrentStock]]&lt;=Table2[[#This Row],[ReorderLevel]], "Reorder Needed", "Okay")</f>
        <v>Okay</v>
      </c>
      <c r="M572" t="str">
        <f>IF(Table2[[#This Row],[CurrentStock]]-Table2[[#This Row],[ReorderLevel]]&lt;0,Table2[[#This Row],[CurrentStock]]-Table2[[#This Row],[ReorderLevel]],"")</f>
        <v/>
      </c>
      <c r="N572" t="str">
        <f>IF(Table2[[#This Row],[Stock Gap]]&lt;0, "Understock","Okay")</f>
        <v>Okay</v>
      </c>
      <c r="O572" s="13" t="str">
        <f>IF(Table2[[#This Row],[Stock Gap]]&lt;0, "Yes", "No")</f>
        <v>No</v>
      </c>
      <c r="P572" s="13" t="str">
        <f>IF(Table2[[#This Row],[CurrentStock]]&lt;Table2[[#This Row],[ReorderLevel]],"Reorder", "Okay")</f>
        <v>Okay</v>
      </c>
      <c r="Q572" s="13" t="str">
        <f>IF(Table2[[#This Row],[CurrentStock]]&gt;Table2[[#This Row],[ReorderLevel]]*3, "Overstock", "Okay")</f>
        <v>Okay</v>
      </c>
    </row>
    <row r="573" spans="1:17" x14ac:dyDescent="0.35">
      <c r="A573">
        <v>44753</v>
      </c>
      <c r="B573" t="s">
        <v>21</v>
      </c>
      <c r="C573" t="s">
        <v>26</v>
      </c>
      <c r="D573">
        <v>132</v>
      </c>
      <c r="E573">
        <v>20</v>
      </c>
      <c r="F573" s="2">
        <v>278.79000000000002</v>
      </c>
      <c r="G573" t="s">
        <v>35</v>
      </c>
      <c r="H573" s="1">
        <v>45386</v>
      </c>
      <c r="I573" s="1">
        <v>45412</v>
      </c>
      <c r="J573" t="s">
        <v>36</v>
      </c>
      <c r="K573" s="8">
        <f>Table2[[#This Row],[CurrentStock]]*Table2[[#This Row],[UnitPrice]]</f>
        <v>36800.280000000006</v>
      </c>
      <c r="L573" t="str">
        <f>IF(Table2[[#This Row],[CurrentStock]]&lt;=Table2[[#This Row],[ReorderLevel]], "Reorder Needed", "Okay")</f>
        <v>Okay</v>
      </c>
      <c r="M573" t="str">
        <f>IF(Table2[[#This Row],[CurrentStock]]-Table2[[#This Row],[ReorderLevel]]&lt;0,Table2[[#This Row],[CurrentStock]]-Table2[[#This Row],[ReorderLevel]],"")</f>
        <v/>
      </c>
      <c r="N573" t="str">
        <f>IF(Table2[[#This Row],[Stock Gap]]&lt;0, "Understock","Okay")</f>
        <v>Okay</v>
      </c>
      <c r="O573" s="13" t="str">
        <f>IF(Table2[[#This Row],[Stock Gap]]&lt;0, "Yes", "No")</f>
        <v>No</v>
      </c>
      <c r="P573" s="13" t="str">
        <f>IF(Table2[[#This Row],[CurrentStock]]&lt;Table2[[#This Row],[ReorderLevel]],"Reorder", "Okay")</f>
        <v>Okay</v>
      </c>
      <c r="Q573" s="13" t="str">
        <f>IF(Table2[[#This Row],[CurrentStock]]&gt;Table2[[#This Row],[ReorderLevel]]*3, "Overstock", "Okay")</f>
        <v>Overstock</v>
      </c>
    </row>
    <row r="574" spans="1:17" x14ac:dyDescent="0.35">
      <c r="A574">
        <v>83290</v>
      </c>
      <c r="B574" t="s">
        <v>21</v>
      </c>
      <c r="C574" t="s">
        <v>26</v>
      </c>
      <c r="D574">
        <v>88</v>
      </c>
      <c r="E574">
        <v>150</v>
      </c>
      <c r="F574" s="2">
        <v>242.62</v>
      </c>
      <c r="G574" t="s">
        <v>31</v>
      </c>
      <c r="H574" s="1">
        <v>45634</v>
      </c>
      <c r="I574" s="1">
        <v>45670</v>
      </c>
      <c r="J574" t="s">
        <v>36</v>
      </c>
      <c r="K574" s="8">
        <f>Table2[[#This Row],[CurrentStock]]*Table2[[#This Row],[UnitPrice]]</f>
        <v>21350.560000000001</v>
      </c>
      <c r="L574" t="str">
        <f>IF(Table2[[#This Row],[CurrentStock]]&lt;=Table2[[#This Row],[ReorderLevel]], "Reorder Needed", "Okay")</f>
        <v>Reorder Needed</v>
      </c>
      <c r="M574" s="7">
        <f>IF(Table2[[#This Row],[CurrentStock]]-Table2[[#This Row],[ReorderLevel]]&lt;0,Table2[[#This Row],[CurrentStock]]-Table2[[#This Row],[ReorderLevel]],"")</f>
        <v>-62</v>
      </c>
      <c r="N574" t="str">
        <f>IF(Table2[[#This Row],[Stock Gap]]&lt;0, "Understock","Okay")</f>
        <v>Understock</v>
      </c>
      <c r="O574" s="13" t="str">
        <f>IF(Table2[[#This Row],[Stock Gap]]&lt;0, "Yes", "No")</f>
        <v>Yes</v>
      </c>
      <c r="P574" s="13" t="str">
        <f>IF(Table2[[#This Row],[CurrentStock]]&lt;Table2[[#This Row],[ReorderLevel]],"Reorder", "Okay")</f>
        <v>Reorder</v>
      </c>
      <c r="Q574" s="13" t="str">
        <f>IF(Table2[[#This Row],[CurrentStock]]&gt;Table2[[#This Row],[ReorderLevel]]*3, "Overstock", "Okay")</f>
        <v>Okay</v>
      </c>
    </row>
    <row r="575" spans="1:17" x14ac:dyDescent="0.35">
      <c r="A575">
        <v>17493</v>
      </c>
      <c r="B575" t="s">
        <v>24</v>
      </c>
      <c r="C575" t="s">
        <v>30</v>
      </c>
      <c r="D575">
        <v>19</v>
      </c>
      <c r="E575">
        <v>100</v>
      </c>
      <c r="F575" s="2">
        <v>234.59</v>
      </c>
      <c r="G575" t="s">
        <v>35</v>
      </c>
      <c r="H575" s="1">
        <v>45349</v>
      </c>
      <c r="I575" s="1">
        <v>45354</v>
      </c>
      <c r="J575" t="s">
        <v>37</v>
      </c>
      <c r="K575" s="8">
        <f>Table2[[#This Row],[CurrentStock]]*Table2[[#This Row],[UnitPrice]]</f>
        <v>4457.21</v>
      </c>
      <c r="L575" t="str">
        <f>IF(Table2[[#This Row],[CurrentStock]]&lt;=Table2[[#This Row],[ReorderLevel]], "Reorder Needed", "Okay")</f>
        <v>Reorder Needed</v>
      </c>
      <c r="M575" s="7">
        <f>IF(Table2[[#This Row],[CurrentStock]]-Table2[[#This Row],[ReorderLevel]]&lt;0,Table2[[#This Row],[CurrentStock]]-Table2[[#This Row],[ReorderLevel]],"")</f>
        <v>-81</v>
      </c>
      <c r="N575" t="str">
        <f>IF(Table2[[#This Row],[Stock Gap]]&lt;0, "Understock","Okay")</f>
        <v>Understock</v>
      </c>
      <c r="O575" s="13" t="str">
        <f>IF(Table2[[#This Row],[Stock Gap]]&lt;0, "Yes", "No")</f>
        <v>Yes</v>
      </c>
      <c r="P575" s="13" t="str">
        <f>IF(Table2[[#This Row],[CurrentStock]]&lt;Table2[[#This Row],[ReorderLevel]],"Reorder", "Okay")</f>
        <v>Reorder</v>
      </c>
      <c r="Q575" s="13" t="str">
        <f>IF(Table2[[#This Row],[CurrentStock]]&gt;Table2[[#This Row],[ReorderLevel]]*3, "Overstock", "Okay")</f>
        <v>Okay</v>
      </c>
    </row>
    <row r="576" spans="1:17" x14ac:dyDescent="0.35">
      <c r="A576">
        <v>57315</v>
      </c>
      <c r="B576" t="s">
        <v>18</v>
      </c>
      <c r="C576" t="s">
        <v>27</v>
      </c>
      <c r="D576">
        <v>187</v>
      </c>
      <c r="E576">
        <v>40</v>
      </c>
      <c r="F576" s="2">
        <v>334.98</v>
      </c>
      <c r="G576" t="s">
        <v>35</v>
      </c>
      <c r="H576" s="1">
        <v>45655</v>
      </c>
      <c r="I576" s="1">
        <v>45671</v>
      </c>
      <c r="J576" t="s">
        <v>36</v>
      </c>
      <c r="K576" s="8">
        <f>Table2[[#This Row],[CurrentStock]]*Table2[[#This Row],[UnitPrice]]</f>
        <v>62641.26</v>
      </c>
      <c r="L576" t="str">
        <f>IF(Table2[[#This Row],[CurrentStock]]&lt;=Table2[[#This Row],[ReorderLevel]], "Reorder Needed", "Okay")</f>
        <v>Okay</v>
      </c>
      <c r="M576" t="str">
        <f>IF(Table2[[#This Row],[CurrentStock]]-Table2[[#This Row],[ReorderLevel]]&lt;0,Table2[[#This Row],[CurrentStock]]-Table2[[#This Row],[ReorderLevel]],"")</f>
        <v/>
      </c>
      <c r="N576" t="str">
        <f>IF(Table2[[#This Row],[Stock Gap]]&lt;0, "Understock","Okay")</f>
        <v>Okay</v>
      </c>
      <c r="O576" s="13" t="str">
        <f>IF(Table2[[#This Row],[Stock Gap]]&lt;0, "Yes", "No")</f>
        <v>No</v>
      </c>
      <c r="P576" s="13" t="str">
        <f>IF(Table2[[#This Row],[CurrentStock]]&lt;Table2[[#This Row],[ReorderLevel]],"Reorder", "Okay")</f>
        <v>Okay</v>
      </c>
      <c r="Q576" s="13" t="str">
        <f>IF(Table2[[#This Row],[CurrentStock]]&gt;Table2[[#This Row],[ReorderLevel]]*3, "Overstock", "Okay")</f>
        <v>Overstock</v>
      </c>
    </row>
    <row r="577" spans="1:17" x14ac:dyDescent="0.35">
      <c r="A577">
        <v>62664</v>
      </c>
      <c r="B577" t="s">
        <v>21</v>
      </c>
      <c r="C577" t="s">
        <v>26</v>
      </c>
      <c r="D577">
        <v>274</v>
      </c>
      <c r="E577">
        <v>100</v>
      </c>
      <c r="F577" s="2">
        <v>50.79</v>
      </c>
      <c r="G577" t="s">
        <v>33</v>
      </c>
      <c r="H577" s="1">
        <v>45462</v>
      </c>
      <c r="I577" s="1">
        <v>45479</v>
      </c>
      <c r="J577" t="s">
        <v>37</v>
      </c>
      <c r="K577" s="8">
        <f>Table2[[#This Row],[CurrentStock]]*Table2[[#This Row],[UnitPrice]]</f>
        <v>13916.46</v>
      </c>
      <c r="L577" t="str">
        <f>IF(Table2[[#This Row],[CurrentStock]]&lt;=Table2[[#This Row],[ReorderLevel]], "Reorder Needed", "Okay")</f>
        <v>Okay</v>
      </c>
      <c r="M577" t="str">
        <f>IF(Table2[[#This Row],[CurrentStock]]-Table2[[#This Row],[ReorderLevel]]&lt;0,Table2[[#This Row],[CurrentStock]]-Table2[[#This Row],[ReorderLevel]],"")</f>
        <v/>
      </c>
      <c r="N577" t="str">
        <f>IF(Table2[[#This Row],[Stock Gap]]&lt;0, "Understock","Okay")</f>
        <v>Okay</v>
      </c>
      <c r="O577" s="13" t="str">
        <f>IF(Table2[[#This Row],[Stock Gap]]&lt;0, "Yes", "No")</f>
        <v>No</v>
      </c>
      <c r="P577" s="13" t="str">
        <f>IF(Table2[[#This Row],[CurrentStock]]&lt;Table2[[#This Row],[ReorderLevel]],"Reorder", "Okay")</f>
        <v>Okay</v>
      </c>
      <c r="Q577" s="13" t="str">
        <f>IF(Table2[[#This Row],[CurrentStock]]&gt;Table2[[#This Row],[ReorderLevel]]*3, "Overstock", "Okay")</f>
        <v>Okay</v>
      </c>
    </row>
    <row r="578" spans="1:17" x14ac:dyDescent="0.35">
      <c r="A578">
        <v>62975</v>
      </c>
      <c r="B578" t="s">
        <v>25</v>
      </c>
      <c r="C578" t="s">
        <v>29</v>
      </c>
      <c r="D578">
        <v>341</v>
      </c>
      <c r="E578">
        <v>40</v>
      </c>
      <c r="F578" s="2">
        <v>102.14</v>
      </c>
      <c r="G578" t="s">
        <v>31</v>
      </c>
      <c r="H578" s="1">
        <v>45491</v>
      </c>
      <c r="I578" s="1">
        <v>45521</v>
      </c>
      <c r="J578" t="s">
        <v>38</v>
      </c>
      <c r="K578" s="8">
        <f>Table2[[#This Row],[CurrentStock]]*Table2[[#This Row],[UnitPrice]]</f>
        <v>34829.74</v>
      </c>
      <c r="L578" t="str">
        <f>IF(Table2[[#This Row],[CurrentStock]]&lt;=Table2[[#This Row],[ReorderLevel]], "Reorder Needed", "Okay")</f>
        <v>Okay</v>
      </c>
      <c r="M578" t="str">
        <f>IF(Table2[[#This Row],[CurrentStock]]-Table2[[#This Row],[ReorderLevel]]&lt;0,Table2[[#This Row],[CurrentStock]]-Table2[[#This Row],[ReorderLevel]],"")</f>
        <v/>
      </c>
      <c r="N578" t="str">
        <f>IF(Table2[[#This Row],[Stock Gap]]&lt;0, "Understock","Okay")</f>
        <v>Okay</v>
      </c>
      <c r="O578" s="13" t="str">
        <f>IF(Table2[[#This Row],[Stock Gap]]&lt;0, "Yes", "No")</f>
        <v>No</v>
      </c>
      <c r="P578" s="13" t="str">
        <f>IF(Table2[[#This Row],[CurrentStock]]&lt;Table2[[#This Row],[ReorderLevel]],"Reorder", "Okay")</f>
        <v>Okay</v>
      </c>
      <c r="Q578" s="13" t="str">
        <f>IF(Table2[[#This Row],[CurrentStock]]&gt;Table2[[#This Row],[ReorderLevel]]*3, "Overstock", "Okay")</f>
        <v>Overstock</v>
      </c>
    </row>
    <row r="579" spans="1:17" x14ac:dyDescent="0.35">
      <c r="A579">
        <v>64478</v>
      </c>
      <c r="B579" t="s">
        <v>19</v>
      </c>
      <c r="C579" t="s">
        <v>28</v>
      </c>
      <c r="D579">
        <v>411</v>
      </c>
      <c r="E579">
        <v>20</v>
      </c>
      <c r="F579" s="2">
        <v>47.59</v>
      </c>
      <c r="G579" t="s">
        <v>31</v>
      </c>
      <c r="H579" s="1">
        <v>45502</v>
      </c>
      <c r="I579" s="1">
        <v>45518</v>
      </c>
      <c r="J579" t="s">
        <v>38</v>
      </c>
      <c r="K579" s="8">
        <f>Table2[[#This Row],[CurrentStock]]*Table2[[#This Row],[UnitPrice]]</f>
        <v>19559.490000000002</v>
      </c>
      <c r="L579" t="str">
        <f>IF(Table2[[#This Row],[CurrentStock]]&lt;=Table2[[#This Row],[ReorderLevel]], "Reorder Needed", "Okay")</f>
        <v>Okay</v>
      </c>
      <c r="M579" t="str">
        <f>IF(Table2[[#This Row],[CurrentStock]]-Table2[[#This Row],[ReorderLevel]]&lt;0,Table2[[#This Row],[CurrentStock]]-Table2[[#This Row],[ReorderLevel]],"")</f>
        <v/>
      </c>
      <c r="N579" t="str">
        <f>IF(Table2[[#This Row],[Stock Gap]]&lt;0, "Understock","Okay")</f>
        <v>Okay</v>
      </c>
      <c r="O579" s="13" t="str">
        <f>IF(Table2[[#This Row],[Stock Gap]]&lt;0, "Yes", "No")</f>
        <v>No</v>
      </c>
      <c r="P579" s="13" t="str">
        <f>IF(Table2[[#This Row],[CurrentStock]]&lt;Table2[[#This Row],[ReorderLevel]],"Reorder", "Okay")</f>
        <v>Okay</v>
      </c>
      <c r="Q579" s="13" t="str">
        <f>IF(Table2[[#This Row],[CurrentStock]]&gt;Table2[[#This Row],[ReorderLevel]]*3, "Overstock", "Okay")</f>
        <v>Overstock</v>
      </c>
    </row>
    <row r="580" spans="1:17" x14ac:dyDescent="0.35">
      <c r="A580">
        <v>14837</v>
      </c>
      <c r="B580" t="s">
        <v>24</v>
      </c>
      <c r="C580" t="s">
        <v>30</v>
      </c>
      <c r="D580">
        <v>10</v>
      </c>
      <c r="E580">
        <v>100</v>
      </c>
      <c r="F580" s="2">
        <v>263.99</v>
      </c>
      <c r="G580" t="s">
        <v>34</v>
      </c>
      <c r="H580" s="1">
        <v>45566</v>
      </c>
      <c r="I580" s="1">
        <v>45576</v>
      </c>
      <c r="J580" t="s">
        <v>38</v>
      </c>
      <c r="K580" s="8">
        <f>Table2[[#This Row],[CurrentStock]]*Table2[[#This Row],[UnitPrice]]</f>
        <v>2639.9</v>
      </c>
      <c r="L580" t="str">
        <f>IF(Table2[[#This Row],[CurrentStock]]&lt;=Table2[[#This Row],[ReorderLevel]], "Reorder Needed", "Okay")</f>
        <v>Reorder Needed</v>
      </c>
      <c r="M580" s="7">
        <f>IF(Table2[[#This Row],[CurrentStock]]-Table2[[#This Row],[ReorderLevel]]&lt;0,Table2[[#This Row],[CurrentStock]]-Table2[[#This Row],[ReorderLevel]],"")</f>
        <v>-90</v>
      </c>
      <c r="N580" t="str">
        <f>IF(Table2[[#This Row],[Stock Gap]]&lt;0, "Understock","Okay")</f>
        <v>Understock</v>
      </c>
      <c r="O580" s="13" t="str">
        <f>IF(Table2[[#This Row],[Stock Gap]]&lt;0, "Yes", "No")</f>
        <v>Yes</v>
      </c>
      <c r="P580" s="13" t="str">
        <f>IF(Table2[[#This Row],[CurrentStock]]&lt;Table2[[#This Row],[ReorderLevel]],"Reorder", "Okay")</f>
        <v>Reorder</v>
      </c>
      <c r="Q580" s="13" t="str">
        <f>IF(Table2[[#This Row],[CurrentStock]]&gt;Table2[[#This Row],[ReorderLevel]]*3, "Overstock", "Okay")</f>
        <v>Okay</v>
      </c>
    </row>
    <row r="581" spans="1:17" x14ac:dyDescent="0.35">
      <c r="A581">
        <v>98422</v>
      </c>
      <c r="B581" t="s">
        <v>9</v>
      </c>
      <c r="C581" t="s">
        <v>26</v>
      </c>
      <c r="D581">
        <v>354</v>
      </c>
      <c r="E581">
        <v>40</v>
      </c>
      <c r="F581" s="2">
        <v>72.17</v>
      </c>
      <c r="G581" t="s">
        <v>35</v>
      </c>
      <c r="H581" s="1">
        <v>45554</v>
      </c>
      <c r="I581" s="1">
        <v>45569</v>
      </c>
      <c r="J581" t="s">
        <v>36</v>
      </c>
      <c r="K581" s="8">
        <f>Table2[[#This Row],[CurrentStock]]*Table2[[#This Row],[UnitPrice]]</f>
        <v>25548.18</v>
      </c>
      <c r="L581" t="str">
        <f>IF(Table2[[#This Row],[CurrentStock]]&lt;=Table2[[#This Row],[ReorderLevel]], "Reorder Needed", "Okay")</f>
        <v>Okay</v>
      </c>
      <c r="M581" t="str">
        <f>IF(Table2[[#This Row],[CurrentStock]]-Table2[[#This Row],[ReorderLevel]]&lt;0,Table2[[#This Row],[CurrentStock]]-Table2[[#This Row],[ReorderLevel]],"")</f>
        <v/>
      </c>
      <c r="N581" t="str">
        <f>IF(Table2[[#This Row],[Stock Gap]]&lt;0, "Understock","Okay")</f>
        <v>Okay</v>
      </c>
      <c r="O581" s="13" t="str">
        <f>IF(Table2[[#This Row],[Stock Gap]]&lt;0, "Yes", "No")</f>
        <v>No</v>
      </c>
      <c r="P581" s="13" t="str">
        <f>IF(Table2[[#This Row],[CurrentStock]]&lt;Table2[[#This Row],[ReorderLevel]],"Reorder", "Okay")</f>
        <v>Okay</v>
      </c>
      <c r="Q581" s="13" t="str">
        <f>IF(Table2[[#This Row],[CurrentStock]]&gt;Table2[[#This Row],[ReorderLevel]]*3, "Overstock", "Okay")</f>
        <v>Overstock</v>
      </c>
    </row>
    <row r="582" spans="1:17" x14ac:dyDescent="0.35">
      <c r="A582">
        <v>31199</v>
      </c>
      <c r="B582" t="s">
        <v>13</v>
      </c>
      <c r="C582" t="s">
        <v>26</v>
      </c>
      <c r="D582">
        <v>357</v>
      </c>
      <c r="E582">
        <v>100</v>
      </c>
      <c r="F582" s="2">
        <v>171.96</v>
      </c>
      <c r="G582" t="s">
        <v>34</v>
      </c>
      <c r="H582" s="1">
        <v>45342</v>
      </c>
      <c r="I582" s="1">
        <v>45370</v>
      </c>
      <c r="J582" t="s">
        <v>36</v>
      </c>
      <c r="K582" s="8">
        <f>Table2[[#This Row],[CurrentStock]]*Table2[[#This Row],[UnitPrice]]</f>
        <v>61389.72</v>
      </c>
      <c r="L582" t="str">
        <f>IF(Table2[[#This Row],[CurrentStock]]&lt;=Table2[[#This Row],[ReorderLevel]], "Reorder Needed", "Okay")</f>
        <v>Okay</v>
      </c>
      <c r="M582" t="str">
        <f>IF(Table2[[#This Row],[CurrentStock]]-Table2[[#This Row],[ReorderLevel]]&lt;0,Table2[[#This Row],[CurrentStock]]-Table2[[#This Row],[ReorderLevel]],"")</f>
        <v/>
      </c>
      <c r="N582" t="str">
        <f>IF(Table2[[#This Row],[Stock Gap]]&lt;0, "Understock","Okay")</f>
        <v>Okay</v>
      </c>
      <c r="O582" s="13" t="str">
        <f>IF(Table2[[#This Row],[Stock Gap]]&lt;0, "Yes", "No")</f>
        <v>No</v>
      </c>
      <c r="P582" s="13" t="str">
        <f>IF(Table2[[#This Row],[CurrentStock]]&lt;Table2[[#This Row],[ReorderLevel]],"Reorder", "Okay")</f>
        <v>Okay</v>
      </c>
      <c r="Q582" s="13" t="str">
        <f>IF(Table2[[#This Row],[CurrentStock]]&gt;Table2[[#This Row],[ReorderLevel]]*3, "Overstock", "Okay")</f>
        <v>Overstock</v>
      </c>
    </row>
    <row r="583" spans="1:17" x14ac:dyDescent="0.35">
      <c r="A583">
        <v>19290</v>
      </c>
      <c r="B583" t="s">
        <v>17</v>
      </c>
      <c r="C583" t="s">
        <v>27</v>
      </c>
      <c r="D583">
        <v>117</v>
      </c>
      <c r="E583">
        <v>100</v>
      </c>
      <c r="F583" s="2">
        <v>169.02</v>
      </c>
      <c r="G583" t="s">
        <v>34</v>
      </c>
      <c r="H583" s="1">
        <v>45409</v>
      </c>
      <c r="I583" s="1">
        <v>45417</v>
      </c>
      <c r="J583" t="s">
        <v>37</v>
      </c>
      <c r="K583" s="8">
        <f>Table2[[#This Row],[CurrentStock]]*Table2[[#This Row],[UnitPrice]]</f>
        <v>19775.34</v>
      </c>
      <c r="L583" t="str">
        <f>IF(Table2[[#This Row],[CurrentStock]]&lt;=Table2[[#This Row],[ReorderLevel]], "Reorder Needed", "Okay")</f>
        <v>Okay</v>
      </c>
      <c r="M583" t="str">
        <f>IF(Table2[[#This Row],[CurrentStock]]-Table2[[#This Row],[ReorderLevel]]&lt;0,Table2[[#This Row],[CurrentStock]]-Table2[[#This Row],[ReorderLevel]],"")</f>
        <v/>
      </c>
      <c r="N583" t="str">
        <f>IF(Table2[[#This Row],[Stock Gap]]&lt;0, "Understock","Okay")</f>
        <v>Okay</v>
      </c>
      <c r="O583" s="13" t="str">
        <f>IF(Table2[[#This Row],[Stock Gap]]&lt;0, "Yes", "No")</f>
        <v>No</v>
      </c>
      <c r="P583" s="13" t="str">
        <f>IF(Table2[[#This Row],[CurrentStock]]&lt;Table2[[#This Row],[ReorderLevel]],"Reorder", "Okay")</f>
        <v>Okay</v>
      </c>
      <c r="Q583" s="13" t="str">
        <f>IF(Table2[[#This Row],[CurrentStock]]&gt;Table2[[#This Row],[ReorderLevel]]*3, "Overstock", "Okay")</f>
        <v>Okay</v>
      </c>
    </row>
    <row r="584" spans="1:17" x14ac:dyDescent="0.35">
      <c r="A584">
        <v>92666</v>
      </c>
      <c r="B584" t="s">
        <v>24</v>
      </c>
      <c r="C584" t="s">
        <v>30</v>
      </c>
      <c r="D584">
        <v>347</v>
      </c>
      <c r="E584">
        <v>100</v>
      </c>
      <c r="F584" s="2">
        <v>277.48</v>
      </c>
      <c r="G584" t="s">
        <v>34</v>
      </c>
      <c r="H584" s="1">
        <v>45570</v>
      </c>
      <c r="I584" s="1">
        <v>45602</v>
      </c>
      <c r="J584" t="s">
        <v>38</v>
      </c>
      <c r="K584" s="8">
        <f>Table2[[#This Row],[CurrentStock]]*Table2[[#This Row],[UnitPrice]]</f>
        <v>96285.560000000012</v>
      </c>
      <c r="L584" t="str">
        <f>IF(Table2[[#This Row],[CurrentStock]]&lt;=Table2[[#This Row],[ReorderLevel]], "Reorder Needed", "Okay")</f>
        <v>Okay</v>
      </c>
      <c r="M584" t="str">
        <f>IF(Table2[[#This Row],[CurrentStock]]-Table2[[#This Row],[ReorderLevel]]&lt;0,Table2[[#This Row],[CurrentStock]]-Table2[[#This Row],[ReorderLevel]],"")</f>
        <v/>
      </c>
      <c r="N584" t="str">
        <f>IF(Table2[[#This Row],[Stock Gap]]&lt;0, "Understock","Okay")</f>
        <v>Okay</v>
      </c>
      <c r="O584" s="13" t="str">
        <f>IF(Table2[[#This Row],[Stock Gap]]&lt;0, "Yes", "No")</f>
        <v>No</v>
      </c>
      <c r="P584" s="13" t="str">
        <f>IF(Table2[[#This Row],[CurrentStock]]&lt;Table2[[#This Row],[ReorderLevel]],"Reorder", "Okay")</f>
        <v>Okay</v>
      </c>
      <c r="Q584" s="13" t="str">
        <f>IF(Table2[[#This Row],[CurrentStock]]&gt;Table2[[#This Row],[ReorderLevel]]*3, "Overstock", "Okay")</f>
        <v>Overstock</v>
      </c>
    </row>
    <row r="585" spans="1:17" x14ac:dyDescent="0.35">
      <c r="A585">
        <v>46386</v>
      </c>
      <c r="B585" t="s">
        <v>11</v>
      </c>
      <c r="C585" t="s">
        <v>27</v>
      </c>
      <c r="D585">
        <v>28</v>
      </c>
      <c r="E585">
        <v>40</v>
      </c>
      <c r="F585" s="2">
        <v>42.98</v>
      </c>
      <c r="G585" t="s">
        <v>33</v>
      </c>
      <c r="H585" s="1">
        <v>45561</v>
      </c>
      <c r="I585" s="1">
        <v>45579</v>
      </c>
      <c r="J585" t="s">
        <v>36</v>
      </c>
      <c r="K585" s="8">
        <f>Table2[[#This Row],[CurrentStock]]*Table2[[#This Row],[UnitPrice]]</f>
        <v>1203.4399999999998</v>
      </c>
      <c r="L585" t="str">
        <f>IF(Table2[[#This Row],[CurrentStock]]&lt;=Table2[[#This Row],[ReorderLevel]], "Reorder Needed", "Okay")</f>
        <v>Reorder Needed</v>
      </c>
      <c r="M585" s="7">
        <f>IF(Table2[[#This Row],[CurrentStock]]-Table2[[#This Row],[ReorderLevel]]&lt;0,Table2[[#This Row],[CurrentStock]]-Table2[[#This Row],[ReorderLevel]],"")</f>
        <v>-12</v>
      </c>
      <c r="N585" t="str">
        <f>IF(Table2[[#This Row],[Stock Gap]]&lt;0, "Understock","Okay")</f>
        <v>Understock</v>
      </c>
      <c r="O585" s="13" t="str">
        <f>IF(Table2[[#This Row],[Stock Gap]]&lt;0, "Yes", "No")</f>
        <v>Yes</v>
      </c>
      <c r="P585" s="13" t="str">
        <f>IF(Table2[[#This Row],[CurrentStock]]&lt;Table2[[#This Row],[ReorderLevel]],"Reorder", "Okay")</f>
        <v>Reorder</v>
      </c>
      <c r="Q585" s="13" t="str">
        <f>IF(Table2[[#This Row],[CurrentStock]]&gt;Table2[[#This Row],[ReorderLevel]]*3, "Overstock", "Okay")</f>
        <v>Okay</v>
      </c>
    </row>
    <row r="586" spans="1:17" x14ac:dyDescent="0.35">
      <c r="A586">
        <v>10946</v>
      </c>
      <c r="B586" t="s">
        <v>14</v>
      </c>
      <c r="C586" t="s">
        <v>28</v>
      </c>
      <c r="D586">
        <v>413</v>
      </c>
      <c r="E586">
        <v>50</v>
      </c>
      <c r="F586" s="2">
        <v>203.35</v>
      </c>
      <c r="G586" t="s">
        <v>32</v>
      </c>
      <c r="H586" s="1">
        <v>45370</v>
      </c>
      <c r="I586" s="1">
        <v>45399</v>
      </c>
      <c r="J586" t="s">
        <v>37</v>
      </c>
      <c r="K586" s="8">
        <f>Table2[[#This Row],[CurrentStock]]*Table2[[#This Row],[UnitPrice]]</f>
        <v>83983.55</v>
      </c>
      <c r="L586" t="str">
        <f>IF(Table2[[#This Row],[CurrentStock]]&lt;=Table2[[#This Row],[ReorderLevel]], "Reorder Needed", "Okay")</f>
        <v>Okay</v>
      </c>
      <c r="M586" t="str">
        <f>IF(Table2[[#This Row],[CurrentStock]]-Table2[[#This Row],[ReorderLevel]]&lt;0,Table2[[#This Row],[CurrentStock]]-Table2[[#This Row],[ReorderLevel]],"")</f>
        <v/>
      </c>
      <c r="N586" t="str">
        <f>IF(Table2[[#This Row],[Stock Gap]]&lt;0, "Understock","Okay")</f>
        <v>Okay</v>
      </c>
      <c r="O586" s="13" t="str">
        <f>IF(Table2[[#This Row],[Stock Gap]]&lt;0, "Yes", "No")</f>
        <v>No</v>
      </c>
      <c r="P586" s="13" t="str">
        <f>IF(Table2[[#This Row],[CurrentStock]]&lt;Table2[[#This Row],[ReorderLevel]],"Reorder", "Okay")</f>
        <v>Okay</v>
      </c>
      <c r="Q586" s="13" t="str">
        <f>IF(Table2[[#This Row],[CurrentStock]]&gt;Table2[[#This Row],[ReorderLevel]]*3, "Overstock", "Okay")</f>
        <v>Overstock</v>
      </c>
    </row>
    <row r="587" spans="1:17" x14ac:dyDescent="0.35">
      <c r="A587">
        <v>65512</v>
      </c>
      <c r="B587" t="s">
        <v>16</v>
      </c>
      <c r="C587" t="s">
        <v>29</v>
      </c>
      <c r="D587">
        <v>245</v>
      </c>
      <c r="E587">
        <v>50</v>
      </c>
      <c r="F587" s="2">
        <v>201.49</v>
      </c>
      <c r="G587" t="s">
        <v>32</v>
      </c>
      <c r="H587" s="1">
        <v>45611</v>
      </c>
      <c r="I587" s="1">
        <v>45638</v>
      </c>
      <c r="J587" t="s">
        <v>37</v>
      </c>
      <c r="K587" s="8">
        <f>Table2[[#This Row],[CurrentStock]]*Table2[[#This Row],[UnitPrice]]</f>
        <v>49365.05</v>
      </c>
      <c r="L587" t="str">
        <f>IF(Table2[[#This Row],[CurrentStock]]&lt;=Table2[[#This Row],[ReorderLevel]], "Reorder Needed", "Okay")</f>
        <v>Okay</v>
      </c>
      <c r="M587" t="str">
        <f>IF(Table2[[#This Row],[CurrentStock]]-Table2[[#This Row],[ReorderLevel]]&lt;0,Table2[[#This Row],[CurrentStock]]-Table2[[#This Row],[ReorderLevel]],"")</f>
        <v/>
      </c>
      <c r="N587" t="str">
        <f>IF(Table2[[#This Row],[Stock Gap]]&lt;0, "Understock","Okay")</f>
        <v>Okay</v>
      </c>
      <c r="O587" s="13" t="str">
        <f>IF(Table2[[#This Row],[Stock Gap]]&lt;0, "Yes", "No")</f>
        <v>No</v>
      </c>
      <c r="P587" s="13" t="str">
        <f>IF(Table2[[#This Row],[CurrentStock]]&lt;Table2[[#This Row],[ReorderLevel]],"Reorder", "Okay")</f>
        <v>Okay</v>
      </c>
      <c r="Q587" s="13" t="str">
        <f>IF(Table2[[#This Row],[CurrentStock]]&gt;Table2[[#This Row],[ReorderLevel]]*3, "Overstock", "Okay")</f>
        <v>Overstock</v>
      </c>
    </row>
    <row r="588" spans="1:17" x14ac:dyDescent="0.35">
      <c r="A588">
        <v>55875</v>
      </c>
      <c r="B588" t="s">
        <v>11</v>
      </c>
      <c r="C588" t="s">
        <v>27</v>
      </c>
      <c r="D588">
        <v>496</v>
      </c>
      <c r="E588">
        <v>20</v>
      </c>
      <c r="F588" s="2">
        <v>94.36</v>
      </c>
      <c r="G588" t="s">
        <v>34</v>
      </c>
      <c r="H588" s="1">
        <v>45597</v>
      </c>
      <c r="I588" s="1">
        <v>45628</v>
      </c>
      <c r="J588" t="s">
        <v>36</v>
      </c>
      <c r="K588" s="8">
        <f>Table2[[#This Row],[CurrentStock]]*Table2[[#This Row],[UnitPrice]]</f>
        <v>46802.559999999998</v>
      </c>
      <c r="L588" t="str">
        <f>IF(Table2[[#This Row],[CurrentStock]]&lt;=Table2[[#This Row],[ReorderLevel]], "Reorder Needed", "Okay")</f>
        <v>Okay</v>
      </c>
      <c r="M588" t="str">
        <f>IF(Table2[[#This Row],[CurrentStock]]-Table2[[#This Row],[ReorderLevel]]&lt;0,Table2[[#This Row],[CurrentStock]]-Table2[[#This Row],[ReorderLevel]],"")</f>
        <v/>
      </c>
      <c r="N588" t="str">
        <f>IF(Table2[[#This Row],[Stock Gap]]&lt;0, "Understock","Okay")</f>
        <v>Okay</v>
      </c>
      <c r="O588" s="13" t="str">
        <f>IF(Table2[[#This Row],[Stock Gap]]&lt;0, "Yes", "No")</f>
        <v>No</v>
      </c>
      <c r="P588" s="13" t="str">
        <f>IF(Table2[[#This Row],[CurrentStock]]&lt;Table2[[#This Row],[ReorderLevel]],"Reorder", "Okay")</f>
        <v>Okay</v>
      </c>
      <c r="Q588" s="13" t="str">
        <f>IF(Table2[[#This Row],[CurrentStock]]&gt;Table2[[#This Row],[ReorderLevel]]*3, "Overstock", "Okay")</f>
        <v>Overstock</v>
      </c>
    </row>
    <row r="589" spans="1:17" x14ac:dyDescent="0.35">
      <c r="A589">
        <v>60435</v>
      </c>
      <c r="B589" t="s">
        <v>9</v>
      </c>
      <c r="C589" t="s">
        <v>26</v>
      </c>
      <c r="D589">
        <v>187</v>
      </c>
      <c r="E589">
        <v>30</v>
      </c>
      <c r="F589" s="2">
        <v>23.85</v>
      </c>
      <c r="G589" t="s">
        <v>34</v>
      </c>
      <c r="H589" s="1">
        <v>45423</v>
      </c>
      <c r="I589" s="1">
        <v>45453</v>
      </c>
      <c r="J589" t="s">
        <v>37</v>
      </c>
      <c r="K589" s="8">
        <f>Table2[[#This Row],[CurrentStock]]*Table2[[#This Row],[UnitPrice]]</f>
        <v>4459.95</v>
      </c>
      <c r="L589" t="str">
        <f>IF(Table2[[#This Row],[CurrentStock]]&lt;=Table2[[#This Row],[ReorderLevel]], "Reorder Needed", "Okay")</f>
        <v>Okay</v>
      </c>
      <c r="M589" t="str">
        <f>IF(Table2[[#This Row],[CurrentStock]]-Table2[[#This Row],[ReorderLevel]]&lt;0,Table2[[#This Row],[CurrentStock]]-Table2[[#This Row],[ReorderLevel]],"")</f>
        <v/>
      </c>
      <c r="N589" t="str">
        <f>IF(Table2[[#This Row],[Stock Gap]]&lt;0, "Understock","Okay")</f>
        <v>Okay</v>
      </c>
      <c r="O589" s="13" t="str">
        <f>IF(Table2[[#This Row],[Stock Gap]]&lt;0, "Yes", "No")</f>
        <v>No</v>
      </c>
      <c r="P589" s="13" t="str">
        <f>IF(Table2[[#This Row],[CurrentStock]]&lt;Table2[[#This Row],[ReorderLevel]],"Reorder", "Okay")</f>
        <v>Okay</v>
      </c>
      <c r="Q589" s="13" t="str">
        <f>IF(Table2[[#This Row],[CurrentStock]]&gt;Table2[[#This Row],[ReorderLevel]]*3, "Overstock", "Okay")</f>
        <v>Overstock</v>
      </c>
    </row>
    <row r="590" spans="1:17" x14ac:dyDescent="0.35">
      <c r="A590">
        <v>71816</v>
      </c>
      <c r="B590" t="s">
        <v>23</v>
      </c>
      <c r="C590" t="s">
        <v>30</v>
      </c>
      <c r="D590">
        <v>188</v>
      </c>
      <c r="E590">
        <v>40</v>
      </c>
      <c r="F590" s="2">
        <v>62.66</v>
      </c>
      <c r="G590" t="s">
        <v>32</v>
      </c>
      <c r="H590" s="1">
        <v>45583</v>
      </c>
      <c r="I590" s="1">
        <v>45614</v>
      </c>
      <c r="J590" t="s">
        <v>36</v>
      </c>
      <c r="K590" s="8">
        <f>Table2[[#This Row],[CurrentStock]]*Table2[[#This Row],[UnitPrice]]</f>
        <v>11780.08</v>
      </c>
      <c r="L590" t="str">
        <f>IF(Table2[[#This Row],[CurrentStock]]&lt;=Table2[[#This Row],[ReorderLevel]], "Reorder Needed", "Okay")</f>
        <v>Okay</v>
      </c>
      <c r="M590" t="str">
        <f>IF(Table2[[#This Row],[CurrentStock]]-Table2[[#This Row],[ReorderLevel]]&lt;0,Table2[[#This Row],[CurrentStock]]-Table2[[#This Row],[ReorderLevel]],"")</f>
        <v/>
      </c>
      <c r="N590" t="str">
        <f>IF(Table2[[#This Row],[Stock Gap]]&lt;0, "Understock","Okay")</f>
        <v>Okay</v>
      </c>
      <c r="O590" s="13" t="str">
        <f>IF(Table2[[#This Row],[Stock Gap]]&lt;0, "Yes", "No")</f>
        <v>No</v>
      </c>
      <c r="P590" s="13" t="str">
        <f>IF(Table2[[#This Row],[CurrentStock]]&lt;Table2[[#This Row],[ReorderLevel]],"Reorder", "Okay")</f>
        <v>Okay</v>
      </c>
      <c r="Q590" s="13" t="str">
        <f>IF(Table2[[#This Row],[CurrentStock]]&gt;Table2[[#This Row],[ReorderLevel]]*3, "Overstock", "Okay")</f>
        <v>Overstock</v>
      </c>
    </row>
    <row r="591" spans="1:17" x14ac:dyDescent="0.35">
      <c r="A591">
        <v>34495</v>
      </c>
      <c r="B591" t="s">
        <v>12</v>
      </c>
      <c r="C591" t="s">
        <v>28</v>
      </c>
      <c r="D591">
        <v>250</v>
      </c>
      <c r="E591">
        <v>40</v>
      </c>
      <c r="F591" s="2">
        <v>188.92</v>
      </c>
      <c r="G591" t="s">
        <v>34</v>
      </c>
      <c r="H591" s="1">
        <v>45308</v>
      </c>
      <c r="I591" s="1">
        <v>45338</v>
      </c>
      <c r="J591" t="s">
        <v>38</v>
      </c>
      <c r="K591" s="8">
        <f>Table2[[#This Row],[CurrentStock]]*Table2[[#This Row],[UnitPrice]]</f>
        <v>47230</v>
      </c>
      <c r="L591" t="str">
        <f>IF(Table2[[#This Row],[CurrentStock]]&lt;=Table2[[#This Row],[ReorderLevel]], "Reorder Needed", "Okay")</f>
        <v>Okay</v>
      </c>
      <c r="M591" t="str">
        <f>IF(Table2[[#This Row],[CurrentStock]]-Table2[[#This Row],[ReorderLevel]]&lt;0,Table2[[#This Row],[CurrentStock]]-Table2[[#This Row],[ReorderLevel]],"")</f>
        <v/>
      </c>
      <c r="N591" t="str">
        <f>IF(Table2[[#This Row],[Stock Gap]]&lt;0, "Understock","Okay")</f>
        <v>Okay</v>
      </c>
      <c r="O591" s="13" t="str">
        <f>IF(Table2[[#This Row],[Stock Gap]]&lt;0, "Yes", "No")</f>
        <v>No</v>
      </c>
      <c r="P591" s="13" t="str">
        <f>IF(Table2[[#This Row],[CurrentStock]]&lt;Table2[[#This Row],[ReorderLevel]],"Reorder", "Okay")</f>
        <v>Okay</v>
      </c>
      <c r="Q591" s="13" t="str">
        <f>IF(Table2[[#This Row],[CurrentStock]]&gt;Table2[[#This Row],[ReorderLevel]]*3, "Overstock", "Okay")</f>
        <v>Overstock</v>
      </c>
    </row>
    <row r="592" spans="1:17" x14ac:dyDescent="0.35">
      <c r="A592">
        <v>10692</v>
      </c>
      <c r="B592" t="s">
        <v>14</v>
      </c>
      <c r="C592" t="s">
        <v>28</v>
      </c>
      <c r="D592">
        <v>107</v>
      </c>
      <c r="E592">
        <v>50</v>
      </c>
      <c r="F592" s="2">
        <v>415.18</v>
      </c>
      <c r="G592" t="s">
        <v>35</v>
      </c>
      <c r="H592" s="1">
        <v>45309</v>
      </c>
      <c r="I592" s="1">
        <v>45339</v>
      </c>
      <c r="J592" t="s">
        <v>36</v>
      </c>
      <c r="K592" s="8">
        <f>Table2[[#This Row],[CurrentStock]]*Table2[[#This Row],[UnitPrice]]</f>
        <v>44424.26</v>
      </c>
      <c r="L592" t="str">
        <f>IF(Table2[[#This Row],[CurrentStock]]&lt;=Table2[[#This Row],[ReorderLevel]], "Reorder Needed", "Okay")</f>
        <v>Okay</v>
      </c>
      <c r="M592" t="str">
        <f>IF(Table2[[#This Row],[CurrentStock]]-Table2[[#This Row],[ReorderLevel]]&lt;0,Table2[[#This Row],[CurrentStock]]-Table2[[#This Row],[ReorderLevel]],"")</f>
        <v/>
      </c>
      <c r="N592" t="str">
        <f>IF(Table2[[#This Row],[Stock Gap]]&lt;0, "Understock","Okay")</f>
        <v>Okay</v>
      </c>
      <c r="O592" s="13" t="str">
        <f>IF(Table2[[#This Row],[Stock Gap]]&lt;0, "Yes", "No")</f>
        <v>No</v>
      </c>
      <c r="P592" s="13" t="str">
        <f>IF(Table2[[#This Row],[CurrentStock]]&lt;Table2[[#This Row],[ReorderLevel]],"Reorder", "Okay")</f>
        <v>Okay</v>
      </c>
      <c r="Q592" s="13" t="str">
        <f>IF(Table2[[#This Row],[CurrentStock]]&gt;Table2[[#This Row],[ReorderLevel]]*3, "Overstock", "Okay")</f>
        <v>Okay</v>
      </c>
    </row>
    <row r="593" spans="1:17" x14ac:dyDescent="0.35">
      <c r="A593">
        <v>87463</v>
      </c>
      <c r="B593" t="s">
        <v>20</v>
      </c>
      <c r="C593" t="s">
        <v>30</v>
      </c>
      <c r="D593">
        <v>86</v>
      </c>
      <c r="E593">
        <v>30</v>
      </c>
      <c r="F593" s="2">
        <v>92.69</v>
      </c>
      <c r="G593" t="s">
        <v>31</v>
      </c>
      <c r="H593" s="1">
        <v>45361</v>
      </c>
      <c r="I593" s="1">
        <v>45373</v>
      </c>
      <c r="J593" t="s">
        <v>36</v>
      </c>
      <c r="K593" s="8">
        <f>Table2[[#This Row],[CurrentStock]]*Table2[[#This Row],[UnitPrice]]</f>
        <v>7971.34</v>
      </c>
      <c r="L593" t="str">
        <f>IF(Table2[[#This Row],[CurrentStock]]&lt;=Table2[[#This Row],[ReorderLevel]], "Reorder Needed", "Okay")</f>
        <v>Okay</v>
      </c>
      <c r="M593" t="str">
        <f>IF(Table2[[#This Row],[CurrentStock]]-Table2[[#This Row],[ReorderLevel]]&lt;0,Table2[[#This Row],[CurrentStock]]-Table2[[#This Row],[ReorderLevel]],"")</f>
        <v/>
      </c>
      <c r="N593" t="str">
        <f>IF(Table2[[#This Row],[Stock Gap]]&lt;0, "Understock","Okay")</f>
        <v>Okay</v>
      </c>
      <c r="O593" s="13" t="str">
        <f>IF(Table2[[#This Row],[Stock Gap]]&lt;0, "Yes", "No")</f>
        <v>No</v>
      </c>
      <c r="P593" s="13" t="str">
        <f>IF(Table2[[#This Row],[CurrentStock]]&lt;Table2[[#This Row],[ReorderLevel]],"Reorder", "Okay")</f>
        <v>Okay</v>
      </c>
      <c r="Q593" s="13" t="str">
        <f>IF(Table2[[#This Row],[CurrentStock]]&gt;Table2[[#This Row],[ReorderLevel]]*3, "Overstock", "Okay")</f>
        <v>Okay</v>
      </c>
    </row>
    <row r="594" spans="1:17" x14ac:dyDescent="0.35">
      <c r="A594">
        <v>66548</v>
      </c>
      <c r="B594" t="s">
        <v>24</v>
      </c>
      <c r="C594" t="s">
        <v>30</v>
      </c>
      <c r="D594">
        <v>253</v>
      </c>
      <c r="E594">
        <v>80</v>
      </c>
      <c r="F594" s="2">
        <v>10.19</v>
      </c>
      <c r="G594" t="s">
        <v>33</v>
      </c>
      <c r="H594" s="1">
        <v>45324</v>
      </c>
      <c r="I594" s="1">
        <v>45338</v>
      </c>
      <c r="J594" t="s">
        <v>38</v>
      </c>
      <c r="K594" s="8">
        <f>Table2[[#This Row],[CurrentStock]]*Table2[[#This Row],[UnitPrice]]</f>
        <v>2578.0699999999997</v>
      </c>
      <c r="L594" t="str">
        <f>IF(Table2[[#This Row],[CurrentStock]]&lt;=Table2[[#This Row],[ReorderLevel]], "Reorder Needed", "Okay")</f>
        <v>Okay</v>
      </c>
      <c r="M594" t="str">
        <f>IF(Table2[[#This Row],[CurrentStock]]-Table2[[#This Row],[ReorderLevel]]&lt;0,Table2[[#This Row],[CurrentStock]]-Table2[[#This Row],[ReorderLevel]],"")</f>
        <v/>
      </c>
      <c r="N594" t="str">
        <f>IF(Table2[[#This Row],[Stock Gap]]&lt;0, "Understock","Okay")</f>
        <v>Okay</v>
      </c>
      <c r="O594" s="13" t="str">
        <f>IF(Table2[[#This Row],[Stock Gap]]&lt;0, "Yes", "No")</f>
        <v>No</v>
      </c>
      <c r="P594" s="13" t="str">
        <f>IF(Table2[[#This Row],[CurrentStock]]&lt;Table2[[#This Row],[ReorderLevel]],"Reorder", "Okay")</f>
        <v>Okay</v>
      </c>
      <c r="Q594" s="13" t="str">
        <f>IF(Table2[[#This Row],[CurrentStock]]&gt;Table2[[#This Row],[ReorderLevel]]*3, "Overstock", "Okay")</f>
        <v>Overstock</v>
      </c>
    </row>
    <row r="595" spans="1:17" x14ac:dyDescent="0.35">
      <c r="A595">
        <v>11184</v>
      </c>
      <c r="B595" t="s">
        <v>12</v>
      </c>
      <c r="C595" t="s">
        <v>28</v>
      </c>
      <c r="D595">
        <v>392</v>
      </c>
      <c r="E595">
        <v>100</v>
      </c>
      <c r="F595" s="2">
        <v>47.64</v>
      </c>
      <c r="G595" t="s">
        <v>31</v>
      </c>
      <c r="H595" s="1">
        <v>45538</v>
      </c>
      <c r="I595" s="1">
        <v>45571</v>
      </c>
      <c r="J595" t="s">
        <v>38</v>
      </c>
      <c r="K595" s="8">
        <f>Table2[[#This Row],[CurrentStock]]*Table2[[#This Row],[UnitPrice]]</f>
        <v>18674.88</v>
      </c>
      <c r="L595" t="str">
        <f>IF(Table2[[#This Row],[CurrentStock]]&lt;=Table2[[#This Row],[ReorderLevel]], "Reorder Needed", "Okay")</f>
        <v>Okay</v>
      </c>
      <c r="M595" t="str">
        <f>IF(Table2[[#This Row],[CurrentStock]]-Table2[[#This Row],[ReorderLevel]]&lt;0,Table2[[#This Row],[CurrentStock]]-Table2[[#This Row],[ReorderLevel]],"")</f>
        <v/>
      </c>
      <c r="N595" t="str">
        <f>IF(Table2[[#This Row],[Stock Gap]]&lt;0, "Understock","Okay")</f>
        <v>Okay</v>
      </c>
      <c r="O595" s="13" t="str">
        <f>IF(Table2[[#This Row],[Stock Gap]]&lt;0, "Yes", "No")</f>
        <v>No</v>
      </c>
      <c r="P595" s="13" t="str">
        <f>IF(Table2[[#This Row],[CurrentStock]]&lt;Table2[[#This Row],[ReorderLevel]],"Reorder", "Okay")</f>
        <v>Okay</v>
      </c>
      <c r="Q595" s="13" t="str">
        <f>IF(Table2[[#This Row],[CurrentStock]]&gt;Table2[[#This Row],[ReorderLevel]]*3, "Overstock", "Okay")</f>
        <v>Overstock</v>
      </c>
    </row>
    <row r="596" spans="1:17" x14ac:dyDescent="0.35">
      <c r="A596">
        <v>28690</v>
      </c>
      <c r="B596" t="s">
        <v>15</v>
      </c>
      <c r="C596" t="s">
        <v>29</v>
      </c>
      <c r="D596">
        <v>257</v>
      </c>
      <c r="E596">
        <v>50</v>
      </c>
      <c r="F596" s="2">
        <v>16.93</v>
      </c>
      <c r="G596" t="s">
        <v>31</v>
      </c>
      <c r="H596" s="1">
        <v>45463</v>
      </c>
      <c r="I596" s="1">
        <v>45485</v>
      </c>
      <c r="J596" t="s">
        <v>38</v>
      </c>
      <c r="K596" s="8">
        <f>Table2[[#This Row],[CurrentStock]]*Table2[[#This Row],[UnitPrice]]</f>
        <v>4351.01</v>
      </c>
      <c r="L596" t="str">
        <f>IF(Table2[[#This Row],[CurrentStock]]&lt;=Table2[[#This Row],[ReorderLevel]], "Reorder Needed", "Okay")</f>
        <v>Okay</v>
      </c>
      <c r="M596" t="str">
        <f>IF(Table2[[#This Row],[CurrentStock]]-Table2[[#This Row],[ReorderLevel]]&lt;0,Table2[[#This Row],[CurrentStock]]-Table2[[#This Row],[ReorderLevel]],"")</f>
        <v/>
      </c>
      <c r="N596" t="str">
        <f>IF(Table2[[#This Row],[Stock Gap]]&lt;0, "Understock","Okay")</f>
        <v>Okay</v>
      </c>
      <c r="O596" s="13" t="str">
        <f>IF(Table2[[#This Row],[Stock Gap]]&lt;0, "Yes", "No")</f>
        <v>No</v>
      </c>
      <c r="P596" s="13" t="str">
        <f>IF(Table2[[#This Row],[CurrentStock]]&lt;Table2[[#This Row],[ReorderLevel]],"Reorder", "Okay")</f>
        <v>Okay</v>
      </c>
      <c r="Q596" s="13" t="str">
        <f>IF(Table2[[#This Row],[CurrentStock]]&gt;Table2[[#This Row],[ReorderLevel]]*3, "Overstock", "Okay")</f>
        <v>Overstock</v>
      </c>
    </row>
    <row r="597" spans="1:17" x14ac:dyDescent="0.35">
      <c r="A597">
        <v>80211</v>
      </c>
      <c r="B597" t="s">
        <v>13</v>
      </c>
      <c r="C597" t="s">
        <v>26</v>
      </c>
      <c r="D597">
        <v>420</v>
      </c>
      <c r="E597">
        <v>30</v>
      </c>
      <c r="F597" s="2">
        <v>224.08</v>
      </c>
      <c r="G597" t="s">
        <v>31</v>
      </c>
      <c r="H597" s="1">
        <v>45386</v>
      </c>
      <c r="I597" s="1">
        <v>45401</v>
      </c>
      <c r="J597" t="s">
        <v>38</v>
      </c>
      <c r="K597" s="8">
        <f>Table2[[#This Row],[CurrentStock]]*Table2[[#This Row],[UnitPrice]]</f>
        <v>94113.600000000006</v>
      </c>
      <c r="L597" t="str">
        <f>IF(Table2[[#This Row],[CurrentStock]]&lt;=Table2[[#This Row],[ReorderLevel]], "Reorder Needed", "Okay")</f>
        <v>Okay</v>
      </c>
      <c r="M597" t="str">
        <f>IF(Table2[[#This Row],[CurrentStock]]-Table2[[#This Row],[ReorderLevel]]&lt;0,Table2[[#This Row],[CurrentStock]]-Table2[[#This Row],[ReorderLevel]],"")</f>
        <v/>
      </c>
      <c r="N597" t="str">
        <f>IF(Table2[[#This Row],[Stock Gap]]&lt;0, "Understock","Okay")</f>
        <v>Okay</v>
      </c>
      <c r="O597" s="13" t="str">
        <f>IF(Table2[[#This Row],[Stock Gap]]&lt;0, "Yes", "No")</f>
        <v>No</v>
      </c>
      <c r="P597" s="13" t="str">
        <f>IF(Table2[[#This Row],[CurrentStock]]&lt;Table2[[#This Row],[ReorderLevel]],"Reorder", "Okay")</f>
        <v>Okay</v>
      </c>
      <c r="Q597" s="13" t="str">
        <f>IF(Table2[[#This Row],[CurrentStock]]&gt;Table2[[#This Row],[ReorderLevel]]*3, "Overstock", "Okay")</f>
        <v>Overstock</v>
      </c>
    </row>
    <row r="598" spans="1:17" x14ac:dyDescent="0.35">
      <c r="A598">
        <v>62248</v>
      </c>
      <c r="B598" t="s">
        <v>9</v>
      </c>
      <c r="C598" t="s">
        <v>26</v>
      </c>
      <c r="D598">
        <v>97</v>
      </c>
      <c r="E598">
        <v>80</v>
      </c>
      <c r="F598" s="2">
        <v>38.71</v>
      </c>
      <c r="G598" t="s">
        <v>34</v>
      </c>
      <c r="H598" s="1">
        <v>45463</v>
      </c>
      <c r="I598" s="1">
        <v>45473</v>
      </c>
      <c r="J598" t="s">
        <v>36</v>
      </c>
      <c r="K598" s="8">
        <f>Table2[[#This Row],[CurrentStock]]*Table2[[#This Row],[UnitPrice]]</f>
        <v>3754.87</v>
      </c>
      <c r="L598" t="str">
        <f>IF(Table2[[#This Row],[CurrentStock]]&lt;=Table2[[#This Row],[ReorderLevel]], "Reorder Needed", "Okay")</f>
        <v>Okay</v>
      </c>
      <c r="M598" t="str">
        <f>IF(Table2[[#This Row],[CurrentStock]]-Table2[[#This Row],[ReorderLevel]]&lt;0,Table2[[#This Row],[CurrentStock]]-Table2[[#This Row],[ReorderLevel]],"")</f>
        <v/>
      </c>
      <c r="N598" t="str">
        <f>IF(Table2[[#This Row],[Stock Gap]]&lt;0, "Understock","Okay")</f>
        <v>Okay</v>
      </c>
      <c r="O598" s="13" t="str">
        <f>IF(Table2[[#This Row],[Stock Gap]]&lt;0, "Yes", "No")</f>
        <v>No</v>
      </c>
      <c r="P598" s="13" t="str">
        <f>IF(Table2[[#This Row],[CurrentStock]]&lt;Table2[[#This Row],[ReorderLevel]],"Reorder", "Okay")</f>
        <v>Okay</v>
      </c>
      <c r="Q598" s="13" t="str">
        <f>IF(Table2[[#This Row],[CurrentStock]]&gt;Table2[[#This Row],[ReorderLevel]]*3, "Overstock", "Okay")</f>
        <v>Okay</v>
      </c>
    </row>
    <row r="599" spans="1:17" x14ac:dyDescent="0.35">
      <c r="A599">
        <v>82095</v>
      </c>
      <c r="B599" t="s">
        <v>12</v>
      </c>
      <c r="C599" t="s">
        <v>28</v>
      </c>
      <c r="D599">
        <v>397</v>
      </c>
      <c r="E599">
        <v>150</v>
      </c>
      <c r="F599" s="2">
        <v>304.52</v>
      </c>
      <c r="G599" t="s">
        <v>35</v>
      </c>
      <c r="H599" s="1">
        <v>45511</v>
      </c>
      <c r="I599" s="1">
        <v>45524</v>
      </c>
      <c r="J599" t="s">
        <v>37</v>
      </c>
      <c r="K599" s="8">
        <f>Table2[[#This Row],[CurrentStock]]*Table2[[#This Row],[UnitPrice]]</f>
        <v>120894.43999999999</v>
      </c>
      <c r="L599" t="str">
        <f>IF(Table2[[#This Row],[CurrentStock]]&lt;=Table2[[#This Row],[ReorderLevel]], "Reorder Needed", "Okay")</f>
        <v>Okay</v>
      </c>
      <c r="M599" t="str">
        <f>IF(Table2[[#This Row],[CurrentStock]]-Table2[[#This Row],[ReorderLevel]]&lt;0,Table2[[#This Row],[CurrentStock]]-Table2[[#This Row],[ReorderLevel]],"")</f>
        <v/>
      </c>
      <c r="N599" t="str">
        <f>IF(Table2[[#This Row],[Stock Gap]]&lt;0, "Understock","Okay")</f>
        <v>Okay</v>
      </c>
      <c r="O599" s="13" t="str">
        <f>IF(Table2[[#This Row],[Stock Gap]]&lt;0, "Yes", "No")</f>
        <v>No</v>
      </c>
      <c r="P599" s="13" t="str">
        <f>IF(Table2[[#This Row],[CurrentStock]]&lt;Table2[[#This Row],[ReorderLevel]],"Reorder", "Okay")</f>
        <v>Okay</v>
      </c>
      <c r="Q599" s="13" t="str">
        <f>IF(Table2[[#This Row],[CurrentStock]]&gt;Table2[[#This Row],[ReorderLevel]]*3, "Overstock", "Okay")</f>
        <v>Okay</v>
      </c>
    </row>
    <row r="600" spans="1:17" x14ac:dyDescent="0.35">
      <c r="A600">
        <v>10924</v>
      </c>
      <c r="B600" t="s">
        <v>22</v>
      </c>
      <c r="C600" t="s">
        <v>29</v>
      </c>
      <c r="D600">
        <v>52</v>
      </c>
      <c r="E600">
        <v>40</v>
      </c>
      <c r="F600" s="2">
        <v>117.25</v>
      </c>
      <c r="G600" t="s">
        <v>31</v>
      </c>
      <c r="H600" s="1">
        <v>45586</v>
      </c>
      <c r="I600" s="1">
        <v>45605</v>
      </c>
      <c r="J600" t="s">
        <v>37</v>
      </c>
      <c r="K600" s="8">
        <f>Table2[[#This Row],[CurrentStock]]*Table2[[#This Row],[UnitPrice]]</f>
        <v>6097</v>
      </c>
      <c r="L600" t="str">
        <f>IF(Table2[[#This Row],[CurrentStock]]&lt;=Table2[[#This Row],[ReorderLevel]], "Reorder Needed", "Okay")</f>
        <v>Okay</v>
      </c>
      <c r="M600" t="str">
        <f>IF(Table2[[#This Row],[CurrentStock]]-Table2[[#This Row],[ReorderLevel]]&lt;0,Table2[[#This Row],[CurrentStock]]-Table2[[#This Row],[ReorderLevel]],"")</f>
        <v/>
      </c>
      <c r="N600" t="str">
        <f>IF(Table2[[#This Row],[Stock Gap]]&lt;0, "Understock","Okay")</f>
        <v>Okay</v>
      </c>
      <c r="O600" s="13" t="str">
        <f>IF(Table2[[#This Row],[Stock Gap]]&lt;0, "Yes", "No")</f>
        <v>No</v>
      </c>
      <c r="P600" s="13" t="str">
        <f>IF(Table2[[#This Row],[CurrentStock]]&lt;Table2[[#This Row],[ReorderLevel]],"Reorder", "Okay")</f>
        <v>Okay</v>
      </c>
      <c r="Q600" s="13" t="str">
        <f>IF(Table2[[#This Row],[CurrentStock]]&gt;Table2[[#This Row],[ReorderLevel]]*3, "Overstock", "Okay")</f>
        <v>Okay</v>
      </c>
    </row>
    <row r="601" spans="1:17" x14ac:dyDescent="0.35">
      <c r="A601">
        <v>15515</v>
      </c>
      <c r="B601" t="s">
        <v>12</v>
      </c>
      <c r="C601" t="s">
        <v>28</v>
      </c>
      <c r="D601">
        <v>265</v>
      </c>
      <c r="E601">
        <v>50</v>
      </c>
      <c r="F601" s="2">
        <v>125.86</v>
      </c>
      <c r="G601" t="s">
        <v>35</v>
      </c>
      <c r="H601" s="1">
        <v>45326</v>
      </c>
      <c r="I601" s="1">
        <v>45336</v>
      </c>
      <c r="J601" t="s">
        <v>36</v>
      </c>
      <c r="K601" s="8">
        <f>Table2[[#This Row],[CurrentStock]]*Table2[[#This Row],[UnitPrice]]</f>
        <v>33352.9</v>
      </c>
      <c r="L601" t="str">
        <f>IF(Table2[[#This Row],[CurrentStock]]&lt;=Table2[[#This Row],[ReorderLevel]], "Reorder Needed", "Okay")</f>
        <v>Okay</v>
      </c>
      <c r="M601" t="str">
        <f>IF(Table2[[#This Row],[CurrentStock]]-Table2[[#This Row],[ReorderLevel]]&lt;0,Table2[[#This Row],[CurrentStock]]-Table2[[#This Row],[ReorderLevel]],"")</f>
        <v/>
      </c>
      <c r="N601" t="str">
        <f>IF(Table2[[#This Row],[Stock Gap]]&lt;0, "Understock","Okay")</f>
        <v>Okay</v>
      </c>
      <c r="O601" s="13" t="str">
        <f>IF(Table2[[#This Row],[Stock Gap]]&lt;0, "Yes", "No")</f>
        <v>No</v>
      </c>
      <c r="P601" s="13" t="str">
        <f>IF(Table2[[#This Row],[CurrentStock]]&lt;Table2[[#This Row],[ReorderLevel]],"Reorder", "Okay")</f>
        <v>Okay</v>
      </c>
      <c r="Q601" s="13" t="str">
        <f>IF(Table2[[#This Row],[CurrentStock]]&gt;Table2[[#This Row],[ReorderLevel]]*3, "Overstock", "Okay")</f>
        <v>Overstock</v>
      </c>
    </row>
    <row r="602" spans="1:17" x14ac:dyDescent="0.35">
      <c r="A602">
        <v>52674</v>
      </c>
      <c r="B602" t="s">
        <v>12</v>
      </c>
      <c r="C602" t="s">
        <v>28</v>
      </c>
      <c r="D602">
        <v>391</v>
      </c>
      <c r="E602">
        <v>150</v>
      </c>
      <c r="F602" s="2">
        <v>101.11</v>
      </c>
      <c r="G602" t="s">
        <v>35</v>
      </c>
      <c r="H602" s="1">
        <v>45466</v>
      </c>
      <c r="I602" s="1">
        <v>45474</v>
      </c>
      <c r="J602" t="s">
        <v>37</v>
      </c>
      <c r="K602" s="8">
        <f>Table2[[#This Row],[CurrentStock]]*Table2[[#This Row],[UnitPrice]]</f>
        <v>39534.01</v>
      </c>
      <c r="L602" t="str">
        <f>IF(Table2[[#This Row],[CurrentStock]]&lt;=Table2[[#This Row],[ReorderLevel]], "Reorder Needed", "Okay")</f>
        <v>Okay</v>
      </c>
      <c r="M602" t="str">
        <f>IF(Table2[[#This Row],[CurrentStock]]-Table2[[#This Row],[ReorderLevel]]&lt;0,Table2[[#This Row],[CurrentStock]]-Table2[[#This Row],[ReorderLevel]],"")</f>
        <v/>
      </c>
      <c r="N602" t="str">
        <f>IF(Table2[[#This Row],[Stock Gap]]&lt;0, "Understock","Okay")</f>
        <v>Okay</v>
      </c>
      <c r="O602" s="13" t="str">
        <f>IF(Table2[[#This Row],[Stock Gap]]&lt;0, "Yes", "No")</f>
        <v>No</v>
      </c>
      <c r="P602" s="13" t="str">
        <f>IF(Table2[[#This Row],[CurrentStock]]&lt;Table2[[#This Row],[ReorderLevel]],"Reorder", "Okay")</f>
        <v>Okay</v>
      </c>
      <c r="Q602" s="13" t="str">
        <f>IF(Table2[[#This Row],[CurrentStock]]&gt;Table2[[#This Row],[ReorderLevel]]*3, "Overstock", "Okay")</f>
        <v>Okay</v>
      </c>
    </row>
    <row r="603" spans="1:17" x14ac:dyDescent="0.35">
      <c r="A603">
        <v>66652</v>
      </c>
      <c r="B603" t="s">
        <v>16</v>
      </c>
      <c r="C603" t="s">
        <v>29</v>
      </c>
      <c r="D603">
        <v>342</v>
      </c>
      <c r="E603">
        <v>80</v>
      </c>
      <c r="F603" s="2">
        <v>497.32</v>
      </c>
      <c r="G603" t="s">
        <v>35</v>
      </c>
      <c r="H603" s="1">
        <v>45300</v>
      </c>
      <c r="I603" s="1">
        <v>45318</v>
      </c>
      <c r="J603" t="s">
        <v>36</v>
      </c>
      <c r="K603" s="8">
        <f>Table2[[#This Row],[CurrentStock]]*Table2[[#This Row],[UnitPrice]]</f>
        <v>170083.44</v>
      </c>
      <c r="L603" t="str">
        <f>IF(Table2[[#This Row],[CurrentStock]]&lt;=Table2[[#This Row],[ReorderLevel]], "Reorder Needed", "Okay")</f>
        <v>Okay</v>
      </c>
      <c r="M603" t="str">
        <f>IF(Table2[[#This Row],[CurrentStock]]-Table2[[#This Row],[ReorderLevel]]&lt;0,Table2[[#This Row],[CurrentStock]]-Table2[[#This Row],[ReorderLevel]],"")</f>
        <v/>
      </c>
      <c r="N603" t="str">
        <f>IF(Table2[[#This Row],[Stock Gap]]&lt;0, "Understock","Okay")</f>
        <v>Okay</v>
      </c>
      <c r="O603" s="13" t="str">
        <f>IF(Table2[[#This Row],[Stock Gap]]&lt;0, "Yes", "No")</f>
        <v>No</v>
      </c>
      <c r="P603" s="13" t="str">
        <f>IF(Table2[[#This Row],[CurrentStock]]&lt;Table2[[#This Row],[ReorderLevel]],"Reorder", "Okay")</f>
        <v>Okay</v>
      </c>
      <c r="Q603" s="13" t="str">
        <f>IF(Table2[[#This Row],[CurrentStock]]&gt;Table2[[#This Row],[ReorderLevel]]*3, "Overstock", "Okay")</f>
        <v>Overstock</v>
      </c>
    </row>
    <row r="604" spans="1:17" x14ac:dyDescent="0.35">
      <c r="A604">
        <v>85242</v>
      </c>
      <c r="B604" t="s">
        <v>23</v>
      </c>
      <c r="C604" t="s">
        <v>30</v>
      </c>
      <c r="D604">
        <v>277</v>
      </c>
      <c r="E604">
        <v>20</v>
      </c>
      <c r="F604" s="2">
        <v>324.56</v>
      </c>
      <c r="G604" t="s">
        <v>34</v>
      </c>
      <c r="H604" s="1">
        <v>45292</v>
      </c>
      <c r="I604" s="1">
        <v>45306</v>
      </c>
      <c r="J604" t="s">
        <v>36</v>
      </c>
      <c r="K604" s="8">
        <f>Table2[[#This Row],[CurrentStock]]*Table2[[#This Row],[UnitPrice]]</f>
        <v>89903.12</v>
      </c>
      <c r="L604" t="str">
        <f>IF(Table2[[#This Row],[CurrentStock]]&lt;=Table2[[#This Row],[ReorderLevel]], "Reorder Needed", "Okay")</f>
        <v>Okay</v>
      </c>
      <c r="M604" t="str">
        <f>IF(Table2[[#This Row],[CurrentStock]]-Table2[[#This Row],[ReorderLevel]]&lt;0,Table2[[#This Row],[CurrentStock]]-Table2[[#This Row],[ReorderLevel]],"")</f>
        <v/>
      </c>
      <c r="N604" t="str">
        <f>IF(Table2[[#This Row],[Stock Gap]]&lt;0, "Understock","Okay")</f>
        <v>Okay</v>
      </c>
      <c r="O604" s="13" t="str">
        <f>IF(Table2[[#This Row],[Stock Gap]]&lt;0, "Yes", "No")</f>
        <v>No</v>
      </c>
      <c r="P604" s="13" t="str">
        <f>IF(Table2[[#This Row],[CurrentStock]]&lt;Table2[[#This Row],[ReorderLevel]],"Reorder", "Okay")</f>
        <v>Okay</v>
      </c>
      <c r="Q604" s="13" t="str">
        <f>IF(Table2[[#This Row],[CurrentStock]]&gt;Table2[[#This Row],[ReorderLevel]]*3, "Overstock", "Okay")</f>
        <v>Overstock</v>
      </c>
    </row>
    <row r="605" spans="1:17" x14ac:dyDescent="0.35">
      <c r="A605">
        <v>24506</v>
      </c>
      <c r="B605" t="s">
        <v>23</v>
      </c>
      <c r="C605" t="s">
        <v>30</v>
      </c>
      <c r="D605">
        <v>464</v>
      </c>
      <c r="E605">
        <v>50</v>
      </c>
      <c r="F605" s="2">
        <v>66.03</v>
      </c>
      <c r="G605" t="s">
        <v>35</v>
      </c>
      <c r="H605" s="1">
        <v>45625</v>
      </c>
      <c r="I605" s="1">
        <v>45652</v>
      </c>
      <c r="J605" t="s">
        <v>37</v>
      </c>
      <c r="K605" s="8">
        <f>Table2[[#This Row],[CurrentStock]]*Table2[[#This Row],[UnitPrice]]</f>
        <v>30637.920000000002</v>
      </c>
      <c r="L605" t="str">
        <f>IF(Table2[[#This Row],[CurrentStock]]&lt;=Table2[[#This Row],[ReorderLevel]], "Reorder Needed", "Okay")</f>
        <v>Okay</v>
      </c>
      <c r="M605" t="str">
        <f>IF(Table2[[#This Row],[CurrentStock]]-Table2[[#This Row],[ReorderLevel]]&lt;0,Table2[[#This Row],[CurrentStock]]-Table2[[#This Row],[ReorderLevel]],"")</f>
        <v/>
      </c>
      <c r="N605" t="str">
        <f>IF(Table2[[#This Row],[Stock Gap]]&lt;0, "Understock","Okay")</f>
        <v>Okay</v>
      </c>
      <c r="O605" s="13" t="str">
        <f>IF(Table2[[#This Row],[Stock Gap]]&lt;0, "Yes", "No")</f>
        <v>No</v>
      </c>
      <c r="P605" s="13" t="str">
        <f>IF(Table2[[#This Row],[CurrentStock]]&lt;Table2[[#This Row],[ReorderLevel]],"Reorder", "Okay")</f>
        <v>Okay</v>
      </c>
      <c r="Q605" s="13" t="str">
        <f>IF(Table2[[#This Row],[CurrentStock]]&gt;Table2[[#This Row],[ReorderLevel]]*3, "Overstock", "Okay")</f>
        <v>Overstock</v>
      </c>
    </row>
    <row r="606" spans="1:17" x14ac:dyDescent="0.35">
      <c r="A606">
        <v>38091</v>
      </c>
      <c r="B606" t="s">
        <v>11</v>
      </c>
      <c r="C606" t="s">
        <v>27</v>
      </c>
      <c r="D606">
        <v>189</v>
      </c>
      <c r="E606">
        <v>80</v>
      </c>
      <c r="F606" s="2">
        <v>50.11</v>
      </c>
      <c r="G606" t="s">
        <v>34</v>
      </c>
      <c r="H606" s="1">
        <v>45575</v>
      </c>
      <c r="I606" s="1">
        <v>45597</v>
      </c>
      <c r="J606" t="s">
        <v>37</v>
      </c>
      <c r="K606" s="8">
        <f>Table2[[#This Row],[CurrentStock]]*Table2[[#This Row],[UnitPrice]]</f>
        <v>9470.7899999999991</v>
      </c>
      <c r="L606" t="str">
        <f>IF(Table2[[#This Row],[CurrentStock]]&lt;=Table2[[#This Row],[ReorderLevel]], "Reorder Needed", "Okay")</f>
        <v>Okay</v>
      </c>
      <c r="M606" t="str">
        <f>IF(Table2[[#This Row],[CurrentStock]]-Table2[[#This Row],[ReorderLevel]]&lt;0,Table2[[#This Row],[CurrentStock]]-Table2[[#This Row],[ReorderLevel]],"")</f>
        <v/>
      </c>
      <c r="N606" t="str">
        <f>IF(Table2[[#This Row],[Stock Gap]]&lt;0, "Understock","Okay")</f>
        <v>Okay</v>
      </c>
      <c r="O606" s="13" t="str">
        <f>IF(Table2[[#This Row],[Stock Gap]]&lt;0, "Yes", "No")</f>
        <v>No</v>
      </c>
      <c r="P606" s="13" t="str">
        <f>IF(Table2[[#This Row],[CurrentStock]]&lt;Table2[[#This Row],[ReorderLevel]],"Reorder", "Okay")</f>
        <v>Okay</v>
      </c>
      <c r="Q606" s="13" t="str">
        <f>IF(Table2[[#This Row],[CurrentStock]]&gt;Table2[[#This Row],[ReorderLevel]]*3, "Overstock", "Okay")</f>
        <v>Okay</v>
      </c>
    </row>
    <row r="607" spans="1:17" x14ac:dyDescent="0.35">
      <c r="A607">
        <v>77567</v>
      </c>
      <c r="B607" t="s">
        <v>12</v>
      </c>
      <c r="C607" t="s">
        <v>28</v>
      </c>
      <c r="D607">
        <v>136</v>
      </c>
      <c r="E607">
        <v>50</v>
      </c>
      <c r="F607" s="2">
        <v>291.91000000000003</v>
      </c>
      <c r="G607" t="s">
        <v>31</v>
      </c>
      <c r="H607" s="1">
        <v>45359</v>
      </c>
      <c r="I607" s="1">
        <v>45397</v>
      </c>
      <c r="J607" t="s">
        <v>38</v>
      </c>
      <c r="K607" s="8">
        <f>Table2[[#This Row],[CurrentStock]]*Table2[[#This Row],[UnitPrice]]</f>
        <v>39699.760000000002</v>
      </c>
      <c r="L607" t="str">
        <f>IF(Table2[[#This Row],[CurrentStock]]&lt;=Table2[[#This Row],[ReorderLevel]], "Reorder Needed", "Okay")</f>
        <v>Okay</v>
      </c>
      <c r="M607" t="str">
        <f>IF(Table2[[#This Row],[CurrentStock]]-Table2[[#This Row],[ReorderLevel]]&lt;0,Table2[[#This Row],[CurrentStock]]-Table2[[#This Row],[ReorderLevel]],"")</f>
        <v/>
      </c>
      <c r="N607" t="str">
        <f>IF(Table2[[#This Row],[Stock Gap]]&lt;0, "Understock","Okay")</f>
        <v>Okay</v>
      </c>
      <c r="O607" s="13" t="str">
        <f>IF(Table2[[#This Row],[Stock Gap]]&lt;0, "Yes", "No")</f>
        <v>No</v>
      </c>
      <c r="P607" s="13" t="str">
        <f>IF(Table2[[#This Row],[CurrentStock]]&lt;Table2[[#This Row],[ReorderLevel]],"Reorder", "Okay")</f>
        <v>Okay</v>
      </c>
      <c r="Q607" s="13" t="str">
        <f>IF(Table2[[#This Row],[CurrentStock]]&gt;Table2[[#This Row],[ReorderLevel]]*3, "Overstock", "Okay")</f>
        <v>Okay</v>
      </c>
    </row>
    <row r="608" spans="1:17" x14ac:dyDescent="0.35">
      <c r="A608">
        <v>95961</v>
      </c>
      <c r="B608" t="s">
        <v>25</v>
      </c>
      <c r="C608" t="s">
        <v>29</v>
      </c>
      <c r="D608">
        <v>196</v>
      </c>
      <c r="E608">
        <v>20</v>
      </c>
      <c r="F608" s="2">
        <v>30.23</v>
      </c>
      <c r="G608" t="s">
        <v>35</v>
      </c>
      <c r="H608" s="1">
        <v>45629</v>
      </c>
      <c r="I608" s="1">
        <v>45651</v>
      </c>
      <c r="J608" t="s">
        <v>38</v>
      </c>
      <c r="K608" s="8">
        <f>Table2[[#This Row],[CurrentStock]]*Table2[[#This Row],[UnitPrice]]</f>
        <v>5925.08</v>
      </c>
      <c r="L608" t="str">
        <f>IF(Table2[[#This Row],[CurrentStock]]&lt;=Table2[[#This Row],[ReorderLevel]], "Reorder Needed", "Okay")</f>
        <v>Okay</v>
      </c>
      <c r="M608" t="str">
        <f>IF(Table2[[#This Row],[CurrentStock]]-Table2[[#This Row],[ReorderLevel]]&lt;0,Table2[[#This Row],[CurrentStock]]-Table2[[#This Row],[ReorderLevel]],"")</f>
        <v/>
      </c>
      <c r="N608" t="str">
        <f>IF(Table2[[#This Row],[Stock Gap]]&lt;0, "Understock","Okay")</f>
        <v>Okay</v>
      </c>
      <c r="O608" s="13" t="str">
        <f>IF(Table2[[#This Row],[Stock Gap]]&lt;0, "Yes", "No")</f>
        <v>No</v>
      </c>
      <c r="P608" s="13" t="str">
        <f>IF(Table2[[#This Row],[CurrentStock]]&lt;Table2[[#This Row],[ReorderLevel]],"Reorder", "Okay")</f>
        <v>Okay</v>
      </c>
      <c r="Q608" s="13" t="str">
        <f>IF(Table2[[#This Row],[CurrentStock]]&gt;Table2[[#This Row],[ReorderLevel]]*3, "Overstock", "Okay")</f>
        <v>Overstock</v>
      </c>
    </row>
    <row r="609" spans="1:17" x14ac:dyDescent="0.35">
      <c r="A609">
        <v>19190</v>
      </c>
      <c r="B609" t="s">
        <v>21</v>
      </c>
      <c r="C609" t="s">
        <v>26</v>
      </c>
      <c r="D609">
        <v>460</v>
      </c>
      <c r="E609">
        <v>30</v>
      </c>
      <c r="F609" s="2">
        <v>315.73</v>
      </c>
      <c r="G609" t="s">
        <v>35</v>
      </c>
      <c r="H609" s="1">
        <v>45494</v>
      </c>
      <c r="I609" s="1">
        <v>45517</v>
      </c>
      <c r="J609" t="s">
        <v>38</v>
      </c>
      <c r="K609" s="8">
        <f>Table2[[#This Row],[CurrentStock]]*Table2[[#This Row],[UnitPrice]]</f>
        <v>145235.80000000002</v>
      </c>
      <c r="L609" t="str">
        <f>IF(Table2[[#This Row],[CurrentStock]]&lt;=Table2[[#This Row],[ReorderLevel]], "Reorder Needed", "Okay")</f>
        <v>Okay</v>
      </c>
      <c r="M609" t="str">
        <f>IF(Table2[[#This Row],[CurrentStock]]-Table2[[#This Row],[ReorderLevel]]&lt;0,Table2[[#This Row],[CurrentStock]]-Table2[[#This Row],[ReorderLevel]],"")</f>
        <v/>
      </c>
      <c r="N609" t="str">
        <f>IF(Table2[[#This Row],[Stock Gap]]&lt;0, "Understock","Okay")</f>
        <v>Okay</v>
      </c>
      <c r="O609" s="13" t="str">
        <f>IF(Table2[[#This Row],[Stock Gap]]&lt;0, "Yes", "No")</f>
        <v>No</v>
      </c>
      <c r="P609" s="13" t="str">
        <f>IF(Table2[[#This Row],[CurrentStock]]&lt;Table2[[#This Row],[ReorderLevel]],"Reorder", "Okay")</f>
        <v>Okay</v>
      </c>
      <c r="Q609" s="13" t="str">
        <f>IF(Table2[[#This Row],[CurrentStock]]&gt;Table2[[#This Row],[ReorderLevel]]*3, "Overstock", "Okay")</f>
        <v>Overstock</v>
      </c>
    </row>
    <row r="610" spans="1:17" x14ac:dyDescent="0.35">
      <c r="A610">
        <v>66759</v>
      </c>
      <c r="B610" t="s">
        <v>16</v>
      </c>
      <c r="C610" t="s">
        <v>29</v>
      </c>
      <c r="D610">
        <v>215</v>
      </c>
      <c r="E610">
        <v>20</v>
      </c>
      <c r="F610" s="2">
        <v>317.20999999999998</v>
      </c>
      <c r="G610" t="s">
        <v>31</v>
      </c>
      <c r="H610" s="1">
        <v>45505</v>
      </c>
      <c r="I610" s="1">
        <v>45532</v>
      </c>
      <c r="J610" t="s">
        <v>38</v>
      </c>
      <c r="K610" s="8">
        <f>Table2[[#This Row],[CurrentStock]]*Table2[[#This Row],[UnitPrice]]</f>
        <v>68200.149999999994</v>
      </c>
      <c r="L610" t="str">
        <f>IF(Table2[[#This Row],[CurrentStock]]&lt;=Table2[[#This Row],[ReorderLevel]], "Reorder Needed", "Okay")</f>
        <v>Okay</v>
      </c>
      <c r="M610" t="str">
        <f>IF(Table2[[#This Row],[CurrentStock]]-Table2[[#This Row],[ReorderLevel]]&lt;0,Table2[[#This Row],[CurrentStock]]-Table2[[#This Row],[ReorderLevel]],"")</f>
        <v/>
      </c>
      <c r="N610" t="str">
        <f>IF(Table2[[#This Row],[Stock Gap]]&lt;0, "Understock","Okay")</f>
        <v>Okay</v>
      </c>
      <c r="O610" s="13" t="str">
        <f>IF(Table2[[#This Row],[Stock Gap]]&lt;0, "Yes", "No")</f>
        <v>No</v>
      </c>
      <c r="P610" s="13" t="str">
        <f>IF(Table2[[#This Row],[CurrentStock]]&lt;Table2[[#This Row],[ReorderLevel]],"Reorder", "Okay")</f>
        <v>Okay</v>
      </c>
      <c r="Q610" s="13" t="str">
        <f>IF(Table2[[#This Row],[CurrentStock]]&gt;Table2[[#This Row],[ReorderLevel]]*3, "Overstock", "Okay")</f>
        <v>Overstock</v>
      </c>
    </row>
    <row r="611" spans="1:17" x14ac:dyDescent="0.35">
      <c r="A611">
        <v>23851</v>
      </c>
      <c r="B611" t="s">
        <v>21</v>
      </c>
      <c r="C611" t="s">
        <v>26</v>
      </c>
      <c r="D611">
        <v>219</v>
      </c>
      <c r="E611">
        <v>50</v>
      </c>
      <c r="F611" s="2">
        <v>367.12</v>
      </c>
      <c r="G611" t="s">
        <v>31</v>
      </c>
      <c r="H611" s="1">
        <v>45580</v>
      </c>
      <c r="I611" s="1">
        <v>45603</v>
      </c>
      <c r="J611" t="s">
        <v>36</v>
      </c>
      <c r="K611" s="8">
        <f>Table2[[#This Row],[CurrentStock]]*Table2[[#This Row],[UnitPrice]]</f>
        <v>80399.28</v>
      </c>
      <c r="L611" t="str">
        <f>IF(Table2[[#This Row],[CurrentStock]]&lt;=Table2[[#This Row],[ReorderLevel]], "Reorder Needed", "Okay")</f>
        <v>Okay</v>
      </c>
      <c r="M611" t="str">
        <f>IF(Table2[[#This Row],[CurrentStock]]-Table2[[#This Row],[ReorderLevel]]&lt;0,Table2[[#This Row],[CurrentStock]]-Table2[[#This Row],[ReorderLevel]],"")</f>
        <v/>
      </c>
      <c r="N611" t="str">
        <f>IF(Table2[[#This Row],[Stock Gap]]&lt;0, "Understock","Okay")</f>
        <v>Okay</v>
      </c>
      <c r="O611" s="13" t="str">
        <f>IF(Table2[[#This Row],[Stock Gap]]&lt;0, "Yes", "No")</f>
        <v>No</v>
      </c>
      <c r="P611" s="13" t="str">
        <f>IF(Table2[[#This Row],[CurrentStock]]&lt;Table2[[#This Row],[ReorderLevel]],"Reorder", "Okay")</f>
        <v>Okay</v>
      </c>
      <c r="Q611" s="13" t="str">
        <f>IF(Table2[[#This Row],[CurrentStock]]&gt;Table2[[#This Row],[ReorderLevel]]*3, "Overstock", "Okay")</f>
        <v>Overstock</v>
      </c>
    </row>
    <row r="612" spans="1:17" x14ac:dyDescent="0.35">
      <c r="A612">
        <v>55349</v>
      </c>
      <c r="B612" t="s">
        <v>17</v>
      </c>
      <c r="C612" t="s">
        <v>27</v>
      </c>
      <c r="D612">
        <v>409</v>
      </c>
      <c r="E612">
        <v>40</v>
      </c>
      <c r="F612" s="2">
        <v>74.290000000000006</v>
      </c>
      <c r="G612" t="s">
        <v>35</v>
      </c>
      <c r="H612" s="1">
        <v>45459</v>
      </c>
      <c r="I612" s="1">
        <v>45479</v>
      </c>
      <c r="J612" t="s">
        <v>38</v>
      </c>
      <c r="K612" s="8">
        <f>Table2[[#This Row],[CurrentStock]]*Table2[[#This Row],[UnitPrice]]</f>
        <v>30384.610000000004</v>
      </c>
      <c r="L612" t="str">
        <f>IF(Table2[[#This Row],[CurrentStock]]&lt;=Table2[[#This Row],[ReorderLevel]], "Reorder Needed", "Okay")</f>
        <v>Okay</v>
      </c>
      <c r="M612" t="str">
        <f>IF(Table2[[#This Row],[CurrentStock]]-Table2[[#This Row],[ReorderLevel]]&lt;0,Table2[[#This Row],[CurrentStock]]-Table2[[#This Row],[ReorderLevel]],"")</f>
        <v/>
      </c>
      <c r="N612" t="str">
        <f>IF(Table2[[#This Row],[Stock Gap]]&lt;0, "Understock","Okay")</f>
        <v>Okay</v>
      </c>
      <c r="O612" s="13" t="str">
        <f>IF(Table2[[#This Row],[Stock Gap]]&lt;0, "Yes", "No")</f>
        <v>No</v>
      </c>
      <c r="P612" s="13" t="str">
        <f>IF(Table2[[#This Row],[CurrentStock]]&lt;Table2[[#This Row],[ReorderLevel]],"Reorder", "Okay")</f>
        <v>Okay</v>
      </c>
      <c r="Q612" s="13" t="str">
        <f>IF(Table2[[#This Row],[CurrentStock]]&gt;Table2[[#This Row],[ReorderLevel]]*3, "Overstock", "Okay")</f>
        <v>Overstock</v>
      </c>
    </row>
    <row r="613" spans="1:17" x14ac:dyDescent="0.35">
      <c r="A613">
        <v>73723</v>
      </c>
      <c r="B613" t="s">
        <v>13</v>
      </c>
      <c r="C613" t="s">
        <v>26</v>
      </c>
      <c r="D613">
        <v>149</v>
      </c>
      <c r="E613">
        <v>50</v>
      </c>
      <c r="F613" s="2">
        <v>339.35</v>
      </c>
      <c r="G613" t="s">
        <v>35</v>
      </c>
      <c r="H613" s="1">
        <v>45464</v>
      </c>
      <c r="I613" s="1">
        <v>45476</v>
      </c>
      <c r="J613" t="s">
        <v>38</v>
      </c>
      <c r="K613" s="8">
        <f>Table2[[#This Row],[CurrentStock]]*Table2[[#This Row],[UnitPrice]]</f>
        <v>50563.15</v>
      </c>
      <c r="L613" t="str">
        <f>IF(Table2[[#This Row],[CurrentStock]]&lt;=Table2[[#This Row],[ReorderLevel]], "Reorder Needed", "Okay")</f>
        <v>Okay</v>
      </c>
      <c r="M613" t="str">
        <f>IF(Table2[[#This Row],[CurrentStock]]-Table2[[#This Row],[ReorderLevel]]&lt;0,Table2[[#This Row],[CurrentStock]]-Table2[[#This Row],[ReorderLevel]],"")</f>
        <v/>
      </c>
      <c r="N613" t="str">
        <f>IF(Table2[[#This Row],[Stock Gap]]&lt;0, "Understock","Okay")</f>
        <v>Okay</v>
      </c>
      <c r="O613" s="13" t="str">
        <f>IF(Table2[[#This Row],[Stock Gap]]&lt;0, "Yes", "No")</f>
        <v>No</v>
      </c>
      <c r="P613" s="13" t="str">
        <f>IF(Table2[[#This Row],[CurrentStock]]&lt;Table2[[#This Row],[ReorderLevel]],"Reorder", "Okay")</f>
        <v>Okay</v>
      </c>
      <c r="Q613" s="13" t="str">
        <f>IF(Table2[[#This Row],[CurrentStock]]&gt;Table2[[#This Row],[ReorderLevel]]*3, "Overstock", "Okay")</f>
        <v>Okay</v>
      </c>
    </row>
    <row r="614" spans="1:17" x14ac:dyDescent="0.35">
      <c r="A614">
        <v>41658</v>
      </c>
      <c r="B614" t="s">
        <v>25</v>
      </c>
      <c r="C614" t="s">
        <v>29</v>
      </c>
      <c r="D614">
        <v>488</v>
      </c>
      <c r="E614">
        <v>20</v>
      </c>
      <c r="F614" s="2">
        <v>180.42</v>
      </c>
      <c r="G614" t="s">
        <v>31</v>
      </c>
      <c r="H614" s="1">
        <v>45406</v>
      </c>
      <c r="I614" s="1">
        <v>45433</v>
      </c>
      <c r="J614" t="s">
        <v>37</v>
      </c>
      <c r="K614" s="8">
        <f>Table2[[#This Row],[CurrentStock]]*Table2[[#This Row],[UnitPrice]]</f>
        <v>88044.959999999992</v>
      </c>
      <c r="L614" t="str">
        <f>IF(Table2[[#This Row],[CurrentStock]]&lt;=Table2[[#This Row],[ReorderLevel]], "Reorder Needed", "Okay")</f>
        <v>Okay</v>
      </c>
      <c r="M614" t="str">
        <f>IF(Table2[[#This Row],[CurrentStock]]-Table2[[#This Row],[ReorderLevel]]&lt;0,Table2[[#This Row],[CurrentStock]]-Table2[[#This Row],[ReorderLevel]],"")</f>
        <v/>
      </c>
      <c r="N614" t="str">
        <f>IF(Table2[[#This Row],[Stock Gap]]&lt;0, "Understock","Okay")</f>
        <v>Okay</v>
      </c>
      <c r="O614" s="13" t="str">
        <f>IF(Table2[[#This Row],[Stock Gap]]&lt;0, "Yes", "No")</f>
        <v>No</v>
      </c>
      <c r="P614" s="13" t="str">
        <f>IF(Table2[[#This Row],[CurrentStock]]&lt;Table2[[#This Row],[ReorderLevel]],"Reorder", "Okay")</f>
        <v>Okay</v>
      </c>
      <c r="Q614" s="13" t="str">
        <f>IF(Table2[[#This Row],[CurrentStock]]&gt;Table2[[#This Row],[ReorderLevel]]*3, "Overstock", "Okay")</f>
        <v>Overstock</v>
      </c>
    </row>
    <row r="615" spans="1:17" x14ac:dyDescent="0.35">
      <c r="A615">
        <v>44650</v>
      </c>
      <c r="B615" t="s">
        <v>15</v>
      </c>
      <c r="C615" t="s">
        <v>29</v>
      </c>
      <c r="D615">
        <v>145</v>
      </c>
      <c r="E615">
        <v>150</v>
      </c>
      <c r="F615" s="2">
        <v>125.68</v>
      </c>
      <c r="G615" t="s">
        <v>35</v>
      </c>
      <c r="H615" s="1">
        <v>45604</v>
      </c>
      <c r="I615" s="1">
        <v>45631</v>
      </c>
      <c r="J615" t="s">
        <v>38</v>
      </c>
      <c r="K615" s="8">
        <f>Table2[[#This Row],[CurrentStock]]*Table2[[#This Row],[UnitPrice]]</f>
        <v>18223.600000000002</v>
      </c>
      <c r="L615" t="str">
        <f>IF(Table2[[#This Row],[CurrentStock]]&lt;=Table2[[#This Row],[ReorderLevel]], "Reorder Needed", "Okay")</f>
        <v>Reorder Needed</v>
      </c>
      <c r="M615" s="7">
        <f>IF(Table2[[#This Row],[CurrentStock]]-Table2[[#This Row],[ReorderLevel]]&lt;0,Table2[[#This Row],[CurrentStock]]-Table2[[#This Row],[ReorderLevel]],"")</f>
        <v>-5</v>
      </c>
      <c r="N615" t="str">
        <f>IF(Table2[[#This Row],[Stock Gap]]&lt;0, "Understock","Okay")</f>
        <v>Understock</v>
      </c>
      <c r="O615" s="13" t="str">
        <f>IF(Table2[[#This Row],[Stock Gap]]&lt;0, "Yes", "No")</f>
        <v>Yes</v>
      </c>
      <c r="P615" s="13" t="str">
        <f>IF(Table2[[#This Row],[CurrentStock]]&lt;Table2[[#This Row],[ReorderLevel]],"Reorder", "Okay")</f>
        <v>Reorder</v>
      </c>
      <c r="Q615" s="13" t="str">
        <f>IF(Table2[[#This Row],[CurrentStock]]&gt;Table2[[#This Row],[ReorderLevel]]*3, "Overstock", "Okay")</f>
        <v>Okay</v>
      </c>
    </row>
    <row r="616" spans="1:17" x14ac:dyDescent="0.35">
      <c r="A616">
        <v>39320</v>
      </c>
      <c r="B616" t="s">
        <v>12</v>
      </c>
      <c r="C616" t="s">
        <v>28</v>
      </c>
      <c r="D616">
        <v>167</v>
      </c>
      <c r="E616">
        <v>40</v>
      </c>
      <c r="F616" s="2">
        <v>180.64</v>
      </c>
      <c r="G616" t="s">
        <v>35</v>
      </c>
      <c r="H616" s="1">
        <v>45341</v>
      </c>
      <c r="I616" s="1">
        <v>45365</v>
      </c>
      <c r="J616" t="s">
        <v>36</v>
      </c>
      <c r="K616" s="8">
        <f>Table2[[#This Row],[CurrentStock]]*Table2[[#This Row],[UnitPrice]]</f>
        <v>30166.879999999997</v>
      </c>
      <c r="L616" t="str">
        <f>IF(Table2[[#This Row],[CurrentStock]]&lt;=Table2[[#This Row],[ReorderLevel]], "Reorder Needed", "Okay")</f>
        <v>Okay</v>
      </c>
      <c r="M616" t="str">
        <f>IF(Table2[[#This Row],[CurrentStock]]-Table2[[#This Row],[ReorderLevel]]&lt;0,Table2[[#This Row],[CurrentStock]]-Table2[[#This Row],[ReorderLevel]],"")</f>
        <v/>
      </c>
      <c r="N616" t="str">
        <f>IF(Table2[[#This Row],[Stock Gap]]&lt;0, "Understock","Okay")</f>
        <v>Okay</v>
      </c>
      <c r="O616" s="13" t="str">
        <f>IF(Table2[[#This Row],[Stock Gap]]&lt;0, "Yes", "No")</f>
        <v>No</v>
      </c>
      <c r="P616" s="13" t="str">
        <f>IF(Table2[[#This Row],[CurrentStock]]&lt;Table2[[#This Row],[ReorderLevel]],"Reorder", "Okay")</f>
        <v>Okay</v>
      </c>
      <c r="Q616" s="13" t="str">
        <f>IF(Table2[[#This Row],[CurrentStock]]&gt;Table2[[#This Row],[ReorderLevel]]*3, "Overstock", "Okay")</f>
        <v>Overstock</v>
      </c>
    </row>
    <row r="617" spans="1:17" x14ac:dyDescent="0.35">
      <c r="A617">
        <v>86976</v>
      </c>
      <c r="B617" t="s">
        <v>18</v>
      </c>
      <c r="C617" t="s">
        <v>27</v>
      </c>
      <c r="D617">
        <v>20</v>
      </c>
      <c r="E617">
        <v>30</v>
      </c>
      <c r="F617" s="2">
        <v>259.02</v>
      </c>
      <c r="G617" t="s">
        <v>33</v>
      </c>
      <c r="H617" s="1">
        <v>45592</v>
      </c>
      <c r="I617" s="1">
        <v>45609</v>
      </c>
      <c r="J617" t="s">
        <v>36</v>
      </c>
      <c r="K617" s="8">
        <f>Table2[[#This Row],[CurrentStock]]*Table2[[#This Row],[UnitPrice]]</f>
        <v>5180.3999999999996</v>
      </c>
      <c r="L617" t="str">
        <f>IF(Table2[[#This Row],[CurrentStock]]&lt;=Table2[[#This Row],[ReorderLevel]], "Reorder Needed", "Okay")</f>
        <v>Reorder Needed</v>
      </c>
      <c r="M617" s="7">
        <f>IF(Table2[[#This Row],[CurrentStock]]-Table2[[#This Row],[ReorderLevel]]&lt;0,Table2[[#This Row],[CurrentStock]]-Table2[[#This Row],[ReorderLevel]],"")</f>
        <v>-10</v>
      </c>
      <c r="N617" t="str">
        <f>IF(Table2[[#This Row],[Stock Gap]]&lt;0, "Understock","Okay")</f>
        <v>Understock</v>
      </c>
      <c r="O617" s="13" t="str">
        <f>IF(Table2[[#This Row],[Stock Gap]]&lt;0, "Yes", "No")</f>
        <v>Yes</v>
      </c>
      <c r="P617" s="13" t="str">
        <f>IF(Table2[[#This Row],[CurrentStock]]&lt;Table2[[#This Row],[ReorderLevel]],"Reorder", "Okay")</f>
        <v>Reorder</v>
      </c>
      <c r="Q617" s="13" t="str">
        <f>IF(Table2[[#This Row],[CurrentStock]]&gt;Table2[[#This Row],[ReorderLevel]]*3, "Overstock", "Okay")</f>
        <v>Okay</v>
      </c>
    </row>
    <row r="618" spans="1:17" x14ac:dyDescent="0.35">
      <c r="A618">
        <v>61448</v>
      </c>
      <c r="B618" t="s">
        <v>16</v>
      </c>
      <c r="C618" t="s">
        <v>29</v>
      </c>
      <c r="D618">
        <v>400</v>
      </c>
      <c r="E618">
        <v>50</v>
      </c>
      <c r="F618" s="2">
        <v>259.29000000000002</v>
      </c>
      <c r="G618" t="s">
        <v>35</v>
      </c>
      <c r="H618" s="1">
        <v>45316</v>
      </c>
      <c r="I618" s="1">
        <v>45326</v>
      </c>
      <c r="J618" t="s">
        <v>38</v>
      </c>
      <c r="K618" s="8">
        <f>Table2[[#This Row],[CurrentStock]]*Table2[[#This Row],[UnitPrice]]</f>
        <v>103716.00000000001</v>
      </c>
      <c r="L618" t="str">
        <f>IF(Table2[[#This Row],[CurrentStock]]&lt;=Table2[[#This Row],[ReorderLevel]], "Reorder Needed", "Okay")</f>
        <v>Okay</v>
      </c>
      <c r="M618" t="str">
        <f>IF(Table2[[#This Row],[CurrentStock]]-Table2[[#This Row],[ReorderLevel]]&lt;0,Table2[[#This Row],[CurrentStock]]-Table2[[#This Row],[ReorderLevel]],"")</f>
        <v/>
      </c>
      <c r="N618" t="str">
        <f>IF(Table2[[#This Row],[Stock Gap]]&lt;0, "Understock","Okay")</f>
        <v>Okay</v>
      </c>
      <c r="O618" s="13" t="str">
        <f>IF(Table2[[#This Row],[Stock Gap]]&lt;0, "Yes", "No")</f>
        <v>No</v>
      </c>
      <c r="P618" s="13" t="str">
        <f>IF(Table2[[#This Row],[CurrentStock]]&lt;Table2[[#This Row],[ReorderLevel]],"Reorder", "Okay")</f>
        <v>Okay</v>
      </c>
      <c r="Q618" s="13" t="str">
        <f>IF(Table2[[#This Row],[CurrentStock]]&gt;Table2[[#This Row],[ReorderLevel]]*3, "Overstock", "Okay")</f>
        <v>Overstock</v>
      </c>
    </row>
    <row r="619" spans="1:17" x14ac:dyDescent="0.35">
      <c r="A619">
        <v>81186</v>
      </c>
      <c r="B619" t="s">
        <v>15</v>
      </c>
      <c r="C619" t="s">
        <v>29</v>
      </c>
      <c r="D619">
        <v>141</v>
      </c>
      <c r="E619">
        <v>30</v>
      </c>
      <c r="F619" s="2">
        <v>471.03</v>
      </c>
      <c r="G619" t="s">
        <v>32</v>
      </c>
      <c r="H619" s="1">
        <v>45646</v>
      </c>
      <c r="I619" s="1">
        <v>45683</v>
      </c>
      <c r="J619" t="s">
        <v>36</v>
      </c>
      <c r="K619" s="8">
        <f>Table2[[#This Row],[CurrentStock]]*Table2[[#This Row],[UnitPrice]]</f>
        <v>66415.23</v>
      </c>
      <c r="L619" t="str">
        <f>IF(Table2[[#This Row],[CurrentStock]]&lt;=Table2[[#This Row],[ReorderLevel]], "Reorder Needed", "Okay")</f>
        <v>Okay</v>
      </c>
      <c r="M619" t="str">
        <f>IF(Table2[[#This Row],[CurrentStock]]-Table2[[#This Row],[ReorderLevel]]&lt;0,Table2[[#This Row],[CurrentStock]]-Table2[[#This Row],[ReorderLevel]],"")</f>
        <v/>
      </c>
      <c r="N619" t="str">
        <f>IF(Table2[[#This Row],[Stock Gap]]&lt;0, "Understock","Okay")</f>
        <v>Okay</v>
      </c>
      <c r="O619" s="13" t="str">
        <f>IF(Table2[[#This Row],[Stock Gap]]&lt;0, "Yes", "No")</f>
        <v>No</v>
      </c>
      <c r="P619" s="13" t="str">
        <f>IF(Table2[[#This Row],[CurrentStock]]&lt;Table2[[#This Row],[ReorderLevel]],"Reorder", "Okay")</f>
        <v>Okay</v>
      </c>
      <c r="Q619" s="13" t="str">
        <f>IF(Table2[[#This Row],[CurrentStock]]&gt;Table2[[#This Row],[ReorderLevel]]*3, "Overstock", "Okay")</f>
        <v>Overstock</v>
      </c>
    </row>
    <row r="620" spans="1:17" x14ac:dyDescent="0.35">
      <c r="A620">
        <v>61628</v>
      </c>
      <c r="B620" t="s">
        <v>9</v>
      </c>
      <c r="C620" t="s">
        <v>26</v>
      </c>
      <c r="D620">
        <v>343</v>
      </c>
      <c r="E620">
        <v>80</v>
      </c>
      <c r="F620" s="2">
        <v>130.54</v>
      </c>
      <c r="G620" t="s">
        <v>34</v>
      </c>
      <c r="H620" s="1">
        <v>45292</v>
      </c>
      <c r="I620" s="1">
        <v>45321</v>
      </c>
      <c r="J620" t="s">
        <v>38</v>
      </c>
      <c r="K620" s="8">
        <f>Table2[[#This Row],[CurrentStock]]*Table2[[#This Row],[UnitPrice]]</f>
        <v>44775.219999999994</v>
      </c>
      <c r="L620" t="str">
        <f>IF(Table2[[#This Row],[CurrentStock]]&lt;=Table2[[#This Row],[ReorderLevel]], "Reorder Needed", "Okay")</f>
        <v>Okay</v>
      </c>
      <c r="M620" t="str">
        <f>IF(Table2[[#This Row],[CurrentStock]]-Table2[[#This Row],[ReorderLevel]]&lt;0,Table2[[#This Row],[CurrentStock]]-Table2[[#This Row],[ReorderLevel]],"")</f>
        <v/>
      </c>
      <c r="N620" t="str">
        <f>IF(Table2[[#This Row],[Stock Gap]]&lt;0, "Understock","Okay")</f>
        <v>Okay</v>
      </c>
      <c r="O620" s="13" t="str">
        <f>IF(Table2[[#This Row],[Stock Gap]]&lt;0, "Yes", "No")</f>
        <v>No</v>
      </c>
      <c r="P620" s="13" t="str">
        <f>IF(Table2[[#This Row],[CurrentStock]]&lt;Table2[[#This Row],[ReorderLevel]],"Reorder", "Okay")</f>
        <v>Okay</v>
      </c>
      <c r="Q620" s="13" t="str">
        <f>IF(Table2[[#This Row],[CurrentStock]]&gt;Table2[[#This Row],[ReorderLevel]]*3, "Overstock", "Okay")</f>
        <v>Overstock</v>
      </c>
    </row>
    <row r="621" spans="1:17" x14ac:dyDescent="0.35">
      <c r="A621">
        <v>63775</v>
      </c>
      <c r="B621" t="s">
        <v>14</v>
      </c>
      <c r="C621" t="s">
        <v>28</v>
      </c>
      <c r="D621">
        <v>344</v>
      </c>
      <c r="E621">
        <v>30</v>
      </c>
      <c r="F621" s="2">
        <v>315.35000000000002</v>
      </c>
      <c r="G621" t="s">
        <v>31</v>
      </c>
      <c r="H621" s="1">
        <v>45502</v>
      </c>
      <c r="I621" s="1">
        <v>45531</v>
      </c>
      <c r="J621" t="s">
        <v>36</v>
      </c>
      <c r="K621" s="8">
        <f>Table2[[#This Row],[CurrentStock]]*Table2[[#This Row],[UnitPrice]]</f>
        <v>108480.40000000001</v>
      </c>
      <c r="L621" t="str">
        <f>IF(Table2[[#This Row],[CurrentStock]]&lt;=Table2[[#This Row],[ReorderLevel]], "Reorder Needed", "Okay")</f>
        <v>Okay</v>
      </c>
      <c r="M621" t="str">
        <f>IF(Table2[[#This Row],[CurrentStock]]-Table2[[#This Row],[ReorderLevel]]&lt;0,Table2[[#This Row],[CurrentStock]]-Table2[[#This Row],[ReorderLevel]],"")</f>
        <v/>
      </c>
      <c r="N621" t="str">
        <f>IF(Table2[[#This Row],[Stock Gap]]&lt;0, "Understock","Okay")</f>
        <v>Okay</v>
      </c>
      <c r="O621" s="13" t="str">
        <f>IF(Table2[[#This Row],[Stock Gap]]&lt;0, "Yes", "No")</f>
        <v>No</v>
      </c>
      <c r="P621" s="13" t="str">
        <f>IF(Table2[[#This Row],[CurrentStock]]&lt;Table2[[#This Row],[ReorderLevel]],"Reorder", "Okay")</f>
        <v>Okay</v>
      </c>
      <c r="Q621" s="13" t="str">
        <f>IF(Table2[[#This Row],[CurrentStock]]&gt;Table2[[#This Row],[ReorderLevel]]*3, "Overstock", "Okay")</f>
        <v>Overstock</v>
      </c>
    </row>
    <row r="622" spans="1:17" x14ac:dyDescent="0.35">
      <c r="A622">
        <v>91441</v>
      </c>
      <c r="B622" t="s">
        <v>11</v>
      </c>
      <c r="C622" t="s">
        <v>27</v>
      </c>
      <c r="D622">
        <v>402</v>
      </c>
      <c r="E622">
        <v>20</v>
      </c>
      <c r="F622" s="2">
        <v>138.05000000000001</v>
      </c>
      <c r="G622" t="s">
        <v>34</v>
      </c>
      <c r="H622" s="1">
        <v>45527</v>
      </c>
      <c r="I622" s="1">
        <v>45549</v>
      </c>
      <c r="J622" t="s">
        <v>36</v>
      </c>
      <c r="K622" s="8">
        <f>Table2[[#This Row],[CurrentStock]]*Table2[[#This Row],[UnitPrice]]</f>
        <v>55496.100000000006</v>
      </c>
      <c r="L622" t="str">
        <f>IF(Table2[[#This Row],[CurrentStock]]&lt;=Table2[[#This Row],[ReorderLevel]], "Reorder Needed", "Okay")</f>
        <v>Okay</v>
      </c>
      <c r="M622" t="str">
        <f>IF(Table2[[#This Row],[CurrentStock]]-Table2[[#This Row],[ReorderLevel]]&lt;0,Table2[[#This Row],[CurrentStock]]-Table2[[#This Row],[ReorderLevel]],"")</f>
        <v/>
      </c>
      <c r="N622" t="str">
        <f>IF(Table2[[#This Row],[Stock Gap]]&lt;0, "Understock","Okay")</f>
        <v>Okay</v>
      </c>
      <c r="O622" s="13" t="str">
        <f>IF(Table2[[#This Row],[Stock Gap]]&lt;0, "Yes", "No")</f>
        <v>No</v>
      </c>
      <c r="P622" s="13" t="str">
        <f>IF(Table2[[#This Row],[CurrentStock]]&lt;Table2[[#This Row],[ReorderLevel]],"Reorder", "Okay")</f>
        <v>Okay</v>
      </c>
      <c r="Q622" s="13" t="str">
        <f>IF(Table2[[#This Row],[CurrentStock]]&gt;Table2[[#This Row],[ReorderLevel]]*3, "Overstock", "Okay")</f>
        <v>Overstock</v>
      </c>
    </row>
    <row r="623" spans="1:17" x14ac:dyDescent="0.35">
      <c r="A623">
        <v>76537</v>
      </c>
      <c r="B623" t="s">
        <v>22</v>
      </c>
      <c r="C623" t="s">
        <v>29</v>
      </c>
      <c r="D623">
        <v>20</v>
      </c>
      <c r="E623">
        <v>30</v>
      </c>
      <c r="F623" s="2">
        <v>38.35</v>
      </c>
      <c r="G623" t="s">
        <v>32</v>
      </c>
      <c r="H623" s="1">
        <v>45652</v>
      </c>
      <c r="I623" s="1">
        <v>45687</v>
      </c>
      <c r="J623" t="s">
        <v>38</v>
      </c>
      <c r="K623" s="8">
        <f>Table2[[#This Row],[CurrentStock]]*Table2[[#This Row],[UnitPrice]]</f>
        <v>767</v>
      </c>
      <c r="L623" t="str">
        <f>IF(Table2[[#This Row],[CurrentStock]]&lt;=Table2[[#This Row],[ReorderLevel]], "Reorder Needed", "Okay")</f>
        <v>Reorder Needed</v>
      </c>
      <c r="M623" s="7">
        <f>IF(Table2[[#This Row],[CurrentStock]]-Table2[[#This Row],[ReorderLevel]]&lt;0,Table2[[#This Row],[CurrentStock]]-Table2[[#This Row],[ReorderLevel]],"")</f>
        <v>-10</v>
      </c>
      <c r="N623" t="str">
        <f>IF(Table2[[#This Row],[Stock Gap]]&lt;0, "Understock","Okay")</f>
        <v>Understock</v>
      </c>
      <c r="O623" s="13" t="str">
        <f>IF(Table2[[#This Row],[Stock Gap]]&lt;0, "Yes", "No")</f>
        <v>Yes</v>
      </c>
      <c r="P623" s="13" t="str">
        <f>IF(Table2[[#This Row],[CurrentStock]]&lt;Table2[[#This Row],[ReorderLevel]],"Reorder", "Okay")</f>
        <v>Reorder</v>
      </c>
      <c r="Q623" s="13" t="str">
        <f>IF(Table2[[#This Row],[CurrentStock]]&gt;Table2[[#This Row],[ReorderLevel]]*3, "Overstock", "Okay")</f>
        <v>Okay</v>
      </c>
    </row>
    <row r="624" spans="1:17" x14ac:dyDescent="0.35">
      <c r="A624">
        <v>76727</v>
      </c>
      <c r="B624" t="s">
        <v>11</v>
      </c>
      <c r="C624" t="s">
        <v>27</v>
      </c>
      <c r="D624">
        <v>443</v>
      </c>
      <c r="E624">
        <v>50</v>
      </c>
      <c r="F624" s="2">
        <v>183.39</v>
      </c>
      <c r="G624" t="s">
        <v>34</v>
      </c>
      <c r="H624" s="1">
        <v>45306</v>
      </c>
      <c r="I624" s="1">
        <v>45314</v>
      </c>
      <c r="J624" t="s">
        <v>36</v>
      </c>
      <c r="K624" s="8">
        <f>Table2[[#This Row],[CurrentStock]]*Table2[[#This Row],[UnitPrice]]</f>
        <v>81241.76999999999</v>
      </c>
      <c r="L624" t="str">
        <f>IF(Table2[[#This Row],[CurrentStock]]&lt;=Table2[[#This Row],[ReorderLevel]], "Reorder Needed", "Okay")</f>
        <v>Okay</v>
      </c>
      <c r="M624" t="str">
        <f>IF(Table2[[#This Row],[CurrentStock]]-Table2[[#This Row],[ReorderLevel]]&lt;0,Table2[[#This Row],[CurrentStock]]-Table2[[#This Row],[ReorderLevel]],"")</f>
        <v/>
      </c>
      <c r="N624" t="str">
        <f>IF(Table2[[#This Row],[Stock Gap]]&lt;0, "Understock","Okay")</f>
        <v>Okay</v>
      </c>
      <c r="O624" s="13" t="str">
        <f>IF(Table2[[#This Row],[Stock Gap]]&lt;0, "Yes", "No")</f>
        <v>No</v>
      </c>
      <c r="P624" s="13" t="str">
        <f>IF(Table2[[#This Row],[CurrentStock]]&lt;Table2[[#This Row],[ReorderLevel]],"Reorder", "Okay")</f>
        <v>Okay</v>
      </c>
      <c r="Q624" s="13" t="str">
        <f>IF(Table2[[#This Row],[CurrentStock]]&gt;Table2[[#This Row],[ReorderLevel]]*3, "Overstock", "Okay")</f>
        <v>Overstock</v>
      </c>
    </row>
    <row r="625" spans="1:17" x14ac:dyDescent="0.35">
      <c r="A625">
        <v>13332</v>
      </c>
      <c r="B625" t="s">
        <v>11</v>
      </c>
      <c r="C625" t="s">
        <v>27</v>
      </c>
      <c r="D625">
        <v>387</v>
      </c>
      <c r="E625">
        <v>20</v>
      </c>
      <c r="F625" s="2">
        <v>14.97</v>
      </c>
      <c r="G625" t="s">
        <v>33</v>
      </c>
      <c r="H625" s="1">
        <v>45390</v>
      </c>
      <c r="I625" s="1">
        <v>45399</v>
      </c>
      <c r="J625" t="s">
        <v>37</v>
      </c>
      <c r="K625" s="8">
        <f>Table2[[#This Row],[CurrentStock]]*Table2[[#This Row],[UnitPrice]]</f>
        <v>5793.39</v>
      </c>
      <c r="L625" t="str">
        <f>IF(Table2[[#This Row],[CurrentStock]]&lt;=Table2[[#This Row],[ReorderLevel]], "Reorder Needed", "Okay")</f>
        <v>Okay</v>
      </c>
      <c r="M625" t="str">
        <f>IF(Table2[[#This Row],[CurrentStock]]-Table2[[#This Row],[ReorderLevel]]&lt;0,Table2[[#This Row],[CurrentStock]]-Table2[[#This Row],[ReorderLevel]],"")</f>
        <v/>
      </c>
      <c r="N625" t="str">
        <f>IF(Table2[[#This Row],[Stock Gap]]&lt;0, "Understock","Okay")</f>
        <v>Okay</v>
      </c>
      <c r="O625" s="13" t="str">
        <f>IF(Table2[[#This Row],[Stock Gap]]&lt;0, "Yes", "No")</f>
        <v>No</v>
      </c>
      <c r="P625" s="13" t="str">
        <f>IF(Table2[[#This Row],[CurrentStock]]&lt;Table2[[#This Row],[ReorderLevel]],"Reorder", "Okay")</f>
        <v>Okay</v>
      </c>
      <c r="Q625" s="13" t="str">
        <f>IF(Table2[[#This Row],[CurrentStock]]&gt;Table2[[#This Row],[ReorderLevel]]*3, "Overstock", "Okay")</f>
        <v>Overstock</v>
      </c>
    </row>
    <row r="626" spans="1:17" x14ac:dyDescent="0.35">
      <c r="A626">
        <v>97134</v>
      </c>
      <c r="B626" t="s">
        <v>24</v>
      </c>
      <c r="C626" t="s">
        <v>30</v>
      </c>
      <c r="D626">
        <v>257</v>
      </c>
      <c r="E626">
        <v>80</v>
      </c>
      <c r="F626" s="2">
        <v>466.21</v>
      </c>
      <c r="G626" t="s">
        <v>34</v>
      </c>
      <c r="H626" s="1">
        <v>45400</v>
      </c>
      <c r="I626" s="1">
        <v>45414</v>
      </c>
      <c r="J626" t="s">
        <v>37</v>
      </c>
      <c r="K626" s="8">
        <f>Table2[[#This Row],[CurrentStock]]*Table2[[#This Row],[UnitPrice]]</f>
        <v>119815.97</v>
      </c>
      <c r="L626" t="str">
        <f>IF(Table2[[#This Row],[CurrentStock]]&lt;=Table2[[#This Row],[ReorderLevel]], "Reorder Needed", "Okay")</f>
        <v>Okay</v>
      </c>
      <c r="M626" t="str">
        <f>IF(Table2[[#This Row],[CurrentStock]]-Table2[[#This Row],[ReorderLevel]]&lt;0,Table2[[#This Row],[CurrentStock]]-Table2[[#This Row],[ReorderLevel]],"")</f>
        <v/>
      </c>
      <c r="N626" t="str">
        <f>IF(Table2[[#This Row],[Stock Gap]]&lt;0, "Understock","Okay")</f>
        <v>Okay</v>
      </c>
      <c r="O626" s="13" t="str">
        <f>IF(Table2[[#This Row],[Stock Gap]]&lt;0, "Yes", "No")</f>
        <v>No</v>
      </c>
      <c r="P626" s="13" t="str">
        <f>IF(Table2[[#This Row],[CurrentStock]]&lt;Table2[[#This Row],[ReorderLevel]],"Reorder", "Okay")</f>
        <v>Okay</v>
      </c>
      <c r="Q626" s="13" t="str">
        <f>IF(Table2[[#This Row],[CurrentStock]]&gt;Table2[[#This Row],[ReorderLevel]]*3, "Overstock", "Okay")</f>
        <v>Overstock</v>
      </c>
    </row>
    <row r="627" spans="1:17" x14ac:dyDescent="0.35">
      <c r="A627">
        <v>68531</v>
      </c>
      <c r="B627" t="s">
        <v>11</v>
      </c>
      <c r="C627" t="s">
        <v>27</v>
      </c>
      <c r="D627">
        <v>116</v>
      </c>
      <c r="E627">
        <v>40</v>
      </c>
      <c r="F627" s="2">
        <v>114.22</v>
      </c>
      <c r="G627" t="s">
        <v>35</v>
      </c>
      <c r="H627" s="1">
        <v>45589</v>
      </c>
      <c r="I627" s="1">
        <v>45606</v>
      </c>
      <c r="J627" t="s">
        <v>36</v>
      </c>
      <c r="K627" s="8">
        <f>Table2[[#This Row],[CurrentStock]]*Table2[[#This Row],[UnitPrice]]</f>
        <v>13249.52</v>
      </c>
      <c r="L627" t="str">
        <f>IF(Table2[[#This Row],[CurrentStock]]&lt;=Table2[[#This Row],[ReorderLevel]], "Reorder Needed", "Okay")</f>
        <v>Okay</v>
      </c>
      <c r="M627" t="str">
        <f>IF(Table2[[#This Row],[CurrentStock]]-Table2[[#This Row],[ReorderLevel]]&lt;0,Table2[[#This Row],[CurrentStock]]-Table2[[#This Row],[ReorderLevel]],"")</f>
        <v/>
      </c>
      <c r="N627" t="str">
        <f>IF(Table2[[#This Row],[Stock Gap]]&lt;0, "Understock","Okay")</f>
        <v>Okay</v>
      </c>
      <c r="O627" s="13" t="str">
        <f>IF(Table2[[#This Row],[Stock Gap]]&lt;0, "Yes", "No")</f>
        <v>No</v>
      </c>
      <c r="P627" s="13" t="str">
        <f>IF(Table2[[#This Row],[CurrentStock]]&lt;Table2[[#This Row],[ReorderLevel]],"Reorder", "Okay")</f>
        <v>Okay</v>
      </c>
      <c r="Q627" s="13" t="str">
        <f>IF(Table2[[#This Row],[CurrentStock]]&gt;Table2[[#This Row],[ReorderLevel]]*3, "Overstock", "Okay")</f>
        <v>Okay</v>
      </c>
    </row>
    <row r="628" spans="1:17" x14ac:dyDescent="0.35">
      <c r="A628">
        <v>52598</v>
      </c>
      <c r="B628" t="s">
        <v>23</v>
      </c>
      <c r="C628" t="s">
        <v>30</v>
      </c>
      <c r="D628">
        <v>307</v>
      </c>
      <c r="E628">
        <v>150</v>
      </c>
      <c r="F628" s="2">
        <v>159.74</v>
      </c>
      <c r="G628" t="s">
        <v>35</v>
      </c>
      <c r="H628" s="1">
        <v>45603</v>
      </c>
      <c r="I628" s="1">
        <v>45630</v>
      </c>
      <c r="J628" t="s">
        <v>37</v>
      </c>
      <c r="K628" s="8">
        <f>Table2[[#This Row],[CurrentStock]]*Table2[[#This Row],[UnitPrice]]</f>
        <v>49040.18</v>
      </c>
      <c r="L628" t="str">
        <f>IF(Table2[[#This Row],[CurrentStock]]&lt;=Table2[[#This Row],[ReorderLevel]], "Reorder Needed", "Okay")</f>
        <v>Okay</v>
      </c>
      <c r="M628" t="str">
        <f>IF(Table2[[#This Row],[CurrentStock]]-Table2[[#This Row],[ReorderLevel]]&lt;0,Table2[[#This Row],[CurrentStock]]-Table2[[#This Row],[ReorderLevel]],"")</f>
        <v/>
      </c>
      <c r="N628" t="str">
        <f>IF(Table2[[#This Row],[Stock Gap]]&lt;0, "Understock","Okay")</f>
        <v>Okay</v>
      </c>
      <c r="O628" s="13" t="str">
        <f>IF(Table2[[#This Row],[Stock Gap]]&lt;0, "Yes", "No")</f>
        <v>No</v>
      </c>
      <c r="P628" s="13" t="str">
        <f>IF(Table2[[#This Row],[CurrentStock]]&lt;Table2[[#This Row],[ReorderLevel]],"Reorder", "Okay")</f>
        <v>Okay</v>
      </c>
      <c r="Q628" s="13" t="str">
        <f>IF(Table2[[#This Row],[CurrentStock]]&gt;Table2[[#This Row],[ReorderLevel]]*3, "Overstock", "Okay")</f>
        <v>Okay</v>
      </c>
    </row>
    <row r="629" spans="1:17" x14ac:dyDescent="0.35">
      <c r="A629">
        <v>10798</v>
      </c>
      <c r="B629" t="s">
        <v>22</v>
      </c>
      <c r="C629" t="s">
        <v>29</v>
      </c>
      <c r="D629">
        <v>473</v>
      </c>
      <c r="E629">
        <v>40</v>
      </c>
      <c r="F629" s="2">
        <v>443.71</v>
      </c>
      <c r="G629" t="s">
        <v>32</v>
      </c>
      <c r="H629" s="1">
        <v>45514</v>
      </c>
      <c r="I629" s="1">
        <v>45543</v>
      </c>
      <c r="J629" t="s">
        <v>37</v>
      </c>
      <c r="K629" s="8">
        <f>Table2[[#This Row],[CurrentStock]]*Table2[[#This Row],[UnitPrice]]</f>
        <v>209874.83</v>
      </c>
      <c r="L629" t="str">
        <f>IF(Table2[[#This Row],[CurrentStock]]&lt;=Table2[[#This Row],[ReorderLevel]], "Reorder Needed", "Okay")</f>
        <v>Okay</v>
      </c>
      <c r="M629" t="str">
        <f>IF(Table2[[#This Row],[CurrentStock]]-Table2[[#This Row],[ReorderLevel]]&lt;0,Table2[[#This Row],[CurrentStock]]-Table2[[#This Row],[ReorderLevel]],"")</f>
        <v/>
      </c>
      <c r="N629" t="str">
        <f>IF(Table2[[#This Row],[Stock Gap]]&lt;0, "Understock","Okay")</f>
        <v>Okay</v>
      </c>
      <c r="O629" s="13" t="str">
        <f>IF(Table2[[#This Row],[Stock Gap]]&lt;0, "Yes", "No")</f>
        <v>No</v>
      </c>
      <c r="P629" s="13" t="str">
        <f>IF(Table2[[#This Row],[CurrentStock]]&lt;Table2[[#This Row],[ReorderLevel]],"Reorder", "Okay")</f>
        <v>Okay</v>
      </c>
      <c r="Q629" s="13" t="str">
        <f>IF(Table2[[#This Row],[CurrentStock]]&gt;Table2[[#This Row],[ReorderLevel]]*3, "Overstock", "Okay")</f>
        <v>Overstock</v>
      </c>
    </row>
    <row r="630" spans="1:17" x14ac:dyDescent="0.35">
      <c r="A630">
        <v>11129</v>
      </c>
      <c r="B630" t="s">
        <v>17</v>
      </c>
      <c r="C630" t="s">
        <v>27</v>
      </c>
      <c r="D630">
        <v>129</v>
      </c>
      <c r="E630">
        <v>20</v>
      </c>
      <c r="F630" s="2">
        <v>366.01</v>
      </c>
      <c r="G630" t="s">
        <v>31</v>
      </c>
      <c r="H630" s="1">
        <v>45650</v>
      </c>
      <c r="I630" s="1">
        <v>45682</v>
      </c>
      <c r="J630" t="s">
        <v>38</v>
      </c>
      <c r="K630" s="8">
        <f>Table2[[#This Row],[CurrentStock]]*Table2[[#This Row],[UnitPrice]]</f>
        <v>47215.29</v>
      </c>
      <c r="L630" t="str">
        <f>IF(Table2[[#This Row],[CurrentStock]]&lt;=Table2[[#This Row],[ReorderLevel]], "Reorder Needed", "Okay")</f>
        <v>Okay</v>
      </c>
      <c r="M630" t="str">
        <f>IF(Table2[[#This Row],[CurrentStock]]-Table2[[#This Row],[ReorderLevel]]&lt;0,Table2[[#This Row],[CurrentStock]]-Table2[[#This Row],[ReorderLevel]],"")</f>
        <v/>
      </c>
      <c r="N630" t="str">
        <f>IF(Table2[[#This Row],[Stock Gap]]&lt;0, "Understock","Okay")</f>
        <v>Okay</v>
      </c>
      <c r="O630" s="13" t="str">
        <f>IF(Table2[[#This Row],[Stock Gap]]&lt;0, "Yes", "No")</f>
        <v>No</v>
      </c>
      <c r="P630" s="13" t="str">
        <f>IF(Table2[[#This Row],[CurrentStock]]&lt;Table2[[#This Row],[ReorderLevel]],"Reorder", "Okay")</f>
        <v>Okay</v>
      </c>
      <c r="Q630" s="13" t="str">
        <f>IF(Table2[[#This Row],[CurrentStock]]&gt;Table2[[#This Row],[ReorderLevel]]*3, "Overstock", "Okay")</f>
        <v>Overstock</v>
      </c>
    </row>
    <row r="631" spans="1:17" x14ac:dyDescent="0.35">
      <c r="A631">
        <v>49867</v>
      </c>
      <c r="B631" t="s">
        <v>14</v>
      </c>
      <c r="C631" t="s">
        <v>28</v>
      </c>
      <c r="D631">
        <v>74</v>
      </c>
      <c r="E631">
        <v>100</v>
      </c>
      <c r="F631" s="2">
        <v>160.07</v>
      </c>
      <c r="G631" t="s">
        <v>31</v>
      </c>
      <c r="H631" s="1">
        <v>45616</v>
      </c>
      <c r="I631" s="1">
        <v>45639</v>
      </c>
      <c r="J631" t="s">
        <v>38</v>
      </c>
      <c r="K631" s="8">
        <f>Table2[[#This Row],[CurrentStock]]*Table2[[#This Row],[UnitPrice]]</f>
        <v>11845.18</v>
      </c>
      <c r="L631" t="str">
        <f>IF(Table2[[#This Row],[CurrentStock]]&lt;=Table2[[#This Row],[ReorderLevel]], "Reorder Needed", "Okay")</f>
        <v>Reorder Needed</v>
      </c>
      <c r="M631" s="7">
        <f>IF(Table2[[#This Row],[CurrentStock]]-Table2[[#This Row],[ReorderLevel]]&lt;0,Table2[[#This Row],[CurrentStock]]-Table2[[#This Row],[ReorderLevel]],"")</f>
        <v>-26</v>
      </c>
      <c r="N631" t="str">
        <f>IF(Table2[[#This Row],[Stock Gap]]&lt;0, "Understock","Okay")</f>
        <v>Understock</v>
      </c>
      <c r="O631" s="13" t="str">
        <f>IF(Table2[[#This Row],[Stock Gap]]&lt;0, "Yes", "No")</f>
        <v>Yes</v>
      </c>
      <c r="P631" s="13" t="str">
        <f>IF(Table2[[#This Row],[CurrentStock]]&lt;Table2[[#This Row],[ReorderLevel]],"Reorder", "Okay")</f>
        <v>Reorder</v>
      </c>
      <c r="Q631" s="13" t="str">
        <f>IF(Table2[[#This Row],[CurrentStock]]&gt;Table2[[#This Row],[ReorderLevel]]*3, "Overstock", "Okay")</f>
        <v>Okay</v>
      </c>
    </row>
    <row r="632" spans="1:17" x14ac:dyDescent="0.35">
      <c r="A632">
        <v>66240</v>
      </c>
      <c r="B632" t="s">
        <v>18</v>
      </c>
      <c r="C632" t="s">
        <v>27</v>
      </c>
      <c r="D632">
        <v>216</v>
      </c>
      <c r="E632">
        <v>50</v>
      </c>
      <c r="F632" s="2">
        <v>449.01</v>
      </c>
      <c r="G632" t="s">
        <v>31</v>
      </c>
      <c r="H632" s="1">
        <v>45474</v>
      </c>
      <c r="I632" s="1">
        <v>45492</v>
      </c>
      <c r="J632" t="s">
        <v>38</v>
      </c>
      <c r="K632" s="8">
        <f>Table2[[#This Row],[CurrentStock]]*Table2[[#This Row],[UnitPrice]]</f>
        <v>96986.16</v>
      </c>
      <c r="L632" t="str">
        <f>IF(Table2[[#This Row],[CurrentStock]]&lt;=Table2[[#This Row],[ReorderLevel]], "Reorder Needed", "Okay")</f>
        <v>Okay</v>
      </c>
      <c r="M632" t="str">
        <f>IF(Table2[[#This Row],[CurrentStock]]-Table2[[#This Row],[ReorderLevel]]&lt;0,Table2[[#This Row],[CurrentStock]]-Table2[[#This Row],[ReorderLevel]],"")</f>
        <v/>
      </c>
      <c r="N632" t="str">
        <f>IF(Table2[[#This Row],[Stock Gap]]&lt;0, "Understock","Okay")</f>
        <v>Okay</v>
      </c>
      <c r="O632" s="13" t="str">
        <f>IF(Table2[[#This Row],[Stock Gap]]&lt;0, "Yes", "No")</f>
        <v>No</v>
      </c>
      <c r="P632" s="13" t="str">
        <f>IF(Table2[[#This Row],[CurrentStock]]&lt;Table2[[#This Row],[ReorderLevel]],"Reorder", "Okay")</f>
        <v>Okay</v>
      </c>
      <c r="Q632" s="13" t="str">
        <f>IF(Table2[[#This Row],[CurrentStock]]&gt;Table2[[#This Row],[ReorderLevel]]*3, "Overstock", "Okay")</f>
        <v>Overstock</v>
      </c>
    </row>
    <row r="633" spans="1:17" x14ac:dyDescent="0.35">
      <c r="A633">
        <v>46561</v>
      </c>
      <c r="B633" t="s">
        <v>21</v>
      </c>
      <c r="C633" t="s">
        <v>26</v>
      </c>
      <c r="D633">
        <v>29</v>
      </c>
      <c r="E633">
        <v>40</v>
      </c>
      <c r="F633" s="2">
        <v>395.05</v>
      </c>
      <c r="G633" t="s">
        <v>33</v>
      </c>
      <c r="H633" s="1">
        <v>45435</v>
      </c>
      <c r="I633" s="1">
        <v>45447</v>
      </c>
      <c r="J633" t="s">
        <v>37</v>
      </c>
      <c r="K633" s="8">
        <f>Table2[[#This Row],[CurrentStock]]*Table2[[#This Row],[UnitPrice]]</f>
        <v>11456.45</v>
      </c>
      <c r="L633" t="str">
        <f>IF(Table2[[#This Row],[CurrentStock]]&lt;=Table2[[#This Row],[ReorderLevel]], "Reorder Needed", "Okay")</f>
        <v>Reorder Needed</v>
      </c>
      <c r="M633" s="7">
        <f>IF(Table2[[#This Row],[CurrentStock]]-Table2[[#This Row],[ReorderLevel]]&lt;0,Table2[[#This Row],[CurrentStock]]-Table2[[#This Row],[ReorderLevel]],"")</f>
        <v>-11</v>
      </c>
      <c r="N633" t="str">
        <f>IF(Table2[[#This Row],[Stock Gap]]&lt;0, "Understock","Okay")</f>
        <v>Understock</v>
      </c>
      <c r="O633" s="13" t="str">
        <f>IF(Table2[[#This Row],[Stock Gap]]&lt;0, "Yes", "No")</f>
        <v>Yes</v>
      </c>
      <c r="P633" s="13" t="str">
        <f>IF(Table2[[#This Row],[CurrentStock]]&lt;Table2[[#This Row],[ReorderLevel]],"Reorder", "Okay")</f>
        <v>Reorder</v>
      </c>
      <c r="Q633" s="13" t="str">
        <f>IF(Table2[[#This Row],[CurrentStock]]&gt;Table2[[#This Row],[ReorderLevel]]*3, "Overstock", "Okay")</f>
        <v>Okay</v>
      </c>
    </row>
    <row r="634" spans="1:17" x14ac:dyDescent="0.35">
      <c r="A634">
        <v>20785</v>
      </c>
      <c r="B634" t="s">
        <v>23</v>
      </c>
      <c r="C634" t="s">
        <v>30</v>
      </c>
      <c r="D634">
        <v>190</v>
      </c>
      <c r="E634">
        <v>80</v>
      </c>
      <c r="F634" s="2">
        <v>430.06</v>
      </c>
      <c r="G634" t="s">
        <v>33</v>
      </c>
      <c r="H634" s="1">
        <v>45446</v>
      </c>
      <c r="I634" s="1">
        <v>45460</v>
      </c>
      <c r="J634" t="s">
        <v>36</v>
      </c>
      <c r="K634" s="8">
        <f>Table2[[#This Row],[CurrentStock]]*Table2[[#This Row],[UnitPrice]]</f>
        <v>81711.399999999994</v>
      </c>
      <c r="L634" t="str">
        <f>IF(Table2[[#This Row],[CurrentStock]]&lt;=Table2[[#This Row],[ReorderLevel]], "Reorder Needed", "Okay")</f>
        <v>Okay</v>
      </c>
      <c r="M634" t="str">
        <f>IF(Table2[[#This Row],[CurrentStock]]-Table2[[#This Row],[ReorderLevel]]&lt;0,Table2[[#This Row],[CurrentStock]]-Table2[[#This Row],[ReorderLevel]],"")</f>
        <v/>
      </c>
      <c r="N634" t="str">
        <f>IF(Table2[[#This Row],[Stock Gap]]&lt;0, "Understock","Okay")</f>
        <v>Okay</v>
      </c>
      <c r="O634" s="13" t="str">
        <f>IF(Table2[[#This Row],[Stock Gap]]&lt;0, "Yes", "No")</f>
        <v>No</v>
      </c>
      <c r="P634" s="13" t="str">
        <f>IF(Table2[[#This Row],[CurrentStock]]&lt;Table2[[#This Row],[ReorderLevel]],"Reorder", "Okay")</f>
        <v>Okay</v>
      </c>
      <c r="Q634" s="13" t="str">
        <f>IF(Table2[[#This Row],[CurrentStock]]&gt;Table2[[#This Row],[ReorderLevel]]*3, "Overstock", "Okay")</f>
        <v>Okay</v>
      </c>
    </row>
    <row r="635" spans="1:17" x14ac:dyDescent="0.35">
      <c r="A635">
        <v>86106</v>
      </c>
      <c r="B635" t="s">
        <v>24</v>
      </c>
      <c r="C635" t="s">
        <v>30</v>
      </c>
      <c r="D635">
        <v>133</v>
      </c>
      <c r="E635">
        <v>80</v>
      </c>
      <c r="F635" s="2">
        <v>167.44</v>
      </c>
      <c r="G635" t="s">
        <v>32</v>
      </c>
      <c r="H635" s="1">
        <v>45628</v>
      </c>
      <c r="I635" s="1">
        <v>45656</v>
      </c>
      <c r="J635" t="s">
        <v>37</v>
      </c>
      <c r="K635" s="8">
        <f>Table2[[#This Row],[CurrentStock]]*Table2[[#This Row],[UnitPrice]]</f>
        <v>22269.52</v>
      </c>
      <c r="L635" t="str">
        <f>IF(Table2[[#This Row],[CurrentStock]]&lt;=Table2[[#This Row],[ReorderLevel]], "Reorder Needed", "Okay")</f>
        <v>Okay</v>
      </c>
      <c r="M635" t="str">
        <f>IF(Table2[[#This Row],[CurrentStock]]-Table2[[#This Row],[ReorderLevel]]&lt;0,Table2[[#This Row],[CurrentStock]]-Table2[[#This Row],[ReorderLevel]],"")</f>
        <v/>
      </c>
      <c r="N635" t="str">
        <f>IF(Table2[[#This Row],[Stock Gap]]&lt;0, "Understock","Okay")</f>
        <v>Okay</v>
      </c>
      <c r="O635" s="13" t="str">
        <f>IF(Table2[[#This Row],[Stock Gap]]&lt;0, "Yes", "No")</f>
        <v>No</v>
      </c>
      <c r="P635" s="13" t="str">
        <f>IF(Table2[[#This Row],[CurrentStock]]&lt;Table2[[#This Row],[ReorderLevel]],"Reorder", "Okay")</f>
        <v>Okay</v>
      </c>
      <c r="Q635" s="13" t="str">
        <f>IF(Table2[[#This Row],[CurrentStock]]&gt;Table2[[#This Row],[ReorderLevel]]*3, "Overstock", "Okay")</f>
        <v>Okay</v>
      </c>
    </row>
    <row r="636" spans="1:17" x14ac:dyDescent="0.35">
      <c r="A636">
        <v>33474</v>
      </c>
      <c r="B636" t="s">
        <v>14</v>
      </c>
      <c r="C636" t="s">
        <v>28</v>
      </c>
      <c r="D636">
        <v>481</v>
      </c>
      <c r="E636">
        <v>50</v>
      </c>
      <c r="F636" s="2">
        <v>402.19</v>
      </c>
      <c r="G636" t="s">
        <v>32</v>
      </c>
      <c r="H636" s="1">
        <v>45457</v>
      </c>
      <c r="I636" s="1">
        <v>45475</v>
      </c>
      <c r="J636" t="s">
        <v>36</v>
      </c>
      <c r="K636" s="8">
        <f>Table2[[#This Row],[CurrentStock]]*Table2[[#This Row],[UnitPrice]]</f>
        <v>193453.38999999998</v>
      </c>
      <c r="L636" t="str">
        <f>IF(Table2[[#This Row],[CurrentStock]]&lt;=Table2[[#This Row],[ReorderLevel]], "Reorder Needed", "Okay")</f>
        <v>Okay</v>
      </c>
      <c r="M636" t="str">
        <f>IF(Table2[[#This Row],[CurrentStock]]-Table2[[#This Row],[ReorderLevel]]&lt;0,Table2[[#This Row],[CurrentStock]]-Table2[[#This Row],[ReorderLevel]],"")</f>
        <v/>
      </c>
      <c r="N636" t="str">
        <f>IF(Table2[[#This Row],[Stock Gap]]&lt;0, "Understock","Okay")</f>
        <v>Okay</v>
      </c>
      <c r="O636" s="13" t="str">
        <f>IF(Table2[[#This Row],[Stock Gap]]&lt;0, "Yes", "No")</f>
        <v>No</v>
      </c>
      <c r="P636" s="13" t="str">
        <f>IF(Table2[[#This Row],[CurrentStock]]&lt;Table2[[#This Row],[ReorderLevel]],"Reorder", "Okay")</f>
        <v>Okay</v>
      </c>
      <c r="Q636" s="13" t="str">
        <f>IF(Table2[[#This Row],[CurrentStock]]&gt;Table2[[#This Row],[ReorderLevel]]*3, "Overstock", "Okay")</f>
        <v>Overstock</v>
      </c>
    </row>
    <row r="637" spans="1:17" x14ac:dyDescent="0.35">
      <c r="A637">
        <v>12716</v>
      </c>
      <c r="B637" t="s">
        <v>12</v>
      </c>
      <c r="C637" t="s">
        <v>28</v>
      </c>
      <c r="D637">
        <v>275</v>
      </c>
      <c r="E637">
        <v>100</v>
      </c>
      <c r="F637" s="2">
        <v>429.96</v>
      </c>
      <c r="G637" t="s">
        <v>33</v>
      </c>
      <c r="H637" s="1">
        <v>45400</v>
      </c>
      <c r="I637" s="1">
        <v>45405</v>
      </c>
      <c r="J637" t="s">
        <v>37</v>
      </c>
      <c r="K637" s="8">
        <f>Table2[[#This Row],[CurrentStock]]*Table2[[#This Row],[UnitPrice]]</f>
        <v>118239</v>
      </c>
      <c r="L637" t="str">
        <f>IF(Table2[[#This Row],[CurrentStock]]&lt;=Table2[[#This Row],[ReorderLevel]], "Reorder Needed", "Okay")</f>
        <v>Okay</v>
      </c>
      <c r="M637" t="str">
        <f>IF(Table2[[#This Row],[CurrentStock]]-Table2[[#This Row],[ReorderLevel]]&lt;0,Table2[[#This Row],[CurrentStock]]-Table2[[#This Row],[ReorderLevel]],"")</f>
        <v/>
      </c>
      <c r="N637" t="str">
        <f>IF(Table2[[#This Row],[Stock Gap]]&lt;0, "Understock","Okay")</f>
        <v>Okay</v>
      </c>
      <c r="O637" s="13" t="str">
        <f>IF(Table2[[#This Row],[Stock Gap]]&lt;0, "Yes", "No")</f>
        <v>No</v>
      </c>
      <c r="P637" s="13" t="str">
        <f>IF(Table2[[#This Row],[CurrentStock]]&lt;Table2[[#This Row],[ReorderLevel]],"Reorder", "Okay")</f>
        <v>Okay</v>
      </c>
      <c r="Q637" s="13" t="str">
        <f>IF(Table2[[#This Row],[CurrentStock]]&gt;Table2[[#This Row],[ReorderLevel]]*3, "Overstock", "Okay")</f>
        <v>Okay</v>
      </c>
    </row>
    <row r="638" spans="1:17" x14ac:dyDescent="0.35">
      <c r="A638">
        <v>60906</v>
      </c>
      <c r="B638" t="s">
        <v>12</v>
      </c>
      <c r="C638" t="s">
        <v>28</v>
      </c>
      <c r="D638">
        <v>245</v>
      </c>
      <c r="E638">
        <v>80</v>
      </c>
      <c r="F638" s="2">
        <v>31.55</v>
      </c>
      <c r="G638" t="s">
        <v>33</v>
      </c>
      <c r="H638" s="1">
        <v>45574</v>
      </c>
      <c r="I638" s="1">
        <v>45579</v>
      </c>
      <c r="J638" t="s">
        <v>37</v>
      </c>
      <c r="K638" s="8">
        <f>Table2[[#This Row],[CurrentStock]]*Table2[[#This Row],[UnitPrice]]</f>
        <v>7729.75</v>
      </c>
      <c r="L638" t="str">
        <f>IF(Table2[[#This Row],[CurrentStock]]&lt;=Table2[[#This Row],[ReorderLevel]], "Reorder Needed", "Okay")</f>
        <v>Okay</v>
      </c>
      <c r="M638" t="str">
        <f>IF(Table2[[#This Row],[CurrentStock]]-Table2[[#This Row],[ReorderLevel]]&lt;0,Table2[[#This Row],[CurrentStock]]-Table2[[#This Row],[ReorderLevel]],"")</f>
        <v/>
      </c>
      <c r="N638" t="str">
        <f>IF(Table2[[#This Row],[Stock Gap]]&lt;0, "Understock","Okay")</f>
        <v>Okay</v>
      </c>
      <c r="O638" s="13" t="str">
        <f>IF(Table2[[#This Row],[Stock Gap]]&lt;0, "Yes", "No")</f>
        <v>No</v>
      </c>
      <c r="P638" s="13" t="str">
        <f>IF(Table2[[#This Row],[CurrentStock]]&lt;Table2[[#This Row],[ReorderLevel]],"Reorder", "Okay")</f>
        <v>Okay</v>
      </c>
      <c r="Q638" s="13" t="str">
        <f>IF(Table2[[#This Row],[CurrentStock]]&gt;Table2[[#This Row],[ReorderLevel]]*3, "Overstock", "Okay")</f>
        <v>Overstock</v>
      </c>
    </row>
    <row r="639" spans="1:17" x14ac:dyDescent="0.35">
      <c r="A639">
        <v>21695</v>
      </c>
      <c r="B639" t="s">
        <v>18</v>
      </c>
      <c r="C639" t="s">
        <v>27</v>
      </c>
      <c r="D639">
        <v>330</v>
      </c>
      <c r="E639">
        <v>30</v>
      </c>
      <c r="F639" s="2">
        <v>276.70999999999998</v>
      </c>
      <c r="G639" t="s">
        <v>35</v>
      </c>
      <c r="H639" s="1">
        <v>45469</v>
      </c>
      <c r="I639" s="1">
        <v>45490</v>
      </c>
      <c r="J639" t="s">
        <v>37</v>
      </c>
      <c r="K639" s="8">
        <f>Table2[[#This Row],[CurrentStock]]*Table2[[#This Row],[UnitPrice]]</f>
        <v>91314.299999999988</v>
      </c>
      <c r="L639" t="str">
        <f>IF(Table2[[#This Row],[CurrentStock]]&lt;=Table2[[#This Row],[ReorderLevel]], "Reorder Needed", "Okay")</f>
        <v>Okay</v>
      </c>
      <c r="M639" t="str">
        <f>IF(Table2[[#This Row],[CurrentStock]]-Table2[[#This Row],[ReorderLevel]]&lt;0,Table2[[#This Row],[CurrentStock]]-Table2[[#This Row],[ReorderLevel]],"")</f>
        <v/>
      </c>
      <c r="N639" t="str">
        <f>IF(Table2[[#This Row],[Stock Gap]]&lt;0, "Understock","Okay")</f>
        <v>Okay</v>
      </c>
      <c r="O639" s="13" t="str">
        <f>IF(Table2[[#This Row],[Stock Gap]]&lt;0, "Yes", "No")</f>
        <v>No</v>
      </c>
      <c r="P639" s="13" t="str">
        <f>IF(Table2[[#This Row],[CurrentStock]]&lt;Table2[[#This Row],[ReorderLevel]],"Reorder", "Okay")</f>
        <v>Okay</v>
      </c>
      <c r="Q639" s="13" t="str">
        <f>IF(Table2[[#This Row],[CurrentStock]]&gt;Table2[[#This Row],[ReorderLevel]]*3, "Overstock", "Okay")</f>
        <v>Overstock</v>
      </c>
    </row>
    <row r="640" spans="1:17" x14ac:dyDescent="0.35">
      <c r="A640">
        <v>40480</v>
      </c>
      <c r="B640" t="s">
        <v>21</v>
      </c>
      <c r="C640" t="s">
        <v>26</v>
      </c>
      <c r="D640">
        <v>445</v>
      </c>
      <c r="E640">
        <v>40</v>
      </c>
      <c r="F640" s="2">
        <v>420.23</v>
      </c>
      <c r="G640" t="s">
        <v>33</v>
      </c>
      <c r="H640" s="1">
        <v>45544</v>
      </c>
      <c r="I640" s="1">
        <v>45579</v>
      </c>
      <c r="J640" t="s">
        <v>37</v>
      </c>
      <c r="K640" s="8">
        <f>Table2[[#This Row],[CurrentStock]]*Table2[[#This Row],[UnitPrice]]</f>
        <v>187002.35</v>
      </c>
      <c r="L640" t="str">
        <f>IF(Table2[[#This Row],[CurrentStock]]&lt;=Table2[[#This Row],[ReorderLevel]], "Reorder Needed", "Okay")</f>
        <v>Okay</v>
      </c>
      <c r="M640" t="str">
        <f>IF(Table2[[#This Row],[CurrentStock]]-Table2[[#This Row],[ReorderLevel]]&lt;0,Table2[[#This Row],[CurrentStock]]-Table2[[#This Row],[ReorderLevel]],"")</f>
        <v/>
      </c>
      <c r="N640" t="str">
        <f>IF(Table2[[#This Row],[Stock Gap]]&lt;0, "Understock","Okay")</f>
        <v>Okay</v>
      </c>
      <c r="O640" s="13" t="str">
        <f>IF(Table2[[#This Row],[Stock Gap]]&lt;0, "Yes", "No")</f>
        <v>No</v>
      </c>
      <c r="P640" s="13" t="str">
        <f>IF(Table2[[#This Row],[CurrentStock]]&lt;Table2[[#This Row],[ReorderLevel]],"Reorder", "Okay")</f>
        <v>Okay</v>
      </c>
      <c r="Q640" s="13" t="str">
        <f>IF(Table2[[#This Row],[CurrentStock]]&gt;Table2[[#This Row],[ReorderLevel]]*3, "Overstock", "Okay")</f>
        <v>Overstock</v>
      </c>
    </row>
    <row r="641" spans="1:17" x14ac:dyDescent="0.35">
      <c r="A641">
        <v>47425</v>
      </c>
      <c r="B641" t="s">
        <v>20</v>
      </c>
      <c r="C641" t="s">
        <v>30</v>
      </c>
      <c r="D641">
        <v>205</v>
      </c>
      <c r="E641">
        <v>30</v>
      </c>
      <c r="F641" s="2">
        <v>28.36</v>
      </c>
      <c r="G641" t="s">
        <v>33</v>
      </c>
      <c r="H641" s="1">
        <v>45361</v>
      </c>
      <c r="I641" s="1">
        <v>45392</v>
      </c>
      <c r="J641" t="s">
        <v>37</v>
      </c>
      <c r="K641" s="8">
        <f>Table2[[#This Row],[CurrentStock]]*Table2[[#This Row],[UnitPrice]]</f>
        <v>5813.8</v>
      </c>
      <c r="L641" t="str">
        <f>IF(Table2[[#This Row],[CurrentStock]]&lt;=Table2[[#This Row],[ReorderLevel]], "Reorder Needed", "Okay")</f>
        <v>Okay</v>
      </c>
      <c r="M641" t="str">
        <f>IF(Table2[[#This Row],[CurrentStock]]-Table2[[#This Row],[ReorderLevel]]&lt;0,Table2[[#This Row],[CurrentStock]]-Table2[[#This Row],[ReorderLevel]],"")</f>
        <v/>
      </c>
      <c r="N641" t="str">
        <f>IF(Table2[[#This Row],[Stock Gap]]&lt;0, "Understock","Okay")</f>
        <v>Okay</v>
      </c>
      <c r="O641" s="13" t="str">
        <f>IF(Table2[[#This Row],[Stock Gap]]&lt;0, "Yes", "No")</f>
        <v>No</v>
      </c>
      <c r="P641" s="13" t="str">
        <f>IF(Table2[[#This Row],[CurrentStock]]&lt;Table2[[#This Row],[ReorderLevel]],"Reorder", "Okay")</f>
        <v>Okay</v>
      </c>
      <c r="Q641" s="13" t="str">
        <f>IF(Table2[[#This Row],[CurrentStock]]&gt;Table2[[#This Row],[ReorderLevel]]*3, "Overstock", "Okay")</f>
        <v>Overstock</v>
      </c>
    </row>
    <row r="642" spans="1:17" x14ac:dyDescent="0.35">
      <c r="A642">
        <v>25581</v>
      </c>
      <c r="B642" t="s">
        <v>14</v>
      </c>
      <c r="C642" t="s">
        <v>28</v>
      </c>
      <c r="D642">
        <v>46</v>
      </c>
      <c r="E642">
        <v>80</v>
      </c>
      <c r="F642" s="2">
        <v>152.63999999999999</v>
      </c>
      <c r="G642" t="s">
        <v>33</v>
      </c>
      <c r="H642" s="1">
        <v>45643</v>
      </c>
      <c r="I642" s="1">
        <v>45679</v>
      </c>
      <c r="J642" t="s">
        <v>36</v>
      </c>
      <c r="K642" s="8">
        <f>Table2[[#This Row],[CurrentStock]]*Table2[[#This Row],[UnitPrice]]</f>
        <v>7021.44</v>
      </c>
      <c r="L642" t="str">
        <f>IF(Table2[[#This Row],[CurrentStock]]&lt;=Table2[[#This Row],[ReorderLevel]], "Reorder Needed", "Okay")</f>
        <v>Reorder Needed</v>
      </c>
      <c r="M642" s="7">
        <f>IF(Table2[[#This Row],[CurrentStock]]-Table2[[#This Row],[ReorderLevel]]&lt;0,Table2[[#This Row],[CurrentStock]]-Table2[[#This Row],[ReorderLevel]],"")</f>
        <v>-34</v>
      </c>
      <c r="N642" t="str">
        <f>IF(Table2[[#This Row],[Stock Gap]]&lt;0, "Understock","Okay")</f>
        <v>Understock</v>
      </c>
      <c r="O642" s="13" t="str">
        <f>IF(Table2[[#This Row],[Stock Gap]]&lt;0, "Yes", "No")</f>
        <v>Yes</v>
      </c>
      <c r="P642" s="13" t="str">
        <f>IF(Table2[[#This Row],[CurrentStock]]&lt;Table2[[#This Row],[ReorderLevel]],"Reorder", "Okay")</f>
        <v>Reorder</v>
      </c>
      <c r="Q642" s="13" t="str">
        <f>IF(Table2[[#This Row],[CurrentStock]]&gt;Table2[[#This Row],[ReorderLevel]]*3, "Overstock", "Okay")</f>
        <v>Okay</v>
      </c>
    </row>
    <row r="643" spans="1:17" x14ac:dyDescent="0.35">
      <c r="A643">
        <v>33649</v>
      </c>
      <c r="B643" t="s">
        <v>25</v>
      </c>
      <c r="C643" t="s">
        <v>29</v>
      </c>
      <c r="D643">
        <v>33</v>
      </c>
      <c r="E643">
        <v>100</v>
      </c>
      <c r="F643" s="2">
        <v>131.54</v>
      </c>
      <c r="G643" t="s">
        <v>32</v>
      </c>
      <c r="H643" s="1">
        <v>45625</v>
      </c>
      <c r="I643" s="1">
        <v>45658</v>
      </c>
      <c r="J643" t="s">
        <v>38</v>
      </c>
      <c r="K643" s="8">
        <f>Table2[[#This Row],[CurrentStock]]*Table2[[#This Row],[UnitPrice]]</f>
        <v>4340.82</v>
      </c>
      <c r="L643" t="str">
        <f>IF(Table2[[#This Row],[CurrentStock]]&lt;=Table2[[#This Row],[ReorderLevel]], "Reorder Needed", "Okay")</f>
        <v>Reorder Needed</v>
      </c>
      <c r="M643" s="7">
        <f>IF(Table2[[#This Row],[CurrentStock]]-Table2[[#This Row],[ReorderLevel]]&lt;0,Table2[[#This Row],[CurrentStock]]-Table2[[#This Row],[ReorderLevel]],"")</f>
        <v>-67</v>
      </c>
      <c r="N643" t="str">
        <f>IF(Table2[[#This Row],[Stock Gap]]&lt;0, "Understock","Okay")</f>
        <v>Understock</v>
      </c>
      <c r="O643" s="13" t="str">
        <f>IF(Table2[[#This Row],[Stock Gap]]&lt;0, "Yes", "No")</f>
        <v>Yes</v>
      </c>
      <c r="P643" s="13" t="str">
        <f>IF(Table2[[#This Row],[CurrentStock]]&lt;Table2[[#This Row],[ReorderLevel]],"Reorder", "Okay")</f>
        <v>Reorder</v>
      </c>
      <c r="Q643" s="13" t="str">
        <f>IF(Table2[[#This Row],[CurrentStock]]&gt;Table2[[#This Row],[ReorderLevel]]*3, "Overstock", "Okay")</f>
        <v>Okay</v>
      </c>
    </row>
    <row r="644" spans="1:17" x14ac:dyDescent="0.35">
      <c r="A644">
        <v>24645</v>
      </c>
      <c r="B644" t="s">
        <v>15</v>
      </c>
      <c r="C644" t="s">
        <v>29</v>
      </c>
      <c r="D644">
        <v>414</v>
      </c>
      <c r="E644">
        <v>80</v>
      </c>
      <c r="F644" s="2">
        <v>210.85</v>
      </c>
      <c r="G644" t="s">
        <v>32</v>
      </c>
      <c r="H644" s="1">
        <v>45305</v>
      </c>
      <c r="I644" s="1">
        <v>45317</v>
      </c>
      <c r="J644" t="s">
        <v>36</v>
      </c>
      <c r="K644" s="8">
        <f>Table2[[#This Row],[CurrentStock]]*Table2[[#This Row],[UnitPrice]]</f>
        <v>87291.9</v>
      </c>
      <c r="L644" t="str">
        <f>IF(Table2[[#This Row],[CurrentStock]]&lt;=Table2[[#This Row],[ReorderLevel]], "Reorder Needed", "Okay")</f>
        <v>Okay</v>
      </c>
      <c r="M644" t="str">
        <f>IF(Table2[[#This Row],[CurrentStock]]-Table2[[#This Row],[ReorderLevel]]&lt;0,Table2[[#This Row],[CurrentStock]]-Table2[[#This Row],[ReorderLevel]],"")</f>
        <v/>
      </c>
      <c r="N644" t="str">
        <f>IF(Table2[[#This Row],[Stock Gap]]&lt;0, "Understock","Okay")</f>
        <v>Okay</v>
      </c>
      <c r="O644" s="13" t="str">
        <f>IF(Table2[[#This Row],[Stock Gap]]&lt;0, "Yes", "No")</f>
        <v>No</v>
      </c>
      <c r="P644" s="13" t="str">
        <f>IF(Table2[[#This Row],[CurrentStock]]&lt;Table2[[#This Row],[ReorderLevel]],"Reorder", "Okay")</f>
        <v>Okay</v>
      </c>
      <c r="Q644" s="13" t="str">
        <f>IF(Table2[[#This Row],[CurrentStock]]&gt;Table2[[#This Row],[ReorderLevel]]*3, "Overstock", "Okay")</f>
        <v>Overstock</v>
      </c>
    </row>
    <row r="645" spans="1:17" x14ac:dyDescent="0.35">
      <c r="A645">
        <v>24626</v>
      </c>
      <c r="B645" t="s">
        <v>22</v>
      </c>
      <c r="C645" t="s">
        <v>29</v>
      </c>
      <c r="D645">
        <v>88</v>
      </c>
      <c r="E645">
        <v>100</v>
      </c>
      <c r="F645" s="2">
        <v>210.5</v>
      </c>
      <c r="G645" t="s">
        <v>35</v>
      </c>
      <c r="H645" s="1">
        <v>45376</v>
      </c>
      <c r="I645" s="1">
        <v>45402</v>
      </c>
      <c r="J645" t="s">
        <v>38</v>
      </c>
      <c r="K645" s="8">
        <f>Table2[[#This Row],[CurrentStock]]*Table2[[#This Row],[UnitPrice]]</f>
        <v>18524</v>
      </c>
      <c r="L645" t="str">
        <f>IF(Table2[[#This Row],[CurrentStock]]&lt;=Table2[[#This Row],[ReorderLevel]], "Reorder Needed", "Okay")</f>
        <v>Reorder Needed</v>
      </c>
      <c r="M645" s="7">
        <f>IF(Table2[[#This Row],[CurrentStock]]-Table2[[#This Row],[ReorderLevel]]&lt;0,Table2[[#This Row],[CurrentStock]]-Table2[[#This Row],[ReorderLevel]],"")</f>
        <v>-12</v>
      </c>
      <c r="N645" t="str">
        <f>IF(Table2[[#This Row],[Stock Gap]]&lt;0, "Understock","Okay")</f>
        <v>Understock</v>
      </c>
      <c r="O645" s="13" t="str">
        <f>IF(Table2[[#This Row],[Stock Gap]]&lt;0, "Yes", "No")</f>
        <v>Yes</v>
      </c>
      <c r="P645" s="13" t="str">
        <f>IF(Table2[[#This Row],[CurrentStock]]&lt;Table2[[#This Row],[ReorderLevel]],"Reorder", "Okay")</f>
        <v>Reorder</v>
      </c>
      <c r="Q645" s="13" t="str">
        <f>IF(Table2[[#This Row],[CurrentStock]]&gt;Table2[[#This Row],[ReorderLevel]]*3, "Overstock", "Okay")</f>
        <v>Okay</v>
      </c>
    </row>
    <row r="646" spans="1:17" x14ac:dyDescent="0.35">
      <c r="A646">
        <v>16054</v>
      </c>
      <c r="B646" t="s">
        <v>23</v>
      </c>
      <c r="C646" t="s">
        <v>30</v>
      </c>
      <c r="D646">
        <v>426</v>
      </c>
      <c r="E646">
        <v>20</v>
      </c>
      <c r="F646" s="2">
        <v>142.05000000000001</v>
      </c>
      <c r="G646" t="s">
        <v>32</v>
      </c>
      <c r="H646" s="1">
        <v>45421</v>
      </c>
      <c r="I646" s="1">
        <v>45429</v>
      </c>
      <c r="J646" t="s">
        <v>38</v>
      </c>
      <c r="K646" s="8">
        <f>Table2[[#This Row],[CurrentStock]]*Table2[[#This Row],[UnitPrice]]</f>
        <v>60513.3</v>
      </c>
      <c r="L646" t="str">
        <f>IF(Table2[[#This Row],[CurrentStock]]&lt;=Table2[[#This Row],[ReorderLevel]], "Reorder Needed", "Okay")</f>
        <v>Okay</v>
      </c>
      <c r="M646" t="str">
        <f>IF(Table2[[#This Row],[CurrentStock]]-Table2[[#This Row],[ReorderLevel]]&lt;0,Table2[[#This Row],[CurrentStock]]-Table2[[#This Row],[ReorderLevel]],"")</f>
        <v/>
      </c>
      <c r="N646" t="str">
        <f>IF(Table2[[#This Row],[Stock Gap]]&lt;0, "Understock","Okay")</f>
        <v>Okay</v>
      </c>
      <c r="O646" s="13" t="str">
        <f>IF(Table2[[#This Row],[Stock Gap]]&lt;0, "Yes", "No")</f>
        <v>No</v>
      </c>
      <c r="P646" s="13" t="str">
        <f>IF(Table2[[#This Row],[CurrentStock]]&lt;Table2[[#This Row],[ReorderLevel]],"Reorder", "Okay")</f>
        <v>Okay</v>
      </c>
      <c r="Q646" s="13" t="str">
        <f>IF(Table2[[#This Row],[CurrentStock]]&gt;Table2[[#This Row],[ReorderLevel]]*3, "Overstock", "Okay")</f>
        <v>Overstock</v>
      </c>
    </row>
    <row r="647" spans="1:17" x14ac:dyDescent="0.35">
      <c r="A647">
        <v>76985</v>
      </c>
      <c r="B647" t="s">
        <v>18</v>
      </c>
      <c r="C647" t="s">
        <v>27</v>
      </c>
      <c r="D647">
        <v>472</v>
      </c>
      <c r="E647">
        <v>80</v>
      </c>
      <c r="F647" s="2">
        <v>133.5</v>
      </c>
      <c r="G647" t="s">
        <v>34</v>
      </c>
      <c r="H647" s="1">
        <v>45307</v>
      </c>
      <c r="I647" s="1">
        <v>45320</v>
      </c>
      <c r="J647" t="s">
        <v>38</v>
      </c>
      <c r="K647" s="8">
        <f>Table2[[#This Row],[CurrentStock]]*Table2[[#This Row],[UnitPrice]]</f>
        <v>63012</v>
      </c>
      <c r="L647" t="str">
        <f>IF(Table2[[#This Row],[CurrentStock]]&lt;=Table2[[#This Row],[ReorderLevel]], "Reorder Needed", "Okay")</f>
        <v>Okay</v>
      </c>
      <c r="M647" t="str">
        <f>IF(Table2[[#This Row],[CurrentStock]]-Table2[[#This Row],[ReorderLevel]]&lt;0,Table2[[#This Row],[CurrentStock]]-Table2[[#This Row],[ReorderLevel]],"")</f>
        <v/>
      </c>
      <c r="N647" t="str">
        <f>IF(Table2[[#This Row],[Stock Gap]]&lt;0, "Understock","Okay")</f>
        <v>Okay</v>
      </c>
      <c r="O647" s="13" t="str">
        <f>IF(Table2[[#This Row],[Stock Gap]]&lt;0, "Yes", "No")</f>
        <v>No</v>
      </c>
      <c r="P647" s="13" t="str">
        <f>IF(Table2[[#This Row],[CurrentStock]]&lt;Table2[[#This Row],[ReorderLevel]],"Reorder", "Okay")</f>
        <v>Okay</v>
      </c>
      <c r="Q647" s="13" t="str">
        <f>IF(Table2[[#This Row],[CurrentStock]]&gt;Table2[[#This Row],[ReorderLevel]]*3, "Overstock", "Okay")</f>
        <v>Overstock</v>
      </c>
    </row>
    <row r="648" spans="1:17" x14ac:dyDescent="0.35">
      <c r="A648">
        <v>55212</v>
      </c>
      <c r="B648" t="s">
        <v>18</v>
      </c>
      <c r="C648" t="s">
        <v>27</v>
      </c>
      <c r="D648">
        <v>99</v>
      </c>
      <c r="E648">
        <v>100</v>
      </c>
      <c r="F648" s="2">
        <v>422.72</v>
      </c>
      <c r="G648" t="s">
        <v>31</v>
      </c>
      <c r="H648" s="1">
        <v>45569</v>
      </c>
      <c r="I648" s="1">
        <v>45607</v>
      </c>
      <c r="J648" t="s">
        <v>38</v>
      </c>
      <c r="K648" s="8">
        <f>Table2[[#This Row],[CurrentStock]]*Table2[[#This Row],[UnitPrice]]</f>
        <v>41849.280000000006</v>
      </c>
      <c r="L648" t="str">
        <f>IF(Table2[[#This Row],[CurrentStock]]&lt;=Table2[[#This Row],[ReorderLevel]], "Reorder Needed", "Okay")</f>
        <v>Reorder Needed</v>
      </c>
      <c r="M648" s="7">
        <f>IF(Table2[[#This Row],[CurrentStock]]-Table2[[#This Row],[ReorderLevel]]&lt;0,Table2[[#This Row],[CurrentStock]]-Table2[[#This Row],[ReorderLevel]],"")</f>
        <v>-1</v>
      </c>
      <c r="N648" t="str">
        <f>IF(Table2[[#This Row],[Stock Gap]]&lt;0, "Understock","Okay")</f>
        <v>Understock</v>
      </c>
      <c r="O648" s="13" t="str">
        <f>IF(Table2[[#This Row],[Stock Gap]]&lt;0, "Yes", "No")</f>
        <v>Yes</v>
      </c>
      <c r="P648" s="13" t="str">
        <f>IF(Table2[[#This Row],[CurrentStock]]&lt;Table2[[#This Row],[ReorderLevel]],"Reorder", "Okay")</f>
        <v>Reorder</v>
      </c>
      <c r="Q648" s="13" t="str">
        <f>IF(Table2[[#This Row],[CurrentStock]]&gt;Table2[[#This Row],[ReorderLevel]]*3, "Overstock", "Okay")</f>
        <v>Okay</v>
      </c>
    </row>
    <row r="649" spans="1:17" x14ac:dyDescent="0.35">
      <c r="A649">
        <v>21523</v>
      </c>
      <c r="B649" t="s">
        <v>11</v>
      </c>
      <c r="C649" t="s">
        <v>27</v>
      </c>
      <c r="D649">
        <v>326</v>
      </c>
      <c r="E649">
        <v>20</v>
      </c>
      <c r="F649" s="2">
        <v>119.76</v>
      </c>
      <c r="G649" t="s">
        <v>35</v>
      </c>
      <c r="H649" s="1">
        <v>45292</v>
      </c>
      <c r="I649" s="1">
        <v>45320</v>
      </c>
      <c r="J649" t="s">
        <v>38</v>
      </c>
      <c r="K649" s="8">
        <f>Table2[[#This Row],[CurrentStock]]*Table2[[#This Row],[UnitPrice]]</f>
        <v>39041.760000000002</v>
      </c>
      <c r="L649" t="str">
        <f>IF(Table2[[#This Row],[CurrentStock]]&lt;=Table2[[#This Row],[ReorderLevel]], "Reorder Needed", "Okay")</f>
        <v>Okay</v>
      </c>
      <c r="M649" t="str">
        <f>IF(Table2[[#This Row],[CurrentStock]]-Table2[[#This Row],[ReorderLevel]]&lt;0,Table2[[#This Row],[CurrentStock]]-Table2[[#This Row],[ReorderLevel]],"")</f>
        <v/>
      </c>
      <c r="N649" t="str">
        <f>IF(Table2[[#This Row],[Stock Gap]]&lt;0, "Understock","Okay")</f>
        <v>Okay</v>
      </c>
      <c r="O649" s="13" t="str">
        <f>IF(Table2[[#This Row],[Stock Gap]]&lt;0, "Yes", "No")</f>
        <v>No</v>
      </c>
      <c r="P649" s="13" t="str">
        <f>IF(Table2[[#This Row],[CurrentStock]]&lt;Table2[[#This Row],[ReorderLevel]],"Reorder", "Okay")</f>
        <v>Okay</v>
      </c>
      <c r="Q649" s="13" t="str">
        <f>IF(Table2[[#This Row],[CurrentStock]]&gt;Table2[[#This Row],[ReorderLevel]]*3, "Overstock", "Okay")</f>
        <v>Overstock</v>
      </c>
    </row>
    <row r="650" spans="1:17" x14ac:dyDescent="0.35">
      <c r="A650">
        <v>15583</v>
      </c>
      <c r="B650" t="s">
        <v>12</v>
      </c>
      <c r="C650" t="s">
        <v>28</v>
      </c>
      <c r="D650">
        <v>58</v>
      </c>
      <c r="E650">
        <v>20</v>
      </c>
      <c r="F650" s="2">
        <v>360.77</v>
      </c>
      <c r="G650" t="s">
        <v>32</v>
      </c>
      <c r="H650" s="1">
        <v>45396</v>
      </c>
      <c r="I650" s="1">
        <v>45406</v>
      </c>
      <c r="J650" t="s">
        <v>37</v>
      </c>
      <c r="K650" s="8">
        <f>Table2[[#This Row],[CurrentStock]]*Table2[[#This Row],[UnitPrice]]</f>
        <v>20924.66</v>
      </c>
      <c r="L650" t="str">
        <f>IF(Table2[[#This Row],[CurrentStock]]&lt;=Table2[[#This Row],[ReorderLevel]], "Reorder Needed", "Okay")</f>
        <v>Okay</v>
      </c>
      <c r="M650" t="str">
        <f>IF(Table2[[#This Row],[CurrentStock]]-Table2[[#This Row],[ReorderLevel]]&lt;0,Table2[[#This Row],[CurrentStock]]-Table2[[#This Row],[ReorderLevel]],"")</f>
        <v/>
      </c>
      <c r="N650" t="str">
        <f>IF(Table2[[#This Row],[Stock Gap]]&lt;0, "Understock","Okay")</f>
        <v>Okay</v>
      </c>
      <c r="O650" s="13" t="str">
        <f>IF(Table2[[#This Row],[Stock Gap]]&lt;0, "Yes", "No")</f>
        <v>No</v>
      </c>
      <c r="P650" s="13" t="str">
        <f>IF(Table2[[#This Row],[CurrentStock]]&lt;Table2[[#This Row],[ReorderLevel]],"Reorder", "Okay")</f>
        <v>Okay</v>
      </c>
      <c r="Q650" s="13" t="str">
        <f>IF(Table2[[#This Row],[CurrentStock]]&gt;Table2[[#This Row],[ReorderLevel]]*3, "Overstock", "Okay")</f>
        <v>Okay</v>
      </c>
    </row>
    <row r="651" spans="1:17" x14ac:dyDescent="0.35">
      <c r="A651">
        <v>81792</v>
      </c>
      <c r="B651" t="s">
        <v>20</v>
      </c>
      <c r="C651" t="s">
        <v>30</v>
      </c>
      <c r="D651">
        <v>471</v>
      </c>
      <c r="E651">
        <v>20</v>
      </c>
      <c r="F651" s="2">
        <v>198.95</v>
      </c>
      <c r="G651" t="s">
        <v>35</v>
      </c>
      <c r="H651" s="1">
        <v>45309</v>
      </c>
      <c r="I651" s="1">
        <v>45326</v>
      </c>
      <c r="J651" t="s">
        <v>37</v>
      </c>
      <c r="K651" s="8">
        <f>Table2[[#This Row],[CurrentStock]]*Table2[[#This Row],[UnitPrice]]</f>
        <v>93705.45</v>
      </c>
      <c r="L651" t="str">
        <f>IF(Table2[[#This Row],[CurrentStock]]&lt;=Table2[[#This Row],[ReorderLevel]], "Reorder Needed", "Okay")</f>
        <v>Okay</v>
      </c>
      <c r="M651" t="str">
        <f>IF(Table2[[#This Row],[CurrentStock]]-Table2[[#This Row],[ReorderLevel]]&lt;0,Table2[[#This Row],[CurrentStock]]-Table2[[#This Row],[ReorderLevel]],"")</f>
        <v/>
      </c>
      <c r="N651" t="str">
        <f>IF(Table2[[#This Row],[Stock Gap]]&lt;0, "Understock","Okay")</f>
        <v>Okay</v>
      </c>
      <c r="O651" s="13" t="str">
        <f>IF(Table2[[#This Row],[Stock Gap]]&lt;0, "Yes", "No")</f>
        <v>No</v>
      </c>
      <c r="P651" s="13" t="str">
        <f>IF(Table2[[#This Row],[CurrentStock]]&lt;Table2[[#This Row],[ReorderLevel]],"Reorder", "Okay")</f>
        <v>Okay</v>
      </c>
      <c r="Q651" s="13" t="str">
        <f>IF(Table2[[#This Row],[CurrentStock]]&gt;Table2[[#This Row],[ReorderLevel]]*3, "Overstock", "Okay")</f>
        <v>Overstock</v>
      </c>
    </row>
    <row r="652" spans="1:17" x14ac:dyDescent="0.35">
      <c r="A652">
        <v>12809</v>
      </c>
      <c r="B652" t="s">
        <v>22</v>
      </c>
      <c r="C652" t="s">
        <v>29</v>
      </c>
      <c r="D652">
        <v>464</v>
      </c>
      <c r="E652">
        <v>150</v>
      </c>
      <c r="F652" s="2">
        <v>387.73</v>
      </c>
      <c r="G652" t="s">
        <v>32</v>
      </c>
      <c r="H652" s="1">
        <v>45473</v>
      </c>
      <c r="I652" s="1">
        <v>45507</v>
      </c>
      <c r="J652" t="s">
        <v>38</v>
      </c>
      <c r="K652" s="8">
        <f>Table2[[#This Row],[CurrentStock]]*Table2[[#This Row],[UnitPrice]]</f>
        <v>179906.72</v>
      </c>
      <c r="L652" t="str">
        <f>IF(Table2[[#This Row],[CurrentStock]]&lt;=Table2[[#This Row],[ReorderLevel]], "Reorder Needed", "Okay")</f>
        <v>Okay</v>
      </c>
      <c r="M652" t="str">
        <f>IF(Table2[[#This Row],[CurrentStock]]-Table2[[#This Row],[ReorderLevel]]&lt;0,Table2[[#This Row],[CurrentStock]]-Table2[[#This Row],[ReorderLevel]],"")</f>
        <v/>
      </c>
      <c r="N652" t="str">
        <f>IF(Table2[[#This Row],[Stock Gap]]&lt;0, "Understock","Okay")</f>
        <v>Okay</v>
      </c>
      <c r="O652" s="13" t="str">
        <f>IF(Table2[[#This Row],[Stock Gap]]&lt;0, "Yes", "No")</f>
        <v>No</v>
      </c>
      <c r="P652" s="13" t="str">
        <f>IF(Table2[[#This Row],[CurrentStock]]&lt;Table2[[#This Row],[ReorderLevel]],"Reorder", "Okay")</f>
        <v>Okay</v>
      </c>
      <c r="Q652" s="13" t="str">
        <f>IF(Table2[[#This Row],[CurrentStock]]&gt;Table2[[#This Row],[ReorderLevel]]*3, "Overstock", "Okay")</f>
        <v>Overstock</v>
      </c>
    </row>
    <row r="653" spans="1:17" x14ac:dyDescent="0.35">
      <c r="A653">
        <v>47333</v>
      </c>
      <c r="B653" t="s">
        <v>21</v>
      </c>
      <c r="C653" t="s">
        <v>26</v>
      </c>
      <c r="D653">
        <v>70</v>
      </c>
      <c r="E653">
        <v>30</v>
      </c>
      <c r="F653" s="2">
        <v>493.51</v>
      </c>
      <c r="G653" t="s">
        <v>32</v>
      </c>
      <c r="H653" s="1">
        <v>45587</v>
      </c>
      <c r="I653" s="1">
        <v>45597</v>
      </c>
      <c r="J653" t="s">
        <v>36</v>
      </c>
      <c r="K653" s="8">
        <f>Table2[[#This Row],[CurrentStock]]*Table2[[#This Row],[UnitPrice]]</f>
        <v>34545.699999999997</v>
      </c>
      <c r="L653" t="str">
        <f>IF(Table2[[#This Row],[CurrentStock]]&lt;=Table2[[#This Row],[ReorderLevel]], "Reorder Needed", "Okay")</f>
        <v>Okay</v>
      </c>
      <c r="M653" t="str">
        <f>IF(Table2[[#This Row],[CurrentStock]]-Table2[[#This Row],[ReorderLevel]]&lt;0,Table2[[#This Row],[CurrentStock]]-Table2[[#This Row],[ReorderLevel]],"")</f>
        <v/>
      </c>
      <c r="N653" t="str">
        <f>IF(Table2[[#This Row],[Stock Gap]]&lt;0, "Understock","Okay")</f>
        <v>Okay</v>
      </c>
      <c r="O653" s="13" t="str">
        <f>IF(Table2[[#This Row],[Stock Gap]]&lt;0, "Yes", "No")</f>
        <v>No</v>
      </c>
      <c r="P653" s="13" t="str">
        <f>IF(Table2[[#This Row],[CurrentStock]]&lt;Table2[[#This Row],[ReorderLevel]],"Reorder", "Okay")</f>
        <v>Okay</v>
      </c>
      <c r="Q653" s="13" t="str">
        <f>IF(Table2[[#This Row],[CurrentStock]]&gt;Table2[[#This Row],[ReorderLevel]]*3, "Overstock", "Okay")</f>
        <v>Okay</v>
      </c>
    </row>
    <row r="654" spans="1:17" x14ac:dyDescent="0.35">
      <c r="A654">
        <v>72894</v>
      </c>
      <c r="B654" t="s">
        <v>13</v>
      </c>
      <c r="C654" t="s">
        <v>26</v>
      </c>
      <c r="D654">
        <v>304</v>
      </c>
      <c r="E654">
        <v>50</v>
      </c>
      <c r="F654" s="2">
        <v>432.15</v>
      </c>
      <c r="G654" t="s">
        <v>33</v>
      </c>
      <c r="H654" s="1">
        <v>45576</v>
      </c>
      <c r="I654" s="1">
        <v>45601</v>
      </c>
      <c r="J654" t="s">
        <v>38</v>
      </c>
      <c r="K654" s="8">
        <f>Table2[[#This Row],[CurrentStock]]*Table2[[#This Row],[UnitPrice]]</f>
        <v>131373.6</v>
      </c>
      <c r="L654" t="str">
        <f>IF(Table2[[#This Row],[CurrentStock]]&lt;=Table2[[#This Row],[ReorderLevel]], "Reorder Needed", "Okay")</f>
        <v>Okay</v>
      </c>
      <c r="M654" t="str">
        <f>IF(Table2[[#This Row],[CurrentStock]]-Table2[[#This Row],[ReorderLevel]]&lt;0,Table2[[#This Row],[CurrentStock]]-Table2[[#This Row],[ReorderLevel]],"")</f>
        <v/>
      </c>
      <c r="N654" t="str">
        <f>IF(Table2[[#This Row],[Stock Gap]]&lt;0, "Understock","Okay")</f>
        <v>Okay</v>
      </c>
      <c r="O654" s="13" t="str">
        <f>IF(Table2[[#This Row],[Stock Gap]]&lt;0, "Yes", "No")</f>
        <v>No</v>
      </c>
      <c r="P654" s="13" t="str">
        <f>IF(Table2[[#This Row],[CurrentStock]]&lt;Table2[[#This Row],[ReorderLevel]],"Reorder", "Okay")</f>
        <v>Okay</v>
      </c>
      <c r="Q654" s="13" t="str">
        <f>IF(Table2[[#This Row],[CurrentStock]]&gt;Table2[[#This Row],[ReorderLevel]]*3, "Overstock", "Okay")</f>
        <v>Overstock</v>
      </c>
    </row>
    <row r="655" spans="1:17" x14ac:dyDescent="0.35">
      <c r="A655">
        <v>58821</v>
      </c>
      <c r="B655" t="s">
        <v>12</v>
      </c>
      <c r="C655" t="s">
        <v>28</v>
      </c>
      <c r="D655">
        <v>197</v>
      </c>
      <c r="E655">
        <v>50</v>
      </c>
      <c r="F655" s="2">
        <v>414.62</v>
      </c>
      <c r="G655" t="s">
        <v>34</v>
      </c>
      <c r="H655" s="1">
        <v>45619</v>
      </c>
      <c r="I655" s="1">
        <v>45624</v>
      </c>
      <c r="J655" t="s">
        <v>36</v>
      </c>
      <c r="K655" s="8">
        <f>Table2[[#This Row],[CurrentStock]]*Table2[[#This Row],[UnitPrice]]</f>
        <v>81680.14</v>
      </c>
      <c r="L655" t="str">
        <f>IF(Table2[[#This Row],[CurrentStock]]&lt;=Table2[[#This Row],[ReorderLevel]], "Reorder Needed", "Okay")</f>
        <v>Okay</v>
      </c>
      <c r="M655" t="str">
        <f>IF(Table2[[#This Row],[CurrentStock]]-Table2[[#This Row],[ReorderLevel]]&lt;0,Table2[[#This Row],[CurrentStock]]-Table2[[#This Row],[ReorderLevel]],"")</f>
        <v/>
      </c>
      <c r="N655" t="str">
        <f>IF(Table2[[#This Row],[Stock Gap]]&lt;0, "Understock","Okay")</f>
        <v>Okay</v>
      </c>
      <c r="O655" s="13" t="str">
        <f>IF(Table2[[#This Row],[Stock Gap]]&lt;0, "Yes", "No")</f>
        <v>No</v>
      </c>
      <c r="P655" s="13" t="str">
        <f>IF(Table2[[#This Row],[CurrentStock]]&lt;Table2[[#This Row],[ReorderLevel]],"Reorder", "Okay")</f>
        <v>Okay</v>
      </c>
      <c r="Q655" s="13" t="str">
        <f>IF(Table2[[#This Row],[CurrentStock]]&gt;Table2[[#This Row],[ReorderLevel]]*3, "Overstock", "Okay")</f>
        <v>Overstock</v>
      </c>
    </row>
    <row r="656" spans="1:17" x14ac:dyDescent="0.35">
      <c r="A656">
        <v>88812</v>
      </c>
      <c r="B656" t="s">
        <v>14</v>
      </c>
      <c r="C656" t="s">
        <v>28</v>
      </c>
      <c r="D656">
        <v>318</v>
      </c>
      <c r="E656">
        <v>20</v>
      </c>
      <c r="F656" s="2">
        <v>149.22</v>
      </c>
      <c r="G656" t="s">
        <v>31</v>
      </c>
      <c r="H656" s="1">
        <v>45390</v>
      </c>
      <c r="I656" s="1">
        <v>45424</v>
      </c>
      <c r="J656" t="s">
        <v>38</v>
      </c>
      <c r="K656" s="8">
        <f>Table2[[#This Row],[CurrentStock]]*Table2[[#This Row],[UnitPrice]]</f>
        <v>47451.96</v>
      </c>
      <c r="L656" t="str">
        <f>IF(Table2[[#This Row],[CurrentStock]]&lt;=Table2[[#This Row],[ReorderLevel]], "Reorder Needed", "Okay")</f>
        <v>Okay</v>
      </c>
      <c r="M656" t="str">
        <f>IF(Table2[[#This Row],[CurrentStock]]-Table2[[#This Row],[ReorderLevel]]&lt;0,Table2[[#This Row],[CurrentStock]]-Table2[[#This Row],[ReorderLevel]],"")</f>
        <v/>
      </c>
      <c r="N656" t="str">
        <f>IF(Table2[[#This Row],[Stock Gap]]&lt;0, "Understock","Okay")</f>
        <v>Okay</v>
      </c>
      <c r="O656" s="13" t="str">
        <f>IF(Table2[[#This Row],[Stock Gap]]&lt;0, "Yes", "No")</f>
        <v>No</v>
      </c>
      <c r="P656" s="13" t="str">
        <f>IF(Table2[[#This Row],[CurrentStock]]&lt;Table2[[#This Row],[ReorderLevel]],"Reorder", "Okay")</f>
        <v>Okay</v>
      </c>
      <c r="Q656" s="13" t="str">
        <f>IF(Table2[[#This Row],[CurrentStock]]&gt;Table2[[#This Row],[ReorderLevel]]*3, "Overstock", "Okay")</f>
        <v>Overstock</v>
      </c>
    </row>
    <row r="657" spans="1:17" x14ac:dyDescent="0.35">
      <c r="A657">
        <v>77695</v>
      </c>
      <c r="B657" t="s">
        <v>15</v>
      </c>
      <c r="C657" t="s">
        <v>29</v>
      </c>
      <c r="D657">
        <v>424</v>
      </c>
      <c r="E657">
        <v>30</v>
      </c>
      <c r="F657" s="2">
        <v>57.87</v>
      </c>
      <c r="G657" t="s">
        <v>32</v>
      </c>
      <c r="H657" s="1">
        <v>45322</v>
      </c>
      <c r="I657" s="1">
        <v>45356</v>
      </c>
      <c r="J657" t="s">
        <v>37</v>
      </c>
      <c r="K657" s="8">
        <f>Table2[[#This Row],[CurrentStock]]*Table2[[#This Row],[UnitPrice]]</f>
        <v>24536.879999999997</v>
      </c>
      <c r="L657" t="str">
        <f>IF(Table2[[#This Row],[CurrentStock]]&lt;=Table2[[#This Row],[ReorderLevel]], "Reorder Needed", "Okay")</f>
        <v>Okay</v>
      </c>
      <c r="M657" t="str">
        <f>IF(Table2[[#This Row],[CurrentStock]]-Table2[[#This Row],[ReorderLevel]]&lt;0,Table2[[#This Row],[CurrentStock]]-Table2[[#This Row],[ReorderLevel]],"")</f>
        <v/>
      </c>
      <c r="N657" t="str">
        <f>IF(Table2[[#This Row],[Stock Gap]]&lt;0, "Understock","Okay")</f>
        <v>Okay</v>
      </c>
      <c r="O657" s="13" t="str">
        <f>IF(Table2[[#This Row],[Stock Gap]]&lt;0, "Yes", "No")</f>
        <v>No</v>
      </c>
      <c r="P657" s="13" t="str">
        <f>IF(Table2[[#This Row],[CurrentStock]]&lt;Table2[[#This Row],[ReorderLevel]],"Reorder", "Okay")</f>
        <v>Okay</v>
      </c>
      <c r="Q657" s="13" t="str">
        <f>IF(Table2[[#This Row],[CurrentStock]]&gt;Table2[[#This Row],[ReorderLevel]]*3, "Overstock", "Okay")</f>
        <v>Overstock</v>
      </c>
    </row>
    <row r="658" spans="1:17" x14ac:dyDescent="0.35">
      <c r="A658">
        <v>38610</v>
      </c>
      <c r="B658" t="s">
        <v>23</v>
      </c>
      <c r="C658" t="s">
        <v>30</v>
      </c>
      <c r="D658">
        <v>293</v>
      </c>
      <c r="E658">
        <v>100</v>
      </c>
      <c r="F658" s="2">
        <v>338.64</v>
      </c>
      <c r="G658" t="s">
        <v>31</v>
      </c>
      <c r="H658" s="1">
        <v>45498</v>
      </c>
      <c r="I658" s="1">
        <v>45524</v>
      </c>
      <c r="J658" t="s">
        <v>36</v>
      </c>
      <c r="K658" s="8">
        <f>Table2[[#This Row],[CurrentStock]]*Table2[[#This Row],[UnitPrice]]</f>
        <v>99221.51999999999</v>
      </c>
      <c r="L658" t="str">
        <f>IF(Table2[[#This Row],[CurrentStock]]&lt;=Table2[[#This Row],[ReorderLevel]], "Reorder Needed", "Okay")</f>
        <v>Okay</v>
      </c>
      <c r="M658" t="str">
        <f>IF(Table2[[#This Row],[CurrentStock]]-Table2[[#This Row],[ReorderLevel]]&lt;0,Table2[[#This Row],[CurrentStock]]-Table2[[#This Row],[ReorderLevel]],"")</f>
        <v/>
      </c>
      <c r="N658" t="str">
        <f>IF(Table2[[#This Row],[Stock Gap]]&lt;0, "Understock","Okay")</f>
        <v>Okay</v>
      </c>
      <c r="O658" s="13" t="str">
        <f>IF(Table2[[#This Row],[Stock Gap]]&lt;0, "Yes", "No")</f>
        <v>No</v>
      </c>
      <c r="P658" s="13" t="str">
        <f>IF(Table2[[#This Row],[CurrentStock]]&lt;Table2[[#This Row],[ReorderLevel]],"Reorder", "Okay")</f>
        <v>Okay</v>
      </c>
      <c r="Q658" s="13" t="str">
        <f>IF(Table2[[#This Row],[CurrentStock]]&gt;Table2[[#This Row],[ReorderLevel]]*3, "Overstock", "Okay")</f>
        <v>Okay</v>
      </c>
    </row>
    <row r="659" spans="1:17" x14ac:dyDescent="0.35">
      <c r="A659">
        <v>70892</v>
      </c>
      <c r="B659" t="s">
        <v>13</v>
      </c>
      <c r="C659" t="s">
        <v>26</v>
      </c>
      <c r="D659">
        <v>290</v>
      </c>
      <c r="E659">
        <v>30</v>
      </c>
      <c r="F659" s="2">
        <v>99.11</v>
      </c>
      <c r="G659" t="s">
        <v>35</v>
      </c>
      <c r="H659" s="1">
        <v>45599</v>
      </c>
      <c r="I659" s="1">
        <v>45624</v>
      </c>
      <c r="J659" t="s">
        <v>36</v>
      </c>
      <c r="K659" s="8">
        <f>Table2[[#This Row],[CurrentStock]]*Table2[[#This Row],[UnitPrice]]</f>
        <v>28741.9</v>
      </c>
      <c r="L659" t="str">
        <f>IF(Table2[[#This Row],[CurrentStock]]&lt;=Table2[[#This Row],[ReorderLevel]], "Reorder Needed", "Okay")</f>
        <v>Okay</v>
      </c>
      <c r="M659" t="str">
        <f>IF(Table2[[#This Row],[CurrentStock]]-Table2[[#This Row],[ReorderLevel]]&lt;0,Table2[[#This Row],[CurrentStock]]-Table2[[#This Row],[ReorderLevel]],"")</f>
        <v/>
      </c>
      <c r="N659" t="str">
        <f>IF(Table2[[#This Row],[Stock Gap]]&lt;0, "Understock","Okay")</f>
        <v>Okay</v>
      </c>
      <c r="O659" s="13" t="str">
        <f>IF(Table2[[#This Row],[Stock Gap]]&lt;0, "Yes", "No")</f>
        <v>No</v>
      </c>
      <c r="P659" s="13" t="str">
        <f>IF(Table2[[#This Row],[CurrentStock]]&lt;Table2[[#This Row],[ReorderLevel]],"Reorder", "Okay")</f>
        <v>Okay</v>
      </c>
      <c r="Q659" s="13" t="str">
        <f>IF(Table2[[#This Row],[CurrentStock]]&gt;Table2[[#This Row],[ReorderLevel]]*3, "Overstock", "Okay")</f>
        <v>Overstock</v>
      </c>
    </row>
    <row r="660" spans="1:17" x14ac:dyDescent="0.35">
      <c r="A660">
        <v>12895</v>
      </c>
      <c r="B660" t="s">
        <v>19</v>
      </c>
      <c r="C660" t="s">
        <v>28</v>
      </c>
      <c r="D660">
        <v>218</v>
      </c>
      <c r="E660">
        <v>80</v>
      </c>
      <c r="F660" s="2">
        <v>430.52</v>
      </c>
      <c r="G660" t="s">
        <v>33</v>
      </c>
      <c r="H660" s="1">
        <v>45352</v>
      </c>
      <c r="I660" s="1">
        <v>45382</v>
      </c>
      <c r="J660" t="s">
        <v>36</v>
      </c>
      <c r="K660" s="8">
        <f>Table2[[#This Row],[CurrentStock]]*Table2[[#This Row],[UnitPrice]]</f>
        <v>93853.36</v>
      </c>
      <c r="L660" t="str">
        <f>IF(Table2[[#This Row],[CurrentStock]]&lt;=Table2[[#This Row],[ReorderLevel]], "Reorder Needed", "Okay")</f>
        <v>Okay</v>
      </c>
      <c r="M660" t="str">
        <f>IF(Table2[[#This Row],[CurrentStock]]-Table2[[#This Row],[ReorderLevel]]&lt;0,Table2[[#This Row],[CurrentStock]]-Table2[[#This Row],[ReorderLevel]],"")</f>
        <v/>
      </c>
      <c r="N660" t="str">
        <f>IF(Table2[[#This Row],[Stock Gap]]&lt;0, "Understock","Okay")</f>
        <v>Okay</v>
      </c>
      <c r="O660" s="13" t="str">
        <f>IF(Table2[[#This Row],[Stock Gap]]&lt;0, "Yes", "No")</f>
        <v>No</v>
      </c>
      <c r="P660" s="13" t="str">
        <f>IF(Table2[[#This Row],[CurrentStock]]&lt;Table2[[#This Row],[ReorderLevel]],"Reorder", "Okay")</f>
        <v>Okay</v>
      </c>
      <c r="Q660" s="13" t="str">
        <f>IF(Table2[[#This Row],[CurrentStock]]&gt;Table2[[#This Row],[ReorderLevel]]*3, "Overstock", "Okay")</f>
        <v>Okay</v>
      </c>
    </row>
    <row r="661" spans="1:17" x14ac:dyDescent="0.35">
      <c r="A661">
        <v>95382</v>
      </c>
      <c r="B661" t="s">
        <v>13</v>
      </c>
      <c r="C661" t="s">
        <v>26</v>
      </c>
      <c r="D661">
        <v>191</v>
      </c>
      <c r="E661">
        <v>40</v>
      </c>
      <c r="F661" s="2">
        <v>12.12</v>
      </c>
      <c r="G661" t="s">
        <v>33</v>
      </c>
      <c r="H661" s="1">
        <v>45478</v>
      </c>
      <c r="I661" s="1">
        <v>45505</v>
      </c>
      <c r="J661" t="s">
        <v>36</v>
      </c>
      <c r="K661" s="8">
        <f>Table2[[#This Row],[CurrentStock]]*Table2[[#This Row],[UnitPrice]]</f>
        <v>2314.92</v>
      </c>
      <c r="L661" t="str">
        <f>IF(Table2[[#This Row],[CurrentStock]]&lt;=Table2[[#This Row],[ReorderLevel]], "Reorder Needed", "Okay")</f>
        <v>Okay</v>
      </c>
      <c r="M661" t="str">
        <f>IF(Table2[[#This Row],[CurrentStock]]-Table2[[#This Row],[ReorderLevel]]&lt;0,Table2[[#This Row],[CurrentStock]]-Table2[[#This Row],[ReorderLevel]],"")</f>
        <v/>
      </c>
      <c r="N661" t="str">
        <f>IF(Table2[[#This Row],[Stock Gap]]&lt;0, "Understock","Okay")</f>
        <v>Okay</v>
      </c>
      <c r="O661" s="13" t="str">
        <f>IF(Table2[[#This Row],[Stock Gap]]&lt;0, "Yes", "No")</f>
        <v>No</v>
      </c>
      <c r="P661" s="13" t="str">
        <f>IF(Table2[[#This Row],[CurrentStock]]&lt;Table2[[#This Row],[ReorderLevel]],"Reorder", "Okay")</f>
        <v>Okay</v>
      </c>
      <c r="Q661" s="13" t="str">
        <f>IF(Table2[[#This Row],[CurrentStock]]&gt;Table2[[#This Row],[ReorderLevel]]*3, "Overstock", "Okay")</f>
        <v>Overstock</v>
      </c>
    </row>
    <row r="662" spans="1:17" x14ac:dyDescent="0.35">
      <c r="A662">
        <v>88863</v>
      </c>
      <c r="B662" t="s">
        <v>21</v>
      </c>
      <c r="C662" t="s">
        <v>26</v>
      </c>
      <c r="D662">
        <v>161</v>
      </c>
      <c r="E662">
        <v>100</v>
      </c>
      <c r="F662" s="2">
        <v>476.5</v>
      </c>
      <c r="G662" t="s">
        <v>31</v>
      </c>
      <c r="H662" s="1">
        <v>45497</v>
      </c>
      <c r="I662" s="1">
        <v>45515</v>
      </c>
      <c r="J662" t="s">
        <v>38</v>
      </c>
      <c r="K662" s="8">
        <f>Table2[[#This Row],[CurrentStock]]*Table2[[#This Row],[UnitPrice]]</f>
        <v>76716.5</v>
      </c>
      <c r="L662" t="str">
        <f>IF(Table2[[#This Row],[CurrentStock]]&lt;=Table2[[#This Row],[ReorderLevel]], "Reorder Needed", "Okay")</f>
        <v>Okay</v>
      </c>
      <c r="M662" t="str">
        <f>IF(Table2[[#This Row],[CurrentStock]]-Table2[[#This Row],[ReorderLevel]]&lt;0,Table2[[#This Row],[CurrentStock]]-Table2[[#This Row],[ReorderLevel]],"")</f>
        <v/>
      </c>
      <c r="N662" t="str">
        <f>IF(Table2[[#This Row],[Stock Gap]]&lt;0, "Understock","Okay")</f>
        <v>Okay</v>
      </c>
      <c r="O662" s="13" t="str">
        <f>IF(Table2[[#This Row],[Stock Gap]]&lt;0, "Yes", "No")</f>
        <v>No</v>
      </c>
      <c r="P662" s="13" t="str">
        <f>IF(Table2[[#This Row],[CurrentStock]]&lt;Table2[[#This Row],[ReorderLevel]],"Reorder", "Okay")</f>
        <v>Okay</v>
      </c>
      <c r="Q662" s="13" t="str">
        <f>IF(Table2[[#This Row],[CurrentStock]]&gt;Table2[[#This Row],[ReorderLevel]]*3, "Overstock", "Okay")</f>
        <v>Okay</v>
      </c>
    </row>
    <row r="663" spans="1:17" x14ac:dyDescent="0.35">
      <c r="A663">
        <v>53880</v>
      </c>
      <c r="B663" t="s">
        <v>20</v>
      </c>
      <c r="C663" t="s">
        <v>30</v>
      </c>
      <c r="D663">
        <v>124</v>
      </c>
      <c r="E663">
        <v>20</v>
      </c>
      <c r="F663" s="2">
        <v>254.16</v>
      </c>
      <c r="G663" t="s">
        <v>33</v>
      </c>
      <c r="H663" s="1">
        <v>45617</v>
      </c>
      <c r="I663" s="1">
        <v>45643</v>
      </c>
      <c r="J663" t="s">
        <v>36</v>
      </c>
      <c r="K663" s="8">
        <f>Table2[[#This Row],[CurrentStock]]*Table2[[#This Row],[UnitPrice]]</f>
        <v>31515.84</v>
      </c>
      <c r="L663" t="str">
        <f>IF(Table2[[#This Row],[CurrentStock]]&lt;=Table2[[#This Row],[ReorderLevel]], "Reorder Needed", "Okay")</f>
        <v>Okay</v>
      </c>
      <c r="M663" t="str">
        <f>IF(Table2[[#This Row],[CurrentStock]]-Table2[[#This Row],[ReorderLevel]]&lt;0,Table2[[#This Row],[CurrentStock]]-Table2[[#This Row],[ReorderLevel]],"")</f>
        <v/>
      </c>
      <c r="N663" t="str">
        <f>IF(Table2[[#This Row],[Stock Gap]]&lt;0, "Understock","Okay")</f>
        <v>Okay</v>
      </c>
      <c r="O663" s="13" t="str">
        <f>IF(Table2[[#This Row],[Stock Gap]]&lt;0, "Yes", "No")</f>
        <v>No</v>
      </c>
      <c r="P663" s="13" t="str">
        <f>IF(Table2[[#This Row],[CurrentStock]]&lt;Table2[[#This Row],[ReorderLevel]],"Reorder", "Okay")</f>
        <v>Okay</v>
      </c>
      <c r="Q663" s="13" t="str">
        <f>IF(Table2[[#This Row],[CurrentStock]]&gt;Table2[[#This Row],[ReorderLevel]]*3, "Overstock", "Okay")</f>
        <v>Overstock</v>
      </c>
    </row>
    <row r="664" spans="1:17" x14ac:dyDescent="0.35">
      <c r="A664">
        <v>80934</v>
      </c>
      <c r="B664" t="s">
        <v>22</v>
      </c>
      <c r="C664" t="s">
        <v>29</v>
      </c>
      <c r="D664">
        <v>197</v>
      </c>
      <c r="E664">
        <v>40</v>
      </c>
      <c r="F664" s="2">
        <v>191.79</v>
      </c>
      <c r="G664" t="s">
        <v>32</v>
      </c>
      <c r="H664" s="1">
        <v>45336</v>
      </c>
      <c r="I664" s="1">
        <v>45373</v>
      </c>
      <c r="J664" t="s">
        <v>36</v>
      </c>
      <c r="K664" s="8">
        <f>Table2[[#This Row],[CurrentStock]]*Table2[[#This Row],[UnitPrice]]</f>
        <v>37782.629999999997</v>
      </c>
      <c r="L664" t="str">
        <f>IF(Table2[[#This Row],[CurrentStock]]&lt;=Table2[[#This Row],[ReorderLevel]], "Reorder Needed", "Okay")</f>
        <v>Okay</v>
      </c>
      <c r="M664" t="str">
        <f>IF(Table2[[#This Row],[CurrentStock]]-Table2[[#This Row],[ReorderLevel]]&lt;0,Table2[[#This Row],[CurrentStock]]-Table2[[#This Row],[ReorderLevel]],"")</f>
        <v/>
      </c>
      <c r="N664" t="str">
        <f>IF(Table2[[#This Row],[Stock Gap]]&lt;0, "Understock","Okay")</f>
        <v>Okay</v>
      </c>
      <c r="O664" s="13" t="str">
        <f>IF(Table2[[#This Row],[Stock Gap]]&lt;0, "Yes", "No")</f>
        <v>No</v>
      </c>
      <c r="P664" s="13" t="str">
        <f>IF(Table2[[#This Row],[CurrentStock]]&lt;Table2[[#This Row],[ReorderLevel]],"Reorder", "Okay")</f>
        <v>Okay</v>
      </c>
      <c r="Q664" s="13" t="str">
        <f>IF(Table2[[#This Row],[CurrentStock]]&gt;Table2[[#This Row],[ReorderLevel]]*3, "Overstock", "Okay")</f>
        <v>Overstock</v>
      </c>
    </row>
    <row r="665" spans="1:17" x14ac:dyDescent="0.35">
      <c r="A665">
        <v>89737</v>
      </c>
      <c r="B665" t="s">
        <v>21</v>
      </c>
      <c r="C665" t="s">
        <v>26</v>
      </c>
      <c r="D665">
        <v>281</v>
      </c>
      <c r="E665">
        <v>20</v>
      </c>
      <c r="F665" s="2">
        <v>26.33</v>
      </c>
      <c r="G665" t="s">
        <v>34</v>
      </c>
      <c r="H665" s="1">
        <v>45400</v>
      </c>
      <c r="I665" s="1">
        <v>45431</v>
      </c>
      <c r="J665" t="s">
        <v>37</v>
      </c>
      <c r="K665" s="8">
        <f>Table2[[#This Row],[CurrentStock]]*Table2[[#This Row],[UnitPrice]]</f>
        <v>7398.73</v>
      </c>
      <c r="L665" t="str">
        <f>IF(Table2[[#This Row],[CurrentStock]]&lt;=Table2[[#This Row],[ReorderLevel]], "Reorder Needed", "Okay")</f>
        <v>Okay</v>
      </c>
      <c r="M665" t="str">
        <f>IF(Table2[[#This Row],[CurrentStock]]-Table2[[#This Row],[ReorderLevel]]&lt;0,Table2[[#This Row],[CurrentStock]]-Table2[[#This Row],[ReorderLevel]],"")</f>
        <v/>
      </c>
      <c r="N665" t="str">
        <f>IF(Table2[[#This Row],[Stock Gap]]&lt;0, "Understock","Okay")</f>
        <v>Okay</v>
      </c>
      <c r="O665" s="13" t="str">
        <f>IF(Table2[[#This Row],[Stock Gap]]&lt;0, "Yes", "No")</f>
        <v>No</v>
      </c>
      <c r="P665" s="13" t="str">
        <f>IF(Table2[[#This Row],[CurrentStock]]&lt;Table2[[#This Row],[ReorderLevel]],"Reorder", "Okay")</f>
        <v>Okay</v>
      </c>
      <c r="Q665" s="13" t="str">
        <f>IF(Table2[[#This Row],[CurrentStock]]&gt;Table2[[#This Row],[ReorderLevel]]*3, "Overstock", "Okay")</f>
        <v>Overstock</v>
      </c>
    </row>
    <row r="666" spans="1:17" x14ac:dyDescent="0.35">
      <c r="A666">
        <v>73656</v>
      </c>
      <c r="B666" t="s">
        <v>22</v>
      </c>
      <c r="C666" t="s">
        <v>29</v>
      </c>
      <c r="D666">
        <v>34</v>
      </c>
      <c r="E666">
        <v>150</v>
      </c>
      <c r="F666" s="2">
        <v>316.14</v>
      </c>
      <c r="G666" t="s">
        <v>34</v>
      </c>
      <c r="H666" s="1">
        <v>45325</v>
      </c>
      <c r="I666" s="1">
        <v>45362</v>
      </c>
      <c r="J666" t="s">
        <v>37</v>
      </c>
      <c r="K666" s="8">
        <f>Table2[[#This Row],[CurrentStock]]*Table2[[#This Row],[UnitPrice]]</f>
        <v>10748.76</v>
      </c>
      <c r="L666" t="str">
        <f>IF(Table2[[#This Row],[CurrentStock]]&lt;=Table2[[#This Row],[ReorderLevel]], "Reorder Needed", "Okay")</f>
        <v>Reorder Needed</v>
      </c>
      <c r="M666" s="7">
        <f>IF(Table2[[#This Row],[CurrentStock]]-Table2[[#This Row],[ReorderLevel]]&lt;0,Table2[[#This Row],[CurrentStock]]-Table2[[#This Row],[ReorderLevel]],"")</f>
        <v>-116</v>
      </c>
      <c r="N666" t="str">
        <f>IF(Table2[[#This Row],[Stock Gap]]&lt;0, "Understock","Okay")</f>
        <v>Understock</v>
      </c>
      <c r="O666" s="13" t="str">
        <f>IF(Table2[[#This Row],[Stock Gap]]&lt;0, "Yes", "No")</f>
        <v>Yes</v>
      </c>
      <c r="P666" s="13" t="str">
        <f>IF(Table2[[#This Row],[CurrentStock]]&lt;Table2[[#This Row],[ReorderLevel]],"Reorder", "Okay")</f>
        <v>Reorder</v>
      </c>
      <c r="Q666" s="13" t="str">
        <f>IF(Table2[[#This Row],[CurrentStock]]&gt;Table2[[#This Row],[ReorderLevel]]*3, "Overstock", "Okay")</f>
        <v>Okay</v>
      </c>
    </row>
    <row r="667" spans="1:17" x14ac:dyDescent="0.35">
      <c r="A667">
        <v>30028</v>
      </c>
      <c r="B667" t="s">
        <v>14</v>
      </c>
      <c r="C667" t="s">
        <v>28</v>
      </c>
      <c r="D667">
        <v>31</v>
      </c>
      <c r="E667">
        <v>150</v>
      </c>
      <c r="F667" s="2">
        <v>405.09</v>
      </c>
      <c r="G667" t="s">
        <v>33</v>
      </c>
      <c r="H667" s="1">
        <v>45396</v>
      </c>
      <c r="I667" s="1">
        <v>45401</v>
      </c>
      <c r="J667" t="s">
        <v>38</v>
      </c>
      <c r="K667" s="8">
        <f>Table2[[#This Row],[CurrentStock]]*Table2[[#This Row],[UnitPrice]]</f>
        <v>12557.789999999999</v>
      </c>
      <c r="L667" t="str">
        <f>IF(Table2[[#This Row],[CurrentStock]]&lt;=Table2[[#This Row],[ReorderLevel]], "Reorder Needed", "Okay")</f>
        <v>Reorder Needed</v>
      </c>
      <c r="M667" s="7">
        <f>IF(Table2[[#This Row],[CurrentStock]]-Table2[[#This Row],[ReorderLevel]]&lt;0,Table2[[#This Row],[CurrentStock]]-Table2[[#This Row],[ReorderLevel]],"")</f>
        <v>-119</v>
      </c>
      <c r="N667" t="str">
        <f>IF(Table2[[#This Row],[Stock Gap]]&lt;0, "Understock","Okay")</f>
        <v>Understock</v>
      </c>
      <c r="O667" s="13" t="str">
        <f>IF(Table2[[#This Row],[Stock Gap]]&lt;0, "Yes", "No")</f>
        <v>Yes</v>
      </c>
      <c r="P667" s="13" t="str">
        <f>IF(Table2[[#This Row],[CurrentStock]]&lt;Table2[[#This Row],[ReorderLevel]],"Reorder", "Okay")</f>
        <v>Reorder</v>
      </c>
      <c r="Q667" s="13" t="str">
        <f>IF(Table2[[#This Row],[CurrentStock]]&gt;Table2[[#This Row],[ReorderLevel]]*3, "Overstock", "Okay")</f>
        <v>Okay</v>
      </c>
    </row>
    <row r="668" spans="1:17" x14ac:dyDescent="0.35">
      <c r="A668">
        <v>21360</v>
      </c>
      <c r="B668" t="s">
        <v>24</v>
      </c>
      <c r="C668" t="s">
        <v>30</v>
      </c>
      <c r="D668">
        <v>89</v>
      </c>
      <c r="E668">
        <v>30</v>
      </c>
      <c r="F668" s="2">
        <v>345.96</v>
      </c>
      <c r="G668" t="s">
        <v>32</v>
      </c>
      <c r="H668" s="1">
        <v>45417</v>
      </c>
      <c r="I668" s="1">
        <v>45438</v>
      </c>
      <c r="J668" t="s">
        <v>37</v>
      </c>
      <c r="K668" s="8">
        <f>Table2[[#This Row],[CurrentStock]]*Table2[[#This Row],[UnitPrice]]</f>
        <v>30790.44</v>
      </c>
      <c r="L668" t="str">
        <f>IF(Table2[[#This Row],[CurrentStock]]&lt;=Table2[[#This Row],[ReorderLevel]], "Reorder Needed", "Okay")</f>
        <v>Okay</v>
      </c>
      <c r="M668" t="str">
        <f>IF(Table2[[#This Row],[CurrentStock]]-Table2[[#This Row],[ReorderLevel]]&lt;0,Table2[[#This Row],[CurrentStock]]-Table2[[#This Row],[ReorderLevel]],"")</f>
        <v/>
      </c>
      <c r="N668" t="str">
        <f>IF(Table2[[#This Row],[Stock Gap]]&lt;0, "Understock","Okay")</f>
        <v>Okay</v>
      </c>
      <c r="O668" s="13" t="str">
        <f>IF(Table2[[#This Row],[Stock Gap]]&lt;0, "Yes", "No")</f>
        <v>No</v>
      </c>
      <c r="P668" s="13" t="str">
        <f>IF(Table2[[#This Row],[CurrentStock]]&lt;Table2[[#This Row],[ReorderLevel]],"Reorder", "Okay")</f>
        <v>Okay</v>
      </c>
      <c r="Q668" s="13" t="str">
        <f>IF(Table2[[#This Row],[CurrentStock]]&gt;Table2[[#This Row],[ReorderLevel]]*3, "Overstock", "Okay")</f>
        <v>Okay</v>
      </c>
    </row>
    <row r="669" spans="1:17" x14ac:dyDescent="0.35">
      <c r="A669">
        <v>70942</v>
      </c>
      <c r="B669" t="s">
        <v>24</v>
      </c>
      <c r="C669" t="s">
        <v>30</v>
      </c>
      <c r="D669">
        <v>447</v>
      </c>
      <c r="E669">
        <v>50</v>
      </c>
      <c r="F669" s="2">
        <v>302.47000000000003</v>
      </c>
      <c r="G669" t="s">
        <v>31</v>
      </c>
      <c r="H669" s="1">
        <v>45332</v>
      </c>
      <c r="I669" s="1">
        <v>45368</v>
      </c>
      <c r="J669" t="s">
        <v>36</v>
      </c>
      <c r="K669" s="8">
        <f>Table2[[#This Row],[CurrentStock]]*Table2[[#This Row],[UnitPrice]]</f>
        <v>135204.09000000003</v>
      </c>
      <c r="L669" t="str">
        <f>IF(Table2[[#This Row],[CurrentStock]]&lt;=Table2[[#This Row],[ReorderLevel]], "Reorder Needed", "Okay")</f>
        <v>Okay</v>
      </c>
      <c r="M669" t="str">
        <f>IF(Table2[[#This Row],[CurrentStock]]-Table2[[#This Row],[ReorderLevel]]&lt;0,Table2[[#This Row],[CurrentStock]]-Table2[[#This Row],[ReorderLevel]],"")</f>
        <v/>
      </c>
      <c r="N669" t="str">
        <f>IF(Table2[[#This Row],[Stock Gap]]&lt;0, "Understock","Okay")</f>
        <v>Okay</v>
      </c>
      <c r="O669" s="13" t="str">
        <f>IF(Table2[[#This Row],[Stock Gap]]&lt;0, "Yes", "No")</f>
        <v>No</v>
      </c>
      <c r="P669" s="13" t="str">
        <f>IF(Table2[[#This Row],[CurrentStock]]&lt;Table2[[#This Row],[ReorderLevel]],"Reorder", "Okay")</f>
        <v>Okay</v>
      </c>
      <c r="Q669" s="13" t="str">
        <f>IF(Table2[[#This Row],[CurrentStock]]&gt;Table2[[#This Row],[ReorderLevel]]*3, "Overstock", "Okay")</f>
        <v>Overstock</v>
      </c>
    </row>
    <row r="670" spans="1:17" x14ac:dyDescent="0.35">
      <c r="A670">
        <v>25630</v>
      </c>
      <c r="B670" t="s">
        <v>14</v>
      </c>
      <c r="C670" t="s">
        <v>28</v>
      </c>
      <c r="D670">
        <v>441</v>
      </c>
      <c r="E670">
        <v>30</v>
      </c>
      <c r="F670" s="2">
        <v>192.22</v>
      </c>
      <c r="G670" t="s">
        <v>34</v>
      </c>
      <c r="H670" s="1">
        <v>45405</v>
      </c>
      <c r="I670" s="1">
        <v>45416</v>
      </c>
      <c r="J670" t="s">
        <v>37</v>
      </c>
      <c r="K670" s="8">
        <f>Table2[[#This Row],[CurrentStock]]*Table2[[#This Row],[UnitPrice]]</f>
        <v>84769.02</v>
      </c>
      <c r="L670" t="str">
        <f>IF(Table2[[#This Row],[CurrentStock]]&lt;=Table2[[#This Row],[ReorderLevel]], "Reorder Needed", "Okay")</f>
        <v>Okay</v>
      </c>
      <c r="M670" t="str">
        <f>IF(Table2[[#This Row],[CurrentStock]]-Table2[[#This Row],[ReorderLevel]]&lt;0,Table2[[#This Row],[CurrentStock]]-Table2[[#This Row],[ReorderLevel]],"")</f>
        <v/>
      </c>
      <c r="N670" t="str">
        <f>IF(Table2[[#This Row],[Stock Gap]]&lt;0, "Understock","Okay")</f>
        <v>Okay</v>
      </c>
      <c r="O670" s="13" t="str">
        <f>IF(Table2[[#This Row],[Stock Gap]]&lt;0, "Yes", "No")</f>
        <v>No</v>
      </c>
      <c r="P670" s="13" t="str">
        <f>IF(Table2[[#This Row],[CurrentStock]]&lt;Table2[[#This Row],[ReorderLevel]],"Reorder", "Okay")</f>
        <v>Okay</v>
      </c>
      <c r="Q670" s="13" t="str">
        <f>IF(Table2[[#This Row],[CurrentStock]]&gt;Table2[[#This Row],[ReorderLevel]]*3, "Overstock", "Okay")</f>
        <v>Overstock</v>
      </c>
    </row>
    <row r="671" spans="1:17" x14ac:dyDescent="0.35">
      <c r="A671">
        <v>55156</v>
      </c>
      <c r="B671" t="s">
        <v>13</v>
      </c>
      <c r="C671" t="s">
        <v>26</v>
      </c>
      <c r="D671">
        <v>446</v>
      </c>
      <c r="E671">
        <v>30</v>
      </c>
      <c r="F671" s="2">
        <v>161.47</v>
      </c>
      <c r="G671" t="s">
        <v>31</v>
      </c>
      <c r="H671" s="1">
        <v>45365</v>
      </c>
      <c r="I671" s="1">
        <v>45394</v>
      </c>
      <c r="J671" t="s">
        <v>36</v>
      </c>
      <c r="K671" s="8">
        <f>Table2[[#This Row],[CurrentStock]]*Table2[[#This Row],[UnitPrice]]</f>
        <v>72015.62</v>
      </c>
      <c r="L671" t="str">
        <f>IF(Table2[[#This Row],[CurrentStock]]&lt;=Table2[[#This Row],[ReorderLevel]], "Reorder Needed", "Okay")</f>
        <v>Okay</v>
      </c>
      <c r="M671" t="str">
        <f>IF(Table2[[#This Row],[CurrentStock]]-Table2[[#This Row],[ReorderLevel]]&lt;0,Table2[[#This Row],[CurrentStock]]-Table2[[#This Row],[ReorderLevel]],"")</f>
        <v/>
      </c>
      <c r="N671" t="str">
        <f>IF(Table2[[#This Row],[Stock Gap]]&lt;0, "Understock","Okay")</f>
        <v>Okay</v>
      </c>
      <c r="O671" s="13" t="str">
        <f>IF(Table2[[#This Row],[Stock Gap]]&lt;0, "Yes", "No")</f>
        <v>No</v>
      </c>
      <c r="P671" s="13" t="str">
        <f>IF(Table2[[#This Row],[CurrentStock]]&lt;Table2[[#This Row],[ReorderLevel]],"Reorder", "Okay")</f>
        <v>Okay</v>
      </c>
      <c r="Q671" s="13" t="str">
        <f>IF(Table2[[#This Row],[CurrentStock]]&gt;Table2[[#This Row],[ReorderLevel]]*3, "Overstock", "Okay")</f>
        <v>Overstock</v>
      </c>
    </row>
    <row r="672" spans="1:17" x14ac:dyDescent="0.35">
      <c r="A672">
        <v>80456</v>
      </c>
      <c r="B672" t="s">
        <v>17</v>
      </c>
      <c r="C672" t="s">
        <v>27</v>
      </c>
      <c r="D672">
        <v>343</v>
      </c>
      <c r="E672">
        <v>100</v>
      </c>
      <c r="F672" s="2">
        <v>152.5</v>
      </c>
      <c r="G672" t="s">
        <v>32</v>
      </c>
      <c r="H672" s="1">
        <v>45436</v>
      </c>
      <c r="I672" s="1">
        <v>45464</v>
      </c>
      <c r="J672" t="s">
        <v>36</v>
      </c>
      <c r="K672" s="8">
        <f>Table2[[#This Row],[CurrentStock]]*Table2[[#This Row],[UnitPrice]]</f>
        <v>52307.5</v>
      </c>
      <c r="L672" t="str">
        <f>IF(Table2[[#This Row],[CurrentStock]]&lt;=Table2[[#This Row],[ReorderLevel]], "Reorder Needed", "Okay")</f>
        <v>Okay</v>
      </c>
      <c r="M672" t="str">
        <f>IF(Table2[[#This Row],[CurrentStock]]-Table2[[#This Row],[ReorderLevel]]&lt;0,Table2[[#This Row],[CurrentStock]]-Table2[[#This Row],[ReorderLevel]],"")</f>
        <v/>
      </c>
      <c r="N672" t="str">
        <f>IF(Table2[[#This Row],[Stock Gap]]&lt;0, "Understock","Okay")</f>
        <v>Okay</v>
      </c>
      <c r="O672" s="13" t="str">
        <f>IF(Table2[[#This Row],[Stock Gap]]&lt;0, "Yes", "No")</f>
        <v>No</v>
      </c>
      <c r="P672" s="13" t="str">
        <f>IF(Table2[[#This Row],[CurrentStock]]&lt;Table2[[#This Row],[ReorderLevel]],"Reorder", "Okay")</f>
        <v>Okay</v>
      </c>
      <c r="Q672" s="13" t="str">
        <f>IF(Table2[[#This Row],[CurrentStock]]&gt;Table2[[#This Row],[ReorderLevel]]*3, "Overstock", "Okay")</f>
        <v>Overstock</v>
      </c>
    </row>
    <row r="673" spans="1:17" x14ac:dyDescent="0.35">
      <c r="A673">
        <v>71607</v>
      </c>
      <c r="B673" t="s">
        <v>13</v>
      </c>
      <c r="C673" t="s">
        <v>26</v>
      </c>
      <c r="D673">
        <v>471</v>
      </c>
      <c r="E673">
        <v>20</v>
      </c>
      <c r="F673" s="2">
        <v>174.71</v>
      </c>
      <c r="G673" t="s">
        <v>32</v>
      </c>
      <c r="H673" s="1">
        <v>45564</v>
      </c>
      <c r="I673" s="1">
        <v>45598</v>
      </c>
      <c r="J673" t="s">
        <v>37</v>
      </c>
      <c r="K673" s="8">
        <f>Table2[[#This Row],[CurrentStock]]*Table2[[#This Row],[UnitPrice]]</f>
        <v>82288.41</v>
      </c>
      <c r="L673" t="str">
        <f>IF(Table2[[#This Row],[CurrentStock]]&lt;=Table2[[#This Row],[ReorderLevel]], "Reorder Needed", "Okay")</f>
        <v>Okay</v>
      </c>
      <c r="M673" t="str">
        <f>IF(Table2[[#This Row],[CurrentStock]]-Table2[[#This Row],[ReorderLevel]]&lt;0,Table2[[#This Row],[CurrentStock]]-Table2[[#This Row],[ReorderLevel]],"")</f>
        <v/>
      </c>
      <c r="N673" t="str">
        <f>IF(Table2[[#This Row],[Stock Gap]]&lt;0, "Understock","Okay")</f>
        <v>Okay</v>
      </c>
      <c r="O673" s="13" t="str">
        <f>IF(Table2[[#This Row],[Stock Gap]]&lt;0, "Yes", "No")</f>
        <v>No</v>
      </c>
      <c r="P673" s="13" t="str">
        <f>IF(Table2[[#This Row],[CurrentStock]]&lt;Table2[[#This Row],[ReorderLevel]],"Reorder", "Okay")</f>
        <v>Okay</v>
      </c>
      <c r="Q673" s="13" t="str">
        <f>IF(Table2[[#This Row],[CurrentStock]]&gt;Table2[[#This Row],[ReorderLevel]]*3, "Overstock", "Okay")</f>
        <v>Overstock</v>
      </c>
    </row>
    <row r="674" spans="1:17" x14ac:dyDescent="0.35">
      <c r="A674">
        <v>89401</v>
      </c>
      <c r="B674" t="s">
        <v>25</v>
      </c>
      <c r="C674" t="s">
        <v>29</v>
      </c>
      <c r="D674">
        <v>401</v>
      </c>
      <c r="E674">
        <v>150</v>
      </c>
      <c r="F674" s="2">
        <v>144.77000000000001</v>
      </c>
      <c r="G674" t="s">
        <v>33</v>
      </c>
      <c r="H674" s="1">
        <v>45365</v>
      </c>
      <c r="I674" s="1">
        <v>45386</v>
      </c>
      <c r="J674" t="s">
        <v>36</v>
      </c>
      <c r="K674" s="8">
        <f>Table2[[#This Row],[CurrentStock]]*Table2[[#This Row],[UnitPrice]]</f>
        <v>58052.770000000004</v>
      </c>
      <c r="L674" t="str">
        <f>IF(Table2[[#This Row],[CurrentStock]]&lt;=Table2[[#This Row],[ReorderLevel]], "Reorder Needed", "Okay")</f>
        <v>Okay</v>
      </c>
      <c r="M674" t="str">
        <f>IF(Table2[[#This Row],[CurrentStock]]-Table2[[#This Row],[ReorderLevel]]&lt;0,Table2[[#This Row],[CurrentStock]]-Table2[[#This Row],[ReorderLevel]],"")</f>
        <v/>
      </c>
      <c r="N674" t="str">
        <f>IF(Table2[[#This Row],[Stock Gap]]&lt;0, "Understock","Okay")</f>
        <v>Okay</v>
      </c>
      <c r="O674" s="13" t="str">
        <f>IF(Table2[[#This Row],[Stock Gap]]&lt;0, "Yes", "No")</f>
        <v>No</v>
      </c>
      <c r="P674" s="13" t="str">
        <f>IF(Table2[[#This Row],[CurrentStock]]&lt;Table2[[#This Row],[ReorderLevel]],"Reorder", "Okay")</f>
        <v>Okay</v>
      </c>
      <c r="Q674" s="13" t="str">
        <f>IF(Table2[[#This Row],[CurrentStock]]&gt;Table2[[#This Row],[ReorderLevel]]*3, "Overstock", "Okay")</f>
        <v>Okay</v>
      </c>
    </row>
    <row r="675" spans="1:17" x14ac:dyDescent="0.35">
      <c r="A675">
        <v>33889</v>
      </c>
      <c r="B675" t="s">
        <v>22</v>
      </c>
      <c r="C675" t="s">
        <v>29</v>
      </c>
      <c r="D675">
        <v>16</v>
      </c>
      <c r="E675">
        <v>20</v>
      </c>
      <c r="F675" s="2">
        <v>445.67</v>
      </c>
      <c r="G675" t="s">
        <v>31</v>
      </c>
      <c r="H675" s="1">
        <v>45448</v>
      </c>
      <c r="I675" s="1">
        <v>45483</v>
      </c>
      <c r="J675" t="s">
        <v>37</v>
      </c>
      <c r="K675" s="8">
        <f>Table2[[#This Row],[CurrentStock]]*Table2[[#This Row],[UnitPrice]]</f>
        <v>7130.72</v>
      </c>
      <c r="L675" t="str">
        <f>IF(Table2[[#This Row],[CurrentStock]]&lt;=Table2[[#This Row],[ReorderLevel]], "Reorder Needed", "Okay")</f>
        <v>Reorder Needed</v>
      </c>
      <c r="M675" s="7">
        <f>IF(Table2[[#This Row],[CurrentStock]]-Table2[[#This Row],[ReorderLevel]]&lt;0,Table2[[#This Row],[CurrentStock]]-Table2[[#This Row],[ReorderLevel]],"")</f>
        <v>-4</v>
      </c>
      <c r="N675" t="str">
        <f>IF(Table2[[#This Row],[Stock Gap]]&lt;0, "Understock","Okay")</f>
        <v>Understock</v>
      </c>
      <c r="O675" s="13" t="str">
        <f>IF(Table2[[#This Row],[Stock Gap]]&lt;0, "Yes", "No")</f>
        <v>Yes</v>
      </c>
      <c r="P675" s="13" t="str">
        <f>IF(Table2[[#This Row],[CurrentStock]]&lt;Table2[[#This Row],[ReorderLevel]],"Reorder", "Okay")</f>
        <v>Reorder</v>
      </c>
      <c r="Q675" s="13" t="str">
        <f>IF(Table2[[#This Row],[CurrentStock]]&gt;Table2[[#This Row],[ReorderLevel]]*3, "Overstock", "Okay")</f>
        <v>Okay</v>
      </c>
    </row>
    <row r="676" spans="1:17" x14ac:dyDescent="0.35">
      <c r="A676">
        <v>62057</v>
      </c>
      <c r="B676" t="s">
        <v>19</v>
      </c>
      <c r="C676" t="s">
        <v>28</v>
      </c>
      <c r="D676">
        <v>204</v>
      </c>
      <c r="E676">
        <v>150</v>
      </c>
      <c r="F676" s="2">
        <v>252.1</v>
      </c>
      <c r="G676" t="s">
        <v>33</v>
      </c>
      <c r="H676" s="1">
        <v>45538</v>
      </c>
      <c r="I676" s="1">
        <v>45561</v>
      </c>
      <c r="J676" t="s">
        <v>38</v>
      </c>
      <c r="K676" s="8">
        <f>Table2[[#This Row],[CurrentStock]]*Table2[[#This Row],[UnitPrice]]</f>
        <v>51428.4</v>
      </c>
      <c r="L676" t="str">
        <f>IF(Table2[[#This Row],[CurrentStock]]&lt;=Table2[[#This Row],[ReorderLevel]], "Reorder Needed", "Okay")</f>
        <v>Okay</v>
      </c>
      <c r="M676" t="str">
        <f>IF(Table2[[#This Row],[CurrentStock]]-Table2[[#This Row],[ReorderLevel]]&lt;0,Table2[[#This Row],[CurrentStock]]-Table2[[#This Row],[ReorderLevel]],"")</f>
        <v/>
      </c>
      <c r="N676" t="str">
        <f>IF(Table2[[#This Row],[Stock Gap]]&lt;0, "Understock","Okay")</f>
        <v>Okay</v>
      </c>
      <c r="O676" s="13" t="str">
        <f>IF(Table2[[#This Row],[Stock Gap]]&lt;0, "Yes", "No")</f>
        <v>No</v>
      </c>
      <c r="P676" s="13" t="str">
        <f>IF(Table2[[#This Row],[CurrentStock]]&lt;Table2[[#This Row],[ReorderLevel]],"Reorder", "Okay")</f>
        <v>Okay</v>
      </c>
      <c r="Q676" s="13" t="str">
        <f>IF(Table2[[#This Row],[CurrentStock]]&gt;Table2[[#This Row],[ReorderLevel]]*3, "Overstock", "Okay")</f>
        <v>Okay</v>
      </c>
    </row>
    <row r="677" spans="1:17" x14ac:dyDescent="0.35">
      <c r="A677">
        <v>28100</v>
      </c>
      <c r="B677" t="s">
        <v>11</v>
      </c>
      <c r="C677" t="s">
        <v>27</v>
      </c>
      <c r="D677">
        <v>153</v>
      </c>
      <c r="E677">
        <v>100</v>
      </c>
      <c r="F677" s="2">
        <v>480.97</v>
      </c>
      <c r="G677" t="s">
        <v>31</v>
      </c>
      <c r="H677" s="1">
        <v>45629</v>
      </c>
      <c r="I677" s="1">
        <v>45665</v>
      </c>
      <c r="J677" t="s">
        <v>38</v>
      </c>
      <c r="K677" s="8">
        <f>Table2[[#This Row],[CurrentStock]]*Table2[[#This Row],[UnitPrice]]</f>
        <v>73588.41</v>
      </c>
      <c r="L677" t="str">
        <f>IF(Table2[[#This Row],[CurrentStock]]&lt;=Table2[[#This Row],[ReorderLevel]], "Reorder Needed", "Okay")</f>
        <v>Okay</v>
      </c>
      <c r="M677" t="str">
        <f>IF(Table2[[#This Row],[CurrentStock]]-Table2[[#This Row],[ReorderLevel]]&lt;0,Table2[[#This Row],[CurrentStock]]-Table2[[#This Row],[ReorderLevel]],"")</f>
        <v/>
      </c>
      <c r="N677" t="str">
        <f>IF(Table2[[#This Row],[Stock Gap]]&lt;0, "Understock","Okay")</f>
        <v>Okay</v>
      </c>
      <c r="O677" s="13" t="str">
        <f>IF(Table2[[#This Row],[Stock Gap]]&lt;0, "Yes", "No")</f>
        <v>No</v>
      </c>
      <c r="P677" s="13" t="str">
        <f>IF(Table2[[#This Row],[CurrentStock]]&lt;Table2[[#This Row],[ReorderLevel]],"Reorder", "Okay")</f>
        <v>Okay</v>
      </c>
      <c r="Q677" s="13" t="str">
        <f>IF(Table2[[#This Row],[CurrentStock]]&gt;Table2[[#This Row],[ReorderLevel]]*3, "Overstock", "Okay")</f>
        <v>Okay</v>
      </c>
    </row>
    <row r="678" spans="1:17" x14ac:dyDescent="0.35">
      <c r="A678">
        <v>48762</v>
      </c>
      <c r="B678" t="s">
        <v>11</v>
      </c>
      <c r="C678" t="s">
        <v>27</v>
      </c>
      <c r="D678">
        <v>274</v>
      </c>
      <c r="E678">
        <v>20</v>
      </c>
      <c r="F678" s="2">
        <v>153.12</v>
      </c>
      <c r="G678" t="s">
        <v>34</v>
      </c>
      <c r="H678" s="1">
        <v>45367</v>
      </c>
      <c r="I678" s="1">
        <v>45374</v>
      </c>
      <c r="J678" t="s">
        <v>37</v>
      </c>
      <c r="K678" s="8">
        <f>Table2[[#This Row],[CurrentStock]]*Table2[[#This Row],[UnitPrice]]</f>
        <v>41954.880000000005</v>
      </c>
      <c r="L678" t="str">
        <f>IF(Table2[[#This Row],[CurrentStock]]&lt;=Table2[[#This Row],[ReorderLevel]], "Reorder Needed", "Okay")</f>
        <v>Okay</v>
      </c>
      <c r="M678" t="str">
        <f>IF(Table2[[#This Row],[CurrentStock]]-Table2[[#This Row],[ReorderLevel]]&lt;0,Table2[[#This Row],[CurrentStock]]-Table2[[#This Row],[ReorderLevel]],"")</f>
        <v/>
      </c>
      <c r="N678" t="str">
        <f>IF(Table2[[#This Row],[Stock Gap]]&lt;0, "Understock","Okay")</f>
        <v>Okay</v>
      </c>
      <c r="O678" s="13" t="str">
        <f>IF(Table2[[#This Row],[Stock Gap]]&lt;0, "Yes", "No")</f>
        <v>No</v>
      </c>
      <c r="P678" s="13" t="str">
        <f>IF(Table2[[#This Row],[CurrentStock]]&lt;Table2[[#This Row],[ReorderLevel]],"Reorder", "Okay")</f>
        <v>Okay</v>
      </c>
      <c r="Q678" s="13" t="str">
        <f>IF(Table2[[#This Row],[CurrentStock]]&gt;Table2[[#This Row],[ReorderLevel]]*3, "Overstock", "Okay")</f>
        <v>Overstock</v>
      </c>
    </row>
    <row r="679" spans="1:17" x14ac:dyDescent="0.35">
      <c r="A679">
        <v>84797</v>
      </c>
      <c r="B679" t="s">
        <v>24</v>
      </c>
      <c r="C679" t="s">
        <v>30</v>
      </c>
      <c r="D679">
        <v>199</v>
      </c>
      <c r="E679">
        <v>50</v>
      </c>
      <c r="F679" s="2">
        <v>396.69</v>
      </c>
      <c r="G679" t="s">
        <v>33</v>
      </c>
      <c r="H679" s="1">
        <v>45409</v>
      </c>
      <c r="I679" s="1">
        <v>45420</v>
      </c>
      <c r="J679" t="s">
        <v>36</v>
      </c>
      <c r="K679" s="8">
        <f>Table2[[#This Row],[CurrentStock]]*Table2[[#This Row],[UnitPrice]]</f>
        <v>78941.31</v>
      </c>
      <c r="L679" t="str">
        <f>IF(Table2[[#This Row],[CurrentStock]]&lt;=Table2[[#This Row],[ReorderLevel]], "Reorder Needed", "Okay")</f>
        <v>Okay</v>
      </c>
      <c r="M679" t="str">
        <f>IF(Table2[[#This Row],[CurrentStock]]-Table2[[#This Row],[ReorderLevel]]&lt;0,Table2[[#This Row],[CurrentStock]]-Table2[[#This Row],[ReorderLevel]],"")</f>
        <v/>
      </c>
      <c r="N679" t="str">
        <f>IF(Table2[[#This Row],[Stock Gap]]&lt;0, "Understock","Okay")</f>
        <v>Okay</v>
      </c>
      <c r="O679" s="13" t="str">
        <f>IF(Table2[[#This Row],[Stock Gap]]&lt;0, "Yes", "No")</f>
        <v>No</v>
      </c>
      <c r="P679" s="13" t="str">
        <f>IF(Table2[[#This Row],[CurrentStock]]&lt;Table2[[#This Row],[ReorderLevel]],"Reorder", "Okay")</f>
        <v>Okay</v>
      </c>
      <c r="Q679" s="13" t="str">
        <f>IF(Table2[[#This Row],[CurrentStock]]&gt;Table2[[#This Row],[ReorderLevel]]*3, "Overstock", "Okay")</f>
        <v>Overstock</v>
      </c>
    </row>
    <row r="680" spans="1:17" x14ac:dyDescent="0.35">
      <c r="A680">
        <v>13228</v>
      </c>
      <c r="B680" t="s">
        <v>17</v>
      </c>
      <c r="C680" t="s">
        <v>27</v>
      </c>
      <c r="D680">
        <v>24</v>
      </c>
      <c r="E680">
        <v>30</v>
      </c>
      <c r="F680" s="2">
        <v>35.94</v>
      </c>
      <c r="G680" t="s">
        <v>33</v>
      </c>
      <c r="H680" s="1">
        <v>45435</v>
      </c>
      <c r="I680" s="1">
        <v>45447</v>
      </c>
      <c r="J680" t="s">
        <v>38</v>
      </c>
      <c r="K680" s="8">
        <f>Table2[[#This Row],[CurrentStock]]*Table2[[#This Row],[UnitPrice]]</f>
        <v>862.56</v>
      </c>
      <c r="L680" t="str">
        <f>IF(Table2[[#This Row],[CurrentStock]]&lt;=Table2[[#This Row],[ReorderLevel]], "Reorder Needed", "Okay")</f>
        <v>Reorder Needed</v>
      </c>
      <c r="M680" s="7">
        <f>IF(Table2[[#This Row],[CurrentStock]]-Table2[[#This Row],[ReorderLevel]]&lt;0,Table2[[#This Row],[CurrentStock]]-Table2[[#This Row],[ReorderLevel]],"")</f>
        <v>-6</v>
      </c>
      <c r="N680" t="str">
        <f>IF(Table2[[#This Row],[Stock Gap]]&lt;0, "Understock","Okay")</f>
        <v>Understock</v>
      </c>
      <c r="O680" s="13" t="str">
        <f>IF(Table2[[#This Row],[Stock Gap]]&lt;0, "Yes", "No")</f>
        <v>Yes</v>
      </c>
      <c r="P680" s="13" t="str">
        <f>IF(Table2[[#This Row],[CurrentStock]]&lt;Table2[[#This Row],[ReorderLevel]],"Reorder", "Okay")</f>
        <v>Reorder</v>
      </c>
      <c r="Q680" s="13" t="str">
        <f>IF(Table2[[#This Row],[CurrentStock]]&gt;Table2[[#This Row],[ReorderLevel]]*3, "Overstock", "Okay")</f>
        <v>Okay</v>
      </c>
    </row>
    <row r="681" spans="1:17" x14ac:dyDescent="0.35">
      <c r="A681">
        <v>55254</v>
      </c>
      <c r="B681" t="s">
        <v>10</v>
      </c>
      <c r="C681" t="s">
        <v>26</v>
      </c>
      <c r="D681">
        <v>70</v>
      </c>
      <c r="E681">
        <v>20</v>
      </c>
      <c r="F681" s="2">
        <v>113.47</v>
      </c>
      <c r="G681" t="s">
        <v>34</v>
      </c>
      <c r="H681" s="1">
        <v>45445</v>
      </c>
      <c r="I681" s="1">
        <v>45475</v>
      </c>
      <c r="J681" t="s">
        <v>38</v>
      </c>
      <c r="K681" s="8">
        <f>Table2[[#This Row],[CurrentStock]]*Table2[[#This Row],[UnitPrice]]</f>
        <v>7942.9</v>
      </c>
      <c r="L681" t="str">
        <f>IF(Table2[[#This Row],[CurrentStock]]&lt;=Table2[[#This Row],[ReorderLevel]], "Reorder Needed", "Okay")</f>
        <v>Okay</v>
      </c>
      <c r="M681" t="str">
        <f>IF(Table2[[#This Row],[CurrentStock]]-Table2[[#This Row],[ReorderLevel]]&lt;0,Table2[[#This Row],[CurrentStock]]-Table2[[#This Row],[ReorderLevel]],"")</f>
        <v/>
      </c>
      <c r="N681" t="str">
        <f>IF(Table2[[#This Row],[Stock Gap]]&lt;0, "Understock","Okay")</f>
        <v>Okay</v>
      </c>
      <c r="O681" s="13" t="str">
        <f>IF(Table2[[#This Row],[Stock Gap]]&lt;0, "Yes", "No")</f>
        <v>No</v>
      </c>
      <c r="P681" s="13" t="str">
        <f>IF(Table2[[#This Row],[CurrentStock]]&lt;Table2[[#This Row],[ReorderLevel]],"Reorder", "Okay")</f>
        <v>Okay</v>
      </c>
      <c r="Q681" s="13" t="str">
        <f>IF(Table2[[#This Row],[CurrentStock]]&gt;Table2[[#This Row],[ReorderLevel]]*3, "Overstock", "Okay")</f>
        <v>Overstock</v>
      </c>
    </row>
    <row r="682" spans="1:17" x14ac:dyDescent="0.35">
      <c r="A682">
        <v>61658</v>
      </c>
      <c r="B682" t="s">
        <v>17</v>
      </c>
      <c r="C682" t="s">
        <v>27</v>
      </c>
      <c r="D682">
        <v>211</v>
      </c>
      <c r="E682">
        <v>150</v>
      </c>
      <c r="F682" s="2">
        <v>57.53</v>
      </c>
      <c r="G682" t="s">
        <v>32</v>
      </c>
      <c r="H682" s="1">
        <v>45359</v>
      </c>
      <c r="I682" s="1">
        <v>45389</v>
      </c>
      <c r="J682" t="s">
        <v>38</v>
      </c>
      <c r="K682" s="8">
        <f>Table2[[#This Row],[CurrentStock]]*Table2[[#This Row],[UnitPrice]]</f>
        <v>12138.83</v>
      </c>
      <c r="L682" t="str">
        <f>IF(Table2[[#This Row],[CurrentStock]]&lt;=Table2[[#This Row],[ReorderLevel]], "Reorder Needed", "Okay")</f>
        <v>Okay</v>
      </c>
      <c r="M682" t="str">
        <f>IF(Table2[[#This Row],[CurrentStock]]-Table2[[#This Row],[ReorderLevel]]&lt;0,Table2[[#This Row],[CurrentStock]]-Table2[[#This Row],[ReorderLevel]],"")</f>
        <v/>
      </c>
      <c r="N682" t="str">
        <f>IF(Table2[[#This Row],[Stock Gap]]&lt;0, "Understock","Okay")</f>
        <v>Okay</v>
      </c>
      <c r="O682" s="13" t="str">
        <f>IF(Table2[[#This Row],[Stock Gap]]&lt;0, "Yes", "No")</f>
        <v>No</v>
      </c>
      <c r="P682" s="13" t="str">
        <f>IF(Table2[[#This Row],[CurrentStock]]&lt;Table2[[#This Row],[ReorderLevel]],"Reorder", "Okay")</f>
        <v>Okay</v>
      </c>
      <c r="Q682" s="13" t="str">
        <f>IF(Table2[[#This Row],[CurrentStock]]&gt;Table2[[#This Row],[ReorderLevel]]*3, "Overstock", "Okay")</f>
        <v>Okay</v>
      </c>
    </row>
    <row r="683" spans="1:17" x14ac:dyDescent="0.35">
      <c r="A683">
        <v>36327</v>
      </c>
      <c r="B683" t="s">
        <v>13</v>
      </c>
      <c r="C683" t="s">
        <v>26</v>
      </c>
      <c r="D683">
        <v>48</v>
      </c>
      <c r="E683">
        <v>50</v>
      </c>
      <c r="F683" s="2">
        <v>481.24</v>
      </c>
      <c r="G683" t="s">
        <v>32</v>
      </c>
      <c r="H683" s="1">
        <v>45560</v>
      </c>
      <c r="I683" s="1">
        <v>45578</v>
      </c>
      <c r="J683" t="s">
        <v>38</v>
      </c>
      <c r="K683" s="8">
        <f>Table2[[#This Row],[CurrentStock]]*Table2[[#This Row],[UnitPrice]]</f>
        <v>23099.52</v>
      </c>
      <c r="L683" t="str">
        <f>IF(Table2[[#This Row],[CurrentStock]]&lt;=Table2[[#This Row],[ReorderLevel]], "Reorder Needed", "Okay")</f>
        <v>Reorder Needed</v>
      </c>
      <c r="M683" s="7">
        <f>IF(Table2[[#This Row],[CurrentStock]]-Table2[[#This Row],[ReorderLevel]]&lt;0,Table2[[#This Row],[CurrentStock]]-Table2[[#This Row],[ReorderLevel]],"")</f>
        <v>-2</v>
      </c>
      <c r="N683" t="str">
        <f>IF(Table2[[#This Row],[Stock Gap]]&lt;0, "Understock","Okay")</f>
        <v>Understock</v>
      </c>
      <c r="O683" s="13" t="str">
        <f>IF(Table2[[#This Row],[Stock Gap]]&lt;0, "Yes", "No")</f>
        <v>Yes</v>
      </c>
      <c r="P683" s="13" t="str">
        <f>IF(Table2[[#This Row],[CurrentStock]]&lt;Table2[[#This Row],[ReorderLevel]],"Reorder", "Okay")</f>
        <v>Reorder</v>
      </c>
      <c r="Q683" s="13" t="str">
        <f>IF(Table2[[#This Row],[CurrentStock]]&gt;Table2[[#This Row],[ReorderLevel]]*3, "Overstock", "Okay")</f>
        <v>Okay</v>
      </c>
    </row>
    <row r="684" spans="1:17" x14ac:dyDescent="0.35">
      <c r="A684">
        <v>98150</v>
      </c>
      <c r="B684" t="s">
        <v>16</v>
      </c>
      <c r="C684" t="s">
        <v>29</v>
      </c>
      <c r="D684">
        <v>303</v>
      </c>
      <c r="E684">
        <v>50</v>
      </c>
      <c r="F684" s="2">
        <v>31.62</v>
      </c>
      <c r="G684" t="s">
        <v>35</v>
      </c>
      <c r="H684" s="1">
        <v>45525</v>
      </c>
      <c r="I684" s="1">
        <v>45538</v>
      </c>
      <c r="J684" t="s">
        <v>37</v>
      </c>
      <c r="K684" s="8">
        <f>Table2[[#This Row],[CurrentStock]]*Table2[[#This Row],[UnitPrice]]</f>
        <v>9580.86</v>
      </c>
      <c r="L684" t="str">
        <f>IF(Table2[[#This Row],[CurrentStock]]&lt;=Table2[[#This Row],[ReorderLevel]], "Reorder Needed", "Okay")</f>
        <v>Okay</v>
      </c>
      <c r="M684" t="str">
        <f>IF(Table2[[#This Row],[CurrentStock]]-Table2[[#This Row],[ReorderLevel]]&lt;0,Table2[[#This Row],[CurrentStock]]-Table2[[#This Row],[ReorderLevel]],"")</f>
        <v/>
      </c>
      <c r="N684" t="str">
        <f>IF(Table2[[#This Row],[Stock Gap]]&lt;0, "Understock","Okay")</f>
        <v>Okay</v>
      </c>
      <c r="O684" s="13" t="str">
        <f>IF(Table2[[#This Row],[Stock Gap]]&lt;0, "Yes", "No")</f>
        <v>No</v>
      </c>
      <c r="P684" s="13" t="str">
        <f>IF(Table2[[#This Row],[CurrentStock]]&lt;Table2[[#This Row],[ReorderLevel]],"Reorder", "Okay")</f>
        <v>Okay</v>
      </c>
      <c r="Q684" s="13" t="str">
        <f>IF(Table2[[#This Row],[CurrentStock]]&gt;Table2[[#This Row],[ReorderLevel]]*3, "Overstock", "Okay")</f>
        <v>Overstock</v>
      </c>
    </row>
    <row r="685" spans="1:17" x14ac:dyDescent="0.35">
      <c r="A685">
        <v>91163</v>
      </c>
      <c r="B685" t="s">
        <v>11</v>
      </c>
      <c r="C685" t="s">
        <v>27</v>
      </c>
      <c r="D685">
        <v>303</v>
      </c>
      <c r="E685">
        <v>50</v>
      </c>
      <c r="F685" s="2">
        <v>370.39</v>
      </c>
      <c r="G685" t="s">
        <v>32</v>
      </c>
      <c r="H685" s="1">
        <v>45567</v>
      </c>
      <c r="I685" s="1">
        <v>45574</v>
      </c>
      <c r="J685" t="s">
        <v>38</v>
      </c>
      <c r="K685" s="8">
        <f>Table2[[#This Row],[CurrentStock]]*Table2[[#This Row],[UnitPrice]]</f>
        <v>112228.17</v>
      </c>
      <c r="L685" t="str">
        <f>IF(Table2[[#This Row],[CurrentStock]]&lt;=Table2[[#This Row],[ReorderLevel]], "Reorder Needed", "Okay")</f>
        <v>Okay</v>
      </c>
      <c r="M685" t="str">
        <f>IF(Table2[[#This Row],[CurrentStock]]-Table2[[#This Row],[ReorderLevel]]&lt;0,Table2[[#This Row],[CurrentStock]]-Table2[[#This Row],[ReorderLevel]],"")</f>
        <v/>
      </c>
      <c r="N685" t="str">
        <f>IF(Table2[[#This Row],[Stock Gap]]&lt;0, "Understock","Okay")</f>
        <v>Okay</v>
      </c>
      <c r="O685" s="13" t="str">
        <f>IF(Table2[[#This Row],[Stock Gap]]&lt;0, "Yes", "No")</f>
        <v>No</v>
      </c>
      <c r="P685" s="13" t="str">
        <f>IF(Table2[[#This Row],[CurrentStock]]&lt;Table2[[#This Row],[ReorderLevel]],"Reorder", "Okay")</f>
        <v>Okay</v>
      </c>
      <c r="Q685" s="13" t="str">
        <f>IF(Table2[[#This Row],[CurrentStock]]&gt;Table2[[#This Row],[ReorderLevel]]*3, "Overstock", "Okay")</f>
        <v>Overstock</v>
      </c>
    </row>
    <row r="686" spans="1:17" x14ac:dyDescent="0.35">
      <c r="A686">
        <v>13089</v>
      </c>
      <c r="B686" t="s">
        <v>14</v>
      </c>
      <c r="C686" t="s">
        <v>28</v>
      </c>
      <c r="D686">
        <v>43</v>
      </c>
      <c r="E686">
        <v>80</v>
      </c>
      <c r="F686" s="2">
        <v>260.26</v>
      </c>
      <c r="G686" t="s">
        <v>33</v>
      </c>
      <c r="H686" s="1">
        <v>45483</v>
      </c>
      <c r="I686" s="1">
        <v>45509</v>
      </c>
      <c r="J686" t="s">
        <v>37</v>
      </c>
      <c r="K686" s="8">
        <f>Table2[[#This Row],[CurrentStock]]*Table2[[#This Row],[UnitPrice]]</f>
        <v>11191.18</v>
      </c>
      <c r="L686" t="str">
        <f>IF(Table2[[#This Row],[CurrentStock]]&lt;=Table2[[#This Row],[ReorderLevel]], "Reorder Needed", "Okay")</f>
        <v>Reorder Needed</v>
      </c>
      <c r="M686" s="7">
        <f>IF(Table2[[#This Row],[CurrentStock]]-Table2[[#This Row],[ReorderLevel]]&lt;0,Table2[[#This Row],[CurrentStock]]-Table2[[#This Row],[ReorderLevel]],"")</f>
        <v>-37</v>
      </c>
      <c r="N686" t="str">
        <f>IF(Table2[[#This Row],[Stock Gap]]&lt;0, "Understock","Okay")</f>
        <v>Understock</v>
      </c>
      <c r="O686" s="13" t="str">
        <f>IF(Table2[[#This Row],[Stock Gap]]&lt;0, "Yes", "No")</f>
        <v>Yes</v>
      </c>
      <c r="P686" s="13" t="str">
        <f>IF(Table2[[#This Row],[CurrentStock]]&lt;Table2[[#This Row],[ReorderLevel]],"Reorder", "Okay")</f>
        <v>Reorder</v>
      </c>
      <c r="Q686" s="13" t="str">
        <f>IF(Table2[[#This Row],[CurrentStock]]&gt;Table2[[#This Row],[ReorderLevel]]*3, "Overstock", "Okay")</f>
        <v>Okay</v>
      </c>
    </row>
    <row r="687" spans="1:17" x14ac:dyDescent="0.35">
      <c r="A687">
        <v>99242</v>
      </c>
      <c r="B687" t="s">
        <v>15</v>
      </c>
      <c r="C687" t="s">
        <v>29</v>
      </c>
      <c r="D687">
        <v>487</v>
      </c>
      <c r="E687">
        <v>150</v>
      </c>
      <c r="F687" s="2">
        <v>279.97000000000003</v>
      </c>
      <c r="G687" t="s">
        <v>35</v>
      </c>
      <c r="H687" s="1">
        <v>45310</v>
      </c>
      <c r="I687" s="1">
        <v>45320</v>
      </c>
      <c r="J687" t="s">
        <v>37</v>
      </c>
      <c r="K687" s="8">
        <f>Table2[[#This Row],[CurrentStock]]*Table2[[#This Row],[UnitPrice]]</f>
        <v>136345.39000000001</v>
      </c>
      <c r="L687" t="str">
        <f>IF(Table2[[#This Row],[CurrentStock]]&lt;=Table2[[#This Row],[ReorderLevel]], "Reorder Needed", "Okay")</f>
        <v>Okay</v>
      </c>
      <c r="M687" t="str">
        <f>IF(Table2[[#This Row],[CurrentStock]]-Table2[[#This Row],[ReorderLevel]]&lt;0,Table2[[#This Row],[CurrentStock]]-Table2[[#This Row],[ReorderLevel]],"")</f>
        <v/>
      </c>
      <c r="N687" t="str">
        <f>IF(Table2[[#This Row],[Stock Gap]]&lt;0, "Understock","Okay")</f>
        <v>Okay</v>
      </c>
      <c r="O687" s="13" t="str">
        <f>IF(Table2[[#This Row],[Stock Gap]]&lt;0, "Yes", "No")</f>
        <v>No</v>
      </c>
      <c r="P687" s="13" t="str">
        <f>IF(Table2[[#This Row],[CurrentStock]]&lt;Table2[[#This Row],[ReorderLevel]],"Reorder", "Okay")</f>
        <v>Okay</v>
      </c>
      <c r="Q687" s="13" t="str">
        <f>IF(Table2[[#This Row],[CurrentStock]]&gt;Table2[[#This Row],[ReorderLevel]]*3, "Overstock", "Okay")</f>
        <v>Overstock</v>
      </c>
    </row>
    <row r="688" spans="1:17" x14ac:dyDescent="0.35">
      <c r="A688">
        <v>22665</v>
      </c>
      <c r="B688" t="s">
        <v>16</v>
      </c>
      <c r="C688" t="s">
        <v>29</v>
      </c>
      <c r="D688">
        <v>134</v>
      </c>
      <c r="E688">
        <v>40</v>
      </c>
      <c r="F688" s="2">
        <v>341.79</v>
      </c>
      <c r="G688" t="s">
        <v>35</v>
      </c>
      <c r="H688" s="1">
        <v>45434</v>
      </c>
      <c r="I688" s="1">
        <v>45441</v>
      </c>
      <c r="J688" t="s">
        <v>37</v>
      </c>
      <c r="K688" s="8">
        <f>Table2[[#This Row],[CurrentStock]]*Table2[[#This Row],[UnitPrice]]</f>
        <v>45799.86</v>
      </c>
      <c r="L688" t="str">
        <f>IF(Table2[[#This Row],[CurrentStock]]&lt;=Table2[[#This Row],[ReorderLevel]], "Reorder Needed", "Okay")</f>
        <v>Okay</v>
      </c>
      <c r="M688" t="str">
        <f>IF(Table2[[#This Row],[CurrentStock]]-Table2[[#This Row],[ReorderLevel]]&lt;0,Table2[[#This Row],[CurrentStock]]-Table2[[#This Row],[ReorderLevel]],"")</f>
        <v/>
      </c>
      <c r="N688" t="str">
        <f>IF(Table2[[#This Row],[Stock Gap]]&lt;0, "Understock","Okay")</f>
        <v>Okay</v>
      </c>
      <c r="O688" s="13" t="str">
        <f>IF(Table2[[#This Row],[Stock Gap]]&lt;0, "Yes", "No")</f>
        <v>No</v>
      </c>
      <c r="P688" s="13" t="str">
        <f>IF(Table2[[#This Row],[CurrentStock]]&lt;Table2[[#This Row],[ReorderLevel]],"Reorder", "Okay")</f>
        <v>Okay</v>
      </c>
      <c r="Q688" s="13" t="str">
        <f>IF(Table2[[#This Row],[CurrentStock]]&gt;Table2[[#This Row],[ReorderLevel]]*3, "Overstock", "Okay")</f>
        <v>Overstock</v>
      </c>
    </row>
    <row r="689" spans="1:17" x14ac:dyDescent="0.35">
      <c r="A689">
        <v>76708</v>
      </c>
      <c r="B689" t="s">
        <v>25</v>
      </c>
      <c r="C689" t="s">
        <v>29</v>
      </c>
      <c r="D689">
        <v>8</v>
      </c>
      <c r="E689">
        <v>150</v>
      </c>
      <c r="F689" s="2">
        <v>74.569999999999993</v>
      </c>
      <c r="G689" t="s">
        <v>34</v>
      </c>
      <c r="H689" s="1">
        <v>45308</v>
      </c>
      <c r="I689" s="1">
        <v>45338</v>
      </c>
      <c r="J689" t="s">
        <v>37</v>
      </c>
      <c r="K689" s="8">
        <f>Table2[[#This Row],[CurrentStock]]*Table2[[#This Row],[UnitPrice]]</f>
        <v>596.55999999999995</v>
      </c>
      <c r="L689" t="str">
        <f>IF(Table2[[#This Row],[CurrentStock]]&lt;=Table2[[#This Row],[ReorderLevel]], "Reorder Needed", "Okay")</f>
        <v>Reorder Needed</v>
      </c>
      <c r="M689" s="7">
        <f>IF(Table2[[#This Row],[CurrentStock]]-Table2[[#This Row],[ReorderLevel]]&lt;0,Table2[[#This Row],[CurrentStock]]-Table2[[#This Row],[ReorderLevel]],"")</f>
        <v>-142</v>
      </c>
      <c r="N689" t="str">
        <f>IF(Table2[[#This Row],[Stock Gap]]&lt;0, "Understock","Okay")</f>
        <v>Understock</v>
      </c>
      <c r="O689" s="13" t="str">
        <f>IF(Table2[[#This Row],[Stock Gap]]&lt;0, "Yes", "No")</f>
        <v>Yes</v>
      </c>
      <c r="P689" s="13" t="str">
        <f>IF(Table2[[#This Row],[CurrentStock]]&lt;Table2[[#This Row],[ReorderLevel]],"Reorder", "Okay")</f>
        <v>Reorder</v>
      </c>
      <c r="Q689" s="13" t="str">
        <f>IF(Table2[[#This Row],[CurrentStock]]&gt;Table2[[#This Row],[ReorderLevel]]*3, "Overstock", "Okay")</f>
        <v>Okay</v>
      </c>
    </row>
    <row r="690" spans="1:17" x14ac:dyDescent="0.35">
      <c r="A690">
        <v>95643</v>
      </c>
      <c r="B690" t="s">
        <v>23</v>
      </c>
      <c r="C690" t="s">
        <v>30</v>
      </c>
      <c r="D690">
        <v>34</v>
      </c>
      <c r="E690">
        <v>150</v>
      </c>
      <c r="F690" s="2">
        <v>476.79</v>
      </c>
      <c r="G690" t="s">
        <v>33</v>
      </c>
      <c r="H690" s="1">
        <v>45305</v>
      </c>
      <c r="I690" s="1">
        <v>45319</v>
      </c>
      <c r="J690" t="s">
        <v>37</v>
      </c>
      <c r="K690" s="8">
        <f>Table2[[#This Row],[CurrentStock]]*Table2[[#This Row],[UnitPrice]]</f>
        <v>16210.86</v>
      </c>
      <c r="L690" t="str">
        <f>IF(Table2[[#This Row],[CurrentStock]]&lt;=Table2[[#This Row],[ReorderLevel]], "Reorder Needed", "Okay")</f>
        <v>Reorder Needed</v>
      </c>
      <c r="M690" s="7">
        <f>IF(Table2[[#This Row],[CurrentStock]]-Table2[[#This Row],[ReorderLevel]]&lt;0,Table2[[#This Row],[CurrentStock]]-Table2[[#This Row],[ReorderLevel]],"")</f>
        <v>-116</v>
      </c>
      <c r="N690" t="str">
        <f>IF(Table2[[#This Row],[Stock Gap]]&lt;0, "Understock","Okay")</f>
        <v>Understock</v>
      </c>
      <c r="O690" s="13" t="str">
        <f>IF(Table2[[#This Row],[Stock Gap]]&lt;0, "Yes", "No")</f>
        <v>Yes</v>
      </c>
      <c r="P690" s="13" t="str">
        <f>IF(Table2[[#This Row],[CurrentStock]]&lt;Table2[[#This Row],[ReorderLevel]],"Reorder", "Okay")</f>
        <v>Reorder</v>
      </c>
      <c r="Q690" s="13" t="str">
        <f>IF(Table2[[#This Row],[CurrentStock]]&gt;Table2[[#This Row],[ReorderLevel]]*3, "Overstock", "Okay")</f>
        <v>Okay</v>
      </c>
    </row>
    <row r="691" spans="1:17" x14ac:dyDescent="0.35">
      <c r="A691">
        <v>40825</v>
      </c>
      <c r="B691" t="s">
        <v>23</v>
      </c>
      <c r="C691" t="s">
        <v>30</v>
      </c>
      <c r="D691">
        <v>9</v>
      </c>
      <c r="E691">
        <v>30</v>
      </c>
      <c r="F691" s="2">
        <v>55.18</v>
      </c>
      <c r="G691" t="s">
        <v>35</v>
      </c>
      <c r="H691" s="1">
        <v>45514</v>
      </c>
      <c r="I691" s="1">
        <v>45519</v>
      </c>
      <c r="J691" t="s">
        <v>38</v>
      </c>
      <c r="K691" s="8">
        <f>Table2[[#This Row],[CurrentStock]]*Table2[[#This Row],[UnitPrice]]</f>
        <v>496.62</v>
      </c>
      <c r="L691" t="str">
        <f>IF(Table2[[#This Row],[CurrentStock]]&lt;=Table2[[#This Row],[ReorderLevel]], "Reorder Needed", "Okay")</f>
        <v>Reorder Needed</v>
      </c>
      <c r="M691" s="7">
        <f>IF(Table2[[#This Row],[CurrentStock]]-Table2[[#This Row],[ReorderLevel]]&lt;0,Table2[[#This Row],[CurrentStock]]-Table2[[#This Row],[ReorderLevel]],"")</f>
        <v>-21</v>
      </c>
      <c r="N691" t="str">
        <f>IF(Table2[[#This Row],[Stock Gap]]&lt;0, "Understock","Okay")</f>
        <v>Understock</v>
      </c>
      <c r="O691" s="13" t="str">
        <f>IF(Table2[[#This Row],[Stock Gap]]&lt;0, "Yes", "No")</f>
        <v>Yes</v>
      </c>
      <c r="P691" s="13" t="str">
        <f>IF(Table2[[#This Row],[CurrentStock]]&lt;Table2[[#This Row],[ReorderLevel]],"Reorder", "Okay")</f>
        <v>Reorder</v>
      </c>
      <c r="Q691" s="13" t="str">
        <f>IF(Table2[[#This Row],[CurrentStock]]&gt;Table2[[#This Row],[ReorderLevel]]*3, "Overstock", "Okay")</f>
        <v>Okay</v>
      </c>
    </row>
    <row r="692" spans="1:17" x14ac:dyDescent="0.35">
      <c r="A692">
        <v>60017</v>
      </c>
      <c r="B692" t="s">
        <v>11</v>
      </c>
      <c r="C692" t="s">
        <v>27</v>
      </c>
      <c r="D692">
        <v>196</v>
      </c>
      <c r="E692">
        <v>40</v>
      </c>
      <c r="F692" s="2">
        <v>461.69</v>
      </c>
      <c r="G692" t="s">
        <v>35</v>
      </c>
      <c r="H692" s="1">
        <v>45372</v>
      </c>
      <c r="I692" s="1">
        <v>45386</v>
      </c>
      <c r="J692" t="s">
        <v>37</v>
      </c>
      <c r="K692" s="8">
        <f>Table2[[#This Row],[CurrentStock]]*Table2[[#This Row],[UnitPrice]]</f>
        <v>90491.24</v>
      </c>
      <c r="L692" t="str">
        <f>IF(Table2[[#This Row],[CurrentStock]]&lt;=Table2[[#This Row],[ReorderLevel]], "Reorder Needed", "Okay")</f>
        <v>Okay</v>
      </c>
      <c r="M692" t="str">
        <f>IF(Table2[[#This Row],[CurrentStock]]-Table2[[#This Row],[ReorderLevel]]&lt;0,Table2[[#This Row],[CurrentStock]]-Table2[[#This Row],[ReorderLevel]],"")</f>
        <v/>
      </c>
      <c r="N692" t="str">
        <f>IF(Table2[[#This Row],[Stock Gap]]&lt;0, "Understock","Okay")</f>
        <v>Okay</v>
      </c>
      <c r="O692" s="13" t="str">
        <f>IF(Table2[[#This Row],[Stock Gap]]&lt;0, "Yes", "No")</f>
        <v>No</v>
      </c>
      <c r="P692" s="13" t="str">
        <f>IF(Table2[[#This Row],[CurrentStock]]&lt;Table2[[#This Row],[ReorderLevel]],"Reorder", "Okay")</f>
        <v>Okay</v>
      </c>
      <c r="Q692" s="13" t="str">
        <f>IF(Table2[[#This Row],[CurrentStock]]&gt;Table2[[#This Row],[ReorderLevel]]*3, "Overstock", "Okay")</f>
        <v>Overstock</v>
      </c>
    </row>
    <row r="693" spans="1:17" x14ac:dyDescent="0.35">
      <c r="A693">
        <v>26121</v>
      </c>
      <c r="B693" t="s">
        <v>12</v>
      </c>
      <c r="C693" t="s">
        <v>28</v>
      </c>
      <c r="D693">
        <v>440</v>
      </c>
      <c r="E693">
        <v>150</v>
      </c>
      <c r="F693" s="2">
        <v>128.16999999999999</v>
      </c>
      <c r="G693" t="s">
        <v>31</v>
      </c>
      <c r="H693" s="1">
        <v>45293</v>
      </c>
      <c r="I693" s="1">
        <v>45305</v>
      </c>
      <c r="J693" t="s">
        <v>36</v>
      </c>
      <c r="K693" s="8">
        <f>Table2[[#This Row],[CurrentStock]]*Table2[[#This Row],[UnitPrice]]</f>
        <v>56394.799999999996</v>
      </c>
      <c r="L693" t="str">
        <f>IF(Table2[[#This Row],[CurrentStock]]&lt;=Table2[[#This Row],[ReorderLevel]], "Reorder Needed", "Okay")</f>
        <v>Okay</v>
      </c>
      <c r="M693" t="str">
        <f>IF(Table2[[#This Row],[CurrentStock]]-Table2[[#This Row],[ReorderLevel]]&lt;0,Table2[[#This Row],[CurrentStock]]-Table2[[#This Row],[ReorderLevel]],"")</f>
        <v/>
      </c>
      <c r="N693" t="str">
        <f>IF(Table2[[#This Row],[Stock Gap]]&lt;0, "Understock","Okay")</f>
        <v>Okay</v>
      </c>
      <c r="O693" s="13" t="str">
        <f>IF(Table2[[#This Row],[Stock Gap]]&lt;0, "Yes", "No")</f>
        <v>No</v>
      </c>
      <c r="P693" s="13" t="str">
        <f>IF(Table2[[#This Row],[CurrentStock]]&lt;Table2[[#This Row],[ReorderLevel]],"Reorder", "Okay")</f>
        <v>Okay</v>
      </c>
      <c r="Q693" s="13" t="str">
        <f>IF(Table2[[#This Row],[CurrentStock]]&gt;Table2[[#This Row],[ReorderLevel]]*3, "Overstock", "Okay")</f>
        <v>Okay</v>
      </c>
    </row>
    <row r="694" spans="1:17" x14ac:dyDescent="0.35">
      <c r="A694">
        <v>20492</v>
      </c>
      <c r="B694" t="s">
        <v>13</v>
      </c>
      <c r="C694" t="s">
        <v>26</v>
      </c>
      <c r="D694">
        <v>468</v>
      </c>
      <c r="E694">
        <v>50</v>
      </c>
      <c r="F694" s="2">
        <v>132.44999999999999</v>
      </c>
      <c r="G694" t="s">
        <v>32</v>
      </c>
      <c r="H694" s="1">
        <v>45583</v>
      </c>
      <c r="I694" s="1">
        <v>45616</v>
      </c>
      <c r="J694" t="s">
        <v>36</v>
      </c>
      <c r="K694" s="8">
        <f>Table2[[#This Row],[CurrentStock]]*Table2[[#This Row],[UnitPrice]]</f>
        <v>61986.599999999991</v>
      </c>
      <c r="L694" t="str">
        <f>IF(Table2[[#This Row],[CurrentStock]]&lt;=Table2[[#This Row],[ReorderLevel]], "Reorder Needed", "Okay")</f>
        <v>Okay</v>
      </c>
      <c r="M694" t="str">
        <f>IF(Table2[[#This Row],[CurrentStock]]-Table2[[#This Row],[ReorderLevel]]&lt;0,Table2[[#This Row],[CurrentStock]]-Table2[[#This Row],[ReorderLevel]],"")</f>
        <v/>
      </c>
      <c r="N694" t="str">
        <f>IF(Table2[[#This Row],[Stock Gap]]&lt;0, "Understock","Okay")</f>
        <v>Okay</v>
      </c>
      <c r="O694" s="13" t="str">
        <f>IF(Table2[[#This Row],[Stock Gap]]&lt;0, "Yes", "No")</f>
        <v>No</v>
      </c>
      <c r="P694" s="13" t="str">
        <f>IF(Table2[[#This Row],[CurrentStock]]&lt;Table2[[#This Row],[ReorderLevel]],"Reorder", "Okay")</f>
        <v>Okay</v>
      </c>
      <c r="Q694" s="13" t="str">
        <f>IF(Table2[[#This Row],[CurrentStock]]&gt;Table2[[#This Row],[ReorderLevel]]*3, "Overstock", "Okay")</f>
        <v>Overstock</v>
      </c>
    </row>
    <row r="695" spans="1:17" x14ac:dyDescent="0.35">
      <c r="A695">
        <v>41624</v>
      </c>
      <c r="B695" t="s">
        <v>16</v>
      </c>
      <c r="C695" t="s">
        <v>29</v>
      </c>
      <c r="D695">
        <v>305</v>
      </c>
      <c r="E695">
        <v>100</v>
      </c>
      <c r="F695" s="2">
        <v>466.77</v>
      </c>
      <c r="G695" t="s">
        <v>34</v>
      </c>
      <c r="H695" s="1">
        <v>45507</v>
      </c>
      <c r="I695" s="1">
        <v>45534</v>
      </c>
      <c r="J695" t="s">
        <v>38</v>
      </c>
      <c r="K695" s="8">
        <f>Table2[[#This Row],[CurrentStock]]*Table2[[#This Row],[UnitPrice]]</f>
        <v>142364.85</v>
      </c>
      <c r="L695" t="str">
        <f>IF(Table2[[#This Row],[CurrentStock]]&lt;=Table2[[#This Row],[ReorderLevel]], "Reorder Needed", "Okay")</f>
        <v>Okay</v>
      </c>
      <c r="M695" t="str">
        <f>IF(Table2[[#This Row],[CurrentStock]]-Table2[[#This Row],[ReorderLevel]]&lt;0,Table2[[#This Row],[CurrentStock]]-Table2[[#This Row],[ReorderLevel]],"")</f>
        <v/>
      </c>
      <c r="N695" t="str">
        <f>IF(Table2[[#This Row],[Stock Gap]]&lt;0, "Understock","Okay")</f>
        <v>Okay</v>
      </c>
      <c r="O695" s="13" t="str">
        <f>IF(Table2[[#This Row],[Stock Gap]]&lt;0, "Yes", "No")</f>
        <v>No</v>
      </c>
      <c r="P695" s="13" t="str">
        <f>IF(Table2[[#This Row],[CurrentStock]]&lt;Table2[[#This Row],[ReorderLevel]],"Reorder", "Okay")</f>
        <v>Okay</v>
      </c>
      <c r="Q695" s="13" t="str">
        <f>IF(Table2[[#This Row],[CurrentStock]]&gt;Table2[[#This Row],[ReorderLevel]]*3, "Overstock", "Okay")</f>
        <v>Overstock</v>
      </c>
    </row>
    <row r="696" spans="1:17" x14ac:dyDescent="0.35">
      <c r="A696">
        <v>73753</v>
      </c>
      <c r="B696" t="s">
        <v>16</v>
      </c>
      <c r="C696" t="s">
        <v>29</v>
      </c>
      <c r="D696">
        <v>85</v>
      </c>
      <c r="E696">
        <v>50</v>
      </c>
      <c r="F696" s="2">
        <v>426.85</v>
      </c>
      <c r="G696" t="s">
        <v>35</v>
      </c>
      <c r="H696" s="1">
        <v>45436</v>
      </c>
      <c r="I696" s="1">
        <v>45464</v>
      </c>
      <c r="J696" t="s">
        <v>38</v>
      </c>
      <c r="K696" s="8">
        <f>Table2[[#This Row],[CurrentStock]]*Table2[[#This Row],[UnitPrice]]</f>
        <v>36282.25</v>
      </c>
      <c r="L696" t="str">
        <f>IF(Table2[[#This Row],[CurrentStock]]&lt;=Table2[[#This Row],[ReorderLevel]], "Reorder Needed", "Okay")</f>
        <v>Okay</v>
      </c>
      <c r="M696" t="str">
        <f>IF(Table2[[#This Row],[CurrentStock]]-Table2[[#This Row],[ReorderLevel]]&lt;0,Table2[[#This Row],[CurrentStock]]-Table2[[#This Row],[ReorderLevel]],"")</f>
        <v/>
      </c>
      <c r="N696" t="str">
        <f>IF(Table2[[#This Row],[Stock Gap]]&lt;0, "Understock","Okay")</f>
        <v>Okay</v>
      </c>
      <c r="O696" s="13" t="str">
        <f>IF(Table2[[#This Row],[Stock Gap]]&lt;0, "Yes", "No")</f>
        <v>No</v>
      </c>
      <c r="P696" s="13" t="str">
        <f>IF(Table2[[#This Row],[CurrentStock]]&lt;Table2[[#This Row],[ReorderLevel]],"Reorder", "Okay")</f>
        <v>Okay</v>
      </c>
      <c r="Q696" s="13" t="str">
        <f>IF(Table2[[#This Row],[CurrentStock]]&gt;Table2[[#This Row],[ReorderLevel]]*3, "Overstock", "Okay")</f>
        <v>Okay</v>
      </c>
    </row>
    <row r="697" spans="1:17" x14ac:dyDescent="0.35">
      <c r="A697">
        <v>96840</v>
      </c>
      <c r="B697" t="s">
        <v>25</v>
      </c>
      <c r="C697" t="s">
        <v>29</v>
      </c>
      <c r="D697">
        <v>381</v>
      </c>
      <c r="E697">
        <v>150</v>
      </c>
      <c r="F697" s="2">
        <v>244.33</v>
      </c>
      <c r="G697" t="s">
        <v>33</v>
      </c>
      <c r="H697" s="1">
        <v>45309</v>
      </c>
      <c r="I697" s="1">
        <v>45341</v>
      </c>
      <c r="J697" t="s">
        <v>38</v>
      </c>
      <c r="K697" s="8">
        <f>Table2[[#This Row],[CurrentStock]]*Table2[[#This Row],[UnitPrice]]</f>
        <v>93089.73000000001</v>
      </c>
      <c r="L697" t="str">
        <f>IF(Table2[[#This Row],[CurrentStock]]&lt;=Table2[[#This Row],[ReorderLevel]], "Reorder Needed", "Okay")</f>
        <v>Okay</v>
      </c>
      <c r="M697" t="str">
        <f>IF(Table2[[#This Row],[CurrentStock]]-Table2[[#This Row],[ReorderLevel]]&lt;0,Table2[[#This Row],[CurrentStock]]-Table2[[#This Row],[ReorderLevel]],"")</f>
        <v/>
      </c>
      <c r="N697" t="str">
        <f>IF(Table2[[#This Row],[Stock Gap]]&lt;0, "Understock","Okay")</f>
        <v>Okay</v>
      </c>
      <c r="O697" s="13" t="str">
        <f>IF(Table2[[#This Row],[Stock Gap]]&lt;0, "Yes", "No")</f>
        <v>No</v>
      </c>
      <c r="P697" s="13" t="str">
        <f>IF(Table2[[#This Row],[CurrentStock]]&lt;Table2[[#This Row],[ReorderLevel]],"Reorder", "Okay")</f>
        <v>Okay</v>
      </c>
      <c r="Q697" s="13" t="str">
        <f>IF(Table2[[#This Row],[CurrentStock]]&gt;Table2[[#This Row],[ReorderLevel]]*3, "Overstock", "Okay")</f>
        <v>Okay</v>
      </c>
    </row>
    <row r="698" spans="1:17" x14ac:dyDescent="0.35">
      <c r="A698">
        <v>34600</v>
      </c>
      <c r="B698" t="s">
        <v>14</v>
      </c>
      <c r="C698" t="s">
        <v>28</v>
      </c>
      <c r="D698">
        <v>109</v>
      </c>
      <c r="E698">
        <v>20</v>
      </c>
      <c r="F698" s="2">
        <v>385.53</v>
      </c>
      <c r="G698" t="s">
        <v>31</v>
      </c>
      <c r="H698" s="1">
        <v>45323</v>
      </c>
      <c r="I698" s="1">
        <v>45353</v>
      </c>
      <c r="J698" t="s">
        <v>37</v>
      </c>
      <c r="K698" s="8">
        <f>Table2[[#This Row],[CurrentStock]]*Table2[[#This Row],[UnitPrice]]</f>
        <v>42022.77</v>
      </c>
      <c r="L698" t="str">
        <f>IF(Table2[[#This Row],[CurrentStock]]&lt;=Table2[[#This Row],[ReorderLevel]], "Reorder Needed", "Okay")</f>
        <v>Okay</v>
      </c>
      <c r="M698" t="str">
        <f>IF(Table2[[#This Row],[CurrentStock]]-Table2[[#This Row],[ReorderLevel]]&lt;0,Table2[[#This Row],[CurrentStock]]-Table2[[#This Row],[ReorderLevel]],"")</f>
        <v/>
      </c>
      <c r="N698" t="str">
        <f>IF(Table2[[#This Row],[Stock Gap]]&lt;0, "Understock","Okay")</f>
        <v>Okay</v>
      </c>
      <c r="O698" s="13" t="str">
        <f>IF(Table2[[#This Row],[Stock Gap]]&lt;0, "Yes", "No")</f>
        <v>No</v>
      </c>
      <c r="P698" s="13" t="str">
        <f>IF(Table2[[#This Row],[CurrentStock]]&lt;Table2[[#This Row],[ReorderLevel]],"Reorder", "Okay")</f>
        <v>Okay</v>
      </c>
      <c r="Q698" s="13" t="str">
        <f>IF(Table2[[#This Row],[CurrentStock]]&gt;Table2[[#This Row],[ReorderLevel]]*3, "Overstock", "Okay")</f>
        <v>Overstock</v>
      </c>
    </row>
    <row r="699" spans="1:17" x14ac:dyDescent="0.35">
      <c r="A699">
        <v>23543</v>
      </c>
      <c r="B699" t="s">
        <v>23</v>
      </c>
      <c r="C699" t="s">
        <v>30</v>
      </c>
      <c r="D699">
        <v>179</v>
      </c>
      <c r="E699">
        <v>100</v>
      </c>
      <c r="F699" s="2">
        <v>194.53</v>
      </c>
      <c r="G699" t="s">
        <v>34</v>
      </c>
      <c r="H699" s="1">
        <v>45578</v>
      </c>
      <c r="I699" s="1">
        <v>45589</v>
      </c>
      <c r="J699" t="s">
        <v>36</v>
      </c>
      <c r="K699" s="8">
        <f>Table2[[#This Row],[CurrentStock]]*Table2[[#This Row],[UnitPrice]]</f>
        <v>34820.870000000003</v>
      </c>
      <c r="L699" t="str">
        <f>IF(Table2[[#This Row],[CurrentStock]]&lt;=Table2[[#This Row],[ReorderLevel]], "Reorder Needed", "Okay")</f>
        <v>Okay</v>
      </c>
      <c r="M699" t="str">
        <f>IF(Table2[[#This Row],[CurrentStock]]-Table2[[#This Row],[ReorderLevel]]&lt;0,Table2[[#This Row],[CurrentStock]]-Table2[[#This Row],[ReorderLevel]],"")</f>
        <v/>
      </c>
      <c r="N699" t="str">
        <f>IF(Table2[[#This Row],[Stock Gap]]&lt;0, "Understock","Okay")</f>
        <v>Okay</v>
      </c>
      <c r="O699" s="13" t="str">
        <f>IF(Table2[[#This Row],[Stock Gap]]&lt;0, "Yes", "No")</f>
        <v>No</v>
      </c>
      <c r="P699" s="13" t="str">
        <f>IF(Table2[[#This Row],[CurrentStock]]&lt;Table2[[#This Row],[ReorderLevel]],"Reorder", "Okay")</f>
        <v>Okay</v>
      </c>
      <c r="Q699" s="13" t="str">
        <f>IF(Table2[[#This Row],[CurrentStock]]&gt;Table2[[#This Row],[ReorderLevel]]*3, "Overstock", "Okay")</f>
        <v>Okay</v>
      </c>
    </row>
    <row r="700" spans="1:17" x14ac:dyDescent="0.35">
      <c r="A700">
        <v>96450</v>
      </c>
      <c r="B700" t="s">
        <v>20</v>
      </c>
      <c r="C700" t="s">
        <v>30</v>
      </c>
      <c r="D700">
        <v>174</v>
      </c>
      <c r="E700">
        <v>20</v>
      </c>
      <c r="F700" s="2">
        <v>199.66</v>
      </c>
      <c r="G700" t="s">
        <v>32</v>
      </c>
      <c r="H700" s="1">
        <v>45375</v>
      </c>
      <c r="I700" s="1">
        <v>45414</v>
      </c>
      <c r="J700" t="s">
        <v>36</v>
      </c>
      <c r="K700" s="8">
        <f>Table2[[#This Row],[CurrentStock]]*Table2[[#This Row],[UnitPrice]]</f>
        <v>34740.839999999997</v>
      </c>
      <c r="L700" t="str">
        <f>IF(Table2[[#This Row],[CurrentStock]]&lt;=Table2[[#This Row],[ReorderLevel]], "Reorder Needed", "Okay")</f>
        <v>Okay</v>
      </c>
      <c r="M700" t="str">
        <f>IF(Table2[[#This Row],[CurrentStock]]-Table2[[#This Row],[ReorderLevel]]&lt;0,Table2[[#This Row],[CurrentStock]]-Table2[[#This Row],[ReorderLevel]],"")</f>
        <v/>
      </c>
      <c r="N700" t="str">
        <f>IF(Table2[[#This Row],[Stock Gap]]&lt;0, "Understock","Okay")</f>
        <v>Okay</v>
      </c>
      <c r="O700" s="13" t="str">
        <f>IF(Table2[[#This Row],[Stock Gap]]&lt;0, "Yes", "No")</f>
        <v>No</v>
      </c>
      <c r="P700" s="13" t="str">
        <f>IF(Table2[[#This Row],[CurrentStock]]&lt;Table2[[#This Row],[ReorderLevel]],"Reorder", "Okay")</f>
        <v>Okay</v>
      </c>
      <c r="Q700" s="13" t="str">
        <f>IF(Table2[[#This Row],[CurrentStock]]&gt;Table2[[#This Row],[ReorderLevel]]*3, "Overstock", "Okay")</f>
        <v>Overstock</v>
      </c>
    </row>
    <row r="701" spans="1:17" x14ac:dyDescent="0.35">
      <c r="A701">
        <v>34918</v>
      </c>
      <c r="B701" t="s">
        <v>20</v>
      </c>
      <c r="C701" t="s">
        <v>30</v>
      </c>
      <c r="D701">
        <v>253</v>
      </c>
      <c r="E701">
        <v>80</v>
      </c>
      <c r="F701" s="2">
        <v>442.98</v>
      </c>
      <c r="G701" t="s">
        <v>33</v>
      </c>
      <c r="H701" s="1">
        <v>45600</v>
      </c>
      <c r="I701" s="1">
        <v>45614</v>
      </c>
      <c r="J701" t="s">
        <v>36</v>
      </c>
      <c r="K701" s="8">
        <f>Table2[[#This Row],[CurrentStock]]*Table2[[#This Row],[UnitPrice]]</f>
        <v>112073.94</v>
      </c>
      <c r="L701" t="str">
        <f>IF(Table2[[#This Row],[CurrentStock]]&lt;=Table2[[#This Row],[ReorderLevel]], "Reorder Needed", "Okay")</f>
        <v>Okay</v>
      </c>
      <c r="M701" t="str">
        <f>IF(Table2[[#This Row],[CurrentStock]]-Table2[[#This Row],[ReorderLevel]]&lt;0,Table2[[#This Row],[CurrentStock]]-Table2[[#This Row],[ReorderLevel]],"")</f>
        <v/>
      </c>
      <c r="N701" t="str">
        <f>IF(Table2[[#This Row],[Stock Gap]]&lt;0, "Understock","Okay")</f>
        <v>Okay</v>
      </c>
      <c r="O701" s="13" t="str">
        <f>IF(Table2[[#This Row],[Stock Gap]]&lt;0, "Yes", "No")</f>
        <v>No</v>
      </c>
      <c r="P701" s="13" t="str">
        <f>IF(Table2[[#This Row],[CurrentStock]]&lt;Table2[[#This Row],[ReorderLevel]],"Reorder", "Okay")</f>
        <v>Okay</v>
      </c>
      <c r="Q701" s="13" t="str">
        <f>IF(Table2[[#This Row],[CurrentStock]]&gt;Table2[[#This Row],[ReorderLevel]]*3, "Overstock", "Okay")</f>
        <v>Overstock</v>
      </c>
    </row>
    <row r="702" spans="1:17" x14ac:dyDescent="0.35">
      <c r="A702">
        <v>91731</v>
      </c>
      <c r="B702" t="s">
        <v>14</v>
      </c>
      <c r="C702" t="s">
        <v>28</v>
      </c>
      <c r="D702">
        <v>185</v>
      </c>
      <c r="E702">
        <v>30</v>
      </c>
      <c r="F702" s="2">
        <v>433.21</v>
      </c>
      <c r="G702" t="s">
        <v>32</v>
      </c>
      <c r="H702" s="1">
        <v>45304</v>
      </c>
      <c r="I702" s="1">
        <v>45333</v>
      </c>
      <c r="J702" t="s">
        <v>37</v>
      </c>
      <c r="K702" s="8">
        <f>Table2[[#This Row],[CurrentStock]]*Table2[[#This Row],[UnitPrice]]</f>
        <v>80143.849999999991</v>
      </c>
      <c r="L702" t="str">
        <f>IF(Table2[[#This Row],[CurrentStock]]&lt;=Table2[[#This Row],[ReorderLevel]], "Reorder Needed", "Okay")</f>
        <v>Okay</v>
      </c>
      <c r="M702" t="str">
        <f>IF(Table2[[#This Row],[CurrentStock]]-Table2[[#This Row],[ReorderLevel]]&lt;0,Table2[[#This Row],[CurrentStock]]-Table2[[#This Row],[ReorderLevel]],"")</f>
        <v/>
      </c>
      <c r="N702" t="str">
        <f>IF(Table2[[#This Row],[Stock Gap]]&lt;0, "Understock","Okay")</f>
        <v>Okay</v>
      </c>
      <c r="O702" s="13" t="str">
        <f>IF(Table2[[#This Row],[Stock Gap]]&lt;0, "Yes", "No")</f>
        <v>No</v>
      </c>
      <c r="P702" s="13" t="str">
        <f>IF(Table2[[#This Row],[CurrentStock]]&lt;Table2[[#This Row],[ReorderLevel]],"Reorder", "Okay")</f>
        <v>Okay</v>
      </c>
      <c r="Q702" s="13" t="str">
        <f>IF(Table2[[#This Row],[CurrentStock]]&gt;Table2[[#This Row],[ReorderLevel]]*3, "Overstock", "Okay")</f>
        <v>Overstock</v>
      </c>
    </row>
    <row r="703" spans="1:17" x14ac:dyDescent="0.35">
      <c r="A703">
        <v>78416</v>
      </c>
      <c r="B703" t="s">
        <v>23</v>
      </c>
      <c r="C703" t="s">
        <v>30</v>
      </c>
      <c r="D703">
        <v>349</v>
      </c>
      <c r="E703">
        <v>40</v>
      </c>
      <c r="F703" s="2">
        <v>104.72</v>
      </c>
      <c r="G703" t="s">
        <v>33</v>
      </c>
      <c r="H703" s="1">
        <v>45542</v>
      </c>
      <c r="I703" s="1">
        <v>45562</v>
      </c>
      <c r="J703" t="s">
        <v>38</v>
      </c>
      <c r="K703" s="8">
        <f>Table2[[#This Row],[CurrentStock]]*Table2[[#This Row],[UnitPrice]]</f>
        <v>36547.279999999999</v>
      </c>
      <c r="L703" t="str">
        <f>IF(Table2[[#This Row],[CurrentStock]]&lt;=Table2[[#This Row],[ReorderLevel]], "Reorder Needed", "Okay")</f>
        <v>Okay</v>
      </c>
      <c r="M703" t="str">
        <f>IF(Table2[[#This Row],[CurrentStock]]-Table2[[#This Row],[ReorderLevel]]&lt;0,Table2[[#This Row],[CurrentStock]]-Table2[[#This Row],[ReorderLevel]],"")</f>
        <v/>
      </c>
      <c r="N703" t="str">
        <f>IF(Table2[[#This Row],[Stock Gap]]&lt;0, "Understock","Okay")</f>
        <v>Okay</v>
      </c>
      <c r="O703" s="13" t="str">
        <f>IF(Table2[[#This Row],[Stock Gap]]&lt;0, "Yes", "No")</f>
        <v>No</v>
      </c>
      <c r="P703" s="13" t="str">
        <f>IF(Table2[[#This Row],[CurrentStock]]&lt;Table2[[#This Row],[ReorderLevel]],"Reorder", "Okay")</f>
        <v>Okay</v>
      </c>
      <c r="Q703" s="13" t="str">
        <f>IF(Table2[[#This Row],[CurrentStock]]&gt;Table2[[#This Row],[ReorderLevel]]*3, "Overstock", "Okay")</f>
        <v>Overstock</v>
      </c>
    </row>
    <row r="704" spans="1:17" x14ac:dyDescent="0.35">
      <c r="A704">
        <v>97453</v>
      </c>
      <c r="B704" t="s">
        <v>25</v>
      </c>
      <c r="C704" t="s">
        <v>29</v>
      </c>
      <c r="D704">
        <v>391</v>
      </c>
      <c r="E704">
        <v>30</v>
      </c>
      <c r="F704" s="2">
        <v>456.84</v>
      </c>
      <c r="G704" t="s">
        <v>35</v>
      </c>
      <c r="H704" s="1">
        <v>45296</v>
      </c>
      <c r="I704" s="1">
        <v>45326</v>
      </c>
      <c r="J704" t="s">
        <v>37</v>
      </c>
      <c r="K704" s="8">
        <f>Table2[[#This Row],[CurrentStock]]*Table2[[#This Row],[UnitPrice]]</f>
        <v>178624.44</v>
      </c>
      <c r="L704" t="str">
        <f>IF(Table2[[#This Row],[CurrentStock]]&lt;=Table2[[#This Row],[ReorderLevel]], "Reorder Needed", "Okay")</f>
        <v>Okay</v>
      </c>
      <c r="M704" t="str">
        <f>IF(Table2[[#This Row],[CurrentStock]]-Table2[[#This Row],[ReorderLevel]]&lt;0,Table2[[#This Row],[CurrentStock]]-Table2[[#This Row],[ReorderLevel]],"")</f>
        <v/>
      </c>
      <c r="N704" t="str">
        <f>IF(Table2[[#This Row],[Stock Gap]]&lt;0, "Understock","Okay")</f>
        <v>Okay</v>
      </c>
      <c r="O704" s="13" t="str">
        <f>IF(Table2[[#This Row],[Stock Gap]]&lt;0, "Yes", "No")</f>
        <v>No</v>
      </c>
      <c r="P704" s="13" t="str">
        <f>IF(Table2[[#This Row],[CurrentStock]]&lt;Table2[[#This Row],[ReorderLevel]],"Reorder", "Okay")</f>
        <v>Okay</v>
      </c>
      <c r="Q704" s="13" t="str">
        <f>IF(Table2[[#This Row],[CurrentStock]]&gt;Table2[[#This Row],[ReorderLevel]]*3, "Overstock", "Okay")</f>
        <v>Overstock</v>
      </c>
    </row>
    <row r="705" spans="1:17" x14ac:dyDescent="0.35">
      <c r="A705">
        <v>70289</v>
      </c>
      <c r="B705" t="s">
        <v>15</v>
      </c>
      <c r="C705" t="s">
        <v>29</v>
      </c>
      <c r="D705">
        <v>89</v>
      </c>
      <c r="E705">
        <v>40</v>
      </c>
      <c r="F705" s="2">
        <v>55.67</v>
      </c>
      <c r="G705" t="s">
        <v>31</v>
      </c>
      <c r="H705" s="1">
        <v>45546</v>
      </c>
      <c r="I705" s="1">
        <v>45562</v>
      </c>
      <c r="J705" t="s">
        <v>38</v>
      </c>
      <c r="K705" s="8">
        <f>Table2[[#This Row],[CurrentStock]]*Table2[[#This Row],[UnitPrice]]</f>
        <v>4954.63</v>
      </c>
      <c r="L705" t="str">
        <f>IF(Table2[[#This Row],[CurrentStock]]&lt;=Table2[[#This Row],[ReorderLevel]], "Reorder Needed", "Okay")</f>
        <v>Okay</v>
      </c>
      <c r="M705" t="str">
        <f>IF(Table2[[#This Row],[CurrentStock]]-Table2[[#This Row],[ReorderLevel]]&lt;0,Table2[[#This Row],[CurrentStock]]-Table2[[#This Row],[ReorderLevel]],"")</f>
        <v/>
      </c>
      <c r="N705" t="str">
        <f>IF(Table2[[#This Row],[Stock Gap]]&lt;0, "Understock","Okay")</f>
        <v>Okay</v>
      </c>
      <c r="O705" s="13" t="str">
        <f>IF(Table2[[#This Row],[Stock Gap]]&lt;0, "Yes", "No")</f>
        <v>No</v>
      </c>
      <c r="P705" s="13" t="str">
        <f>IF(Table2[[#This Row],[CurrentStock]]&lt;Table2[[#This Row],[ReorderLevel]],"Reorder", "Okay")</f>
        <v>Okay</v>
      </c>
      <c r="Q705" s="13" t="str">
        <f>IF(Table2[[#This Row],[CurrentStock]]&gt;Table2[[#This Row],[ReorderLevel]]*3, "Overstock", "Okay")</f>
        <v>Okay</v>
      </c>
    </row>
    <row r="706" spans="1:17" x14ac:dyDescent="0.35">
      <c r="A706">
        <v>62311</v>
      </c>
      <c r="B706" t="s">
        <v>25</v>
      </c>
      <c r="C706" t="s">
        <v>29</v>
      </c>
      <c r="D706">
        <v>469</v>
      </c>
      <c r="E706">
        <v>50</v>
      </c>
      <c r="F706" s="2">
        <v>44.46</v>
      </c>
      <c r="G706" t="s">
        <v>33</v>
      </c>
      <c r="H706" s="1">
        <v>45573</v>
      </c>
      <c r="I706" s="1">
        <v>45603</v>
      </c>
      <c r="J706" t="s">
        <v>37</v>
      </c>
      <c r="K706" s="8">
        <f>Table2[[#This Row],[CurrentStock]]*Table2[[#This Row],[UnitPrice]]</f>
        <v>20851.740000000002</v>
      </c>
      <c r="L706" t="str">
        <f>IF(Table2[[#This Row],[CurrentStock]]&lt;=Table2[[#This Row],[ReorderLevel]], "Reorder Needed", "Okay")</f>
        <v>Okay</v>
      </c>
      <c r="M706" t="str">
        <f>IF(Table2[[#This Row],[CurrentStock]]-Table2[[#This Row],[ReorderLevel]]&lt;0,Table2[[#This Row],[CurrentStock]]-Table2[[#This Row],[ReorderLevel]],"")</f>
        <v/>
      </c>
      <c r="N706" t="str">
        <f>IF(Table2[[#This Row],[Stock Gap]]&lt;0, "Understock","Okay")</f>
        <v>Okay</v>
      </c>
      <c r="O706" s="13" t="str">
        <f>IF(Table2[[#This Row],[Stock Gap]]&lt;0, "Yes", "No")</f>
        <v>No</v>
      </c>
      <c r="P706" s="13" t="str">
        <f>IF(Table2[[#This Row],[CurrentStock]]&lt;Table2[[#This Row],[ReorderLevel]],"Reorder", "Okay")</f>
        <v>Okay</v>
      </c>
      <c r="Q706" s="13" t="str">
        <f>IF(Table2[[#This Row],[CurrentStock]]&gt;Table2[[#This Row],[ReorderLevel]]*3, "Overstock", "Okay")</f>
        <v>Overstock</v>
      </c>
    </row>
    <row r="707" spans="1:17" x14ac:dyDescent="0.35">
      <c r="A707">
        <v>87129</v>
      </c>
      <c r="B707" t="s">
        <v>9</v>
      </c>
      <c r="C707" t="s">
        <v>26</v>
      </c>
      <c r="D707">
        <v>31</v>
      </c>
      <c r="E707">
        <v>150</v>
      </c>
      <c r="F707" s="2">
        <v>440.52</v>
      </c>
      <c r="G707" t="s">
        <v>33</v>
      </c>
      <c r="H707" s="1">
        <v>45296</v>
      </c>
      <c r="I707" s="1">
        <v>45311</v>
      </c>
      <c r="J707" t="s">
        <v>36</v>
      </c>
      <c r="K707" s="8">
        <f>Table2[[#This Row],[CurrentStock]]*Table2[[#This Row],[UnitPrice]]</f>
        <v>13656.119999999999</v>
      </c>
      <c r="L707" t="str">
        <f>IF(Table2[[#This Row],[CurrentStock]]&lt;=Table2[[#This Row],[ReorderLevel]], "Reorder Needed", "Okay")</f>
        <v>Reorder Needed</v>
      </c>
      <c r="M707" s="7">
        <f>IF(Table2[[#This Row],[CurrentStock]]-Table2[[#This Row],[ReorderLevel]]&lt;0,Table2[[#This Row],[CurrentStock]]-Table2[[#This Row],[ReorderLevel]],"")</f>
        <v>-119</v>
      </c>
      <c r="N707" t="str">
        <f>IF(Table2[[#This Row],[Stock Gap]]&lt;0, "Understock","Okay")</f>
        <v>Understock</v>
      </c>
      <c r="O707" s="13" t="str">
        <f>IF(Table2[[#This Row],[Stock Gap]]&lt;0, "Yes", "No")</f>
        <v>Yes</v>
      </c>
      <c r="P707" s="13" t="str">
        <f>IF(Table2[[#This Row],[CurrentStock]]&lt;Table2[[#This Row],[ReorderLevel]],"Reorder", "Okay")</f>
        <v>Reorder</v>
      </c>
      <c r="Q707" s="13" t="str">
        <f>IF(Table2[[#This Row],[CurrentStock]]&gt;Table2[[#This Row],[ReorderLevel]]*3, "Overstock", "Okay")</f>
        <v>Okay</v>
      </c>
    </row>
    <row r="708" spans="1:17" x14ac:dyDescent="0.35">
      <c r="A708">
        <v>39087</v>
      </c>
      <c r="B708" t="s">
        <v>17</v>
      </c>
      <c r="C708" t="s">
        <v>27</v>
      </c>
      <c r="D708">
        <v>365</v>
      </c>
      <c r="E708">
        <v>30</v>
      </c>
      <c r="F708" s="2">
        <v>423.26</v>
      </c>
      <c r="G708" t="s">
        <v>31</v>
      </c>
      <c r="H708" s="1">
        <v>45539</v>
      </c>
      <c r="I708" s="1">
        <v>45550</v>
      </c>
      <c r="J708" t="s">
        <v>37</v>
      </c>
      <c r="K708" s="8">
        <f>Table2[[#This Row],[CurrentStock]]*Table2[[#This Row],[UnitPrice]]</f>
        <v>154489.9</v>
      </c>
      <c r="L708" t="str">
        <f>IF(Table2[[#This Row],[CurrentStock]]&lt;=Table2[[#This Row],[ReorderLevel]], "Reorder Needed", "Okay")</f>
        <v>Okay</v>
      </c>
      <c r="M708" t="str">
        <f>IF(Table2[[#This Row],[CurrentStock]]-Table2[[#This Row],[ReorderLevel]]&lt;0,Table2[[#This Row],[CurrentStock]]-Table2[[#This Row],[ReorderLevel]],"")</f>
        <v/>
      </c>
      <c r="N708" t="str">
        <f>IF(Table2[[#This Row],[Stock Gap]]&lt;0, "Understock","Okay")</f>
        <v>Okay</v>
      </c>
      <c r="O708" s="13" t="str">
        <f>IF(Table2[[#This Row],[Stock Gap]]&lt;0, "Yes", "No")</f>
        <v>No</v>
      </c>
      <c r="P708" s="13" t="str">
        <f>IF(Table2[[#This Row],[CurrentStock]]&lt;Table2[[#This Row],[ReorderLevel]],"Reorder", "Okay")</f>
        <v>Okay</v>
      </c>
      <c r="Q708" s="13" t="str">
        <f>IF(Table2[[#This Row],[CurrentStock]]&gt;Table2[[#This Row],[ReorderLevel]]*3, "Overstock", "Okay")</f>
        <v>Overstock</v>
      </c>
    </row>
    <row r="709" spans="1:17" x14ac:dyDescent="0.35">
      <c r="A709">
        <v>96436</v>
      </c>
      <c r="B709" t="s">
        <v>9</v>
      </c>
      <c r="C709" t="s">
        <v>26</v>
      </c>
      <c r="D709">
        <v>197</v>
      </c>
      <c r="E709">
        <v>20</v>
      </c>
      <c r="F709" s="2">
        <v>108.47</v>
      </c>
      <c r="G709" t="s">
        <v>35</v>
      </c>
      <c r="H709" s="1">
        <v>45399</v>
      </c>
      <c r="I709" s="1">
        <v>45429</v>
      </c>
      <c r="J709" t="s">
        <v>36</v>
      </c>
      <c r="K709" s="8">
        <f>Table2[[#This Row],[CurrentStock]]*Table2[[#This Row],[UnitPrice]]</f>
        <v>21368.59</v>
      </c>
      <c r="L709" t="str">
        <f>IF(Table2[[#This Row],[CurrentStock]]&lt;=Table2[[#This Row],[ReorderLevel]], "Reorder Needed", "Okay")</f>
        <v>Okay</v>
      </c>
      <c r="M709" t="str">
        <f>IF(Table2[[#This Row],[CurrentStock]]-Table2[[#This Row],[ReorderLevel]]&lt;0,Table2[[#This Row],[CurrentStock]]-Table2[[#This Row],[ReorderLevel]],"")</f>
        <v/>
      </c>
      <c r="N709" t="str">
        <f>IF(Table2[[#This Row],[Stock Gap]]&lt;0, "Understock","Okay")</f>
        <v>Okay</v>
      </c>
      <c r="O709" s="13" t="str">
        <f>IF(Table2[[#This Row],[Stock Gap]]&lt;0, "Yes", "No")</f>
        <v>No</v>
      </c>
      <c r="P709" s="13" t="str">
        <f>IF(Table2[[#This Row],[CurrentStock]]&lt;Table2[[#This Row],[ReorderLevel]],"Reorder", "Okay")</f>
        <v>Okay</v>
      </c>
      <c r="Q709" s="13" t="str">
        <f>IF(Table2[[#This Row],[CurrentStock]]&gt;Table2[[#This Row],[ReorderLevel]]*3, "Overstock", "Okay")</f>
        <v>Overstock</v>
      </c>
    </row>
    <row r="710" spans="1:17" x14ac:dyDescent="0.35">
      <c r="A710">
        <v>43757</v>
      </c>
      <c r="B710" t="s">
        <v>25</v>
      </c>
      <c r="C710" t="s">
        <v>29</v>
      </c>
      <c r="D710">
        <v>496</v>
      </c>
      <c r="E710">
        <v>40</v>
      </c>
      <c r="F710" s="2">
        <v>424.4</v>
      </c>
      <c r="G710" t="s">
        <v>35</v>
      </c>
      <c r="H710" s="1">
        <v>45442</v>
      </c>
      <c r="I710" s="1">
        <v>45462</v>
      </c>
      <c r="J710" t="s">
        <v>37</v>
      </c>
      <c r="K710" s="8">
        <f>Table2[[#This Row],[CurrentStock]]*Table2[[#This Row],[UnitPrice]]</f>
        <v>210502.39999999999</v>
      </c>
      <c r="L710" t="str">
        <f>IF(Table2[[#This Row],[CurrentStock]]&lt;=Table2[[#This Row],[ReorderLevel]], "Reorder Needed", "Okay")</f>
        <v>Okay</v>
      </c>
      <c r="M710" t="str">
        <f>IF(Table2[[#This Row],[CurrentStock]]-Table2[[#This Row],[ReorderLevel]]&lt;0,Table2[[#This Row],[CurrentStock]]-Table2[[#This Row],[ReorderLevel]],"")</f>
        <v/>
      </c>
      <c r="N710" t="str">
        <f>IF(Table2[[#This Row],[Stock Gap]]&lt;0, "Understock","Okay")</f>
        <v>Okay</v>
      </c>
      <c r="O710" s="13" t="str">
        <f>IF(Table2[[#This Row],[Stock Gap]]&lt;0, "Yes", "No")</f>
        <v>No</v>
      </c>
      <c r="P710" s="13" t="str">
        <f>IF(Table2[[#This Row],[CurrentStock]]&lt;Table2[[#This Row],[ReorderLevel]],"Reorder", "Okay")</f>
        <v>Okay</v>
      </c>
      <c r="Q710" s="13" t="str">
        <f>IF(Table2[[#This Row],[CurrentStock]]&gt;Table2[[#This Row],[ReorderLevel]]*3, "Overstock", "Okay")</f>
        <v>Overstock</v>
      </c>
    </row>
    <row r="711" spans="1:17" x14ac:dyDescent="0.35">
      <c r="A711">
        <v>30836</v>
      </c>
      <c r="B711" t="s">
        <v>10</v>
      </c>
      <c r="C711" t="s">
        <v>26</v>
      </c>
      <c r="D711">
        <v>335</v>
      </c>
      <c r="E711">
        <v>150</v>
      </c>
      <c r="F711" s="2">
        <v>15.4</v>
      </c>
      <c r="G711" t="s">
        <v>34</v>
      </c>
      <c r="H711" s="1">
        <v>45591</v>
      </c>
      <c r="I711" s="1">
        <v>45607</v>
      </c>
      <c r="J711" t="s">
        <v>36</v>
      </c>
      <c r="K711" s="8">
        <f>Table2[[#This Row],[CurrentStock]]*Table2[[#This Row],[UnitPrice]]</f>
        <v>5159</v>
      </c>
      <c r="L711" t="str">
        <f>IF(Table2[[#This Row],[CurrentStock]]&lt;=Table2[[#This Row],[ReorderLevel]], "Reorder Needed", "Okay")</f>
        <v>Okay</v>
      </c>
      <c r="M711" t="str">
        <f>IF(Table2[[#This Row],[CurrentStock]]-Table2[[#This Row],[ReorderLevel]]&lt;0,Table2[[#This Row],[CurrentStock]]-Table2[[#This Row],[ReorderLevel]],"")</f>
        <v/>
      </c>
      <c r="N711" t="str">
        <f>IF(Table2[[#This Row],[Stock Gap]]&lt;0, "Understock","Okay")</f>
        <v>Okay</v>
      </c>
      <c r="O711" s="13" t="str">
        <f>IF(Table2[[#This Row],[Stock Gap]]&lt;0, "Yes", "No")</f>
        <v>No</v>
      </c>
      <c r="P711" s="13" t="str">
        <f>IF(Table2[[#This Row],[CurrentStock]]&lt;Table2[[#This Row],[ReorderLevel]],"Reorder", "Okay")</f>
        <v>Okay</v>
      </c>
      <c r="Q711" s="13" t="str">
        <f>IF(Table2[[#This Row],[CurrentStock]]&gt;Table2[[#This Row],[ReorderLevel]]*3, "Overstock", "Okay")</f>
        <v>Okay</v>
      </c>
    </row>
    <row r="712" spans="1:17" x14ac:dyDescent="0.35">
      <c r="A712">
        <v>37105</v>
      </c>
      <c r="B712" t="s">
        <v>9</v>
      </c>
      <c r="C712" t="s">
        <v>26</v>
      </c>
      <c r="D712">
        <v>437</v>
      </c>
      <c r="E712">
        <v>50</v>
      </c>
      <c r="F712" s="2">
        <v>197.05</v>
      </c>
      <c r="G712" t="s">
        <v>32</v>
      </c>
      <c r="H712" s="1">
        <v>45603</v>
      </c>
      <c r="I712" s="1">
        <v>45642</v>
      </c>
      <c r="J712" t="s">
        <v>36</v>
      </c>
      <c r="K712" s="8">
        <f>Table2[[#This Row],[CurrentStock]]*Table2[[#This Row],[UnitPrice]]</f>
        <v>86110.85</v>
      </c>
      <c r="L712" t="str">
        <f>IF(Table2[[#This Row],[CurrentStock]]&lt;=Table2[[#This Row],[ReorderLevel]], "Reorder Needed", "Okay")</f>
        <v>Okay</v>
      </c>
      <c r="M712" t="str">
        <f>IF(Table2[[#This Row],[CurrentStock]]-Table2[[#This Row],[ReorderLevel]]&lt;0,Table2[[#This Row],[CurrentStock]]-Table2[[#This Row],[ReorderLevel]],"")</f>
        <v/>
      </c>
      <c r="N712" t="str">
        <f>IF(Table2[[#This Row],[Stock Gap]]&lt;0, "Understock","Okay")</f>
        <v>Okay</v>
      </c>
      <c r="O712" s="13" t="str">
        <f>IF(Table2[[#This Row],[Stock Gap]]&lt;0, "Yes", "No")</f>
        <v>No</v>
      </c>
      <c r="P712" s="13" t="str">
        <f>IF(Table2[[#This Row],[CurrentStock]]&lt;Table2[[#This Row],[ReorderLevel]],"Reorder", "Okay")</f>
        <v>Okay</v>
      </c>
      <c r="Q712" s="13" t="str">
        <f>IF(Table2[[#This Row],[CurrentStock]]&gt;Table2[[#This Row],[ReorderLevel]]*3, "Overstock", "Okay")</f>
        <v>Overstock</v>
      </c>
    </row>
    <row r="713" spans="1:17" x14ac:dyDescent="0.35">
      <c r="A713">
        <v>92464</v>
      </c>
      <c r="B713" t="s">
        <v>23</v>
      </c>
      <c r="C713" t="s">
        <v>30</v>
      </c>
      <c r="D713">
        <v>367</v>
      </c>
      <c r="E713">
        <v>30</v>
      </c>
      <c r="F713" s="2">
        <v>184.88</v>
      </c>
      <c r="G713" t="s">
        <v>34</v>
      </c>
      <c r="H713" s="1">
        <v>45333</v>
      </c>
      <c r="I713" s="1">
        <v>45341</v>
      </c>
      <c r="J713" t="s">
        <v>36</v>
      </c>
      <c r="K713" s="8">
        <f>Table2[[#This Row],[CurrentStock]]*Table2[[#This Row],[UnitPrice]]</f>
        <v>67850.959999999992</v>
      </c>
      <c r="L713" t="str">
        <f>IF(Table2[[#This Row],[CurrentStock]]&lt;=Table2[[#This Row],[ReorderLevel]], "Reorder Needed", "Okay")</f>
        <v>Okay</v>
      </c>
      <c r="M713" t="str">
        <f>IF(Table2[[#This Row],[CurrentStock]]-Table2[[#This Row],[ReorderLevel]]&lt;0,Table2[[#This Row],[CurrentStock]]-Table2[[#This Row],[ReorderLevel]],"")</f>
        <v/>
      </c>
      <c r="N713" t="str">
        <f>IF(Table2[[#This Row],[Stock Gap]]&lt;0, "Understock","Okay")</f>
        <v>Okay</v>
      </c>
      <c r="O713" s="13" t="str">
        <f>IF(Table2[[#This Row],[Stock Gap]]&lt;0, "Yes", "No")</f>
        <v>No</v>
      </c>
      <c r="P713" s="13" t="str">
        <f>IF(Table2[[#This Row],[CurrentStock]]&lt;Table2[[#This Row],[ReorderLevel]],"Reorder", "Okay")</f>
        <v>Okay</v>
      </c>
      <c r="Q713" s="13" t="str">
        <f>IF(Table2[[#This Row],[CurrentStock]]&gt;Table2[[#This Row],[ReorderLevel]]*3, "Overstock", "Okay")</f>
        <v>Overstock</v>
      </c>
    </row>
    <row r="714" spans="1:17" x14ac:dyDescent="0.35">
      <c r="A714">
        <v>79202</v>
      </c>
      <c r="B714" t="s">
        <v>14</v>
      </c>
      <c r="C714" t="s">
        <v>28</v>
      </c>
      <c r="D714">
        <v>170</v>
      </c>
      <c r="E714">
        <v>20</v>
      </c>
      <c r="F714" s="2">
        <v>121.62</v>
      </c>
      <c r="G714" t="s">
        <v>31</v>
      </c>
      <c r="H714" s="1">
        <v>45552</v>
      </c>
      <c r="I714" s="1">
        <v>45585</v>
      </c>
      <c r="J714" t="s">
        <v>38</v>
      </c>
      <c r="K714" s="8">
        <f>Table2[[#This Row],[CurrentStock]]*Table2[[#This Row],[UnitPrice]]</f>
        <v>20675.400000000001</v>
      </c>
      <c r="L714" t="str">
        <f>IF(Table2[[#This Row],[CurrentStock]]&lt;=Table2[[#This Row],[ReorderLevel]], "Reorder Needed", "Okay")</f>
        <v>Okay</v>
      </c>
      <c r="M714" t="str">
        <f>IF(Table2[[#This Row],[CurrentStock]]-Table2[[#This Row],[ReorderLevel]]&lt;0,Table2[[#This Row],[CurrentStock]]-Table2[[#This Row],[ReorderLevel]],"")</f>
        <v/>
      </c>
      <c r="N714" t="str">
        <f>IF(Table2[[#This Row],[Stock Gap]]&lt;0, "Understock","Okay")</f>
        <v>Okay</v>
      </c>
      <c r="O714" s="13" t="str">
        <f>IF(Table2[[#This Row],[Stock Gap]]&lt;0, "Yes", "No")</f>
        <v>No</v>
      </c>
      <c r="P714" s="13" t="str">
        <f>IF(Table2[[#This Row],[CurrentStock]]&lt;Table2[[#This Row],[ReorderLevel]],"Reorder", "Okay")</f>
        <v>Okay</v>
      </c>
      <c r="Q714" s="13" t="str">
        <f>IF(Table2[[#This Row],[CurrentStock]]&gt;Table2[[#This Row],[ReorderLevel]]*3, "Overstock", "Okay")</f>
        <v>Overstock</v>
      </c>
    </row>
    <row r="715" spans="1:17" x14ac:dyDescent="0.35">
      <c r="A715">
        <v>29403</v>
      </c>
      <c r="B715" t="s">
        <v>13</v>
      </c>
      <c r="C715" t="s">
        <v>26</v>
      </c>
      <c r="D715">
        <v>3</v>
      </c>
      <c r="E715">
        <v>150</v>
      </c>
      <c r="F715" s="2">
        <v>323.17</v>
      </c>
      <c r="G715" t="s">
        <v>32</v>
      </c>
      <c r="H715" s="1">
        <v>45583</v>
      </c>
      <c r="I715" s="1">
        <v>45612</v>
      </c>
      <c r="J715" t="s">
        <v>36</v>
      </c>
      <c r="K715" s="8">
        <f>Table2[[#This Row],[CurrentStock]]*Table2[[#This Row],[UnitPrice]]</f>
        <v>969.51</v>
      </c>
      <c r="L715" t="str">
        <f>IF(Table2[[#This Row],[CurrentStock]]&lt;=Table2[[#This Row],[ReorderLevel]], "Reorder Needed", "Okay")</f>
        <v>Reorder Needed</v>
      </c>
      <c r="M715" s="7">
        <f>IF(Table2[[#This Row],[CurrentStock]]-Table2[[#This Row],[ReorderLevel]]&lt;0,Table2[[#This Row],[CurrentStock]]-Table2[[#This Row],[ReorderLevel]],"")</f>
        <v>-147</v>
      </c>
      <c r="N715" t="str">
        <f>IF(Table2[[#This Row],[Stock Gap]]&lt;0, "Understock","Okay")</f>
        <v>Understock</v>
      </c>
      <c r="O715" s="13" t="str">
        <f>IF(Table2[[#This Row],[Stock Gap]]&lt;0, "Yes", "No")</f>
        <v>Yes</v>
      </c>
      <c r="P715" s="13" t="str">
        <f>IF(Table2[[#This Row],[CurrentStock]]&lt;Table2[[#This Row],[ReorderLevel]],"Reorder", "Okay")</f>
        <v>Reorder</v>
      </c>
      <c r="Q715" s="13" t="str">
        <f>IF(Table2[[#This Row],[CurrentStock]]&gt;Table2[[#This Row],[ReorderLevel]]*3, "Overstock", "Okay")</f>
        <v>Okay</v>
      </c>
    </row>
    <row r="716" spans="1:17" x14ac:dyDescent="0.35">
      <c r="A716">
        <v>44765</v>
      </c>
      <c r="B716" t="s">
        <v>19</v>
      </c>
      <c r="C716" t="s">
        <v>28</v>
      </c>
      <c r="D716">
        <v>60</v>
      </c>
      <c r="E716">
        <v>80</v>
      </c>
      <c r="F716" s="2">
        <v>94.43</v>
      </c>
      <c r="G716" t="s">
        <v>33</v>
      </c>
      <c r="H716" s="1">
        <v>45354</v>
      </c>
      <c r="I716" s="1">
        <v>45392</v>
      </c>
      <c r="J716" t="s">
        <v>36</v>
      </c>
      <c r="K716" s="8">
        <f>Table2[[#This Row],[CurrentStock]]*Table2[[#This Row],[UnitPrice]]</f>
        <v>5665.8</v>
      </c>
      <c r="L716" t="str">
        <f>IF(Table2[[#This Row],[CurrentStock]]&lt;=Table2[[#This Row],[ReorderLevel]], "Reorder Needed", "Okay")</f>
        <v>Reorder Needed</v>
      </c>
      <c r="M716" s="7">
        <f>IF(Table2[[#This Row],[CurrentStock]]-Table2[[#This Row],[ReorderLevel]]&lt;0,Table2[[#This Row],[CurrentStock]]-Table2[[#This Row],[ReorderLevel]],"")</f>
        <v>-20</v>
      </c>
      <c r="N716" t="str">
        <f>IF(Table2[[#This Row],[Stock Gap]]&lt;0, "Understock","Okay")</f>
        <v>Understock</v>
      </c>
      <c r="O716" s="13" t="str">
        <f>IF(Table2[[#This Row],[Stock Gap]]&lt;0, "Yes", "No")</f>
        <v>Yes</v>
      </c>
      <c r="P716" s="13" t="str">
        <f>IF(Table2[[#This Row],[CurrentStock]]&lt;Table2[[#This Row],[ReorderLevel]],"Reorder", "Okay")</f>
        <v>Reorder</v>
      </c>
      <c r="Q716" s="13" t="str">
        <f>IF(Table2[[#This Row],[CurrentStock]]&gt;Table2[[#This Row],[ReorderLevel]]*3, "Overstock", "Okay")</f>
        <v>Okay</v>
      </c>
    </row>
    <row r="717" spans="1:17" x14ac:dyDescent="0.35">
      <c r="A717">
        <v>82267</v>
      </c>
      <c r="B717" t="s">
        <v>18</v>
      </c>
      <c r="C717" t="s">
        <v>27</v>
      </c>
      <c r="D717">
        <v>428</v>
      </c>
      <c r="E717">
        <v>30</v>
      </c>
      <c r="F717" s="2">
        <v>372.47</v>
      </c>
      <c r="G717" t="s">
        <v>33</v>
      </c>
      <c r="H717" s="1">
        <v>45461</v>
      </c>
      <c r="I717" s="1">
        <v>45481</v>
      </c>
      <c r="J717" t="s">
        <v>36</v>
      </c>
      <c r="K717" s="8">
        <f>Table2[[#This Row],[CurrentStock]]*Table2[[#This Row],[UnitPrice]]</f>
        <v>159417.16</v>
      </c>
      <c r="L717" t="str">
        <f>IF(Table2[[#This Row],[CurrentStock]]&lt;=Table2[[#This Row],[ReorderLevel]], "Reorder Needed", "Okay")</f>
        <v>Okay</v>
      </c>
      <c r="M717" t="str">
        <f>IF(Table2[[#This Row],[CurrentStock]]-Table2[[#This Row],[ReorderLevel]]&lt;0,Table2[[#This Row],[CurrentStock]]-Table2[[#This Row],[ReorderLevel]],"")</f>
        <v/>
      </c>
      <c r="N717" t="str">
        <f>IF(Table2[[#This Row],[Stock Gap]]&lt;0, "Understock","Okay")</f>
        <v>Okay</v>
      </c>
      <c r="O717" s="13" t="str">
        <f>IF(Table2[[#This Row],[Stock Gap]]&lt;0, "Yes", "No")</f>
        <v>No</v>
      </c>
      <c r="P717" s="13" t="str">
        <f>IF(Table2[[#This Row],[CurrentStock]]&lt;Table2[[#This Row],[ReorderLevel]],"Reorder", "Okay")</f>
        <v>Okay</v>
      </c>
      <c r="Q717" s="13" t="str">
        <f>IF(Table2[[#This Row],[CurrentStock]]&gt;Table2[[#This Row],[ReorderLevel]]*3, "Overstock", "Okay")</f>
        <v>Overstock</v>
      </c>
    </row>
    <row r="718" spans="1:17" x14ac:dyDescent="0.35">
      <c r="A718">
        <v>14951</v>
      </c>
      <c r="B718" t="s">
        <v>20</v>
      </c>
      <c r="C718" t="s">
        <v>30</v>
      </c>
      <c r="D718">
        <v>0</v>
      </c>
      <c r="E718">
        <v>150</v>
      </c>
      <c r="F718" s="2">
        <v>333.55</v>
      </c>
      <c r="G718" t="s">
        <v>31</v>
      </c>
      <c r="H718" s="1">
        <v>45564</v>
      </c>
      <c r="I718" s="1">
        <v>45595</v>
      </c>
      <c r="J718" t="s">
        <v>38</v>
      </c>
      <c r="K718" s="8">
        <f>Table2[[#This Row],[CurrentStock]]*Table2[[#This Row],[UnitPrice]]</f>
        <v>0</v>
      </c>
      <c r="L718" t="str">
        <f>IF(Table2[[#This Row],[CurrentStock]]&lt;=Table2[[#This Row],[ReorderLevel]], "Reorder Needed", "Okay")</f>
        <v>Reorder Needed</v>
      </c>
      <c r="M718" s="7">
        <f>IF(Table2[[#This Row],[CurrentStock]]-Table2[[#This Row],[ReorderLevel]]&lt;0,Table2[[#This Row],[CurrentStock]]-Table2[[#This Row],[ReorderLevel]],"")</f>
        <v>-150</v>
      </c>
      <c r="N718" t="str">
        <f>IF(Table2[[#This Row],[Stock Gap]]&lt;0, "Understock","Okay")</f>
        <v>Understock</v>
      </c>
      <c r="O718" s="13" t="str">
        <f>IF(Table2[[#This Row],[Stock Gap]]&lt;0, "Yes", "No")</f>
        <v>Yes</v>
      </c>
      <c r="P718" s="13" t="str">
        <f>IF(Table2[[#This Row],[CurrentStock]]&lt;Table2[[#This Row],[ReorderLevel]],"Reorder", "Okay")</f>
        <v>Reorder</v>
      </c>
      <c r="Q718" s="13" t="str">
        <f>IF(Table2[[#This Row],[CurrentStock]]&gt;Table2[[#This Row],[ReorderLevel]]*3, "Overstock", "Okay")</f>
        <v>Okay</v>
      </c>
    </row>
    <row r="719" spans="1:17" x14ac:dyDescent="0.35">
      <c r="A719">
        <v>84160</v>
      </c>
      <c r="B719" t="s">
        <v>20</v>
      </c>
      <c r="C719" t="s">
        <v>30</v>
      </c>
      <c r="D719">
        <v>422</v>
      </c>
      <c r="E719">
        <v>30</v>
      </c>
      <c r="F719" s="2">
        <v>300.91000000000003</v>
      </c>
      <c r="G719" t="s">
        <v>31</v>
      </c>
      <c r="H719" s="1">
        <v>45585</v>
      </c>
      <c r="I719" s="1">
        <v>45612</v>
      </c>
      <c r="J719" t="s">
        <v>36</v>
      </c>
      <c r="K719" s="8">
        <f>Table2[[#This Row],[CurrentStock]]*Table2[[#This Row],[UnitPrice]]</f>
        <v>126984.02</v>
      </c>
      <c r="L719" t="str">
        <f>IF(Table2[[#This Row],[CurrentStock]]&lt;=Table2[[#This Row],[ReorderLevel]], "Reorder Needed", "Okay")</f>
        <v>Okay</v>
      </c>
      <c r="M719" t="str">
        <f>IF(Table2[[#This Row],[CurrentStock]]-Table2[[#This Row],[ReorderLevel]]&lt;0,Table2[[#This Row],[CurrentStock]]-Table2[[#This Row],[ReorderLevel]],"")</f>
        <v/>
      </c>
      <c r="N719" t="str">
        <f>IF(Table2[[#This Row],[Stock Gap]]&lt;0, "Understock","Okay")</f>
        <v>Okay</v>
      </c>
      <c r="O719" s="13" t="str">
        <f>IF(Table2[[#This Row],[Stock Gap]]&lt;0, "Yes", "No")</f>
        <v>No</v>
      </c>
      <c r="P719" s="13" t="str">
        <f>IF(Table2[[#This Row],[CurrentStock]]&lt;Table2[[#This Row],[ReorderLevel]],"Reorder", "Okay")</f>
        <v>Okay</v>
      </c>
      <c r="Q719" s="13" t="str">
        <f>IF(Table2[[#This Row],[CurrentStock]]&gt;Table2[[#This Row],[ReorderLevel]]*3, "Overstock", "Okay")</f>
        <v>Overstock</v>
      </c>
    </row>
    <row r="720" spans="1:17" x14ac:dyDescent="0.35">
      <c r="A720">
        <v>70654</v>
      </c>
      <c r="B720" t="s">
        <v>21</v>
      </c>
      <c r="C720" t="s">
        <v>26</v>
      </c>
      <c r="D720">
        <v>214</v>
      </c>
      <c r="E720">
        <v>30</v>
      </c>
      <c r="F720" s="2">
        <v>467.32</v>
      </c>
      <c r="G720" t="s">
        <v>31</v>
      </c>
      <c r="H720" s="1">
        <v>45523</v>
      </c>
      <c r="I720" s="1">
        <v>45558</v>
      </c>
      <c r="J720" t="s">
        <v>37</v>
      </c>
      <c r="K720" s="8">
        <f>Table2[[#This Row],[CurrentStock]]*Table2[[#This Row],[UnitPrice]]</f>
        <v>100006.48</v>
      </c>
      <c r="L720" t="str">
        <f>IF(Table2[[#This Row],[CurrentStock]]&lt;=Table2[[#This Row],[ReorderLevel]], "Reorder Needed", "Okay")</f>
        <v>Okay</v>
      </c>
      <c r="M720" t="str">
        <f>IF(Table2[[#This Row],[CurrentStock]]-Table2[[#This Row],[ReorderLevel]]&lt;0,Table2[[#This Row],[CurrentStock]]-Table2[[#This Row],[ReorderLevel]],"")</f>
        <v/>
      </c>
      <c r="N720" t="str">
        <f>IF(Table2[[#This Row],[Stock Gap]]&lt;0, "Understock","Okay")</f>
        <v>Okay</v>
      </c>
      <c r="O720" s="13" t="str">
        <f>IF(Table2[[#This Row],[Stock Gap]]&lt;0, "Yes", "No")</f>
        <v>No</v>
      </c>
      <c r="P720" s="13" t="str">
        <f>IF(Table2[[#This Row],[CurrentStock]]&lt;Table2[[#This Row],[ReorderLevel]],"Reorder", "Okay")</f>
        <v>Okay</v>
      </c>
      <c r="Q720" s="13" t="str">
        <f>IF(Table2[[#This Row],[CurrentStock]]&gt;Table2[[#This Row],[ReorderLevel]]*3, "Overstock", "Okay")</f>
        <v>Overstock</v>
      </c>
    </row>
    <row r="721" spans="1:17" x14ac:dyDescent="0.35">
      <c r="A721">
        <v>82590</v>
      </c>
      <c r="B721" t="s">
        <v>24</v>
      </c>
      <c r="C721" t="s">
        <v>30</v>
      </c>
      <c r="D721">
        <v>215</v>
      </c>
      <c r="E721">
        <v>20</v>
      </c>
      <c r="F721" s="2">
        <v>360.04</v>
      </c>
      <c r="G721" t="s">
        <v>31</v>
      </c>
      <c r="H721" s="1">
        <v>45371</v>
      </c>
      <c r="I721" s="1">
        <v>45388</v>
      </c>
      <c r="J721" t="s">
        <v>38</v>
      </c>
      <c r="K721" s="8">
        <f>Table2[[#This Row],[CurrentStock]]*Table2[[#This Row],[UnitPrice]]</f>
        <v>77408.600000000006</v>
      </c>
      <c r="L721" t="str">
        <f>IF(Table2[[#This Row],[CurrentStock]]&lt;=Table2[[#This Row],[ReorderLevel]], "Reorder Needed", "Okay")</f>
        <v>Okay</v>
      </c>
      <c r="M721" t="str">
        <f>IF(Table2[[#This Row],[CurrentStock]]-Table2[[#This Row],[ReorderLevel]]&lt;0,Table2[[#This Row],[CurrentStock]]-Table2[[#This Row],[ReorderLevel]],"")</f>
        <v/>
      </c>
      <c r="N721" t="str">
        <f>IF(Table2[[#This Row],[Stock Gap]]&lt;0, "Understock","Okay")</f>
        <v>Okay</v>
      </c>
      <c r="O721" s="13" t="str">
        <f>IF(Table2[[#This Row],[Stock Gap]]&lt;0, "Yes", "No")</f>
        <v>No</v>
      </c>
      <c r="P721" s="13" t="str">
        <f>IF(Table2[[#This Row],[CurrentStock]]&lt;Table2[[#This Row],[ReorderLevel]],"Reorder", "Okay")</f>
        <v>Okay</v>
      </c>
      <c r="Q721" s="13" t="str">
        <f>IF(Table2[[#This Row],[CurrentStock]]&gt;Table2[[#This Row],[ReorderLevel]]*3, "Overstock", "Okay")</f>
        <v>Overstock</v>
      </c>
    </row>
    <row r="722" spans="1:17" x14ac:dyDescent="0.35">
      <c r="A722">
        <v>27718</v>
      </c>
      <c r="B722" t="s">
        <v>13</v>
      </c>
      <c r="C722" t="s">
        <v>26</v>
      </c>
      <c r="D722">
        <v>419</v>
      </c>
      <c r="E722">
        <v>40</v>
      </c>
      <c r="F722" s="2">
        <v>350.1</v>
      </c>
      <c r="G722" t="s">
        <v>35</v>
      </c>
      <c r="H722" s="1">
        <v>45633</v>
      </c>
      <c r="I722" s="1">
        <v>45649</v>
      </c>
      <c r="J722" t="s">
        <v>37</v>
      </c>
      <c r="K722" s="8">
        <f>Table2[[#This Row],[CurrentStock]]*Table2[[#This Row],[UnitPrice]]</f>
        <v>146691.90000000002</v>
      </c>
      <c r="L722" t="str">
        <f>IF(Table2[[#This Row],[CurrentStock]]&lt;=Table2[[#This Row],[ReorderLevel]], "Reorder Needed", "Okay")</f>
        <v>Okay</v>
      </c>
      <c r="M722" t="str">
        <f>IF(Table2[[#This Row],[CurrentStock]]-Table2[[#This Row],[ReorderLevel]]&lt;0,Table2[[#This Row],[CurrentStock]]-Table2[[#This Row],[ReorderLevel]],"")</f>
        <v/>
      </c>
      <c r="N722" t="str">
        <f>IF(Table2[[#This Row],[Stock Gap]]&lt;0, "Understock","Okay")</f>
        <v>Okay</v>
      </c>
      <c r="O722" s="13" t="str">
        <f>IF(Table2[[#This Row],[Stock Gap]]&lt;0, "Yes", "No")</f>
        <v>No</v>
      </c>
      <c r="P722" s="13" t="str">
        <f>IF(Table2[[#This Row],[CurrentStock]]&lt;Table2[[#This Row],[ReorderLevel]],"Reorder", "Okay")</f>
        <v>Okay</v>
      </c>
      <c r="Q722" s="13" t="str">
        <f>IF(Table2[[#This Row],[CurrentStock]]&gt;Table2[[#This Row],[ReorderLevel]]*3, "Overstock", "Okay")</f>
        <v>Overstock</v>
      </c>
    </row>
    <row r="723" spans="1:17" x14ac:dyDescent="0.35">
      <c r="A723">
        <v>53158</v>
      </c>
      <c r="B723" t="s">
        <v>21</v>
      </c>
      <c r="C723" t="s">
        <v>26</v>
      </c>
      <c r="D723">
        <v>185</v>
      </c>
      <c r="E723">
        <v>150</v>
      </c>
      <c r="F723" s="2">
        <v>83.43</v>
      </c>
      <c r="G723" t="s">
        <v>33</v>
      </c>
      <c r="H723" s="1">
        <v>45375</v>
      </c>
      <c r="I723" s="1">
        <v>45394</v>
      </c>
      <c r="J723" t="s">
        <v>36</v>
      </c>
      <c r="K723" s="8">
        <f>Table2[[#This Row],[CurrentStock]]*Table2[[#This Row],[UnitPrice]]</f>
        <v>15434.550000000001</v>
      </c>
      <c r="L723" t="str">
        <f>IF(Table2[[#This Row],[CurrentStock]]&lt;=Table2[[#This Row],[ReorderLevel]], "Reorder Needed", "Okay")</f>
        <v>Okay</v>
      </c>
      <c r="M723" t="str">
        <f>IF(Table2[[#This Row],[CurrentStock]]-Table2[[#This Row],[ReorderLevel]]&lt;0,Table2[[#This Row],[CurrentStock]]-Table2[[#This Row],[ReorderLevel]],"")</f>
        <v/>
      </c>
      <c r="N723" t="str">
        <f>IF(Table2[[#This Row],[Stock Gap]]&lt;0, "Understock","Okay")</f>
        <v>Okay</v>
      </c>
      <c r="O723" s="13" t="str">
        <f>IF(Table2[[#This Row],[Stock Gap]]&lt;0, "Yes", "No")</f>
        <v>No</v>
      </c>
      <c r="P723" s="13" t="str">
        <f>IF(Table2[[#This Row],[CurrentStock]]&lt;Table2[[#This Row],[ReorderLevel]],"Reorder", "Okay")</f>
        <v>Okay</v>
      </c>
      <c r="Q723" s="13" t="str">
        <f>IF(Table2[[#This Row],[CurrentStock]]&gt;Table2[[#This Row],[ReorderLevel]]*3, "Overstock", "Okay")</f>
        <v>Okay</v>
      </c>
    </row>
    <row r="724" spans="1:17" x14ac:dyDescent="0.35">
      <c r="A724">
        <v>65501</v>
      </c>
      <c r="B724" t="s">
        <v>15</v>
      </c>
      <c r="C724" t="s">
        <v>29</v>
      </c>
      <c r="D724">
        <v>144</v>
      </c>
      <c r="E724">
        <v>30</v>
      </c>
      <c r="F724" s="2">
        <v>420.53</v>
      </c>
      <c r="G724" t="s">
        <v>33</v>
      </c>
      <c r="H724" s="1">
        <v>45336</v>
      </c>
      <c r="I724" s="1">
        <v>45358</v>
      </c>
      <c r="J724" t="s">
        <v>37</v>
      </c>
      <c r="K724" s="8">
        <f>Table2[[#This Row],[CurrentStock]]*Table2[[#This Row],[UnitPrice]]</f>
        <v>60556.319999999992</v>
      </c>
      <c r="L724" t="str">
        <f>IF(Table2[[#This Row],[CurrentStock]]&lt;=Table2[[#This Row],[ReorderLevel]], "Reorder Needed", "Okay")</f>
        <v>Okay</v>
      </c>
      <c r="M724" t="str">
        <f>IF(Table2[[#This Row],[CurrentStock]]-Table2[[#This Row],[ReorderLevel]]&lt;0,Table2[[#This Row],[CurrentStock]]-Table2[[#This Row],[ReorderLevel]],"")</f>
        <v/>
      </c>
      <c r="N724" t="str">
        <f>IF(Table2[[#This Row],[Stock Gap]]&lt;0, "Understock","Okay")</f>
        <v>Okay</v>
      </c>
      <c r="O724" s="13" t="str">
        <f>IF(Table2[[#This Row],[Stock Gap]]&lt;0, "Yes", "No")</f>
        <v>No</v>
      </c>
      <c r="P724" s="13" t="str">
        <f>IF(Table2[[#This Row],[CurrentStock]]&lt;Table2[[#This Row],[ReorderLevel]],"Reorder", "Okay")</f>
        <v>Okay</v>
      </c>
      <c r="Q724" s="13" t="str">
        <f>IF(Table2[[#This Row],[CurrentStock]]&gt;Table2[[#This Row],[ReorderLevel]]*3, "Overstock", "Okay")</f>
        <v>Overstock</v>
      </c>
    </row>
    <row r="725" spans="1:17" x14ac:dyDescent="0.35">
      <c r="A725">
        <v>89553</v>
      </c>
      <c r="B725" t="s">
        <v>16</v>
      </c>
      <c r="C725" t="s">
        <v>29</v>
      </c>
      <c r="D725">
        <v>6</v>
      </c>
      <c r="E725">
        <v>20</v>
      </c>
      <c r="F725" s="2">
        <v>87.26</v>
      </c>
      <c r="G725" t="s">
        <v>35</v>
      </c>
      <c r="H725" s="1">
        <v>45359</v>
      </c>
      <c r="I725" s="1">
        <v>45397</v>
      </c>
      <c r="J725" t="s">
        <v>37</v>
      </c>
      <c r="K725" s="8">
        <f>Table2[[#This Row],[CurrentStock]]*Table2[[#This Row],[UnitPrice]]</f>
        <v>523.56000000000006</v>
      </c>
      <c r="L725" t="str">
        <f>IF(Table2[[#This Row],[CurrentStock]]&lt;=Table2[[#This Row],[ReorderLevel]], "Reorder Needed", "Okay")</f>
        <v>Reorder Needed</v>
      </c>
      <c r="M725" s="7">
        <f>IF(Table2[[#This Row],[CurrentStock]]-Table2[[#This Row],[ReorderLevel]]&lt;0,Table2[[#This Row],[CurrentStock]]-Table2[[#This Row],[ReorderLevel]],"")</f>
        <v>-14</v>
      </c>
      <c r="N725" t="str">
        <f>IF(Table2[[#This Row],[Stock Gap]]&lt;0, "Understock","Okay")</f>
        <v>Understock</v>
      </c>
      <c r="O725" s="13" t="str">
        <f>IF(Table2[[#This Row],[Stock Gap]]&lt;0, "Yes", "No")</f>
        <v>Yes</v>
      </c>
      <c r="P725" s="13" t="str">
        <f>IF(Table2[[#This Row],[CurrentStock]]&lt;Table2[[#This Row],[ReorderLevel]],"Reorder", "Okay")</f>
        <v>Reorder</v>
      </c>
      <c r="Q725" s="13" t="str">
        <f>IF(Table2[[#This Row],[CurrentStock]]&gt;Table2[[#This Row],[ReorderLevel]]*3, "Overstock", "Okay")</f>
        <v>Okay</v>
      </c>
    </row>
    <row r="726" spans="1:17" x14ac:dyDescent="0.35">
      <c r="A726">
        <v>44235</v>
      </c>
      <c r="B726" t="s">
        <v>20</v>
      </c>
      <c r="C726" t="s">
        <v>30</v>
      </c>
      <c r="D726">
        <v>296</v>
      </c>
      <c r="E726">
        <v>80</v>
      </c>
      <c r="F726" s="2">
        <v>30.98</v>
      </c>
      <c r="G726" t="s">
        <v>31</v>
      </c>
      <c r="H726" s="1">
        <v>45301</v>
      </c>
      <c r="I726" s="1">
        <v>45332</v>
      </c>
      <c r="J726" t="s">
        <v>36</v>
      </c>
      <c r="K726" s="8">
        <f>Table2[[#This Row],[CurrentStock]]*Table2[[#This Row],[UnitPrice]]</f>
        <v>9170.08</v>
      </c>
      <c r="L726" t="str">
        <f>IF(Table2[[#This Row],[CurrentStock]]&lt;=Table2[[#This Row],[ReorderLevel]], "Reorder Needed", "Okay")</f>
        <v>Okay</v>
      </c>
      <c r="M726" t="str">
        <f>IF(Table2[[#This Row],[CurrentStock]]-Table2[[#This Row],[ReorderLevel]]&lt;0,Table2[[#This Row],[CurrentStock]]-Table2[[#This Row],[ReorderLevel]],"")</f>
        <v/>
      </c>
      <c r="N726" t="str">
        <f>IF(Table2[[#This Row],[Stock Gap]]&lt;0, "Understock","Okay")</f>
        <v>Okay</v>
      </c>
      <c r="O726" s="13" t="str">
        <f>IF(Table2[[#This Row],[Stock Gap]]&lt;0, "Yes", "No")</f>
        <v>No</v>
      </c>
      <c r="P726" s="13" t="str">
        <f>IF(Table2[[#This Row],[CurrentStock]]&lt;Table2[[#This Row],[ReorderLevel]],"Reorder", "Okay")</f>
        <v>Okay</v>
      </c>
      <c r="Q726" s="13" t="str">
        <f>IF(Table2[[#This Row],[CurrentStock]]&gt;Table2[[#This Row],[ReorderLevel]]*3, "Overstock", "Okay")</f>
        <v>Overstock</v>
      </c>
    </row>
    <row r="727" spans="1:17" x14ac:dyDescent="0.35">
      <c r="A727">
        <v>11168</v>
      </c>
      <c r="B727" t="s">
        <v>17</v>
      </c>
      <c r="C727" t="s">
        <v>27</v>
      </c>
      <c r="D727">
        <v>230</v>
      </c>
      <c r="E727">
        <v>100</v>
      </c>
      <c r="F727" s="2">
        <v>96.23</v>
      </c>
      <c r="G727" t="s">
        <v>35</v>
      </c>
      <c r="H727" s="1">
        <v>45504</v>
      </c>
      <c r="I727" s="1">
        <v>45517</v>
      </c>
      <c r="J727" t="s">
        <v>38</v>
      </c>
      <c r="K727" s="8">
        <f>Table2[[#This Row],[CurrentStock]]*Table2[[#This Row],[UnitPrice]]</f>
        <v>22132.9</v>
      </c>
      <c r="L727" t="str">
        <f>IF(Table2[[#This Row],[CurrentStock]]&lt;=Table2[[#This Row],[ReorderLevel]], "Reorder Needed", "Okay")</f>
        <v>Okay</v>
      </c>
      <c r="M727" t="str">
        <f>IF(Table2[[#This Row],[CurrentStock]]-Table2[[#This Row],[ReorderLevel]]&lt;0,Table2[[#This Row],[CurrentStock]]-Table2[[#This Row],[ReorderLevel]],"")</f>
        <v/>
      </c>
      <c r="N727" t="str">
        <f>IF(Table2[[#This Row],[Stock Gap]]&lt;0, "Understock","Okay")</f>
        <v>Okay</v>
      </c>
      <c r="O727" s="13" t="str">
        <f>IF(Table2[[#This Row],[Stock Gap]]&lt;0, "Yes", "No")</f>
        <v>No</v>
      </c>
      <c r="P727" s="13" t="str">
        <f>IF(Table2[[#This Row],[CurrentStock]]&lt;Table2[[#This Row],[ReorderLevel]],"Reorder", "Okay")</f>
        <v>Okay</v>
      </c>
      <c r="Q727" s="13" t="str">
        <f>IF(Table2[[#This Row],[CurrentStock]]&gt;Table2[[#This Row],[ReorderLevel]]*3, "Overstock", "Okay")</f>
        <v>Okay</v>
      </c>
    </row>
    <row r="728" spans="1:17" x14ac:dyDescent="0.35">
      <c r="A728">
        <v>74817</v>
      </c>
      <c r="B728" t="s">
        <v>11</v>
      </c>
      <c r="C728" t="s">
        <v>27</v>
      </c>
      <c r="D728">
        <v>478</v>
      </c>
      <c r="E728">
        <v>50</v>
      </c>
      <c r="F728" s="2">
        <v>304.92</v>
      </c>
      <c r="G728" t="s">
        <v>34</v>
      </c>
      <c r="H728" s="1">
        <v>45457</v>
      </c>
      <c r="I728" s="1">
        <v>45480</v>
      </c>
      <c r="J728" t="s">
        <v>36</v>
      </c>
      <c r="K728" s="8">
        <f>Table2[[#This Row],[CurrentStock]]*Table2[[#This Row],[UnitPrice]]</f>
        <v>145751.76</v>
      </c>
      <c r="L728" t="str">
        <f>IF(Table2[[#This Row],[CurrentStock]]&lt;=Table2[[#This Row],[ReorderLevel]], "Reorder Needed", "Okay")</f>
        <v>Okay</v>
      </c>
      <c r="M728" t="str">
        <f>IF(Table2[[#This Row],[CurrentStock]]-Table2[[#This Row],[ReorderLevel]]&lt;0,Table2[[#This Row],[CurrentStock]]-Table2[[#This Row],[ReorderLevel]],"")</f>
        <v/>
      </c>
      <c r="N728" t="str">
        <f>IF(Table2[[#This Row],[Stock Gap]]&lt;0, "Understock","Okay")</f>
        <v>Okay</v>
      </c>
      <c r="O728" s="13" t="str">
        <f>IF(Table2[[#This Row],[Stock Gap]]&lt;0, "Yes", "No")</f>
        <v>No</v>
      </c>
      <c r="P728" s="13" t="str">
        <f>IF(Table2[[#This Row],[CurrentStock]]&lt;Table2[[#This Row],[ReorderLevel]],"Reorder", "Okay")</f>
        <v>Okay</v>
      </c>
      <c r="Q728" s="13" t="str">
        <f>IF(Table2[[#This Row],[CurrentStock]]&gt;Table2[[#This Row],[ReorderLevel]]*3, "Overstock", "Okay")</f>
        <v>Overstock</v>
      </c>
    </row>
    <row r="729" spans="1:17" x14ac:dyDescent="0.35">
      <c r="A729">
        <v>65390</v>
      </c>
      <c r="B729" t="s">
        <v>11</v>
      </c>
      <c r="C729" t="s">
        <v>27</v>
      </c>
      <c r="D729">
        <v>220</v>
      </c>
      <c r="E729">
        <v>40</v>
      </c>
      <c r="F729" s="2">
        <v>270.08999999999997</v>
      </c>
      <c r="G729" t="s">
        <v>34</v>
      </c>
      <c r="H729" s="1">
        <v>45399</v>
      </c>
      <c r="I729" s="1">
        <v>45413</v>
      </c>
      <c r="J729" t="s">
        <v>36</v>
      </c>
      <c r="K729" s="8">
        <f>Table2[[#This Row],[CurrentStock]]*Table2[[#This Row],[UnitPrice]]</f>
        <v>59419.799999999996</v>
      </c>
      <c r="L729" t="str">
        <f>IF(Table2[[#This Row],[CurrentStock]]&lt;=Table2[[#This Row],[ReorderLevel]], "Reorder Needed", "Okay")</f>
        <v>Okay</v>
      </c>
      <c r="M729" t="str">
        <f>IF(Table2[[#This Row],[CurrentStock]]-Table2[[#This Row],[ReorderLevel]]&lt;0,Table2[[#This Row],[CurrentStock]]-Table2[[#This Row],[ReorderLevel]],"")</f>
        <v/>
      </c>
      <c r="N729" t="str">
        <f>IF(Table2[[#This Row],[Stock Gap]]&lt;0, "Understock","Okay")</f>
        <v>Okay</v>
      </c>
      <c r="O729" s="13" t="str">
        <f>IF(Table2[[#This Row],[Stock Gap]]&lt;0, "Yes", "No")</f>
        <v>No</v>
      </c>
      <c r="P729" s="13" t="str">
        <f>IF(Table2[[#This Row],[CurrentStock]]&lt;Table2[[#This Row],[ReorderLevel]],"Reorder", "Okay")</f>
        <v>Okay</v>
      </c>
      <c r="Q729" s="13" t="str">
        <f>IF(Table2[[#This Row],[CurrentStock]]&gt;Table2[[#This Row],[ReorderLevel]]*3, "Overstock", "Okay")</f>
        <v>Overstock</v>
      </c>
    </row>
    <row r="730" spans="1:17" x14ac:dyDescent="0.35">
      <c r="A730">
        <v>13443</v>
      </c>
      <c r="B730" t="s">
        <v>24</v>
      </c>
      <c r="C730" t="s">
        <v>30</v>
      </c>
      <c r="D730">
        <v>20</v>
      </c>
      <c r="E730">
        <v>50</v>
      </c>
      <c r="F730" s="2">
        <v>463.82</v>
      </c>
      <c r="G730" t="s">
        <v>33</v>
      </c>
      <c r="H730" s="1">
        <v>45603</v>
      </c>
      <c r="I730" s="1">
        <v>45630</v>
      </c>
      <c r="J730" t="s">
        <v>38</v>
      </c>
      <c r="K730" s="8">
        <f>Table2[[#This Row],[CurrentStock]]*Table2[[#This Row],[UnitPrice]]</f>
        <v>9276.4</v>
      </c>
      <c r="L730" t="str">
        <f>IF(Table2[[#This Row],[CurrentStock]]&lt;=Table2[[#This Row],[ReorderLevel]], "Reorder Needed", "Okay")</f>
        <v>Reorder Needed</v>
      </c>
      <c r="M730" s="7">
        <f>IF(Table2[[#This Row],[CurrentStock]]-Table2[[#This Row],[ReorderLevel]]&lt;0,Table2[[#This Row],[CurrentStock]]-Table2[[#This Row],[ReorderLevel]],"")</f>
        <v>-30</v>
      </c>
      <c r="N730" t="str">
        <f>IF(Table2[[#This Row],[Stock Gap]]&lt;0, "Understock","Okay")</f>
        <v>Understock</v>
      </c>
      <c r="O730" s="13" t="str">
        <f>IF(Table2[[#This Row],[Stock Gap]]&lt;0, "Yes", "No")</f>
        <v>Yes</v>
      </c>
      <c r="P730" s="13" t="str">
        <f>IF(Table2[[#This Row],[CurrentStock]]&lt;Table2[[#This Row],[ReorderLevel]],"Reorder", "Okay")</f>
        <v>Reorder</v>
      </c>
      <c r="Q730" s="13" t="str">
        <f>IF(Table2[[#This Row],[CurrentStock]]&gt;Table2[[#This Row],[ReorderLevel]]*3, "Overstock", "Okay")</f>
        <v>Okay</v>
      </c>
    </row>
    <row r="731" spans="1:17" x14ac:dyDescent="0.35">
      <c r="A731">
        <v>38690</v>
      </c>
      <c r="B731" t="s">
        <v>17</v>
      </c>
      <c r="C731" t="s">
        <v>27</v>
      </c>
      <c r="D731">
        <v>119</v>
      </c>
      <c r="E731">
        <v>80</v>
      </c>
      <c r="F731" s="2">
        <v>292.02</v>
      </c>
      <c r="G731" t="s">
        <v>34</v>
      </c>
      <c r="H731" s="1">
        <v>45489</v>
      </c>
      <c r="I731" s="1">
        <v>45522</v>
      </c>
      <c r="J731" t="s">
        <v>36</v>
      </c>
      <c r="K731" s="8">
        <f>Table2[[#This Row],[CurrentStock]]*Table2[[#This Row],[UnitPrice]]</f>
        <v>34750.379999999997</v>
      </c>
      <c r="L731" t="str">
        <f>IF(Table2[[#This Row],[CurrentStock]]&lt;=Table2[[#This Row],[ReorderLevel]], "Reorder Needed", "Okay")</f>
        <v>Okay</v>
      </c>
      <c r="M731" t="str">
        <f>IF(Table2[[#This Row],[CurrentStock]]-Table2[[#This Row],[ReorderLevel]]&lt;0,Table2[[#This Row],[CurrentStock]]-Table2[[#This Row],[ReorderLevel]],"")</f>
        <v/>
      </c>
      <c r="N731" t="str">
        <f>IF(Table2[[#This Row],[Stock Gap]]&lt;0, "Understock","Okay")</f>
        <v>Okay</v>
      </c>
      <c r="O731" s="13" t="str">
        <f>IF(Table2[[#This Row],[Stock Gap]]&lt;0, "Yes", "No")</f>
        <v>No</v>
      </c>
      <c r="P731" s="13" t="str">
        <f>IF(Table2[[#This Row],[CurrentStock]]&lt;Table2[[#This Row],[ReorderLevel]],"Reorder", "Okay")</f>
        <v>Okay</v>
      </c>
      <c r="Q731" s="13" t="str">
        <f>IF(Table2[[#This Row],[CurrentStock]]&gt;Table2[[#This Row],[ReorderLevel]]*3, "Overstock", "Okay")</f>
        <v>Okay</v>
      </c>
    </row>
    <row r="732" spans="1:17" x14ac:dyDescent="0.35">
      <c r="A732">
        <v>88462</v>
      </c>
      <c r="B732" t="s">
        <v>15</v>
      </c>
      <c r="C732" t="s">
        <v>29</v>
      </c>
      <c r="D732">
        <v>425</v>
      </c>
      <c r="E732">
        <v>80</v>
      </c>
      <c r="F732" s="2">
        <v>199.17</v>
      </c>
      <c r="G732" t="s">
        <v>35</v>
      </c>
      <c r="H732" s="1">
        <v>45331</v>
      </c>
      <c r="I732" s="1">
        <v>45338</v>
      </c>
      <c r="J732" t="s">
        <v>38</v>
      </c>
      <c r="K732" s="8">
        <f>Table2[[#This Row],[CurrentStock]]*Table2[[#This Row],[UnitPrice]]</f>
        <v>84647.25</v>
      </c>
      <c r="L732" t="str">
        <f>IF(Table2[[#This Row],[CurrentStock]]&lt;=Table2[[#This Row],[ReorderLevel]], "Reorder Needed", "Okay")</f>
        <v>Okay</v>
      </c>
      <c r="M732" t="str">
        <f>IF(Table2[[#This Row],[CurrentStock]]-Table2[[#This Row],[ReorderLevel]]&lt;0,Table2[[#This Row],[CurrentStock]]-Table2[[#This Row],[ReorderLevel]],"")</f>
        <v/>
      </c>
      <c r="N732" t="str">
        <f>IF(Table2[[#This Row],[Stock Gap]]&lt;0, "Understock","Okay")</f>
        <v>Okay</v>
      </c>
      <c r="O732" s="13" t="str">
        <f>IF(Table2[[#This Row],[Stock Gap]]&lt;0, "Yes", "No")</f>
        <v>No</v>
      </c>
      <c r="P732" s="13" t="str">
        <f>IF(Table2[[#This Row],[CurrentStock]]&lt;Table2[[#This Row],[ReorderLevel]],"Reorder", "Okay")</f>
        <v>Okay</v>
      </c>
      <c r="Q732" s="13" t="str">
        <f>IF(Table2[[#This Row],[CurrentStock]]&gt;Table2[[#This Row],[ReorderLevel]]*3, "Overstock", "Okay")</f>
        <v>Overstock</v>
      </c>
    </row>
    <row r="733" spans="1:17" x14ac:dyDescent="0.35">
      <c r="A733">
        <v>34502</v>
      </c>
      <c r="B733" t="s">
        <v>15</v>
      </c>
      <c r="C733" t="s">
        <v>29</v>
      </c>
      <c r="D733">
        <v>467</v>
      </c>
      <c r="E733">
        <v>50</v>
      </c>
      <c r="F733" s="2">
        <v>62.1</v>
      </c>
      <c r="G733" t="s">
        <v>31</v>
      </c>
      <c r="H733" s="1">
        <v>45645</v>
      </c>
      <c r="I733" s="1">
        <v>45670</v>
      </c>
      <c r="J733" t="s">
        <v>36</v>
      </c>
      <c r="K733" s="8">
        <f>Table2[[#This Row],[CurrentStock]]*Table2[[#This Row],[UnitPrice]]</f>
        <v>29000.7</v>
      </c>
      <c r="L733" t="str">
        <f>IF(Table2[[#This Row],[CurrentStock]]&lt;=Table2[[#This Row],[ReorderLevel]], "Reorder Needed", "Okay")</f>
        <v>Okay</v>
      </c>
      <c r="M733" t="str">
        <f>IF(Table2[[#This Row],[CurrentStock]]-Table2[[#This Row],[ReorderLevel]]&lt;0,Table2[[#This Row],[CurrentStock]]-Table2[[#This Row],[ReorderLevel]],"")</f>
        <v/>
      </c>
      <c r="N733" t="str">
        <f>IF(Table2[[#This Row],[Stock Gap]]&lt;0, "Understock","Okay")</f>
        <v>Okay</v>
      </c>
      <c r="O733" s="13" t="str">
        <f>IF(Table2[[#This Row],[Stock Gap]]&lt;0, "Yes", "No")</f>
        <v>No</v>
      </c>
      <c r="P733" s="13" t="str">
        <f>IF(Table2[[#This Row],[CurrentStock]]&lt;Table2[[#This Row],[ReorderLevel]],"Reorder", "Okay")</f>
        <v>Okay</v>
      </c>
      <c r="Q733" s="13" t="str">
        <f>IF(Table2[[#This Row],[CurrentStock]]&gt;Table2[[#This Row],[ReorderLevel]]*3, "Overstock", "Okay")</f>
        <v>Overstock</v>
      </c>
    </row>
    <row r="734" spans="1:17" x14ac:dyDescent="0.35">
      <c r="A734">
        <v>32738</v>
      </c>
      <c r="B734" t="s">
        <v>25</v>
      </c>
      <c r="C734" t="s">
        <v>29</v>
      </c>
      <c r="D734">
        <v>86</v>
      </c>
      <c r="E734">
        <v>20</v>
      </c>
      <c r="F734" s="2">
        <v>8.06</v>
      </c>
      <c r="G734" t="s">
        <v>32</v>
      </c>
      <c r="H734" s="1">
        <v>45613</v>
      </c>
      <c r="I734" s="1">
        <v>45636</v>
      </c>
      <c r="J734" t="s">
        <v>38</v>
      </c>
      <c r="K734" s="8">
        <f>Table2[[#This Row],[CurrentStock]]*Table2[[#This Row],[UnitPrice]]</f>
        <v>693.16000000000008</v>
      </c>
      <c r="L734" t="str">
        <f>IF(Table2[[#This Row],[CurrentStock]]&lt;=Table2[[#This Row],[ReorderLevel]], "Reorder Needed", "Okay")</f>
        <v>Okay</v>
      </c>
      <c r="M734" t="str">
        <f>IF(Table2[[#This Row],[CurrentStock]]-Table2[[#This Row],[ReorderLevel]]&lt;0,Table2[[#This Row],[CurrentStock]]-Table2[[#This Row],[ReorderLevel]],"")</f>
        <v/>
      </c>
      <c r="N734" t="str">
        <f>IF(Table2[[#This Row],[Stock Gap]]&lt;0, "Understock","Okay")</f>
        <v>Okay</v>
      </c>
      <c r="O734" s="13" t="str">
        <f>IF(Table2[[#This Row],[Stock Gap]]&lt;0, "Yes", "No")</f>
        <v>No</v>
      </c>
      <c r="P734" s="13" t="str">
        <f>IF(Table2[[#This Row],[CurrentStock]]&lt;Table2[[#This Row],[ReorderLevel]],"Reorder", "Okay")</f>
        <v>Okay</v>
      </c>
      <c r="Q734" s="13" t="str">
        <f>IF(Table2[[#This Row],[CurrentStock]]&gt;Table2[[#This Row],[ReorderLevel]]*3, "Overstock", "Okay")</f>
        <v>Overstock</v>
      </c>
    </row>
    <row r="735" spans="1:17" x14ac:dyDescent="0.35">
      <c r="A735">
        <v>36128</v>
      </c>
      <c r="B735" t="s">
        <v>19</v>
      </c>
      <c r="C735" t="s">
        <v>28</v>
      </c>
      <c r="D735">
        <v>16</v>
      </c>
      <c r="E735">
        <v>40</v>
      </c>
      <c r="F735" s="2">
        <v>132.53</v>
      </c>
      <c r="G735" t="s">
        <v>35</v>
      </c>
      <c r="H735" s="1">
        <v>45354</v>
      </c>
      <c r="I735" s="1">
        <v>45377</v>
      </c>
      <c r="J735" t="s">
        <v>37</v>
      </c>
      <c r="K735" s="8">
        <f>Table2[[#This Row],[CurrentStock]]*Table2[[#This Row],[UnitPrice]]</f>
        <v>2120.48</v>
      </c>
      <c r="L735" t="str">
        <f>IF(Table2[[#This Row],[CurrentStock]]&lt;=Table2[[#This Row],[ReorderLevel]], "Reorder Needed", "Okay")</f>
        <v>Reorder Needed</v>
      </c>
      <c r="M735" s="7">
        <f>IF(Table2[[#This Row],[CurrentStock]]-Table2[[#This Row],[ReorderLevel]]&lt;0,Table2[[#This Row],[CurrentStock]]-Table2[[#This Row],[ReorderLevel]],"")</f>
        <v>-24</v>
      </c>
      <c r="N735" t="str">
        <f>IF(Table2[[#This Row],[Stock Gap]]&lt;0, "Understock","Okay")</f>
        <v>Understock</v>
      </c>
      <c r="O735" s="13" t="str">
        <f>IF(Table2[[#This Row],[Stock Gap]]&lt;0, "Yes", "No")</f>
        <v>Yes</v>
      </c>
      <c r="P735" s="13" t="str">
        <f>IF(Table2[[#This Row],[CurrentStock]]&lt;Table2[[#This Row],[ReorderLevel]],"Reorder", "Okay")</f>
        <v>Reorder</v>
      </c>
      <c r="Q735" s="13" t="str">
        <f>IF(Table2[[#This Row],[CurrentStock]]&gt;Table2[[#This Row],[ReorderLevel]]*3, "Overstock", "Okay")</f>
        <v>Okay</v>
      </c>
    </row>
    <row r="736" spans="1:17" x14ac:dyDescent="0.35">
      <c r="A736">
        <v>48885</v>
      </c>
      <c r="B736" t="s">
        <v>23</v>
      </c>
      <c r="C736" t="s">
        <v>30</v>
      </c>
      <c r="D736">
        <v>245</v>
      </c>
      <c r="E736">
        <v>40</v>
      </c>
      <c r="F736" s="2">
        <v>122.17</v>
      </c>
      <c r="G736" t="s">
        <v>34</v>
      </c>
      <c r="H736" s="1">
        <v>45330</v>
      </c>
      <c r="I736" s="1">
        <v>45338</v>
      </c>
      <c r="J736" t="s">
        <v>36</v>
      </c>
      <c r="K736" s="8">
        <f>Table2[[#This Row],[CurrentStock]]*Table2[[#This Row],[UnitPrice]]</f>
        <v>29931.65</v>
      </c>
      <c r="L736" t="str">
        <f>IF(Table2[[#This Row],[CurrentStock]]&lt;=Table2[[#This Row],[ReorderLevel]], "Reorder Needed", "Okay")</f>
        <v>Okay</v>
      </c>
      <c r="M736" t="str">
        <f>IF(Table2[[#This Row],[CurrentStock]]-Table2[[#This Row],[ReorderLevel]]&lt;0,Table2[[#This Row],[CurrentStock]]-Table2[[#This Row],[ReorderLevel]],"")</f>
        <v/>
      </c>
      <c r="N736" t="str">
        <f>IF(Table2[[#This Row],[Stock Gap]]&lt;0, "Understock","Okay")</f>
        <v>Okay</v>
      </c>
      <c r="O736" s="13" t="str">
        <f>IF(Table2[[#This Row],[Stock Gap]]&lt;0, "Yes", "No")</f>
        <v>No</v>
      </c>
      <c r="P736" s="13" t="str">
        <f>IF(Table2[[#This Row],[CurrentStock]]&lt;Table2[[#This Row],[ReorderLevel]],"Reorder", "Okay")</f>
        <v>Okay</v>
      </c>
      <c r="Q736" s="13" t="str">
        <f>IF(Table2[[#This Row],[CurrentStock]]&gt;Table2[[#This Row],[ReorderLevel]]*3, "Overstock", "Okay")</f>
        <v>Overstock</v>
      </c>
    </row>
    <row r="737" spans="1:17" x14ac:dyDescent="0.35">
      <c r="A737">
        <v>61012</v>
      </c>
      <c r="B737" t="s">
        <v>10</v>
      </c>
      <c r="C737" t="s">
        <v>26</v>
      </c>
      <c r="D737">
        <v>215</v>
      </c>
      <c r="E737">
        <v>80</v>
      </c>
      <c r="F737" s="2">
        <v>117.49</v>
      </c>
      <c r="G737" t="s">
        <v>32</v>
      </c>
      <c r="H737" s="1">
        <v>45598</v>
      </c>
      <c r="I737" s="1">
        <v>45626</v>
      </c>
      <c r="J737" t="s">
        <v>38</v>
      </c>
      <c r="K737" s="8">
        <f>Table2[[#This Row],[CurrentStock]]*Table2[[#This Row],[UnitPrice]]</f>
        <v>25260.35</v>
      </c>
      <c r="L737" t="str">
        <f>IF(Table2[[#This Row],[CurrentStock]]&lt;=Table2[[#This Row],[ReorderLevel]], "Reorder Needed", "Okay")</f>
        <v>Okay</v>
      </c>
      <c r="M737" t="str">
        <f>IF(Table2[[#This Row],[CurrentStock]]-Table2[[#This Row],[ReorderLevel]]&lt;0,Table2[[#This Row],[CurrentStock]]-Table2[[#This Row],[ReorderLevel]],"")</f>
        <v/>
      </c>
      <c r="N737" t="str">
        <f>IF(Table2[[#This Row],[Stock Gap]]&lt;0, "Understock","Okay")</f>
        <v>Okay</v>
      </c>
      <c r="O737" s="13" t="str">
        <f>IF(Table2[[#This Row],[Stock Gap]]&lt;0, "Yes", "No")</f>
        <v>No</v>
      </c>
      <c r="P737" s="13" t="str">
        <f>IF(Table2[[#This Row],[CurrentStock]]&lt;Table2[[#This Row],[ReorderLevel]],"Reorder", "Okay")</f>
        <v>Okay</v>
      </c>
      <c r="Q737" s="13" t="str">
        <f>IF(Table2[[#This Row],[CurrentStock]]&gt;Table2[[#This Row],[ReorderLevel]]*3, "Overstock", "Okay")</f>
        <v>Okay</v>
      </c>
    </row>
    <row r="738" spans="1:17" x14ac:dyDescent="0.35">
      <c r="A738">
        <v>97318</v>
      </c>
      <c r="B738" t="s">
        <v>18</v>
      </c>
      <c r="C738" t="s">
        <v>27</v>
      </c>
      <c r="D738">
        <v>267</v>
      </c>
      <c r="E738">
        <v>30</v>
      </c>
      <c r="F738" s="2">
        <v>188.63</v>
      </c>
      <c r="G738" t="s">
        <v>34</v>
      </c>
      <c r="H738" s="1">
        <v>45635</v>
      </c>
      <c r="I738" s="1">
        <v>45650</v>
      </c>
      <c r="J738" t="s">
        <v>36</v>
      </c>
      <c r="K738" s="8">
        <f>Table2[[#This Row],[CurrentStock]]*Table2[[#This Row],[UnitPrice]]</f>
        <v>50364.21</v>
      </c>
      <c r="L738" t="str">
        <f>IF(Table2[[#This Row],[CurrentStock]]&lt;=Table2[[#This Row],[ReorderLevel]], "Reorder Needed", "Okay")</f>
        <v>Okay</v>
      </c>
      <c r="M738" t="str">
        <f>IF(Table2[[#This Row],[CurrentStock]]-Table2[[#This Row],[ReorderLevel]]&lt;0,Table2[[#This Row],[CurrentStock]]-Table2[[#This Row],[ReorderLevel]],"")</f>
        <v/>
      </c>
      <c r="N738" t="str">
        <f>IF(Table2[[#This Row],[Stock Gap]]&lt;0, "Understock","Okay")</f>
        <v>Okay</v>
      </c>
      <c r="O738" s="13" t="str">
        <f>IF(Table2[[#This Row],[Stock Gap]]&lt;0, "Yes", "No")</f>
        <v>No</v>
      </c>
      <c r="P738" s="13" t="str">
        <f>IF(Table2[[#This Row],[CurrentStock]]&lt;Table2[[#This Row],[ReorderLevel]],"Reorder", "Okay")</f>
        <v>Okay</v>
      </c>
      <c r="Q738" s="13" t="str">
        <f>IF(Table2[[#This Row],[CurrentStock]]&gt;Table2[[#This Row],[ReorderLevel]]*3, "Overstock", "Okay")</f>
        <v>Overstock</v>
      </c>
    </row>
    <row r="739" spans="1:17" x14ac:dyDescent="0.35">
      <c r="A739">
        <v>60251</v>
      </c>
      <c r="B739" t="s">
        <v>9</v>
      </c>
      <c r="C739" t="s">
        <v>26</v>
      </c>
      <c r="D739">
        <v>270</v>
      </c>
      <c r="E739">
        <v>50</v>
      </c>
      <c r="F739" s="2">
        <v>244.67</v>
      </c>
      <c r="G739" t="s">
        <v>33</v>
      </c>
      <c r="H739" s="1">
        <v>45505</v>
      </c>
      <c r="I739" s="1">
        <v>45536</v>
      </c>
      <c r="J739" t="s">
        <v>36</v>
      </c>
      <c r="K739" s="8">
        <f>Table2[[#This Row],[CurrentStock]]*Table2[[#This Row],[UnitPrice]]</f>
        <v>66060.899999999994</v>
      </c>
      <c r="L739" t="str">
        <f>IF(Table2[[#This Row],[CurrentStock]]&lt;=Table2[[#This Row],[ReorderLevel]], "Reorder Needed", "Okay")</f>
        <v>Okay</v>
      </c>
      <c r="M739" t="str">
        <f>IF(Table2[[#This Row],[CurrentStock]]-Table2[[#This Row],[ReorderLevel]]&lt;0,Table2[[#This Row],[CurrentStock]]-Table2[[#This Row],[ReorderLevel]],"")</f>
        <v/>
      </c>
      <c r="N739" t="str">
        <f>IF(Table2[[#This Row],[Stock Gap]]&lt;0, "Understock","Okay")</f>
        <v>Okay</v>
      </c>
      <c r="O739" s="13" t="str">
        <f>IF(Table2[[#This Row],[Stock Gap]]&lt;0, "Yes", "No")</f>
        <v>No</v>
      </c>
      <c r="P739" s="13" t="str">
        <f>IF(Table2[[#This Row],[CurrentStock]]&lt;Table2[[#This Row],[ReorderLevel]],"Reorder", "Okay")</f>
        <v>Okay</v>
      </c>
      <c r="Q739" s="13" t="str">
        <f>IF(Table2[[#This Row],[CurrentStock]]&gt;Table2[[#This Row],[ReorderLevel]]*3, "Overstock", "Okay")</f>
        <v>Overstock</v>
      </c>
    </row>
    <row r="740" spans="1:17" x14ac:dyDescent="0.35">
      <c r="A740">
        <v>64205</v>
      </c>
      <c r="B740" t="s">
        <v>25</v>
      </c>
      <c r="C740" t="s">
        <v>29</v>
      </c>
      <c r="D740">
        <v>108</v>
      </c>
      <c r="E740">
        <v>20</v>
      </c>
      <c r="F740" s="2">
        <v>121.82</v>
      </c>
      <c r="G740" t="s">
        <v>33</v>
      </c>
      <c r="H740" s="1">
        <v>45606</v>
      </c>
      <c r="I740" s="1">
        <v>45642</v>
      </c>
      <c r="J740" t="s">
        <v>38</v>
      </c>
      <c r="K740" s="8">
        <f>Table2[[#This Row],[CurrentStock]]*Table2[[#This Row],[UnitPrice]]</f>
        <v>13156.56</v>
      </c>
      <c r="L740" t="str">
        <f>IF(Table2[[#This Row],[CurrentStock]]&lt;=Table2[[#This Row],[ReorderLevel]], "Reorder Needed", "Okay")</f>
        <v>Okay</v>
      </c>
      <c r="M740" t="str">
        <f>IF(Table2[[#This Row],[CurrentStock]]-Table2[[#This Row],[ReorderLevel]]&lt;0,Table2[[#This Row],[CurrentStock]]-Table2[[#This Row],[ReorderLevel]],"")</f>
        <v/>
      </c>
      <c r="N740" t="str">
        <f>IF(Table2[[#This Row],[Stock Gap]]&lt;0, "Understock","Okay")</f>
        <v>Okay</v>
      </c>
      <c r="O740" s="13" t="str">
        <f>IF(Table2[[#This Row],[Stock Gap]]&lt;0, "Yes", "No")</f>
        <v>No</v>
      </c>
      <c r="P740" s="13" t="str">
        <f>IF(Table2[[#This Row],[CurrentStock]]&lt;Table2[[#This Row],[ReorderLevel]],"Reorder", "Okay")</f>
        <v>Okay</v>
      </c>
      <c r="Q740" s="13" t="str">
        <f>IF(Table2[[#This Row],[CurrentStock]]&gt;Table2[[#This Row],[ReorderLevel]]*3, "Overstock", "Okay")</f>
        <v>Overstock</v>
      </c>
    </row>
    <row r="741" spans="1:17" x14ac:dyDescent="0.35">
      <c r="A741">
        <v>39777</v>
      </c>
      <c r="B741" t="s">
        <v>20</v>
      </c>
      <c r="C741" t="s">
        <v>30</v>
      </c>
      <c r="D741">
        <v>415</v>
      </c>
      <c r="E741">
        <v>40</v>
      </c>
      <c r="F741" s="2">
        <v>354.94</v>
      </c>
      <c r="G741" t="s">
        <v>33</v>
      </c>
      <c r="H741" s="1">
        <v>45458</v>
      </c>
      <c r="I741" s="1">
        <v>45491</v>
      </c>
      <c r="J741" t="s">
        <v>38</v>
      </c>
      <c r="K741" s="8">
        <f>Table2[[#This Row],[CurrentStock]]*Table2[[#This Row],[UnitPrice]]</f>
        <v>147300.1</v>
      </c>
      <c r="L741" t="str">
        <f>IF(Table2[[#This Row],[CurrentStock]]&lt;=Table2[[#This Row],[ReorderLevel]], "Reorder Needed", "Okay")</f>
        <v>Okay</v>
      </c>
      <c r="M741" t="str">
        <f>IF(Table2[[#This Row],[CurrentStock]]-Table2[[#This Row],[ReorderLevel]]&lt;0,Table2[[#This Row],[CurrentStock]]-Table2[[#This Row],[ReorderLevel]],"")</f>
        <v/>
      </c>
      <c r="N741" t="str">
        <f>IF(Table2[[#This Row],[Stock Gap]]&lt;0, "Understock","Okay")</f>
        <v>Okay</v>
      </c>
      <c r="O741" s="13" t="str">
        <f>IF(Table2[[#This Row],[Stock Gap]]&lt;0, "Yes", "No")</f>
        <v>No</v>
      </c>
      <c r="P741" s="13" t="str">
        <f>IF(Table2[[#This Row],[CurrentStock]]&lt;Table2[[#This Row],[ReorderLevel]],"Reorder", "Okay")</f>
        <v>Okay</v>
      </c>
      <c r="Q741" s="13" t="str">
        <f>IF(Table2[[#This Row],[CurrentStock]]&gt;Table2[[#This Row],[ReorderLevel]]*3, "Overstock", "Okay")</f>
        <v>Overstock</v>
      </c>
    </row>
    <row r="742" spans="1:17" x14ac:dyDescent="0.35">
      <c r="A742">
        <v>89026</v>
      </c>
      <c r="B742" t="s">
        <v>24</v>
      </c>
      <c r="C742" t="s">
        <v>30</v>
      </c>
      <c r="D742">
        <v>419</v>
      </c>
      <c r="E742">
        <v>30</v>
      </c>
      <c r="F742" s="2">
        <v>70.05</v>
      </c>
      <c r="G742" t="s">
        <v>31</v>
      </c>
      <c r="H742" s="1">
        <v>45492</v>
      </c>
      <c r="I742" s="1">
        <v>45504</v>
      </c>
      <c r="J742" t="s">
        <v>38</v>
      </c>
      <c r="K742" s="8">
        <f>Table2[[#This Row],[CurrentStock]]*Table2[[#This Row],[UnitPrice]]</f>
        <v>29350.949999999997</v>
      </c>
      <c r="L742" t="str">
        <f>IF(Table2[[#This Row],[CurrentStock]]&lt;=Table2[[#This Row],[ReorderLevel]], "Reorder Needed", "Okay")</f>
        <v>Okay</v>
      </c>
      <c r="M742" t="str">
        <f>IF(Table2[[#This Row],[CurrentStock]]-Table2[[#This Row],[ReorderLevel]]&lt;0,Table2[[#This Row],[CurrentStock]]-Table2[[#This Row],[ReorderLevel]],"")</f>
        <v/>
      </c>
      <c r="N742" t="str">
        <f>IF(Table2[[#This Row],[Stock Gap]]&lt;0, "Understock","Okay")</f>
        <v>Okay</v>
      </c>
      <c r="O742" s="13" t="str">
        <f>IF(Table2[[#This Row],[Stock Gap]]&lt;0, "Yes", "No")</f>
        <v>No</v>
      </c>
      <c r="P742" s="13" t="str">
        <f>IF(Table2[[#This Row],[CurrentStock]]&lt;Table2[[#This Row],[ReorderLevel]],"Reorder", "Okay")</f>
        <v>Okay</v>
      </c>
      <c r="Q742" s="13" t="str">
        <f>IF(Table2[[#This Row],[CurrentStock]]&gt;Table2[[#This Row],[ReorderLevel]]*3, "Overstock", "Okay")</f>
        <v>Overstock</v>
      </c>
    </row>
    <row r="743" spans="1:17" x14ac:dyDescent="0.35">
      <c r="A743">
        <v>16378</v>
      </c>
      <c r="B743" t="s">
        <v>22</v>
      </c>
      <c r="C743" t="s">
        <v>29</v>
      </c>
      <c r="D743">
        <v>219</v>
      </c>
      <c r="E743">
        <v>100</v>
      </c>
      <c r="F743" s="2">
        <v>448.3</v>
      </c>
      <c r="G743" t="s">
        <v>33</v>
      </c>
      <c r="H743" s="1">
        <v>45495</v>
      </c>
      <c r="I743" s="1">
        <v>45501</v>
      </c>
      <c r="J743" t="s">
        <v>36</v>
      </c>
      <c r="K743" s="8">
        <f>Table2[[#This Row],[CurrentStock]]*Table2[[#This Row],[UnitPrice]]</f>
        <v>98177.7</v>
      </c>
      <c r="L743" t="str">
        <f>IF(Table2[[#This Row],[CurrentStock]]&lt;=Table2[[#This Row],[ReorderLevel]], "Reorder Needed", "Okay")</f>
        <v>Okay</v>
      </c>
      <c r="M743" t="str">
        <f>IF(Table2[[#This Row],[CurrentStock]]-Table2[[#This Row],[ReorderLevel]]&lt;0,Table2[[#This Row],[CurrentStock]]-Table2[[#This Row],[ReorderLevel]],"")</f>
        <v/>
      </c>
      <c r="N743" t="str">
        <f>IF(Table2[[#This Row],[Stock Gap]]&lt;0, "Understock","Okay")</f>
        <v>Okay</v>
      </c>
      <c r="O743" s="13" t="str">
        <f>IF(Table2[[#This Row],[Stock Gap]]&lt;0, "Yes", "No")</f>
        <v>No</v>
      </c>
      <c r="P743" s="13" t="str">
        <f>IF(Table2[[#This Row],[CurrentStock]]&lt;Table2[[#This Row],[ReorderLevel]],"Reorder", "Okay")</f>
        <v>Okay</v>
      </c>
      <c r="Q743" s="13" t="str">
        <f>IF(Table2[[#This Row],[CurrentStock]]&gt;Table2[[#This Row],[ReorderLevel]]*3, "Overstock", "Okay")</f>
        <v>Okay</v>
      </c>
    </row>
    <row r="744" spans="1:17" x14ac:dyDescent="0.35">
      <c r="A744">
        <v>24953</v>
      </c>
      <c r="B744" t="s">
        <v>21</v>
      </c>
      <c r="C744" t="s">
        <v>26</v>
      </c>
      <c r="D744">
        <v>87</v>
      </c>
      <c r="E744">
        <v>20</v>
      </c>
      <c r="F744" s="2">
        <v>179.97</v>
      </c>
      <c r="G744" t="s">
        <v>35</v>
      </c>
      <c r="H744" s="1">
        <v>45476</v>
      </c>
      <c r="I744" s="1">
        <v>45511</v>
      </c>
      <c r="J744" t="s">
        <v>38</v>
      </c>
      <c r="K744" s="8">
        <f>Table2[[#This Row],[CurrentStock]]*Table2[[#This Row],[UnitPrice]]</f>
        <v>15657.39</v>
      </c>
      <c r="L744" t="str">
        <f>IF(Table2[[#This Row],[CurrentStock]]&lt;=Table2[[#This Row],[ReorderLevel]], "Reorder Needed", "Okay")</f>
        <v>Okay</v>
      </c>
      <c r="M744" t="str">
        <f>IF(Table2[[#This Row],[CurrentStock]]-Table2[[#This Row],[ReorderLevel]]&lt;0,Table2[[#This Row],[CurrentStock]]-Table2[[#This Row],[ReorderLevel]],"")</f>
        <v/>
      </c>
      <c r="N744" t="str">
        <f>IF(Table2[[#This Row],[Stock Gap]]&lt;0, "Understock","Okay")</f>
        <v>Okay</v>
      </c>
      <c r="O744" s="13" t="str">
        <f>IF(Table2[[#This Row],[Stock Gap]]&lt;0, "Yes", "No")</f>
        <v>No</v>
      </c>
      <c r="P744" s="13" t="str">
        <f>IF(Table2[[#This Row],[CurrentStock]]&lt;Table2[[#This Row],[ReorderLevel]],"Reorder", "Okay")</f>
        <v>Okay</v>
      </c>
      <c r="Q744" s="13" t="str">
        <f>IF(Table2[[#This Row],[CurrentStock]]&gt;Table2[[#This Row],[ReorderLevel]]*3, "Overstock", "Okay")</f>
        <v>Overstock</v>
      </c>
    </row>
    <row r="745" spans="1:17" x14ac:dyDescent="0.35">
      <c r="A745">
        <v>39661</v>
      </c>
      <c r="B745" t="s">
        <v>20</v>
      </c>
      <c r="C745" t="s">
        <v>30</v>
      </c>
      <c r="D745">
        <v>379</v>
      </c>
      <c r="E745">
        <v>50</v>
      </c>
      <c r="F745" s="2">
        <v>259.47000000000003</v>
      </c>
      <c r="G745" t="s">
        <v>33</v>
      </c>
      <c r="H745" s="1">
        <v>45365</v>
      </c>
      <c r="I745" s="1">
        <v>45384</v>
      </c>
      <c r="J745" t="s">
        <v>38</v>
      </c>
      <c r="K745" s="8">
        <f>Table2[[#This Row],[CurrentStock]]*Table2[[#This Row],[UnitPrice]]</f>
        <v>98339.13</v>
      </c>
      <c r="L745" t="str">
        <f>IF(Table2[[#This Row],[CurrentStock]]&lt;=Table2[[#This Row],[ReorderLevel]], "Reorder Needed", "Okay")</f>
        <v>Okay</v>
      </c>
      <c r="M745" t="str">
        <f>IF(Table2[[#This Row],[CurrentStock]]-Table2[[#This Row],[ReorderLevel]]&lt;0,Table2[[#This Row],[CurrentStock]]-Table2[[#This Row],[ReorderLevel]],"")</f>
        <v/>
      </c>
      <c r="N745" t="str">
        <f>IF(Table2[[#This Row],[Stock Gap]]&lt;0, "Understock","Okay")</f>
        <v>Okay</v>
      </c>
      <c r="O745" s="13" t="str">
        <f>IF(Table2[[#This Row],[Stock Gap]]&lt;0, "Yes", "No")</f>
        <v>No</v>
      </c>
      <c r="P745" s="13" t="str">
        <f>IF(Table2[[#This Row],[CurrentStock]]&lt;Table2[[#This Row],[ReorderLevel]],"Reorder", "Okay")</f>
        <v>Okay</v>
      </c>
      <c r="Q745" s="13" t="str">
        <f>IF(Table2[[#This Row],[CurrentStock]]&gt;Table2[[#This Row],[ReorderLevel]]*3, "Overstock", "Okay")</f>
        <v>Overstock</v>
      </c>
    </row>
    <row r="746" spans="1:17" x14ac:dyDescent="0.35">
      <c r="A746">
        <v>43477</v>
      </c>
      <c r="B746" t="s">
        <v>18</v>
      </c>
      <c r="C746" t="s">
        <v>27</v>
      </c>
      <c r="D746">
        <v>317</v>
      </c>
      <c r="E746">
        <v>20</v>
      </c>
      <c r="F746" s="2">
        <v>359.41</v>
      </c>
      <c r="G746" t="s">
        <v>32</v>
      </c>
      <c r="H746" s="1">
        <v>45543</v>
      </c>
      <c r="I746" s="1">
        <v>45581</v>
      </c>
      <c r="J746" t="s">
        <v>38</v>
      </c>
      <c r="K746" s="8">
        <f>Table2[[#This Row],[CurrentStock]]*Table2[[#This Row],[UnitPrice]]</f>
        <v>113932.97</v>
      </c>
      <c r="L746" t="str">
        <f>IF(Table2[[#This Row],[CurrentStock]]&lt;=Table2[[#This Row],[ReorderLevel]], "Reorder Needed", "Okay")</f>
        <v>Okay</v>
      </c>
      <c r="M746" t="str">
        <f>IF(Table2[[#This Row],[CurrentStock]]-Table2[[#This Row],[ReorderLevel]]&lt;0,Table2[[#This Row],[CurrentStock]]-Table2[[#This Row],[ReorderLevel]],"")</f>
        <v/>
      </c>
      <c r="N746" t="str">
        <f>IF(Table2[[#This Row],[Stock Gap]]&lt;0, "Understock","Okay")</f>
        <v>Okay</v>
      </c>
      <c r="O746" s="13" t="str">
        <f>IF(Table2[[#This Row],[Stock Gap]]&lt;0, "Yes", "No")</f>
        <v>No</v>
      </c>
      <c r="P746" s="13" t="str">
        <f>IF(Table2[[#This Row],[CurrentStock]]&lt;Table2[[#This Row],[ReorderLevel]],"Reorder", "Okay")</f>
        <v>Okay</v>
      </c>
      <c r="Q746" s="13" t="str">
        <f>IF(Table2[[#This Row],[CurrentStock]]&gt;Table2[[#This Row],[ReorderLevel]]*3, "Overstock", "Okay")</f>
        <v>Overstock</v>
      </c>
    </row>
    <row r="747" spans="1:17" x14ac:dyDescent="0.35">
      <c r="A747">
        <v>30805</v>
      </c>
      <c r="B747" t="s">
        <v>22</v>
      </c>
      <c r="C747" t="s">
        <v>29</v>
      </c>
      <c r="D747">
        <v>178</v>
      </c>
      <c r="E747">
        <v>100</v>
      </c>
      <c r="F747" s="2">
        <v>200.73</v>
      </c>
      <c r="G747" t="s">
        <v>32</v>
      </c>
      <c r="H747" s="1">
        <v>45562</v>
      </c>
      <c r="I747" s="1">
        <v>45580</v>
      </c>
      <c r="J747" t="s">
        <v>36</v>
      </c>
      <c r="K747" s="8">
        <f>Table2[[#This Row],[CurrentStock]]*Table2[[#This Row],[UnitPrice]]</f>
        <v>35729.939999999995</v>
      </c>
      <c r="L747" t="str">
        <f>IF(Table2[[#This Row],[CurrentStock]]&lt;=Table2[[#This Row],[ReorderLevel]], "Reorder Needed", "Okay")</f>
        <v>Okay</v>
      </c>
      <c r="M747" t="str">
        <f>IF(Table2[[#This Row],[CurrentStock]]-Table2[[#This Row],[ReorderLevel]]&lt;0,Table2[[#This Row],[CurrentStock]]-Table2[[#This Row],[ReorderLevel]],"")</f>
        <v/>
      </c>
      <c r="N747" t="str">
        <f>IF(Table2[[#This Row],[Stock Gap]]&lt;0, "Understock","Okay")</f>
        <v>Okay</v>
      </c>
      <c r="O747" s="13" t="str">
        <f>IF(Table2[[#This Row],[Stock Gap]]&lt;0, "Yes", "No")</f>
        <v>No</v>
      </c>
      <c r="P747" s="13" t="str">
        <f>IF(Table2[[#This Row],[CurrentStock]]&lt;Table2[[#This Row],[ReorderLevel]],"Reorder", "Okay")</f>
        <v>Okay</v>
      </c>
      <c r="Q747" s="13" t="str">
        <f>IF(Table2[[#This Row],[CurrentStock]]&gt;Table2[[#This Row],[ReorderLevel]]*3, "Overstock", "Okay")</f>
        <v>Okay</v>
      </c>
    </row>
    <row r="748" spans="1:17" x14ac:dyDescent="0.35">
      <c r="A748">
        <v>92428</v>
      </c>
      <c r="B748" t="s">
        <v>24</v>
      </c>
      <c r="C748" t="s">
        <v>30</v>
      </c>
      <c r="D748">
        <v>2</v>
      </c>
      <c r="E748">
        <v>100</v>
      </c>
      <c r="F748" s="2">
        <v>340.19</v>
      </c>
      <c r="G748" t="s">
        <v>33</v>
      </c>
      <c r="H748" s="1">
        <v>45342</v>
      </c>
      <c r="I748" s="1">
        <v>45349</v>
      </c>
      <c r="J748" t="s">
        <v>36</v>
      </c>
      <c r="K748" s="8">
        <f>Table2[[#This Row],[CurrentStock]]*Table2[[#This Row],[UnitPrice]]</f>
        <v>680.38</v>
      </c>
      <c r="L748" t="str">
        <f>IF(Table2[[#This Row],[CurrentStock]]&lt;=Table2[[#This Row],[ReorderLevel]], "Reorder Needed", "Okay")</f>
        <v>Reorder Needed</v>
      </c>
      <c r="M748" s="7">
        <f>IF(Table2[[#This Row],[CurrentStock]]-Table2[[#This Row],[ReorderLevel]]&lt;0,Table2[[#This Row],[CurrentStock]]-Table2[[#This Row],[ReorderLevel]],"")</f>
        <v>-98</v>
      </c>
      <c r="N748" t="str">
        <f>IF(Table2[[#This Row],[Stock Gap]]&lt;0, "Understock","Okay")</f>
        <v>Understock</v>
      </c>
      <c r="O748" s="13" t="str">
        <f>IF(Table2[[#This Row],[Stock Gap]]&lt;0, "Yes", "No")</f>
        <v>Yes</v>
      </c>
      <c r="P748" s="13" t="str">
        <f>IF(Table2[[#This Row],[CurrentStock]]&lt;Table2[[#This Row],[ReorderLevel]],"Reorder", "Okay")</f>
        <v>Reorder</v>
      </c>
      <c r="Q748" s="13" t="str">
        <f>IF(Table2[[#This Row],[CurrentStock]]&gt;Table2[[#This Row],[ReorderLevel]]*3, "Overstock", "Okay")</f>
        <v>Okay</v>
      </c>
    </row>
    <row r="749" spans="1:17" x14ac:dyDescent="0.35">
      <c r="A749">
        <v>64800</v>
      </c>
      <c r="B749" t="s">
        <v>18</v>
      </c>
      <c r="C749" t="s">
        <v>27</v>
      </c>
      <c r="D749">
        <v>268</v>
      </c>
      <c r="E749">
        <v>30</v>
      </c>
      <c r="F749" s="2">
        <v>67.19</v>
      </c>
      <c r="G749" t="s">
        <v>33</v>
      </c>
      <c r="H749" s="1">
        <v>45522</v>
      </c>
      <c r="I749" s="1">
        <v>45550</v>
      </c>
      <c r="J749" t="s">
        <v>38</v>
      </c>
      <c r="K749" s="8">
        <f>Table2[[#This Row],[CurrentStock]]*Table2[[#This Row],[UnitPrice]]</f>
        <v>18006.919999999998</v>
      </c>
      <c r="L749" t="str">
        <f>IF(Table2[[#This Row],[CurrentStock]]&lt;=Table2[[#This Row],[ReorderLevel]], "Reorder Needed", "Okay")</f>
        <v>Okay</v>
      </c>
      <c r="M749" t="str">
        <f>IF(Table2[[#This Row],[CurrentStock]]-Table2[[#This Row],[ReorderLevel]]&lt;0,Table2[[#This Row],[CurrentStock]]-Table2[[#This Row],[ReorderLevel]],"")</f>
        <v/>
      </c>
      <c r="N749" t="str">
        <f>IF(Table2[[#This Row],[Stock Gap]]&lt;0, "Understock","Okay")</f>
        <v>Okay</v>
      </c>
      <c r="O749" s="13" t="str">
        <f>IF(Table2[[#This Row],[Stock Gap]]&lt;0, "Yes", "No")</f>
        <v>No</v>
      </c>
      <c r="P749" s="13" t="str">
        <f>IF(Table2[[#This Row],[CurrentStock]]&lt;Table2[[#This Row],[ReorderLevel]],"Reorder", "Okay")</f>
        <v>Okay</v>
      </c>
      <c r="Q749" s="13" t="str">
        <f>IF(Table2[[#This Row],[CurrentStock]]&gt;Table2[[#This Row],[ReorderLevel]]*3, "Overstock", "Okay")</f>
        <v>Overstock</v>
      </c>
    </row>
    <row r="750" spans="1:17" x14ac:dyDescent="0.35">
      <c r="A750">
        <v>38948</v>
      </c>
      <c r="B750" t="s">
        <v>19</v>
      </c>
      <c r="C750" t="s">
        <v>28</v>
      </c>
      <c r="D750">
        <v>479</v>
      </c>
      <c r="E750">
        <v>30</v>
      </c>
      <c r="F750" s="2">
        <v>8.66</v>
      </c>
      <c r="G750" t="s">
        <v>33</v>
      </c>
      <c r="H750" s="1">
        <v>45496</v>
      </c>
      <c r="I750" s="1">
        <v>45519</v>
      </c>
      <c r="J750" t="s">
        <v>37</v>
      </c>
      <c r="K750" s="8">
        <f>Table2[[#This Row],[CurrentStock]]*Table2[[#This Row],[UnitPrice]]</f>
        <v>4148.1400000000003</v>
      </c>
      <c r="L750" t="str">
        <f>IF(Table2[[#This Row],[CurrentStock]]&lt;=Table2[[#This Row],[ReorderLevel]], "Reorder Needed", "Okay")</f>
        <v>Okay</v>
      </c>
      <c r="M750" t="str">
        <f>IF(Table2[[#This Row],[CurrentStock]]-Table2[[#This Row],[ReorderLevel]]&lt;0,Table2[[#This Row],[CurrentStock]]-Table2[[#This Row],[ReorderLevel]],"")</f>
        <v/>
      </c>
      <c r="N750" t="str">
        <f>IF(Table2[[#This Row],[Stock Gap]]&lt;0, "Understock","Okay")</f>
        <v>Okay</v>
      </c>
      <c r="O750" s="13" t="str">
        <f>IF(Table2[[#This Row],[Stock Gap]]&lt;0, "Yes", "No")</f>
        <v>No</v>
      </c>
      <c r="P750" s="13" t="str">
        <f>IF(Table2[[#This Row],[CurrentStock]]&lt;Table2[[#This Row],[ReorderLevel]],"Reorder", "Okay")</f>
        <v>Okay</v>
      </c>
      <c r="Q750" s="13" t="str">
        <f>IF(Table2[[#This Row],[CurrentStock]]&gt;Table2[[#This Row],[ReorderLevel]]*3, "Overstock", "Okay")</f>
        <v>Overstock</v>
      </c>
    </row>
    <row r="751" spans="1:17" x14ac:dyDescent="0.35">
      <c r="A751">
        <v>52462</v>
      </c>
      <c r="B751" t="s">
        <v>12</v>
      </c>
      <c r="C751" t="s">
        <v>28</v>
      </c>
      <c r="D751">
        <v>323</v>
      </c>
      <c r="E751">
        <v>20</v>
      </c>
      <c r="F751" s="2">
        <v>155.13</v>
      </c>
      <c r="G751" t="s">
        <v>33</v>
      </c>
      <c r="H751" s="1">
        <v>45467</v>
      </c>
      <c r="I751" s="1">
        <v>45506</v>
      </c>
      <c r="J751" t="s">
        <v>36</v>
      </c>
      <c r="K751" s="8">
        <f>Table2[[#This Row],[CurrentStock]]*Table2[[#This Row],[UnitPrice]]</f>
        <v>50106.99</v>
      </c>
      <c r="L751" t="str">
        <f>IF(Table2[[#This Row],[CurrentStock]]&lt;=Table2[[#This Row],[ReorderLevel]], "Reorder Needed", "Okay")</f>
        <v>Okay</v>
      </c>
      <c r="M751" t="str">
        <f>IF(Table2[[#This Row],[CurrentStock]]-Table2[[#This Row],[ReorderLevel]]&lt;0,Table2[[#This Row],[CurrentStock]]-Table2[[#This Row],[ReorderLevel]],"")</f>
        <v/>
      </c>
      <c r="N751" t="str">
        <f>IF(Table2[[#This Row],[Stock Gap]]&lt;0, "Understock","Okay")</f>
        <v>Okay</v>
      </c>
      <c r="O751" s="13" t="str">
        <f>IF(Table2[[#This Row],[Stock Gap]]&lt;0, "Yes", "No")</f>
        <v>No</v>
      </c>
      <c r="P751" s="13" t="str">
        <f>IF(Table2[[#This Row],[CurrentStock]]&lt;Table2[[#This Row],[ReorderLevel]],"Reorder", "Okay")</f>
        <v>Okay</v>
      </c>
      <c r="Q751" s="13" t="str">
        <f>IF(Table2[[#This Row],[CurrentStock]]&gt;Table2[[#This Row],[ReorderLevel]]*3, "Overstock", "Okay")</f>
        <v>Overstock</v>
      </c>
    </row>
    <row r="752" spans="1:17" x14ac:dyDescent="0.35">
      <c r="A752">
        <v>23731</v>
      </c>
      <c r="B752" t="s">
        <v>16</v>
      </c>
      <c r="C752" t="s">
        <v>29</v>
      </c>
      <c r="D752">
        <v>301</v>
      </c>
      <c r="E752">
        <v>100</v>
      </c>
      <c r="F752" s="2">
        <v>11.24</v>
      </c>
      <c r="G752" t="s">
        <v>34</v>
      </c>
      <c r="H752" s="1">
        <v>45553</v>
      </c>
      <c r="I752" s="1">
        <v>45574</v>
      </c>
      <c r="J752" t="s">
        <v>37</v>
      </c>
      <c r="K752" s="8">
        <f>Table2[[#This Row],[CurrentStock]]*Table2[[#This Row],[UnitPrice]]</f>
        <v>3383.2400000000002</v>
      </c>
      <c r="L752" t="str">
        <f>IF(Table2[[#This Row],[CurrentStock]]&lt;=Table2[[#This Row],[ReorderLevel]], "Reorder Needed", "Okay")</f>
        <v>Okay</v>
      </c>
      <c r="M752" t="str">
        <f>IF(Table2[[#This Row],[CurrentStock]]-Table2[[#This Row],[ReorderLevel]]&lt;0,Table2[[#This Row],[CurrentStock]]-Table2[[#This Row],[ReorderLevel]],"")</f>
        <v/>
      </c>
      <c r="N752" t="str">
        <f>IF(Table2[[#This Row],[Stock Gap]]&lt;0, "Understock","Okay")</f>
        <v>Okay</v>
      </c>
      <c r="O752" s="13" t="str">
        <f>IF(Table2[[#This Row],[Stock Gap]]&lt;0, "Yes", "No")</f>
        <v>No</v>
      </c>
      <c r="P752" s="13" t="str">
        <f>IF(Table2[[#This Row],[CurrentStock]]&lt;Table2[[#This Row],[ReorderLevel]],"Reorder", "Okay")</f>
        <v>Okay</v>
      </c>
      <c r="Q752" s="13" t="str">
        <f>IF(Table2[[#This Row],[CurrentStock]]&gt;Table2[[#This Row],[ReorderLevel]]*3, "Overstock", "Okay")</f>
        <v>Overstock</v>
      </c>
    </row>
    <row r="753" spans="1:17" x14ac:dyDescent="0.35">
      <c r="A753">
        <v>87994</v>
      </c>
      <c r="B753" t="s">
        <v>17</v>
      </c>
      <c r="C753" t="s">
        <v>27</v>
      </c>
      <c r="D753">
        <v>257</v>
      </c>
      <c r="E753">
        <v>20</v>
      </c>
      <c r="F753" s="2">
        <v>389.97</v>
      </c>
      <c r="G753" t="s">
        <v>31</v>
      </c>
      <c r="H753" s="1">
        <v>45357</v>
      </c>
      <c r="I753" s="1">
        <v>45389</v>
      </c>
      <c r="J753" t="s">
        <v>38</v>
      </c>
      <c r="K753" s="8">
        <f>Table2[[#This Row],[CurrentStock]]*Table2[[#This Row],[UnitPrice]]</f>
        <v>100222.29000000001</v>
      </c>
      <c r="L753" t="str">
        <f>IF(Table2[[#This Row],[CurrentStock]]&lt;=Table2[[#This Row],[ReorderLevel]], "Reorder Needed", "Okay")</f>
        <v>Okay</v>
      </c>
      <c r="M753" t="str">
        <f>IF(Table2[[#This Row],[CurrentStock]]-Table2[[#This Row],[ReorderLevel]]&lt;0,Table2[[#This Row],[CurrentStock]]-Table2[[#This Row],[ReorderLevel]],"")</f>
        <v/>
      </c>
      <c r="N753" t="str">
        <f>IF(Table2[[#This Row],[Stock Gap]]&lt;0, "Understock","Okay")</f>
        <v>Okay</v>
      </c>
      <c r="O753" s="13" t="str">
        <f>IF(Table2[[#This Row],[Stock Gap]]&lt;0, "Yes", "No")</f>
        <v>No</v>
      </c>
      <c r="P753" s="13" t="str">
        <f>IF(Table2[[#This Row],[CurrentStock]]&lt;Table2[[#This Row],[ReorderLevel]],"Reorder", "Okay")</f>
        <v>Okay</v>
      </c>
      <c r="Q753" s="13" t="str">
        <f>IF(Table2[[#This Row],[CurrentStock]]&gt;Table2[[#This Row],[ReorderLevel]]*3, "Overstock", "Okay")</f>
        <v>Overstock</v>
      </c>
    </row>
    <row r="754" spans="1:17" x14ac:dyDescent="0.35">
      <c r="A754">
        <v>89955</v>
      </c>
      <c r="B754" t="s">
        <v>12</v>
      </c>
      <c r="C754" t="s">
        <v>28</v>
      </c>
      <c r="D754">
        <v>322</v>
      </c>
      <c r="E754">
        <v>40</v>
      </c>
      <c r="F754" s="2">
        <v>408.97</v>
      </c>
      <c r="G754" t="s">
        <v>35</v>
      </c>
      <c r="H754" s="1">
        <v>45507</v>
      </c>
      <c r="I754" s="1">
        <v>45516</v>
      </c>
      <c r="J754" t="s">
        <v>36</v>
      </c>
      <c r="K754" s="8">
        <f>Table2[[#This Row],[CurrentStock]]*Table2[[#This Row],[UnitPrice]]</f>
        <v>131688.34</v>
      </c>
      <c r="L754" t="str">
        <f>IF(Table2[[#This Row],[CurrentStock]]&lt;=Table2[[#This Row],[ReorderLevel]], "Reorder Needed", "Okay")</f>
        <v>Okay</v>
      </c>
      <c r="M754" t="str">
        <f>IF(Table2[[#This Row],[CurrentStock]]-Table2[[#This Row],[ReorderLevel]]&lt;0,Table2[[#This Row],[CurrentStock]]-Table2[[#This Row],[ReorderLevel]],"")</f>
        <v/>
      </c>
      <c r="N754" t="str">
        <f>IF(Table2[[#This Row],[Stock Gap]]&lt;0, "Understock","Okay")</f>
        <v>Okay</v>
      </c>
      <c r="O754" s="13" t="str">
        <f>IF(Table2[[#This Row],[Stock Gap]]&lt;0, "Yes", "No")</f>
        <v>No</v>
      </c>
      <c r="P754" s="13" t="str">
        <f>IF(Table2[[#This Row],[CurrentStock]]&lt;Table2[[#This Row],[ReorderLevel]],"Reorder", "Okay")</f>
        <v>Okay</v>
      </c>
      <c r="Q754" s="13" t="str">
        <f>IF(Table2[[#This Row],[CurrentStock]]&gt;Table2[[#This Row],[ReorderLevel]]*3, "Overstock", "Okay")</f>
        <v>Overstock</v>
      </c>
    </row>
    <row r="755" spans="1:17" x14ac:dyDescent="0.35">
      <c r="A755">
        <v>42940</v>
      </c>
      <c r="B755" t="s">
        <v>17</v>
      </c>
      <c r="C755" t="s">
        <v>27</v>
      </c>
      <c r="D755">
        <v>492</v>
      </c>
      <c r="E755">
        <v>50</v>
      </c>
      <c r="F755" s="2">
        <v>268.08</v>
      </c>
      <c r="G755" t="s">
        <v>31</v>
      </c>
      <c r="H755" s="1">
        <v>45644</v>
      </c>
      <c r="I755" s="1">
        <v>45664</v>
      </c>
      <c r="J755" t="s">
        <v>37</v>
      </c>
      <c r="K755" s="8">
        <f>Table2[[#This Row],[CurrentStock]]*Table2[[#This Row],[UnitPrice]]</f>
        <v>131895.35999999999</v>
      </c>
      <c r="L755" t="str">
        <f>IF(Table2[[#This Row],[CurrentStock]]&lt;=Table2[[#This Row],[ReorderLevel]], "Reorder Needed", "Okay")</f>
        <v>Okay</v>
      </c>
      <c r="M755" t="str">
        <f>IF(Table2[[#This Row],[CurrentStock]]-Table2[[#This Row],[ReorderLevel]]&lt;0,Table2[[#This Row],[CurrentStock]]-Table2[[#This Row],[ReorderLevel]],"")</f>
        <v/>
      </c>
      <c r="N755" t="str">
        <f>IF(Table2[[#This Row],[Stock Gap]]&lt;0, "Understock","Okay")</f>
        <v>Okay</v>
      </c>
      <c r="O755" s="13" t="str">
        <f>IF(Table2[[#This Row],[Stock Gap]]&lt;0, "Yes", "No")</f>
        <v>No</v>
      </c>
      <c r="P755" s="13" t="str">
        <f>IF(Table2[[#This Row],[CurrentStock]]&lt;Table2[[#This Row],[ReorderLevel]],"Reorder", "Okay")</f>
        <v>Okay</v>
      </c>
      <c r="Q755" s="13" t="str">
        <f>IF(Table2[[#This Row],[CurrentStock]]&gt;Table2[[#This Row],[ReorderLevel]]*3, "Overstock", "Okay")</f>
        <v>Overstock</v>
      </c>
    </row>
    <row r="756" spans="1:17" x14ac:dyDescent="0.35">
      <c r="A756">
        <v>46713</v>
      </c>
      <c r="B756" t="s">
        <v>22</v>
      </c>
      <c r="C756" t="s">
        <v>29</v>
      </c>
      <c r="D756">
        <v>10</v>
      </c>
      <c r="E756">
        <v>100</v>
      </c>
      <c r="F756" s="2">
        <v>445.06</v>
      </c>
      <c r="G756" t="s">
        <v>33</v>
      </c>
      <c r="H756" s="1">
        <v>45475</v>
      </c>
      <c r="I756" s="1">
        <v>45489</v>
      </c>
      <c r="J756" t="s">
        <v>38</v>
      </c>
      <c r="K756" s="8">
        <f>Table2[[#This Row],[CurrentStock]]*Table2[[#This Row],[UnitPrice]]</f>
        <v>4450.6000000000004</v>
      </c>
      <c r="L756" t="str">
        <f>IF(Table2[[#This Row],[CurrentStock]]&lt;=Table2[[#This Row],[ReorderLevel]], "Reorder Needed", "Okay")</f>
        <v>Reorder Needed</v>
      </c>
      <c r="M756" s="7">
        <f>IF(Table2[[#This Row],[CurrentStock]]-Table2[[#This Row],[ReorderLevel]]&lt;0,Table2[[#This Row],[CurrentStock]]-Table2[[#This Row],[ReorderLevel]],"")</f>
        <v>-90</v>
      </c>
      <c r="N756" t="str">
        <f>IF(Table2[[#This Row],[Stock Gap]]&lt;0, "Understock","Okay")</f>
        <v>Understock</v>
      </c>
      <c r="O756" s="13" t="str">
        <f>IF(Table2[[#This Row],[Stock Gap]]&lt;0, "Yes", "No")</f>
        <v>Yes</v>
      </c>
      <c r="P756" s="13" t="str">
        <f>IF(Table2[[#This Row],[CurrentStock]]&lt;Table2[[#This Row],[ReorderLevel]],"Reorder", "Okay")</f>
        <v>Reorder</v>
      </c>
      <c r="Q756" s="13" t="str">
        <f>IF(Table2[[#This Row],[CurrentStock]]&gt;Table2[[#This Row],[ReorderLevel]]*3, "Overstock", "Okay")</f>
        <v>Okay</v>
      </c>
    </row>
    <row r="757" spans="1:17" x14ac:dyDescent="0.35">
      <c r="A757">
        <v>13880</v>
      </c>
      <c r="B757" t="s">
        <v>12</v>
      </c>
      <c r="C757" t="s">
        <v>28</v>
      </c>
      <c r="D757">
        <v>74</v>
      </c>
      <c r="E757">
        <v>80</v>
      </c>
      <c r="F757" s="2">
        <v>248.54</v>
      </c>
      <c r="G757" t="s">
        <v>33</v>
      </c>
      <c r="H757" s="1">
        <v>45357</v>
      </c>
      <c r="I757" s="1">
        <v>45367</v>
      </c>
      <c r="J757" t="s">
        <v>36</v>
      </c>
      <c r="K757" s="8">
        <f>Table2[[#This Row],[CurrentStock]]*Table2[[#This Row],[UnitPrice]]</f>
        <v>18391.96</v>
      </c>
      <c r="L757" t="str">
        <f>IF(Table2[[#This Row],[CurrentStock]]&lt;=Table2[[#This Row],[ReorderLevel]], "Reorder Needed", "Okay")</f>
        <v>Reorder Needed</v>
      </c>
      <c r="M757" s="7">
        <f>IF(Table2[[#This Row],[CurrentStock]]-Table2[[#This Row],[ReorderLevel]]&lt;0,Table2[[#This Row],[CurrentStock]]-Table2[[#This Row],[ReorderLevel]],"")</f>
        <v>-6</v>
      </c>
      <c r="N757" t="str">
        <f>IF(Table2[[#This Row],[Stock Gap]]&lt;0, "Understock","Okay")</f>
        <v>Understock</v>
      </c>
      <c r="O757" s="13" t="str">
        <f>IF(Table2[[#This Row],[Stock Gap]]&lt;0, "Yes", "No")</f>
        <v>Yes</v>
      </c>
      <c r="P757" s="13" t="str">
        <f>IF(Table2[[#This Row],[CurrentStock]]&lt;Table2[[#This Row],[ReorderLevel]],"Reorder", "Okay")</f>
        <v>Reorder</v>
      </c>
      <c r="Q757" s="13" t="str">
        <f>IF(Table2[[#This Row],[CurrentStock]]&gt;Table2[[#This Row],[ReorderLevel]]*3, "Overstock", "Okay")</f>
        <v>Okay</v>
      </c>
    </row>
    <row r="758" spans="1:17" x14ac:dyDescent="0.35">
      <c r="A758">
        <v>53333</v>
      </c>
      <c r="B758" t="s">
        <v>20</v>
      </c>
      <c r="C758" t="s">
        <v>30</v>
      </c>
      <c r="D758">
        <v>463</v>
      </c>
      <c r="E758">
        <v>20</v>
      </c>
      <c r="F758" s="2">
        <v>279.22000000000003</v>
      </c>
      <c r="G758" t="s">
        <v>35</v>
      </c>
      <c r="H758" s="1">
        <v>45330</v>
      </c>
      <c r="I758" s="1">
        <v>45351</v>
      </c>
      <c r="J758" t="s">
        <v>37</v>
      </c>
      <c r="K758" s="8">
        <f>Table2[[#This Row],[CurrentStock]]*Table2[[#This Row],[UnitPrice]]</f>
        <v>129278.86000000002</v>
      </c>
      <c r="L758" t="str">
        <f>IF(Table2[[#This Row],[CurrentStock]]&lt;=Table2[[#This Row],[ReorderLevel]], "Reorder Needed", "Okay")</f>
        <v>Okay</v>
      </c>
      <c r="M758" t="str">
        <f>IF(Table2[[#This Row],[CurrentStock]]-Table2[[#This Row],[ReorderLevel]]&lt;0,Table2[[#This Row],[CurrentStock]]-Table2[[#This Row],[ReorderLevel]],"")</f>
        <v/>
      </c>
      <c r="N758" t="str">
        <f>IF(Table2[[#This Row],[Stock Gap]]&lt;0, "Understock","Okay")</f>
        <v>Okay</v>
      </c>
      <c r="O758" s="13" t="str">
        <f>IF(Table2[[#This Row],[Stock Gap]]&lt;0, "Yes", "No")</f>
        <v>No</v>
      </c>
      <c r="P758" s="13" t="str">
        <f>IF(Table2[[#This Row],[CurrentStock]]&lt;Table2[[#This Row],[ReorderLevel]],"Reorder", "Okay")</f>
        <v>Okay</v>
      </c>
      <c r="Q758" s="13" t="str">
        <f>IF(Table2[[#This Row],[CurrentStock]]&gt;Table2[[#This Row],[ReorderLevel]]*3, "Overstock", "Okay")</f>
        <v>Overstock</v>
      </c>
    </row>
    <row r="759" spans="1:17" x14ac:dyDescent="0.35">
      <c r="A759">
        <v>66920</v>
      </c>
      <c r="B759" t="s">
        <v>14</v>
      </c>
      <c r="C759" t="s">
        <v>28</v>
      </c>
      <c r="D759">
        <v>69</v>
      </c>
      <c r="E759">
        <v>100</v>
      </c>
      <c r="F759" s="2">
        <v>404.94</v>
      </c>
      <c r="G759" t="s">
        <v>33</v>
      </c>
      <c r="H759" s="1">
        <v>45505</v>
      </c>
      <c r="I759" s="1">
        <v>45529</v>
      </c>
      <c r="J759" t="s">
        <v>36</v>
      </c>
      <c r="K759" s="8">
        <f>Table2[[#This Row],[CurrentStock]]*Table2[[#This Row],[UnitPrice]]</f>
        <v>27940.86</v>
      </c>
      <c r="L759" t="str">
        <f>IF(Table2[[#This Row],[CurrentStock]]&lt;=Table2[[#This Row],[ReorderLevel]], "Reorder Needed", "Okay")</f>
        <v>Reorder Needed</v>
      </c>
      <c r="M759" s="7">
        <f>IF(Table2[[#This Row],[CurrentStock]]-Table2[[#This Row],[ReorderLevel]]&lt;0,Table2[[#This Row],[CurrentStock]]-Table2[[#This Row],[ReorderLevel]],"")</f>
        <v>-31</v>
      </c>
      <c r="N759" t="str">
        <f>IF(Table2[[#This Row],[Stock Gap]]&lt;0, "Understock","Okay")</f>
        <v>Understock</v>
      </c>
      <c r="O759" s="13" t="str">
        <f>IF(Table2[[#This Row],[Stock Gap]]&lt;0, "Yes", "No")</f>
        <v>Yes</v>
      </c>
      <c r="P759" s="13" t="str">
        <f>IF(Table2[[#This Row],[CurrentStock]]&lt;Table2[[#This Row],[ReorderLevel]],"Reorder", "Okay")</f>
        <v>Reorder</v>
      </c>
      <c r="Q759" s="13" t="str">
        <f>IF(Table2[[#This Row],[CurrentStock]]&gt;Table2[[#This Row],[ReorderLevel]]*3, "Overstock", "Okay")</f>
        <v>Okay</v>
      </c>
    </row>
    <row r="760" spans="1:17" x14ac:dyDescent="0.35">
      <c r="A760">
        <v>70390</v>
      </c>
      <c r="B760" t="s">
        <v>16</v>
      </c>
      <c r="C760" t="s">
        <v>29</v>
      </c>
      <c r="D760">
        <v>164</v>
      </c>
      <c r="E760">
        <v>20</v>
      </c>
      <c r="F760" s="2">
        <v>324.97000000000003</v>
      </c>
      <c r="G760" t="s">
        <v>32</v>
      </c>
      <c r="H760" s="1">
        <v>45569</v>
      </c>
      <c r="I760" s="1">
        <v>45578</v>
      </c>
      <c r="J760" t="s">
        <v>38</v>
      </c>
      <c r="K760" s="8">
        <f>Table2[[#This Row],[CurrentStock]]*Table2[[#This Row],[UnitPrice]]</f>
        <v>53295.08</v>
      </c>
      <c r="L760" t="str">
        <f>IF(Table2[[#This Row],[CurrentStock]]&lt;=Table2[[#This Row],[ReorderLevel]], "Reorder Needed", "Okay")</f>
        <v>Okay</v>
      </c>
      <c r="M760" t="str">
        <f>IF(Table2[[#This Row],[CurrentStock]]-Table2[[#This Row],[ReorderLevel]]&lt;0,Table2[[#This Row],[CurrentStock]]-Table2[[#This Row],[ReorderLevel]],"")</f>
        <v/>
      </c>
      <c r="N760" t="str">
        <f>IF(Table2[[#This Row],[Stock Gap]]&lt;0, "Understock","Okay")</f>
        <v>Okay</v>
      </c>
      <c r="O760" s="13" t="str">
        <f>IF(Table2[[#This Row],[Stock Gap]]&lt;0, "Yes", "No")</f>
        <v>No</v>
      </c>
      <c r="P760" s="13" t="str">
        <f>IF(Table2[[#This Row],[CurrentStock]]&lt;Table2[[#This Row],[ReorderLevel]],"Reorder", "Okay")</f>
        <v>Okay</v>
      </c>
      <c r="Q760" s="13" t="str">
        <f>IF(Table2[[#This Row],[CurrentStock]]&gt;Table2[[#This Row],[ReorderLevel]]*3, "Overstock", "Okay")</f>
        <v>Overstock</v>
      </c>
    </row>
    <row r="761" spans="1:17" x14ac:dyDescent="0.35">
      <c r="A761">
        <v>25994</v>
      </c>
      <c r="B761" t="s">
        <v>25</v>
      </c>
      <c r="C761" t="s">
        <v>29</v>
      </c>
      <c r="D761">
        <v>477</v>
      </c>
      <c r="E761">
        <v>40</v>
      </c>
      <c r="F761" s="2">
        <v>149.86000000000001</v>
      </c>
      <c r="G761" t="s">
        <v>33</v>
      </c>
      <c r="H761" s="1">
        <v>45429</v>
      </c>
      <c r="I761" s="1">
        <v>45448</v>
      </c>
      <c r="J761" t="s">
        <v>38</v>
      </c>
      <c r="K761" s="8">
        <f>Table2[[#This Row],[CurrentStock]]*Table2[[#This Row],[UnitPrice]]</f>
        <v>71483.22</v>
      </c>
      <c r="L761" t="str">
        <f>IF(Table2[[#This Row],[CurrentStock]]&lt;=Table2[[#This Row],[ReorderLevel]], "Reorder Needed", "Okay")</f>
        <v>Okay</v>
      </c>
      <c r="M761" t="str">
        <f>IF(Table2[[#This Row],[CurrentStock]]-Table2[[#This Row],[ReorderLevel]]&lt;0,Table2[[#This Row],[CurrentStock]]-Table2[[#This Row],[ReorderLevel]],"")</f>
        <v/>
      </c>
      <c r="N761" t="str">
        <f>IF(Table2[[#This Row],[Stock Gap]]&lt;0, "Understock","Okay")</f>
        <v>Okay</v>
      </c>
      <c r="O761" s="13" t="str">
        <f>IF(Table2[[#This Row],[Stock Gap]]&lt;0, "Yes", "No")</f>
        <v>No</v>
      </c>
      <c r="P761" s="13" t="str">
        <f>IF(Table2[[#This Row],[CurrentStock]]&lt;Table2[[#This Row],[ReorderLevel]],"Reorder", "Okay")</f>
        <v>Okay</v>
      </c>
      <c r="Q761" s="13" t="str">
        <f>IF(Table2[[#This Row],[CurrentStock]]&gt;Table2[[#This Row],[ReorderLevel]]*3, "Overstock", "Okay")</f>
        <v>Overstock</v>
      </c>
    </row>
    <row r="762" spans="1:17" x14ac:dyDescent="0.35">
      <c r="A762">
        <v>28316</v>
      </c>
      <c r="B762" t="s">
        <v>11</v>
      </c>
      <c r="C762" t="s">
        <v>27</v>
      </c>
      <c r="D762">
        <v>357</v>
      </c>
      <c r="E762">
        <v>40</v>
      </c>
      <c r="F762" s="2">
        <v>246.83</v>
      </c>
      <c r="G762" t="s">
        <v>34</v>
      </c>
      <c r="H762" s="1">
        <v>45293</v>
      </c>
      <c r="I762" s="1">
        <v>45327</v>
      </c>
      <c r="J762" t="s">
        <v>37</v>
      </c>
      <c r="K762" s="8">
        <f>Table2[[#This Row],[CurrentStock]]*Table2[[#This Row],[UnitPrice]]</f>
        <v>88118.31</v>
      </c>
      <c r="L762" t="str">
        <f>IF(Table2[[#This Row],[CurrentStock]]&lt;=Table2[[#This Row],[ReorderLevel]], "Reorder Needed", "Okay")</f>
        <v>Okay</v>
      </c>
      <c r="M762" t="str">
        <f>IF(Table2[[#This Row],[CurrentStock]]-Table2[[#This Row],[ReorderLevel]]&lt;0,Table2[[#This Row],[CurrentStock]]-Table2[[#This Row],[ReorderLevel]],"")</f>
        <v/>
      </c>
      <c r="N762" t="str">
        <f>IF(Table2[[#This Row],[Stock Gap]]&lt;0, "Understock","Okay")</f>
        <v>Okay</v>
      </c>
      <c r="O762" s="13" t="str">
        <f>IF(Table2[[#This Row],[Stock Gap]]&lt;0, "Yes", "No")</f>
        <v>No</v>
      </c>
      <c r="P762" s="13" t="str">
        <f>IF(Table2[[#This Row],[CurrentStock]]&lt;Table2[[#This Row],[ReorderLevel]],"Reorder", "Okay")</f>
        <v>Okay</v>
      </c>
      <c r="Q762" s="13" t="str">
        <f>IF(Table2[[#This Row],[CurrentStock]]&gt;Table2[[#This Row],[ReorderLevel]]*3, "Overstock", "Okay")</f>
        <v>Overstock</v>
      </c>
    </row>
    <row r="763" spans="1:17" x14ac:dyDescent="0.35">
      <c r="A763">
        <v>41932</v>
      </c>
      <c r="B763" t="s">
        <v>15</v>
      </c>
      <c r="C763" t="s">
        <v>29</v>
      </c>
      <c r="D763">
        <v>91</v>
      </c>
      <c r="E763">
        <v>80</v>
      </c>
      <c r="F763" s="2">
        <v>68.900000000000006</v>
      </c>
      <c r="G763" t="s">
        <v>31</v>
      </c>
      <c r="H763" s="1">
        <v>45439</v>
      </c>
      <c r="I763" s="1">
        <v>45467</v>
      </c>
      <c r="J763" t="s">
        <v>38</v>
      </c>
      <c r="K763" s="8">
        <f>Table2[[#This Row],[CurrentStock]]*Table2[[#This Row],[UnitPrice]]</f>
        <v>6269.9000000000005</v>
      </c>
      <c r="L763" t="str">
        <f>IF(Table2[[#This Row],[CurrentStock]]&lt;=Table2[[#This Row],[ReorderLevel]], "Reorder Needed", "Okay")</f>
        <v>Okay</v>
      </c>
      <c r="M763" t="str">
        <f>IF(Table2[[#This Row],[CurrentStock]]-Table2[[#This Row],[ReorderLevel]]&lt;0,Table2[[#This Row],[CurrentStock]]-Table2[[#This Row],[ReorderLevel]],"")</f>
        <v/>
      </c>
      <c r="N763" t="str">
        <f>IF(Table2[[#This Row],[Stock Gap]]&lt;0, "Understock","Okay")</f>
        <v>Okay</v>
      </c>
      <c r="O763" s="13" t="str">
        <f>IF(Table2[[#This Row],[Stock Gap]]&lt;0, "Yes", "No")</f>
        <v>No</v>
      </c>
      <c r="P763" s="13" t="str">
        <f>IF(Table2[[#This Row],[CurrentStock]]&lt;Table2[[#This Row],[ReorderLevel]],"Reorder", "Okay")</f>
        <v>Okay</v>
      </c>
      <c r="Q763" s="13" t="str">
        <f>IF(Table2[[#This Row],[CurrentStock]]&gt;Table2[[#This Row],[ReorderLevel]]*3, "Overstock", "Okay")</f>
        <v>Okay</v>
      </c>
    </row>
    <row r="764" spans="1:17" x14ac:dyDescent="0.35">
      <c r="A764">
        <v>96486</v>
      </c>
      <c r="B764" t="s">
        <v>23</v>
      </c>
      <c r="C764" t="s">
        <v>30</v>
      </c>
      <c r="D764">
        <v>410</v>
      </c>
      <c r="E764">
        <v>30</v>
      </c>
      <c r="F764" s="2">
        <v>132.44999999999999</v>
      </c>
      <c r="G764" t="s">
        <v>33</v>
      </c>
      <c r="H764" s="1">
        <v>45338</v>
      </c>
      <c r="I764" s="1">
        <v>45347</v>
      </c>
      <c r="J764" t="s">
        <v>38</v>
      </c>
      <c r="K764" s="8">
        <f>Table2[[#This Row],[CurrentStock]]*Table2[[#This Row],[UnitPrice]]</f>
        <v>54304.499999999993</v>
      </c>
      <c r="L764" t="str">
        <f>IF(Table2[[#This Row],[CurrentStock]]&lt;=Table2[[#This Row],[ReorderLevel]], "Reorder Needed", "Okay")</f>
        <v>Okay</v>
      </c>
      <c r="M764" t="str">
        <f>IF(Table2[[#This Row],[CurrentStock]]-Table2[[#This Row],[ReorderLevel]]&lt;0,Table2[[#This Row],[CurrentStock]]-Table2[[#This Row],[ReorderLevel]],"")</f>
        <v/>
      </c>
      <c r="N764" t="str">
        <f>IF(Table2[[#This Row],[Stock Gap]]&lt;0, "Understock","Okay")</f>
        <v>Okay</v>
      </c>
      <c r="O764" s="13" t="str">
        <f>IF(Table2[[#This Row],[Stock Gap]]&lt;0, "Yes", "No")</f>
        <v>No</v>
      </c>
      <c r="P764" s="13" t="str">
        <f>IF(Table2[[#This Row],[CurrentStock]]&lt;Table2[[#This Row],[ReorderLevel]],"Reorder", "Okay")</f>
        <v>Okay</v>
      </c>
      <c r="Q764" s="13" t="str">
        <f>IF(Table2[[#This Row],[CurrentStock]]&gt;Table2[[#This Row],[ReorderLevel]]*3, "Overstock", "Okay")</f>
        <v>Overstock</v>
      </c>
    </row>
    <row r="765" spans="1:17" x14ac:dyDescent="0.35">
      <c r="A765">
        <v>34127</v>
      </c>
      <c r="B765" t="s">
        <v>15</v>
      </c>
      <c r="C765" t="s">
        <v>29</v>
      </c>
      <c r="D765">
        <v>223</v>
      </c>
      <c r="E765">
        <v>30</v>
      </c>
      <c r="F765" s="2">
        <v>255.96</v>
      </c>
      <c r="G765" t="s">
        <v>35</v>
      </c>
      <c r="H765" s="1">
        <v>45438</v>
      </c>
      <c r="I765" s="1">
        <v>45451</v>
      </c>
      <c r="J765" t="s">
        <v>38</v>
      </c>
      <c r="K765" s="8">
        <f>Table2[[#This Row],[CurrentStock]]*Table2[[#This Row],[UnitPrice]]</f>
        <v>57079.08</v>
      </c>
      <c r="L765" t="str">
        <f>IF(Table2[[#This Row],[CurrentStock]]&lt;=Table2[[#This Row],[ReorderLevel]], "Reorder Needed", "Okay")</f>
        <v>Okay</v>
      </c>
      <c r="M765" t="str">
        <f>IF(Table2[[#This Row],[CurrentStock]]-Table2[[#This Row],[ReorderLevel]]&lt;0,Table2[[#This Row],[CurrentStock]]-Table2[[#This Row],[ReorderLevel]],"")</f>
        <v/>
      </c>
      <c r="N765" t="str">
        <f>IF(Table2[[#This Row],[Stock Gap]]&lt;0, "Understock","Okay")</f>
        <v>Okay</v>
      </c>
      <c r="O765" s="13" t="str">
        <f>IF(Table2[[#This Row],[Stock Gap]]&lt;0, "Yes", "No")</f>
        <v>No</v>
      </c>
      <c r="P765" s="13" t="str">
        <f>IF(Table2[[#This Row],[CurrentStock]]&lt;Table2[[#This Row],[ReorderLevel]],"Reorder", "Okay")</f>
        <v>Okay</v>
      </c>
      <c r="Q765" s="13" t="str">
        <f>IF(Table2[[#This Row],[CurrentStock]]&gt;Table2[[#This Row],[ReorderLevel]]*3, "Overstock", "Okay")</f>
        <v>Overstock</v>
      </c>
    </row>
    <row r="766" spans="1:17" x14ac:dyDescent="0.35">
      <c r="A766">
        <v>45187</v>
      </c>
      <c r="B766" t="s">
        <v>22</v>
      </c>
      <c r="C766" t="s">
        <v>29</v>
      </c>
      <c r="D766">
        <v>178</v>
      </c>
      <c r="E766">
        <v>150</v>
      </c>
      <c r="F766" s="2">
        <v>498.85</v>
      </c>
      <c r="G766" t="s">
        <v>31</v>
      </c>
      <c r="H766" s="1">
        <v>45294</v>
      </c>
      <c r="I766" s="1">
        <v>45327</v>
      </c>
      <c r="J766" t="s">
        <v>36</v>
      </c>
      <c r="K766" s="8">
        <f>Table2[[#This Row],[CurrentStock]]*Table2[[#This Row],[UnitPrice]]</f>
        <v>88795.3</v>
      </c>
      <c r="L766" t="str">
        <f>IF(Table2[[#This Row],[CurrentStock]]&lt;=Table2[[#This Row],[ReorderLevel]], "Reorder Needed", "Okay")</f>
        <v>Okay</v>
      </c>
      <c r="M766" t="str">
        <f>IF(Table2[[#This Row],[CurrentStock]]-Table2[[#This Row],[ReorderLevel]]&lt;0,Table2[[#This Row],[CurrentStock]]-Table2[[#This Row],[ReorderLevel]],"")</f>
        <v/>
      </c>
      <c r="N766" t="str">
        <f>IF(Table2[[#This Row],[Stock Gap]]&lt;0, "Understock","Okay")</f>
        <v>Okay</v>
      </c>
      <c r="O766" s="13" t="str">
        <f>IF(Table2[[#This Row],[Stock Gap]]&lt;0, "Yes", "No")</f>
        <v>No</v>
      </c>
      <c r="P766" s="13" t="str">
        <f>IF(Table2[[#This Row],[CurrentStock]]&lt;Table2[[#This Row],[ReorderLevel]],"Reorder", "Okay")</f>
        <v>Okay</v>
      </c>
      <c r="Q766" s="13" t="str">
        <f>IF(Table2[[#This Row],[CurrentStock]]&gt;Table2[[#This Row],[ReorderLevel]]*3, "Overstock", "Okay")</f>
        <v>Okay</v>
      </c>
    </row>
    <row r="767" spans="1:17" x14ac:dyDescent="0.35">
      <c r="A767">
        <v>58291</v>
      </c>
      <c r="B767" t="s">
        <v>24</v>
      </c>
      <c r="C767" t="s">
        <v>30</v>
      </c>
      <c r="D767">
        <v>410</v>
      </c>
      <c r="E767">
        <v>20</v>
      </c>
      <c r="F767" s="2">
        <v>419.01</v>
      </c>
      <c r="G767" t="s">
        <v>31</v>
      </c>
      <c r="H767" s="1">
        <v>45514</v>
      </c>
      <c r="I767" s="1">
        <v>45520</v>
      </c>
      <c r="J767" t="s">
        <v>37</v>
      </c>
      <c r="K767" s="8">
        <f>Table2[[#This Row],[CurrentStock]]*Table2[[#This Row],[UnitPrice]]</f>
        <v>171794.1</v>
      </c>
      <c r="L767" t="str">
        <f>IF(Table2[[#This Row],[CurrentStock]]&lt;=Table2[[#This Row],[ReorderLevel]], "Reorder Needed", "Okay")</f>
        <v>Okay</v>
      </c>
      <c r="M767" t="str">
        <f>IF(Table2[[#This Row],[CurrentStock]]-Table2[[#This Row],[ReorderLevel]]&lt;0,Table2[[#This Row],[CurrentStock]]-Table2[[#This Row],[ReorderLevel]],"")</f>
        <v/>
      </c>
      <c r="N767" t="str">
        <f>IF(Table2[[#This Row],[Stock Gap]]&lt;0, "Understock","Okay")</f>
        <v>Okay</v>
      </c>
      <c r="O767" s="13" t="str">
        <f>IF(Table2[[#This Row],[Stock Gap]]&lt;0, "Yes", "No")</f>
        <v>No</v>
      </c>
      <c r="P767" s="13" t="str">
        <f>IF(Table2[[#This Row],[CurrentStock]]&lt;Table2[[#This Row],[ReorderLevel]],"Reorder", "Okay")</f>
        <v>Okay</v>
      </c>
      <c r="Q767" s="13" t="str">
        <f>IF(Table2[[#This Row],[CurrentStock]]&gt;Table2[[#This Row],[ReorderLevel]]*3, "Overstock", "Okay")</f>
        <v>Overstock</v>
      </c>
    </row>
    <row r="768" spans="1:17" x14ac:dyDescent="0.35">
      <c r="A768">
        <v>71720</v>
      </c>
      <c r="B768" t="s">
        <v>24</v>
      </c>
      <c r="C768" t="s">
        <v>30</v>
      </c>
      <c r="D768">
        <v>192</v>
      </c>
      <c r="E768">
        <v>150</v>
      </c>
      <c r="F768" s="2">
        <v>68.53</v>
      </c>
      <c r="G768" t="s">
        <v>31</v>
      </c>
      <c r="H768" s="1">
        <v>45450</v>
      </c>
      <c r="I768" s="1">
        <v>45482</v>
      </c>
      <c r="J768" t="s">
        <v>38</v>
      </c>
      <c r="K768" s="8">
        <f>Table2[[#This Row],[CurrentStock]]*Table2[[#This Row],[UnitPrice]]</f>
        <v>13157.76</v>
      </c>
      <c r="L768" t="str">
        <f>IF(Table2[[#This Row],[CurrentStock]]&lt;=Table2[[#This Row],[ReorderLevel]], "Reorder Needed", "Okay")</f>
        <v>Okay</v>
      </c>
      <c r="M768" t="str">
        <f>IF(Table2[[#This Row],[CurrentStock]]-Table2[[#This Row],[ReorderLevel]]&lt;0,Table2[[#This Row],[CurrentStock]]-Table2[[#This Row],[ReorderLevel]],"")</f>
        <v/>
      </c>
      <c r="N768" t="str">
        <f>IF(Table2[[#This Row],[Stock Gap]]&lt;0, "Understock","Okay")</f>
        <v>Okay</v>
      </c>
      <c r="O768" s="13" t="str">
        <f>IF(Table2[[#This Row],[Stock Gap]]&lt;0, "Yes", "No")</f>
        <v>No</v>
      </c>
      <c r="P768" s="13" t="str">
        <f>IF(Table2[[#This Row],[CurrentStock]]&lt;Table2[[#This Row],[ReorderLevel]],"Reorder", "Okay")</f>
        <v>Okay</v>
      </c>
      <c r="Q768" s="13" t="str">
        <f>IF(Table2[[#This Row],[CurrentStock]]&gt;Table2[[#This Row],[ReorderLevel]]*3, "Overstock", "Okay")</f>
        <v>Okay</v>
      </c>
    </row>
    <row r="769" spans="1:17" x14ac:dyDescent="0.35">
      <c r="A769">
        <v>84308</v>
      </c>
      <c r="B769" t="s">
        <v>21</v>
      </c>
      <c r="C769" t="s">
        <v>26</v>
      </c>
      <c r="D769">
        <v>190</v>
      </c>
      <c r="E769">
        <v>40</v>
      </c>
      <c r="F769" s="2">
        <v>53.02</v>
      </c>
      <c r="G769" t="s">
        <v>34</v>
      </c>
      <c r="H769" s="1">
        <v>45417</v>
      </c>
      <c r="I769" s="1">
        <v>45431</v>
      </c>
      <c r="J769" t="s">
        <v>38</v>
      </c>
      <c r="K769" s="8">
        <f>Table2[[#This Row],[CurrentStock]]*Table2[[#This Row],[UnitPrice]]</f>
        <v>10073.800000000001</v>
      </c>
      <c r="L769" t="str">
        <f>IF(Table2[[#This Row],[CurrentStock]]&lt;=Table2[[#This Row],[ReorderLevel]], "Reorder Needed", "Okay")</f>
        <v>Okay</v>
      </c>
      <c r="M769" t="str">
        <f>IF(Table2[[#This Row],[CurrentStock]]-Table2[[#This Row],[ReorderLevel]]&lt;0,Table2[[#This Row],[CurrentStock]]-Table2[[#This Row],[ReorderLevel]],"")</f>
        <v/>
      </c>
      <c r="N769" t="str">
        <f>IF(Table2[[#This Row],[Stock Gap]]&lt;0, "Understock","Okay")</f>
        <v>Okay</v>
      </c>
      <c r="O769" s="13" t="str">
        <f>IF(Table2[[#This Row],[Stock Gap]]&lt;0, "Yes", "No")</f>
        <v>No</v>
      </c>
      <c r="P769" s="13" t="str">
        <f>IF(Table2[[#This Row],[CurrentStock]]&lt;Table2[[#This Row],[ReorderLevel]],"Reorder", "Okay")</f>
        <v>Okay</v>
      </c>
      <c r="Q769" s="13" t="str">
        <f>IF(Table2[[#This Row],[CurrentStock]]&gt;Table2[[#This Row],[ReorderLevel]]*3, "Overstock", "Okay")</f>
        <v>Overstock</v>
      </c>
    </row>
    <row r="770" spans="1:17" x14ac:dyDescent="0.35">
      <c r="A770">
        <v>75584</v>
      </c>
      <c r="B770" t="s">
        <v>20</v>
      </c>
      <c r="C770" t="s">
        <v>30</v>
      </c>
      <c r="D770">
        <v>188</v>
      </c>
      <c r="E770">
        <v>150</v>
      </c>
      <c r="F770" s="2">
        <v>322.33999999999997</v>
      </c>
      <c r="G770" t="s">
        <v>34</v>
      </c>
      <c r="H770" s="1">
        <v>45367</v>
      </c>
      <c r="I770" s="1">
        <v>45392</v>
      </c>
      <c r="J770" t="s">
        <v>37</v>
      </c>
      <c r="K770" s="8">
        <f>Table2[[#This Row],[CurrentStock]]*Table2[[#This Row],[UnitPrice]]</f>
        <v>60599.92</v>
      </c>
      <c r="L770" t="str">
        <f>IF(Table2[[#This Row],[CurrentStock]]&lt;=Table2[[#This Row],[ReorderLevel]], "Reorder Needed", "Okay")</f>
        <v>Okay</v>
      </c>
      <c r="M770" t="str">
        <f>IF(Table2[[#This Row],[CurrentStock]]-Table2[[#This Row],[ReorderLevel]]&lt;0,Table2[[#This Row],[CurrentStock]]-Table2[[#This Row],[ReorderLevel]],"")</f>
        <v/>
      </c>
      <c r="N770" t="str">
        <f>IF(Table2[[#This Row],[Stock Gap]]&lt;0, "Understock","Okay")</f>
        <v>Okay</v>
      </c>
      <c r="O770" s="13" t="str">
        <f>IF(Table2[[#This Row],[Stock Gap]]&lt;0, "Yes", "No")</f>
        <v>No</v>
      </c>
      <c r="P770" s="13" t="str">
        <f>IF(Table2[[#This Row],[CurrentStock]]&lt;Table2[[#This Row],[ReorderLevel]],"Reorder", "Okay")</f>
        <v>Okay</v>
      </c>
      <c r="Q770" s="13" t="str">
        <f>IF(Table2[[#This Row],[CurrentStock]]&gt;Table2[[#This Row],[ReorderLevel]]*3, "Overstock", "Okay")</f>
        <v>Okay</v>
      </c>
    </row>
    <row r="771" spans="1:17" x14ac:dyDescent="0.35">
      <c r="A771">
        <v>25620</v>
      </c>
      <c r="B771" t="s">
        <v>23</v>
      </c>
      <c r="C771" t="s">
        <v>30</v>
      </c>
      <c r="D771">
        <v>493</v>
      </c>
      <c r="E771">
        <v>30</v>
      </c>
      <c r="F771" s="2">
        <v>342.84</v>
      </c>
      <c r="G771" t="s">
        <v>31</v>
      </c>
      <c r="H771" s="1">
        <v>45637</v>
      </c>
      <c r="I771" s="1">
        <v>45667</v>
      </c>
      <c r="J771" t="s">
        <v>36</v>
      </c>
      <c r="K771" s="8">
        <f>Table2[[#This Row],[CurrentStock]]*Table2[[#This Row],[UnitPrice]]</f>
        <v>169020.12</v>
      </c>
      <c r="L771" t="str">
        <f>IF(Table2[[#This Row],[CurrentStock]]&lt;=Table2[[#This Row],[ReorderLevel]], "Reorder Needed", "Okay")</f>
        <v>Okay</v>
      </c>
      <c r="M771" t="str">
        <f>IF(Table2[[#This Row],[CurrentStock]]-Table2[[#This Row],[ReorderLevel]]&lt;0,Table2[[#This Row],[CurrentStock]]-Table2[[#This Row],[ReorderLevel]],"")</f>
        <v/>
      </c>
      <c r="N771" t="str">
        <f>IF(Table2[[#This Row],[Stock Gap]]&lt;0, "Understock","Okay")</f>
        <v>Okay</v>
      </c>
      <c r="O771" s="13" t="str">
        <f>IF(Table2[[#This Row],[Stock Gap]]&lt;0, "Yes", "No")</f>
        <v>No</v>
      </c>
      <c r="P771" s="13" t="str">
        <f>IF(Table2[[#This Row],[CurrentStock]]&lt;Table2[[#This Row],[ReorderLevel]],"Reorder", "Okay")</f>
        <v>Okay</v>
      </c>
      <c r="Q771" s="13" t="str">
        <f>IF(Table2[[#This Row],[CurrentStock]]&gt;Table2[[#This Row],[ReorderLevel]]*3, "Overstock", "Okay")</f>
        <v>Overstock</v>
      </c>
    </row>
    <row r="772" spans="1:17" x14ac:dyDescent="0.35">
      <c r="A772">
        <v>92357</v>
      </c>
      <c r="B772" t="s">
        <v>15</v>
      </c>
      <c r="C772" t="s">
        <v>29</v>
      </c>
      <c r="D772">
        <v>435</v>
      </c>
      <c r="E772">
        <v>150</v>
      </c>
      <c r="F772" s="2">
        <v>445.96</v>
      </c>
      <c r="G772" t="s">
        <v>31</v>
      </c>
      <c r="H772" s="1">
        <v>45499</v>
      </c>
      <c r="I772" s="1">
        <v>45524</v>
      </c>
      <c r="J772" t="s">
        <v>38</v>
      </c>
      <c r="K772" s="8">
        <f>Table2[[#This Row],[CurrentStock]]*Table2[[#This Row],[UnitPrice]]</f>
        <v>193992.59999999998</v>
      </c>
      <c r="L772" t="str">
        <f>IF(Table2[[#This Row],[CurrentStock]]&lt;=Table2[[#This Row],[ReorderLevel]], "Reorder Needed", "Okay")</f>
        <v>Okay</v>
      </c>
      <c r="M772" t="str">
        <f>IF(Table2[[#This Row],[CurrentStock]]-Table2[[#This Row],[ReorderLevel]]&lt;0,Table2[[#This Row],[CurrentStock]]-Table2[[#This Row],[ReorderLevel]],"")</f>
        <v/>
      </c>
      <c r="N772" t="str">
        <f>IF(Table2[[#This Row],[Stock Gap]]&lt;0, "Understock","Okay")</f>
        <v>Okay</v>
      </c>
      <c r="O772" s="13" t="str">
        <f>IF(Table2[[#This Row],[Stock Gap]]&lt;0, "Yes", "No")</f>
        <v>No</v>
      </c>
      <c r="P772" s="13" t="str">
        <f>IF(Table2[[#This Row],[CurrentStock]]&lt;Table2[[#This Row],[ReorderLevel]],"Reorder", "Okay")</f>
        <v>Okay</v>
      </c>
      <c r="Q772" s="13" t="str">
        <f>IF(Table2[[#This Row],[CurrentStock]]&gt;Table2[[#This Row],[ReorderLevel]]*3, "Overstock", "Okay")</f>
        <v>Okay</v>
      </c>
    </row>
    <row r="773" spans="1:17" x14ac:dyDescent="0.35">
      <c r="A773">
        <v>14551</v>
      </c>
      <c r="B773" t="s">
        <v>20</v>
      </c>
      <c r="C773" t="s">
        <v>30</v>
      </c>
      <c r="D773">
        <v>317</v>
      </c>
      <c r="E773">
        <v>40</v>
      </c>
      <c r="F773" s="2">
        <v>72.930000000000007</v>
      </c>
      <c r="G773" t="s">
        <v>34</v>
      </c>
      <c r="H773" s="1">
        <v>45508</v>
      </c>
      <c r="I773" s="1">
        <v>45523</v>
      </c>
      <c r="J773" t="s">
        <v>36</v>
      </c>
      <c r="K773" s="8">
        <f>Table2[[#This Row],[CurrentStock]]*Table2[[#This Row],[UnitPrice]]</f>
        <v>23118.81</v>
      </c>
      <c r="L773" t="str">
        <f>IF(Table2[[#This Row],[CurrentStock]]&lt;=Table2[[#This Row],[ReorderLevel]], "Reorder Needed", "Okay")</f>
        <v>Okay</v>
      </c>
      <c r="M773" t="str">
        <f>IF(Table2[[#This Row],[CurrentStock]]-Table2[[#This Row],[ReorderLevel]]&lt;0,Table2[[#This Row],[CurrentStock]]-Table2[[#This Row],[ReorderLevel]],"")</f>
        <v/>
      </c>
      <c r="N773" t="str">
        <f>IF(Table2[[#This Row],[Stock Gap]]&lt;0, "Understock","Okay")</f>
        <v>Okay</v>
      </c>
      <c r="O773" s="13" t="str">
        <f>IF(Table2[[#This Row],[Stock Gap]]&lt;0, "Yes", "No")</f>
        <v>No</v>
      </c>
      <c r="P773" s="13" t="str">
        <f>IF(Table2[[#This Row],[CurrentStock]]&lt;Table2[[#This Row],[ReorderLevel]],"Reorder", "Okay")</f>
        <v>Okay</v>
      </c>
      <c r="Q773" s="13" t="str">
        <f>IF(Table2[[#This Row],[CurrentStock]]&gt;Table2[[#This Row],[ReorderLevel]]*3, "Overstock", "Okay")</f>
        <v>Overstock</v>
      </c>
    </row>
    <row r="774" spans="1:17" x14ac:dyDescent="0.35">
      <c r="A774">
        <v>77847</v>
      </c>
      <c r="B774" t="s">
        <v>16</v>
      </c>
      <c r="C774" t="s">
        <v>29</v>
      </c>
      <c r="D774">
        <v>370</v>
      </c>
      <c r="E774">
        <v>100</v>
      </c>
      <c r="F774" s="2">
        <v>411.15</v>
      </c>
      <c r="G774" t="s">
        <v>32</v>
      </c>
      <c r="H774" s="1">
        <v>45539</v>
      </c>
      <c r="I774" s="1">
        <v>45563</v>
      </c>
      <c r="J774" t="s">
        <v>38</v>
      </c>
      <c r="K774" s="8">
        <f>Table2[[#This Row],[CurrentStock]]*Table2[[#This Row],[UnitPrice]]</f>
        <v>152125.5</v>
      </c>
      <c r="L774" t="str">
        <f>IF(Table2[[#This Row],[CurrentStock]]&lt;=Table2[[#This Row],[ReorderLevel]], "Reorder Needed", "Okay")</f>
        <v>Okay</v>
      </c>
      <c r="M774" t="str">
        <f>IF(Table2[[#This Row],[CurrentStock]]-Table2[[#This Row],[ReorderLevel]]&lt;0,Table2[[#This Row],[CurrentStock]]-Table2[[#This Row],[ReorderLevel]],"")</f>
        <v/>
      </c>
      <c r="N774" t="str">
        <f>IF(Table2[[#This Row],[Stock Gap]]&lt;0, "Understock","Okay")</f>
        <v>Okay</v>
      </c>
      <c r="O774" s="13" t="str">
        <f>IF(Table2[[#This Row],[Stock Gap]]&lt;0, "Yes", "No")</f>
        <v>No</v>
      </c>
      <c r="P774" s="13" t="str">
        <f>IF(Table2[[#This Row],[CurrentStock]]&lt;Table2[[#This Row],[ReorderLevel]],"Reorder", "Okay")</f>
        <v>Okay</v>
      </c>
      <c r="Q774" s="13" t="str">
        <f>IF(Table2[[#This Row],[CurrentStock]]&gt;Table2[[#This Row],[ReorderLevel]]*3, "Overstock", "Okay")</f>
        <v>Overstock</v>
      </c>
    </row>
    <row r="775" spans="1:17" x14ac:dyDescent="0.35">
      <c r="A775">
        <v>40492</v>
      </c>
      <c r="B775" t="s">
        <v>23</v>
      </c>
      <c r="C775" t="s">
        <v>30</v>
      </c>
      <c r="D775">
        <v>92</v>
      </c>
      <c r="E775">
        <v>20</v>
      </c>
      <c r="F775" s="2">
        <v>50.22</v>
      </c>
      <c r="G775" t="s">
        <v>33</v>
      </c>
      <c r="H775" s="1">
        <v>45445</v>
      </c>
      <c r="I775" s="1">
        <v>45459</v>
      </c>
      <c r="J775" t="s">
        <v>36</v>
      </c>
      <c r="K775" s="8">
        <f>Table2[[#This Row],[CurrentStock]]*Table2[[#This Row],[UnitPrice]]</f>
        <v>4620.24</v>
      </c>
      <c r="L775" t="str">
        <f>IF(Table2[[#This Row],[CurrentStock]]&lt;=Table2[[#This Row],[ReorderLevel]], "Reorder Needed", "Okay")</f>
        <v>Okay</v>
      </c>
      <c r="M775" t="str">
        <f>IF(Table2[[#This Row],[CurrentStock]]-Table2[[#This Row],[ReorderLevel]]&lt;0,Table2[[#This Row],[CurrentStock]]-Table2[[#This Row],[ReorderLevel]],"")</f>
        <v/>
      </c>
      <c r="N775" t="str">
        <f>IF(Table2[[#This Row],[Stock Gap]]&lt;0, "Understock","Okay")</f>
        <v>Okay</v>
      </c>
      <c r="O775" s="13" t="str">
        <f>IF(Table2[[#This Row],[Stock Gap]]&lt;0, "Yes", "No")</f>
        <v>No</v>
      </c>
      <c r="P775" s="13" t="str">
        <f>IF(Table2[[#This Row],[CurrentStock]]&lt;Table2[[#This Row],[ReorderLevel]],"Reorder", "Okay")</f>
        <v>Okay</v>
      </c>
      <c r="Q775" s="13" t="str">
        <f>IF(Table2[[#This Row],[CurrentStock]]&gt;Table2[[#This Row],[ReorderLevel]]*3, "Overstock", "Okay")</f>
        <v>Overstock</v>
      </c>
    </row>
    <row r="776" spans="1:17" x14ac:dyDescent="0.35">
      <c r="A776">
        <v>80309</v>
      </c>
      <c r="B776" t="s">
        <v>22</v>
      </c>
      <c r="C776" t="s">
        <v>29</v>
      </c>
      <c r="D776">
        <v>326</v>
      </c>
      <c r="E776">
        <v>150</v>
      </c>
      <c r="F776" s="2">
        <v>201.31</v>
      </c>
      <c r="G776" t="s">
        <v>35</v>
      </c>
      <c r="H776" s="1">
        <v>45384</v>
      </c>
      <c r="I776" s="1">
        <v>45404</v>
      </c>
      <c r="J776" t="s">
        <v>36</v>
      </c>
      <c r="K776" s="8">
        <f>Table2[[#This Row],[CurrentStock]]*Table2[[#This Row],[UnitPrice]]</f>
        <v>65627.06</v>
      </c>
      <c r="L776" t="str">
        <f>IF(Table2[[#This Row],[CurrentStock]]&lt;=Table2[[#This Row],[ReorderLevel]], "Reorder Needed", "Okay")</f>
        <v>Okay</v>
      </c>
      <c r="M776" t="str">
        <f>IF(Table2[[#This Row],[CurrentStock]]-Table2[[#This Row],[ReorderLevel]]&lt;0,Table2[[#This Row],[CurrentStock]]-Table2[[#This Row],[ReorderLevel]],"")</f>
        <v/>
      </c>
      <c r="N776" t="str">
        <f>IF(Table2[[#This Row],[Stock Gap]]&lt;0, "Understock","Okay")</f>
        <v>Okay</v>
      </c>
      <c r="O776" s="13" t="str">
        <f>IF(Table2[[#This Row],[Stock Gap]]&lt;0, "Yes", "No")</f>
        <v>No</v>
      </c>
      <c r="P776" s="13" t="str">
        <f>IF(Table2[[#This Row],[CurrentStock]]&lt;Table2[[#This Row],[ReorderLevel]],"Reorder", "Okay")</f>
        <v>Okay</v>
      </c>
      <c r="Q776" s="13" t="str">
        <f>IF(Table2[[#This Row],[CurrentStock]]&gt;Table2[[#This Row],[ReorderLevel]]*3, "Overstock", "Okay")</f>
        <v>Okay</v>
      </c>
    </row>
    <row r="777" spans="1:17" x14ac:dyDescent="0.35">
      <c r="A777">
        <v>48826</v>
      </c>
      <c r="B777" t="s">
        <v>17</v>
      </c>
      <c r="C777" t="s">
        <v>27</v>
      </c>
      <c r="D777">
        <v>248</v>
      </c>
      <c r="E777">
        <v>150</v>
      </c>
      <c r="F777" s="2">
        <v>497.41</v>
      </c>
      <c r="G777" t="s">
        <v>33</v>
      </c>
      <c r="H777" s="1">
        <v>45381</v>
      </c>
      <c r="I777" s="1">
        <v>45414</v>
      </c>
      <c r="J777" t="s">
        <v>37</v>
      </c>
      <c r="K777" s="8">
        <f>Table2[[#This Row],[CurrentStock]]*Table2[[#This Row],[UnitPrice]]</f>
        <v>123357.68000000001</v>
      </c>
      <c r="L777" t="str">
        <f>IF(Table2[[#This Row],[CurrentStock]]&lt;=Table2[[#This Row],[ReorderLevel]], "Reorder Needed", "Okay")</f>
        <v>Okay</v>
      </c>
      <c r="M777" t="str">
        <f>IF(Table2[[#This Row],[CurrentStock]]-Table2[[#This Row],[ReorderLevel]]&lt;0,Table2[[#This Row],[CurrentStock]]-Table2[[#This Row],[ReorderLevel]],"")</f>
        <v/>
      </c>
      <c r="N777" t="str">
        <f>IF(Table2[[#This Row],[Stock Gap]]&lt;0, "Understock","Okay")</f>
        <v>Okay</v>
      </c>
      <c r="O777" s="13" t="str">
        <f>IF(Table2[[#This Row],[Stock Gap]]&lt;0, "Yes", "No")</f>
        <v>No</v>
      </c>
      <c r="P777" s="13" t="str">
        <f>IF(Table2[[#This Row],[CurrentStock]]&lt;Table2[[#This Row],[ReorderLevel]],"Reorder", "Okay")</f>
        <v>Okay</v>
      </c>
      <c r="Q777" s="13" t="str">
        <f>IF(Table2[[#This Row],[CurrentStock]]&gt;Table2[[#This Row],[ReorderLevel]]*3, "Overstock", "Okay")</f>
        <v>Okay</v>
      </c>
    </row>
    <row r="778" spans="1:17" x14ac:dyDescent="0.35">
      <c r="A778">
        <v>76617</v>
      </c>
      <c r="B778" t="s">
        <v>25</v>
      </c>
      <c r="C778" t="s">
        <v>29</v>
      </c>
      <c r="D778">
        <v>41</v>
      </c>
      <c r="E778">
        <v>150</v>
      </c>
      <c r="F778" s="2">
        <v>346.26</v>
      </c>
      <c r="G778" t="s">
        <v>32</v>
      </c>
      <c r="H778" s="1">
        <v>45652</v>
      </c>
      <c r="I778" s="1">
        <v>45683</v>
      </c>
      <c r="J778" t="s">
        <v>36</v>
      </c>
      <c r="K778" s="8">
        <f>Table2[[#This Row],[CurrentStock]]*Table2[[#This Row],[UnitPrice]]</f>
        <v>14196.66</v>
      </c>
      <c r="L778" t="str">
        <f>IF(Table2[[#This Row],[CurrentStock]]&lt;=Table2[[#This Row],[ReorderLevel]], "Reorder Needed", "Okay")</f>
        <v>Reorder Needed</v>
      </c>
      <c r="M778" s="7">
        <f>IF(Table2[[#This Row],[CurrentStock]]-Table2[[#This Row],[ReorderLevel]]&lt;0,Table2[[#This Row],[CurrentStock]]-Table2[[#This Row],[ReorderLevel]],"")</f>
        <v>-109</v>
      </c>
      <c r="N778" t="str">
        <f>IF(Table2[[#This Row],[Stock Gap]]&lt;0, "Understock","Okay")</f>
        <v>Understock</v>
      </c>
      <c r="O778" s="13" t="str">
        <f>IF(Table2[[#This Row],[Stock Gap]]&lt;0, "Yes", "No")</f>
        <v>Yes</v>
      </c>
      <c r="P778" s="13" t="str">
        <f>IF(Table2[[#This Row],[CurrentStock]]&lt;Table2[[#This Row],[ReorderLevel]],"Reorder", "Okay")</f>
        <v>Reorder</v>
      </c>
      <c r="Q778" s="13" t="str">
        <f>IF(Table2[[#This Row],[CurrentStock]]&gt;Table2[[#This Row],[ReorderLevel]]*3, "Overstock", "Okay")</f>
        <v>Okay</v>
      </c>
    </row>
    <row r="779" spans="1:17" x14ac:dyDescent="0.35">
      <c r="A779">
        <v>43332</v>
      </c>
      <c r="B779" t="s">
        <v>17</v>
      </c>
      <c r="C779" t="s">
        <v>27</v>
      </c>
      <c r="D779">
        <v>410</v>
      </c>
      <c r="E779">
        <v>20</v>
      </c>
      <c r="F779" s="2">
        <v>43.32</v>
      </c>
      <c r="G779" t="s">
        <v>32</v>
      </c>
      <c r="H779" s="1">
        <v>45444</v>
      </c>
      <c r="I779" s="1">
        <v>45451</v>
      </c>
      <c r="J779" t="s">
        <v>38</v>
      </c>
      <c r="K779" s="8">
        <f>Table2[[#This Row],[CurrentStock]]*Table2[[#This Row],[UnitPrice]]</f>
        <v>17761.2</v>
      </c>
      <c r="L779" t="str">
        <f>IF(Table2[[#This Row],[CurrentStock]]&lt;=Table2[[#This Row],[ReorderLevel]], "Reorder Needed", "Okay")</f>
        <v>Okay</v>
      </c>
      <c r="M779" t="str">
        <f>IF(Table2[[#This Row],[CurrentStock]]-Table2[[#This Row],[ReorderLevel]]&lt;0,Table2[[#This Row],[CurrentStock]]-Table2[[#This Row],[ReorderLevel]],"")</f>
        <v/>
      </c>
      <c r="N779" t="str">
        <f>IF(Table2[[#This Row],[Stock Gap]]&lt;0, "Understock","Okay")</f>
        <v>Okay</v>
      </c>
      <c r="O779" s="13" t="str">
        <f>IF(Table2[[#This Row],[Stock Gap]]&lt;0, "Yes", "No")</f>
        <v>No</v>
      </c>
      <c r="P779" s="13" t="str">
        <f>IF(Table2[[#This Row],[CurrentStock]]&lt;Table2[[#This Row],[ReorderLevel]],"Reorder", "Okay")</f>
        <v>Okay</v>
      </c>
      <c r="Q779" s="13" t="str">
        <f>IF(Table2[[#This Row],[CurrentStock]]&gt;Table2[[#This Row],[ReorderLevel]]*3, "Overstock", "Okay")</f>
        <v>Overstock</v>
      </c>
    </row>
    <row r="780" spans="1:17" x14ac:dyDescent="0.35">
      <c r="A780">
        <v>96551</v>
      </c>
      <c r="B780" t="s">
        <v>20</v>
      </c>
      <c r="C780" t="s">
        <v>30</v>
      </c>
      <c r="D780">
        <v>86</v>
      </c>
      <c r="E780">
        <v>30</v>
      </c>
      <c r="F780" s="2">
        <v>32.83</v>
      </c>
      <c r="G780" t="s">
        <v>33</v>
      </c>
      <c r="H780" s="1">
        <v>45584</v>
      </c>
      <c r="I780" s="1">
        <v>45608</v>
      </c>
      <c r="J780" t="s">
        <v>36</v>
      </c>
      <c r="K780" s="8">
        <f>Table2[[#This Row],[CurrentStock]]*Table2[[#This Row],[UnitPrice]]</f>
        <v>2823.3799999999997</v>
      </c>
      <c r="L780" t="str">
        <f>IF(Table2[[#This Row],[CurrentStock]]&lt;=Table2[[#This Row],[ReorderLevel]], "Reorder Needed", "Okay")</f>
        <v>Okay</v>
      </c>
      <c r="M780" t="str">
        <f>IF(Table2[[#This Row],[CurrentStock]]-Table2[[#This Row],[ReorderLevel]]&lt;0,Table2[[#This Row],[CurrentStock]]-Table2[[#This Row],[ReorderLevel]],"")</f>
        <v/>
      </c>
      <c r="N780" t="str">
        <f>IF(Table2[[#This Row],[Stock Gap]]&lt;0, "Understock","Okay")</f>
        <v>Okay</v>
      </c>
      <c r="O780" s="13" t="str">
        <f>IF(Table2[[#This Row],[Stock Gap]]&lt;0, "Yes", "No")</f>
        <v>No</v>
      </c>
      <c r="P780" s="13" t="str">
        <f>IF(Table2[[#This Row],[CurrentStock]]&lt;Table2[[#This Row],[ReorderLevel]],"Reorder", "Okay")</f>
        <v>Okay</v>
      </c>
      <c r="Q780" s="13" t="str">
        <f>IF(Table2[[#This Row],[CurrentStock]]&gt;Table2[[#This Row],[ReorderLevel]]*3, "Overstock", "Okay")</f>
        <v>Okay</v>
      </c>
    </row>
    <row r="781" spans="1:17" x14ac:dyDescent="0.35">
      <c r="A781">
        <v>87928</v>
      </c>
      <c r="B781" t="s">
        <v>17</v>
      </c>
      <c r="C781" t="s">
        <v>27</v>
      </c>
      <c r="D781">
        <v>250</v>
      </c>
      <c r="E781">
        <v>20</v>
      </c>
      <c r="F781" s="2">
        <v>21.34</v>
      </c>
      <c r="G781" t="s">
        <v>31</v>
      </c>
      <c r="H781" s="1">
        <v>45528</v>
      </c>
      <c r="I781" s="1">
        <v>45562</v>
      </c>
      <c r="J781" t="s">
        <v>38</v>
      </c>
      <c r="K781" s="8">
        <f>Table2[[#This Row],[CurrentStock]]*Table2[[#This Row],[UnitPrice]]</f>
        <v>5335</v>
      </c>
      <c r="L781" t="str">
        <f>IF(Table2[[#This Row],[CurrentStock]]&lt;=Table2[[#This Row],[ReorderLevel]], "Reorder Needed", "Okay")</f>
        <v>Okay</v>
      </c>
      <c r="M781" t="str">
        <f>IF(Table2[[#This Row],[CurrentStock]]-Table2[[#This Row],[ReorderLevel]]&lt;0,Table2[[#This Row],[CurrentStock]]-Table2[[#This Row],[ReorderLevel]],"")</f>
        <v/>
      </c>
      <c r="N781" t="str">
        <f>IF(Table2[[#This Row],[Stock Gap]]&lt;0, "Understock","Okay")</f>
        <v>Okay</v>
      </c>
      <c r="O781" s="13" t="str">
        <f>IF(Table2[[#This Row],[Stock Gap]]&lt;0, "Yes", "No")</f>
        <v>No</v>
      </c>
      <c r="P781" s="13" t="str">
        <f>IF(Table2[[#This Row],[CurrentStock]]&lt;Table2[[#This Row],[ReorderLevel]],"Reorder", "Okay")</f>
        <v>Okay</v>
      </c>
      <c r="Q781" s="13" t="str">
        <f>IF(Table2[[#This Row],[CurrentStock]]&gt;Table2[[#This Row],[ReorderLevel]]*3, "Overstock", "Okay")</f>
        <v>Overstock</v>
      </c>
    </row>
    <row r="782" spans="1:17" x14ac:dyDescent="0.35">
      <c r="A782">
        <v>69902</v>
      </c>
      <c r="B782" t="s">
        <v>14</v>
      </c>
      <c r="C782" t="s">
        <v>28</v>
      </c>
      <c r="D782">
        <v>447</v>
      </c>
      <c r="E782">
        <v>50</v>
      </c>
      <c r="F782" s="2">
        <v>28.8</v>
      </c>
      <c r="G782" t="s">
        <v>32</v>
      </c>
      <c r="H782" s="1">
        <v>45624</v>
      </c>
      <c r="I782" s="1">
        <v>45629</v>
      </c>
      <c r="J782" t="s">
        <v>37</v>
      </c>
      <c r="K782" s="8">
        <f>Table2[[#This Row],[CurrentStock]]*Table2[[#This Row],[UnitPrice]]</f>
        <v>12873.6</v>
      </c>
      <c r="L782" t="str">
        <f>IF(Table2[[#This Row],[CurrentStock]]&lt;=Table2[[#This Row],[ReorderLevel]], "Reorder Needed", "Okay")</f>
        <v>Okay</v>
      </c>
      <c r="M782" t="str">
        <f>IF(Table2[[#This Row],[CurrentStock]]-Table2[[#This Row],[ReorderLevel]]&lt;0,Table2[[#This Row],[CurrentStock]]-Table2[[#This Row],[ReorderLevel]],"")</f>
        <v/>
      </c>
      <c r="N782" t="str">
        <f>IF(Table2[[#This Row],[Stock Gap]]&lt;0, "Understock","Okay")</f>
        <v>Okay</v>
      </c>
      <c r="O782" s="13" t="str">
        <f>IF(Table2[[#This Row],[Stock Gap]]&lt;0, "Yes", "No")</f>
        <v>No</v>
      </c>
      <c r="P782" s="13" t="str">
        <f>IF(Table2[[#This Row],[CurrentStock]]&lt;Table2[[#This Row],[ReorderLevel]],"Reorder", "Okay")</f>
        <v>Okay</v>
      </c>
      <c r="Q782" s="13" t="str">
        <f>IF(Table2[[#This Row],[CurrentStock]]&gt;Table2[[#This Row],[ReorderLevel]]*3, "Overstock", "Okay")</f>
        <v>Overstock</v>
      </c>
    </row>
    <row r="783" spans="1:17" x14ac:dyDescent="0.35">
      <c r="A783">
        <v>76830</v>
      </c>
      <c r="B783" t="s">
        <v>10</v>
      </c>
      <c r="C783" t="s">
        <v>26</v>
      </c>
      <c r="D783">
        <v>463</v>
      </c>
      <c r="E783">
        <v>40</v>
      </c>
      <c r="F783" s="2">
        <v>324.73</v>
      </c>
      <c r="G783" t="s">
        <v>34</v>
      </c>
      <c r="H783" s="1">
        <v>45498</v>
      </c>
      <c r="I783" s="1">
        <v>45518</v>
      </c>
      <c r="J783" t="s">
        <v>38</v>
      </c>
      <c r="K783" s="8">
        <f>Table2[[#This Row],[CurrentStock]]*Table2[[#This Row],[UnitPrice]]</f>
        <v>150349.99000000002</v>
      </c>
      <c r="L783" t="str">
        <f>IF(Table2[[#This Row],[CurrentStock]]&lt;=Table2[[#This Row],[ReorderLevel]], "Reorder Needed", "Okay")</f>
        <v>Okay</v>
      </c>
      <c r="M783" t="str">
        <f>IF(Table2[[#This Row],[CurrentStock]]-Table2[[#This Row],[ReorderLevel]]&lt;0,Table2[[#This Row],[CurrentStock]]-Table2[[#This Row],[ReorderLevel]],"")</f>
        <v/>
      </c>
      <c r="N783" t="str">
        <f>IF(Table2[[#This Row],[Stock Gap]]&lt;0, "Understock","Okay")</f>
        <v>Okay</v>
      </c>
      <c r="O783" s="13" t="str">
        <f>IF(Table2[[#This Row],[Stock Gap]]&lt;0, "Yes", "No")</f>
        <v>No</v>
      </c>
      <c r="P783" s="13" t="str">
        <f>IF(Table2[[#This Row],[CurrentStock]]&lt;Table2[[#This Row],[ReorderLevel]],"Reorder", "Okay")</f>
        <v>Okay</v>
      </c>
      <c r="Q783" s="13" t="str">
        <f>IF(Table2[[#This Row],[CurrentStock]]&gt;Table2[[#This Row],[ReorderLevel]]*3, "Overstock", "Okay")</f>
        <v>Overstock</v>
      </c>
    </row>
    <row r="784" spans="1:17" x14ac:dyDescent="0.35">
      <c r="A784">
        <v>74994</v>
      </c>
      <c r="B784" t="s">
        <v>19</v>
      </c>
      <c r="C784" t="s">
        <v>28</v>
      </c>
      <c r="D784">
        <v>334</v>
      </c>
      <c r="E784">
        <v>30</v>
      </c>
      <c r="F784" s="2">
        <v>158.18</v>
      </c>
      <c r="G784" t="s">
        <v>35</v>
      </c>
      <c r="H784" s="1">
        <v>45590</v>
      </c>
      <c r="I784" s="1">
        <v>45599</v>
      </c>
      <c r="J784" t="s">
        <v>38</v>
      </c>
      <c r="K784" s="8">
        <f>Table2[[#This Row],[CurrentStock]]*Table2[[#This Row],[UnitPrice]]</f>
        <v>52832.12</v>
      </c>
      <c r="L784" t="str">
        <f>IF(Table2[[#This Row],[CurrentStock]]&lt;=Table2[[#This Row],[ReorderLevel]], "Reorder Needed", "Okay")</f>
        <v>Okay</v>
      </c>
      <c r="M784" t="str">
        <f>IF(Table2[[#This Row],[CurrentStock]]-Table2[[#This Row],[ReorderLevel]]&lt;0,Table2[[#This Row],[CurrentStock]]-Table2[[#This Row],[ReorderLevel]],"")</f>
        <v/>
      </c>
      <c r="N784" t="str">
        <f>IF(Table2[[#This Row],[Stock Gap]]&lt;0, "Understock","Okay")</f>
        <v>Okay</v>
      </c>
      <c r="O784" s="13" t="str">
        <f>IF(Table2[[#This Row],[Stock Gap]]&lt;0, "Yes", "No")</f>
        <v>No</v>
      </c>
      <c r="P784" s="13" t="str">
        <f>IF(Table2[[#This Row],[CurrentStock]]&lt;Table2[[#This Row],[ReorderLevel]],"Reorder", "Okay")</f>
        <v>Okay</v>
      </c>
      <c r="Q784" s="13" t="str">
        <f>IF(Table2[[#This Row],[CurrentStock]]&gt;Table2[[#This Row],[ReorderLevel]]*3, "Overstock", "Okay")</f>
        <v>Overstock</v>
      </c>
    </row>
    <row r="785" spans="1:17" x14ac:dyDescent="0.35">
      <c r="A785">
        <v>24650</v>
      </c>
      <c r="B785" t="s">
        <v>14</v>
      </c>
      <c r="C785" t="s">
        <v>28</v>
      </c>
      <c r="D785">
        <v>481</v>
      </c>
      <c r="E785">
        <v>150</v>
      </c>
      <c r="F785" s="2">
        <v>453.54</v>
      </c>
      <c r="G785" t="s">
        <v>31</v>
      </c>
      <c r="H785" s="1">
        <v>45469</v>
      </c>
      <c r="I785" s="1">
        <v>45496</v>
      </c>
      <c r="J785" t="s">
        <v>37</v>
      </c>
      <c r="K785" s="8">
        <f>Table2[[#This Row],[CurrentStock]]*Table2[[#This Row],[UnitPrice]]</f>
        <v>218152.74000000002</v>
      </c>
      <c r="L785" t="str">
        <f>IF(Table2[[#This Row],[CurrentStock]]&lt;=Table2[[#This Row],[ReorderLevel]], "Reorder Needed", "Okay")</f>
        <v>Okay</v>
      </c>
      <c r="M785" t="str">
        <f>IF(Table2[[#This Row],[CurrentStock]]-Table2[[#This Row],[ReorderLevel]]&lt;0,Table2[[#This Row],[CurrentStock]]-Table2[[#This Row],[ReorderLevel]],"")</f>
        <v/>
      </c>
      <c r="N785" t="str">
        <f>IF(Table2[[#This Row],[Stock Gap]]&lt;0, "Understock","Okay")</f>
        <v>Okay</v>
      </c>
      <c r="O785" s="13" t="str">
        <f>IF(Table2[[#This Row],[Stock Gap]]&lt;0, "Yes", "No")</f>
        <v>No</v>
      </c>
      <c r="P785" s="13" t="str">
        <f>IF(Table2[[#This Row],[CurrentStock]]&lt;Table2[[#This Row],[ReorderLevel]],"Reorder", "Okay")</f>
        <v>Okay</v>
      </c>
      <c r="Q785" s="13" t="str">
        <f>IF(Table2[[#This Row],[CurrentStock]]&gt;Table2[[#This Row],[ReorderLevel]]*3, "Overstock", "Okay")</f>
        <v>Overstock</v>
      </c>
    </row>
    <row r="786" spans="1:17" x14ac:dyDescent="0.35">
      <c r="A786">
        <v>22191</v>
      </c>
      <c r="B786" t="s">
        <v>11</v>
      </c>
      <c r="C786" t="s">
        <v>27</v>
      </c>
      <c r="D786">
        <v>160</v>
      </c>
      <c r="E786">
        <v>80</v>
      </c>
      <c r="F786" s="2">
        <v>473.91</v>
      </c>
      <c r="G786" t="s">
        <v>33</v>
      </c>
      <c r="H786" s="1">
        <v>45293</v>
      </c>
      <c r="I786" s="1">
        <v>45304</v>
      </c>
      <c r="J786" t="s">
        <v>38</v>
      </c>
      <c r="K786" s="8">
        <f>Table2[[#This Row],[CurrentStock]]*Table2[[#This Row],[UnitPrice]]</f>
        <v>75825.600000000006</v>
      </c>
      <c r="L786" t="str">
        <f>IF(Table2[[#This Row],[CurrentStock]]&lt;=Table2[[#This Row],[ReorderLevel]], "Reorder Needed", "Okay")</f>
        <v>Okay</v>
      </c>
      <c r="M786" t="str">
        <f>IF(Table2[[#This Row],[CurrentStock]]-Table2[[#This Row],[ReorderLevel]]&lt;0,Table2[[#This Row],[CurrentStock]]-Table2[[#This Row],[ReorderLevel]],"")</f>
        <v/>
      </c>
      <c r="N786" t="str">
        <f>IF(Table2[[#This Row],[Stock Gap]]&lt;0, "Understock","Okay")</f>
        <v>Okay</v>
      </c>
      <c r="O786" s="13" t="str">
        <f>IF(Table2[[#This Row],[Stock Gap]]&lt;0, "Yes", "No")</f>
        <v>No</v>
      </c>
      <c r="P786" s="13" t="str">
        <f>IF(Table2[[#This Row],[CurrentStock]]&lt;Table2[[#This Row],[ReorderLevel]],"Reorder", "Okay")</f>
        <v>Okay</v>
      </c>
      <c r="Q786" s="13" t="str">
        <f>IF(Table2[[#This Row],[CurrentStock]]&gt;Table2[[#This Row],[ReorderLevel]]*3, "Overstock", "Okay")</f>
        <v>Okay</v>
      </c>
    </row>
    <row r="787" spans="1:17" x14ac:dyDescent="0.35">
      <c r="A787">
        <v>50733</v>
      </c>
      <c r="B787" t="s">
        <v>16</v>
      </c>
      <c r="C787" t="s">
        <v>29</v>
      </c>
      <c r="D787">
        <v>287</v>
      </c>
      <c r="E787">
        <v>50</v>
      </c>
      <c r="F787" s="2">
        <v>262.83999999999997</v>
      </c>
      <c r="G787" t="s">
        <v>33</v>
      </c>
      <c r="H787" s="1">
        <v>45479</v>
      </c>
      <c r="I787" s="1">
        <v>45518</v>
      </c>
      <c r="J787" t="s">
        <v>36</v>
      </c>
      <c r="K787" s="8">
        <f>Table2[[#This Row],[CurrentStock]]*Table2[[#This Row],[UnitPrice]]</f>
        <v>75435.079999999987</v>
      </c>
      <c r="L787" t="str">
        <f>IF(Table2[[#This Row],[CurrentStock]]&lt;=Table2[[#This Row],[ReorderLevel]], "Reorder Needed", "Okay")</f>
        <v>Okay</v>
      </c>
      <c r="M787" t="str">
        <f>IF(Table2[[#This Row],[CurrentStock]]-Table2[[#This Row],[ReorderLevel]]&lt;0,Table2[[#This Row],[CurrentStock]]-Table2[[#This Row],[ReorderLevel]],"")</f>
        <v/>
      </c>
      <c r="N787" t="str">
        <f>IF(Table2[[#This Row],[Stock Gap]]&lt;0, "Understock","Okay")</f>
        <v>Okay</v>
      </c>
      <c r="O787" s="13" t="str">
        <f>IF(Table2[[#This Row],[Stock Gap]]&lt;0, "Yes", "No")</f>
        <v>No</v>
      </c>
      <c r="P787" s="13" t="str">
        <f>IF(Table2[[#This Row],[CurrentStock]]&lt;Table2[[#This Row],[ReorderLevel]],"Reorder", "Okay")</f>
        <v>Okay</v>
      </c>
      <c r="Q787" s="13" t="str">
        <f>IF(Table2[[#This Row],[CurrentStock]]&gt;Table2[[#This Row],[ReorderLevel]]*3, "Overstock", "Okay")</f>
        <v>Overstock</v>
      </c>
    </row>
    <row r="788" spans="1:17" x14ac:dyDescent="0.35">
      <c r="A788">
        <v>30183</v>
      </c>
      <c r="B788" t="s">
        <v>11</v>
      </c>
      <c r="C788" t="s">
        <v>27</v>
      </c>
      <c r="D788">
        <v>82</v>
      </c>
      <c r="E788">
        <v>20</v>
      </c>
      <c r="F788" s="2">
        <v>58.08</v>
      </c>
      <c r="G788" t="s">
        <v>31</v>
      </c>
      <c r="H788" s="1">
        <v>45598</v>
      </c>
      <c r="I788" s="1">
        <v>45624</v>
      </c>
      <c r="J788" t="s">
        <v>36</v>
      </c>
      <c r="K788" s="8">
        <f>Table2[[#This Row],[CurrentStock]]*Table2[[#This Row],[UnitPrice]]</f>
        <v>4762.5599999999995</v>
      </c>
      <c r="L788" t="str">
        <f>IF(Table2[[#This Row],[CurrentStock]]&lt;=Table2[[#This Row],[ReorderLevel]], "Reorder Needed", "Okay")</f>
        <v>Okay</v>
      </c>
      <c r="M788" t="str">
        <f>IF(Table2[[#This Row],[CurrentStock]]-Table2[[#This Row],[ReorderLevel]]&lt;0,Table2[[#This Row],[CurrentStock]]-Table2[[#This Row],[ReorderLevel]],"")</f>
        <v/>
      </c>
      <c r="N788" t="str">
        <f>IF(Table2[[#This Row],[Stock Gap]]&lt;0, "Understock","Okay")</f>
        <v>Okay</v>
      </c>
      <c r="O788" s="13" t="str">
        <f>IF(Table2[[#This Row],[Stock Gap]]&lt;0, "Yes", "No")</f>
        <v>No</v>
      </c>
      <c r="P788" s="13" t="str">
        <f>IF(Table2[[#This Row],[CurrentStock]]&lt;Table2[[#This Row],[ReorderLevel]],"Reorder", "Okay")</f>
        <v>Okay</v>
      </c>
      <c r="Q788" s="13" t="str">
        <f>IF(Table2[[#This Row],[CurrentStock]]&gt;Table2[[#This Row],[ReorderLevel]]*3, "Overstock", "Okay")</f>
        <v>Overstock</v>
      </c>
    </row>
    <row r="789" spans="1:17" x14ac:dyDescent="0.35">
      <c r="A789">
        <v>60639</v>
      </c>
      <c r="B789" t="s">
        <v>9</v>
      </c>
      <c r="C789" t="s">
        <v>26</v>
      </c>
      <c r="D789">
        <v>180</v>
      </c>
      <c r="E789">
        <v>50</v>
      </c>
      <c r="F789" s="2">
        <v>87.59</v>
      </c>
      <c r="G789" t="s">
        <v>34</v>
      </c>
      <c r="H789" s="1">
        <v>45583</v>
      </c>
      <c r="I789" s="1">
        <v>45605</v>
      </c>
      <c r="J789" t="s">
        <v>38</v>
      </c>
      <c r="K789" s="8">
        <f>Table2[[#This Row],[CurrentStock]]*Table2[[#This Row],[UnitPrice]]</f>
        <v>15766.2</v>
      </c>
      <c r="L789" t="str">
        <f>IF(Table2[[#This Row],[CurrentStock]]&lt;=Table2[[#This Row],[ReorderLevel]], "Reorder Needed", "Okay")</f>
        <v>Okay</v>
      </c>
      <c r="M789" t="str">
        <f>IF(Table2[[#This Row],[CurrentStock]]-Table2[[#This Row],[ReorderLevel]]&lt;0,Table2[[#This Row],[CurrentStock]]-Table2[[#This Row],[ReorderLevel]],"")</f>
        <v/>
      </c>
      <c r="N789" t="str">
        <f>IF(Table2[[#This Row],[Stock Gap]]&lt;0, "Understock","Okay")</f>
        <v>Okay</v>
      </c>
      <c r="O789" s="13" t="str">
        <f>IF(Table2[[#This Row],[Stock Gap]]&lt;0, "Yes", "No")</f>
        <v>No</v>
      </c>
      <c r="P789" s="13" t="str">
        <f>IF(Table2[[#This Row],[CurrentStock]]&lt;Table2[[#This Row],[ReorderLevel]],"Reorder", "Okay")</f>
        <v>Okay</v>
      </c>
      <c r="Q789" s="13" t="str">
        <f>IF(Table2[[#This Row],[CurrentStock]]&gt;Table2[[#This Row],[ReorderLevel]]*3, "Overstock", "Okay")</f>
        <v>Overstock</v>
      </c>
    </row>
    <row r="790" spans="1:17" x14ac:dyDescent="0.35">
      <c r="A790">
        <v>31301</v>
      </c>
      <c r="B790" t="s">
        <v>23</v>
      </c>
      <c r="C790" t="s">
        <v>30</v>
      </c>
      <c r="D790">
        <v>99</v>
      </c>
      <c r="E790">
        <v>50</v>
      </c>
      <c r="F790" s="2">
        <v>316.22000000000003</v>
      </c>
      <c r="G790" t="s">
        <v>32</v>
      </c>
      <c r="H790" s="1">
        <v>45330</v>
      </c>
      <c r="I790" s="1">
        <v>45363</v>
      </c>
      <c r="J790" t="s">
        <v>36</v>
      </c>
      <c r="K790" s="8">
        <f>Table2[[#This Row],[CurrentStock]]*Table2[[#This Row],[UnitPrice]]</f>
        <v>31305.780000000002</v>
      </c>
      <c r="L790" t="str">
        <f>IF(Table2[[#This Row],[CurrentStock]]&lt;=Table2[[#This Row],[ReorderLevel]], "Reorder Needed", "Okay")</f>
        <v>Okay</v>
      </c>
      <c r="M790" t="str">
        <f>IF(Table2[[#This Row],[CurrentStock]]-Table2[[#This Row],[ReorderLevel]]&lt;0,Table2[[#This Row],[CurrentStock]]-Table2[[#This Row],[ReorderLevel]],"")</f>
        <v/>
      </c>
      <c r="N790" t="str">
        <f>IF(Table2[[#This Row],[Stock Gap]]&lt;0, "Understock","Okay")</f>
        <v>Okay</v>
      </c>
      <c r="O790" s="13" t="str">
        <f>IF(Table2[[#This Row],[Stock Gap]]&lt;0, "Yes", "No")</f>
        <v>No</v>
      </c>
      <c r="P790" s="13" t="str">
        <f>IF(Table2[[#This Row],[CurrentStock]]&lt;Table2[[#This Row],[ReorderLevel]],"Reorder", "Okay")</f>
        <v>Okay</v>
      </c>
      <c r="Q790" s="13" t="str">
        <f>IF(Table2[[#This Row],[CurrentStock]]&gt;Table2[[#This Row],[ReorderLevel]]*3, "Overstock", "Okay")</f>
        <v>Okay</v>
      </c>
    </row>
    <row r="791" spans="1:17" x14ac:dyDescent="0.35">
      <c r="A791">
        <v>32259</v>
      </c>
      <c r="B791" t="s">
        <v>18</v>
      </c>
      <c r="C791" t="s">
        <v>27</v>
      </c>
      <c r="D791">
        <v>242</v>
      </c>
      <c r="E791">
        <v>20</v>
      </c>
      <c r="F791" s="2">
        <v>215.27</v>
      </c>
      <c r="G791" t="s">
        <v>31</v>
      </c>
      <c r="H791" s="1">
        <v>45340</v>
      </c>
      <c r="I791" s="1">
        <v>45346</v>
      </c>
      <c r="J791" t="s">
        <v>36</v>
      </c>
      <c r="K791" s="8">
        <f>Table2[[#This Row],[CurrentStock]]*Table2[[#This Row],[UnitPrice]]</f>
        <v>52095.340000000004</v>
      </c>
      <c r="L791" t="str">
        <f>IF(Table2[[#This Row],[CurrentStock]]&lt;=Table2[[#This Row],[ReorderLevel]], "Reorder Needed", "Okay")</f>
        <v>Okay</v>
      </c>
      <c r="M791" t="str">
        <f>IF(Table2[[#This Row],[CurrentStock]]-Table2[[#This Row],[ReorderLevel]]&lt;0,Table2[[#This Row],[CurrentStock]]-Table2[[#This Row],[ReorderLevel]],"")</f>
        <v/>
      </c>
      <c r="N791" t="str">
        <f>IF(Table2[[#This Row],[Stock Gap]]&lt;0, "Understock","Okay")</f>
        <v>Okay</v>
      </c>
      <c r="O791" s="13" t="str">
        <f>IF(Table2[[#This Row],[Stock Gap]]&lt;0, "Yes", "No")</f>
        <v>No</v>
      </c>
      <c r="P791" s="13" t="str">
        <f>IF(Table2[[#This Row],[CurrentStock]]&lt;Table2[[#This Row],[ReorderLevel]],"Reorder", "Okay")</f>
        <v>Okay</v>
      </c>
      <c r="Q791" s="13" t="str">
        <f>IF(Table2[[#This Row],[CurrentStock]]&gt;Table2[[#This Row],[ReorderLevel]]*3, "Overstock", "Okay")</f>
        <v>Overstock</v>
      </c>
    </row>
    <row r="792" spans="1:17" x14ac:dyDescent="0.35">
      <c r="A792">
        <v>56202</v>
      </c>
      <c r="B792" t="s">
        <v>14</v>
      </c>
      <c r="C792" t="s">
        <v>28</v>
      </c>
      <c r="D792">
        <v>358</v>
      </c>
      <c r="E792">
        <v>30</v>
      </c>
      <c r="F792" s="2">
        <v>125.59</v>
      </c>
      <c r="G792" t="s">
        <v>35</v>
      </c>
      <c r="H792" s="1">
        <v>45293</v>
      </c>
      <c r="I792" s="1">
        <v>45316</v>
      </c>
      <c r="J792" t="s">
        <v>38</v>
      </c>
      <c r="K792" s="8">
        <f>Table2[[#This Row],[CurrentStock]]*Table2[[#This Row],[UnitPrice]]</f>
        <v>44961.22</v>
      </c>
      <c r="L792" t="str">
        <f>IF(Table2[[#This Row],[CurrentStock]]&lt;=Table2[[#This Row],[ReorderLevel]], "Reorder Needed", "Okay")</f>
        <v>Okay</v>
      </c>
      <c r="M792" t="str">
        <f>IF(Table2[[#This Row],[CurrentStock]]-Table2[[#This Row],[ReorderLevel]]&lt;0,Table2[[#This Row],[CurrentStock]]-Table2[[#This Row],[ReorderLevel]],"")</f>
        <v/>
      </c>
      <c r="N792" t="str">
        <f>IF(Table2[[#This Row],[Stock Gap]]&lt;0, "Understock","Okay")</f>
        <v>Okay</v>
      </c>
      <c r="O792" s="13" t="str">
        <f>IF(Table2[[#This Row],[Stock Gap]]&lt;0, "Yes", "No")</f>
        <v>No</v>
      </c>
      <c r="P792" s="13" t="str">
        <f>IF(Table2[[#This Row],[CurrentStock]]&lt;Table2[[#This Row],[ReorderLevel]],"Reorder", "Okay")</f>
        <v>Okay</v>
      </c>
      <c r="Q792" s="13" t="str">
        <f>IF(Table2[[#This Row],[CurrentStock]]&gt;Table2[[#This Row],[ReorderLevel]]*3, "Overstock", "Okay")</f>
        <v>Overstock</v>
      </c>
    </row>
    <row r="793" spans="1:17" x14ac:dyDescent="0.35">
      <c r="A793">
        <v>38036</v>
      </c>
      <c r="B793" t="s">
        <v>10</v>
      </c>
      <c r="C793" t="s">
        <v>26</v>
      </c>
      <c r="D793">
        <v>28</v>
      </c>
      <c r="E793">
        <v>150</v>
      </c>
      <c r="F793" s="2">
        <v>112.79</v>
      </c>
      <c r="G793" t="s">
        <v>34</v>
      </c>
      <c r="H793" s="1">
        <v>45303</v>
      </c>
      <c r="I793" s="1">
        <v>45342</v>
      </c>
      <c r="J793" t="s">
        <v>38</v>
      </c>
      <c r="K793" s="8">
        <f>Table2[[#This Row],[CurrentStock]]*Table2[[#This Row],[UnitPrice]]</f>
        <v>3158.1200000000003</v>
      </c>
      <c r="L793" t="str">
        <f>IF(Table2[[#This Row],[CurrentStock]]&lt;=Table2[[#This Row],[ReorderLevel]], "Reorder Needed", "Okay")</f>
        <v>Reorder Needed</v>
      </c>
      <c r="M793" s="7">
        <f>IF(Table2[[#This Row],[CurrentStock]]-Table2[[#This Row],[ReorderLevel]]&lt;0,Table2[[#This Row],[CurrentStock]]-Table2[[#This Row],[ReorderLevel]],"")</f>
        <v>-122</v>
      </c>
      <c r="N793" t="str">
        <f>IF(Table2[[#This Row],[Stock Gap]]&lt;0, "Understock","Okay")</f>
        <v>Understock</v>
      </c>
      <c r="O793" s="13" t="str">
        <f>IF(Table2[[#This Row],[Stock Gap]]&lt;0, "Yes", "No")</f>
        <v>Yes</v>
      </c>
      <c r="P793" s="13" t="str">
        <f>IF(Table2[[#This Row],[CurrentStock]]&lt;Table2[[#This Row],[ReorderLevel]],"Reorder", "Okay")</f>
        <v>Reorder</v>
      </c>
      <c r="Q793" s="13" t="str">
        <f>IF(Table2[[#This Row],[CurrentStock]]&gt;Table2[[#This Row],[ReorderLevel]]*3, "Overstock", "Okay")</f>
        <v>Okay</v>
      </c>
    </row>
    <row r="794" spans="1:17" x14ac:dyDescent="0.35">
      <c r="A794">
        <v>79603</v>
      </c>
      <c r="B794" t="s">
        <v>20</v>
      </c>
      <c r="C794" t="s">
        <v>30</v>
      </c>
      <c r="D794">
        <v>170</v>
      </c>
      <c r="E794">
        <v>20</v>
      </c>
      <c r="F794" s="2">
        <v>476.65</v>
      </c>
      <c r="G794" t="s">
        <v>33</v>
      </c>
      <c r="H794" s="1">
        <v>45653</v>
      </c>
      <c r="I794" s="1">
        <v>45666</v>
      </c>
      <c r="J794" t="s">
        <v>38</v>
      </c>
      <c r="K794" s="8">
        <f>Table2[[#This Row],[CurrentStock]]*Table2[[#This Row],[UnitPrice]]</f>
        <v>81030.5</v>
      </c>
      <c r="L794" t="str">
        <f>IF(Table2[[#This Row],[CurrentStock]]&lt;=Table2[[#This Row],[ReorderLevel]], "Reorder Needed", "Okay")</f>
        <v>Okay</v>
      </c>
      <c r="M794" t="str">
        <f>IF(Table2[[#This Row],[CurrentStock]]-Table2[[#This Row],[ReorderLevel]]&lt;0,Table2[[#This Row],[CurrentStock]]-Table2[[#This Row],[ReorderLevel]],"")</f>
        <v/>
      </c>
      <c r="N794" t="str">
        <f>IF(Table2[[#This Row],[Stock Gap]]&lt;0, "Understock","Okay")</f>
        <v>Okay</v>
      </c>
      <c r="O794" s="13" t="str">
        <f>IF(Table2[[#This Row],[Stock Gap]]&lt;0, "Yes", "No")</f>
        <v>No</v>
      </c>
      <c r="P794" s="13" t="str">
        <f>IF(Table2[[#This Row],[CurrentStock]]&lt;Table2[[#This Row],[ReorderLevel]],"Reorder", "Okay")</f>
        <v>Okay</v>
      </c>
      <c r="Q794" s="13" t="str">
        <f>IF(Table2[[#This Row],[CurrentStock]]&gt;Table2[[#This Row],[ReorderLevel]]*3, "Overstock", "Okay")</f>
        <v>Overstock</v>
      </c>
    </row>
    <row r="795" spans="1:17" x14ac:dyDescent="0.35">
      <c r="A795">
        <v>59833</v>
      </c>
      <c r="B795" t="s">
        <v>11</v>
      </c>
      <c r="C795" t="s">
        <v>27</v>
      </c>
      <c r="D795">
        <v>184</v>
      </c>
      <c r="E795">
        <v>80</v>
      </c>
      <c r="F795" s="2">
        <v>318.42</v>
      </c>
      <c r="G795" t="s">
        <v>35</v>
      </c>
      <c r="H795" s="1">
        <v>45434</v>
      </c>
      <c r="I795" s="1">
        <v>45444</v>
      </c>
      <c r="J795" t="s">
        <v>37</v>
      </c>
      <c r="K795" s="8">
        <f>Table2[[#This Row],[CurrentStock]]*Table2[[#This Row],[UnitPrice]]</f>
        <v>58589.280000000006</v>
      </c>
      <c r="L795" t="str">
        <f>IF(Table2[[#This Row],[CurrentStock]]&lt;=Table2[[#This Row],[ReorderLevel]], "Reorder Needed", "Okay")</f>
        <v>Okay</v>
      </c>
      <c r="M795" t="str">
        <f>IF(Table2[[#This Row],[CurrentStock]]-Table2[[#This Row],[ReorderLevel]]&lt;0,Table2[[#This Row],[CurrentStock]]-Table2[[#This Row],[ReorderLevel]],"")</f>
        <v/>
      </c>
      <c r="N795" t="str">
        <f>IF(Table2[[#This Row],[Stock Gap]]&lt;0, "Understock","Okay")</f>
        <v>Okay</v>
      </c>
      <c r="O795" s="13" t="str">
        <f>IF(Table2[[#This Row],[Stock Gap]]&lt;0, "Yes", "No")</f>
        <v>No</v>
      </c>
      <c r="P795" s="13" t="str">
        <f>IF(Table2[[#This Row],[CurrentStock]]&lt;Table2[[#This Row],[ReorderLevel]],"Reorder", "Okay")</f>
        <v>Okay</v>
      </c>
      <c r="Q795" s="13" t="str">
        <f>IF(Table2[[#This Row],[CurrentStock]]&gt;Table2[[#This Row],[ReorderLevel]]*3, "Overstock", "Okay")</f>
        <v>Okay</v>
      </c>
    </row>
    <row r="796" spans="1:17" x14ac:dyDescent="0.35">
      <c r="A796">
        <v>10074</v>
      </c>
      <c r="B796" t="s">
        <v>16</v>
      </c>
      <c r="C796" t="s">
        <v>29</v>
      </c>
      <c r="D796">
        <v>81</v>
      </c>
      <c r="E796">
        <v>30</v>
      </c>
      <c r="F796" s="2">
        <v>77.319999999999993</v>
      </c>
      <c r="G796" t="s">
        <v>31</v>
      </c>
      <c r="H796" s="1">
        <v>45463</v>
      </c>
      <c r="I796" s="1">
        <v>45483</v>
      </c>
      <c r="J796" t="s">
        <v>37</v>
      </c>
      <c r="K796" s="8">
        <f>Table2[[#This Row],[CurrentStock]]*Table2[[#This Row],[UnitPrice]]</f>
        <v>6262.9199999999992</v>
      </c>
      <c r="L796" t="str">
        <f>IF(Table2[[#This Row],[CurrentStock]]&lt;=Table2[[#This Row],[ReorderLevel]], "Reorder Needed", "Okay")</f>
        <v>Okay</v>
      </c>
      <c r="M796" t="str">
        <f>IF(Table2[[#This Row],[CurrentStock]]-Table2[[#This Row],[ReorderLevel]]&lt;0,Table2[[#This Row],[CurrentStock]]-Table2[[#This Row],[ReorderLevel]],"")</f>
        <v/>
      </c>
      <c r="N796" t="str">
        <f>IF(Table2[[#This Row],[Stock Gap]]&lt;0, "Understock","Okay")</f>
        <v>Okay</v>
      </c>
      <c r="O796" s="13" t="str">
        <f>IF(Table2[[#This Row],[Stock Gap]]&lt;0, "Yes", "No")</f>
        <v>No</v>
      </c>
      <c r="P796" s="13" t="str">
        <f>IF(Table2[[#This Row],[CurrentStock]]&lt;Table2[[#This Row],[ReorderLevel]],"Reorder", "Okay")</f>
        <v>Okay</v>
      </c>
      <c r="Q796" s="13" t="str">
        <f>IF(Table2[[#This Row],[CurrentStock]]&gt;Table2[[#This Row],[ReorderLevel]]*3, "Overstock", "Okay")</f>
        <v>Okay</v>
      </c>
    </row>
    <row r="797" spans="1:17" x14ac:dyDescent="0.35">
      <c r="A797">
        <v>33097</v>
      </c>
      <c r="B797" t="s">
        <v>20</v>
      </c>
      <c r="C797" t="s">
        <v>30</v>
      </c>
      <c r="D797">
        <v>361</v>
      </c>
      <c r="E797">
        <v>100</v>
      </c>
      <c r="F797" s="2">
        <v>13.37</v>
      </c>
      <c r="G797" t="s">
        <v>34</v>
      </c>
      <c r="H797" s="1">
        <v>45501</v>
      </c>
      <c r="I797" s="1">
        <v>45525</v>
      </c>
      <c r="J797" t="s">
        <v>36</v>
      </c>
      <c r="K797" s="8">
        <f>Table2[[#This Row],[CurrentStock]]*Table2[[#This Row],[UnitPrice]]</f>
        <v>4826.57</v>
      </c>
      <c r="L797" t="str">
        <f>IF(Table2[[#This Row],[CurrentStock]]&lt;=Table2[[#This Row],[ReorderLevel]], "Reorder Needed", "Okay")</f>
        <v>Okay</v>
      </c>
      <c r="M797" t="str">
        <f>IF(Table2[[#This Row],[CurrentStock]]-Table2[[#This Row],[ReorderLevel]]&lt;0,Table2[[#This Row],[CurrentStock]]-Table2[[#This Row],[ReorderLevel]],"")</f>
        <v/>
      </c>
      <c r="N797" t="str">
        <f>IF(Table2[[#This Row],[Stock Gap]]&lt;0, "Understock","Okay")</f>
        <v>Okay</v>
      </c>
      <c r="O797" s="13" t="str">
        <f>IF(Table2[[#This Row],[Stock Gap]]&lt;0, "Yes", "No")</f>
        <v>No</v>
      </c>
      <c r="P797" s="13" t="str">
        <f>IF(Table2[[#This Row],[CurrentStock]]&lt;Table2[[#This Row],[ReorderLevel]],"Reorder", "Okay")</f>
        <v>Okay</v>
      </c>
      <c r="Q797" s="13" t="str">
        <f>IF(Table2[[#This Row],[CurrentStock]]&gt;Table2[[#This Row],[ReorderLevel]]*3, "Overstock", "Okay")</f>
        <v>Overstock</v>
      </c>
    </row>
    <row r="798" spans="1:17" x14ac:dyDescent="0.35">
      <c r="A798">
        <v>39483</v>
      </c>
      <c r="B798" t="s">
        <v>16</v>
      </c>
      <c r="C798" t="s">
        <v>29</v>
      </c>
      <c r="D798">
        <v>374</v>
      </c>
      <c r="E798">
        <v>100</v>
      </c>
      <c r="F798" s="2">
        <v>341.05</v>
      </c>
      <c r="G798" t="s">
        <v>32</v>
      </c>
      <c r="H798" s="1">
        <v>45343</v>
      </c>
      <c r="I798" s="1">
        <v>45355</v>
      </c>
      <c r="J798" t="s">
        <v>36</v>
      </c>
      <c r="K798" s="8">
        <f>Table2[[#This Row],[CurrentStock]]*Table2[[#This Row],[UnitPrice]]</f>
        <v>127552.7</v>
      </c>
      <c r="L798" t="str">
        <f>IF(Table2[[#This Row],[CurrentStock]]&lt;=Table2[[#This Row],[ReorderLevel]], "Reorder Needed", "Okay")</f>
        <v>Okay</v>
      </c>
      <c r="M798" t="str">
        <f>IF(Table2[[#This Row],[CurrentStock]]-Table2[[#This Row],[ReorderLevel]]&lt;0,Table2[[#This Row],[CurrentStock]]-Table2[[#This Row],[ReorderLevel]],"")</f>
        <v/>
      </c>
      <c r="N798" t="str">
        <f>IF(Table2[[#This Row],[Stock Gap]]&lt;0, "Understock","Okay")</f>
        <v>Okay</v>
      </c>
      <c r="O798" s="13" t="str">
        <f>IF(Table2[[#This Row],[Stock Gap]]&lt;0, "Yes", "No")</f>
        <v>No</v>
      </c>
      <c r="P798" s="13" t="str">
        <f>IF(Table2[[#This Row],[CurrentStock]]&lt;Table2[[#This Row],[ReorderLevel]],"Reorder", "Okay")</f>
        <v>Okay</v>
      </c>
      <c r="Q798" s="13" t="str">
        <f>IF(Table2[[#This Row],[CurrentStock]]&gt;Table2[[#This Row],[ReorderLevel]]*3, "Overstock", "Okay")</f>
        <v>Overstock</v>
      </c>
    </row>
    <row r="799" spans="1:17" x14ac:dyDescent="0.35">
      <c r="A799">
        <v>44929</v>
      </c>
      <c r="B799" t="s">
        <v>15</v>
      </c>
      <c r="C799" t="s">
        <v>29</v>
      </c>
      <c r="D799">
        <v>44</v>
      </c>
      <c r="E799">
        <v>20</v>
      </c>
      <c r="F799" s="2">
        <v>35.57</v>
      </c>
      <c r="G799" t="s">
        <v>33</v>
      </c>
      <c r="H799" s="1">
        <v>45580</v>
      </c>
      <c r="I799" s="1">
        <v>45587</v>
      </c>
      <c r="J799" t="s">
        <v>36</v>
      </c>
      <c r="K799" s="8">
        <f>Table2[[#This Row],[CurrentStock]]*Table2[[#This Row],[UnitPrice]]</f>
        <v>1565.08</v>
      </c>
      <c r="L799" t="str">
        <f>IF(Table2[[#This Row],[CurrentStock]]&lt;=Table2[[#This Row],[ReorderLevel]], "Reorder Needed", "Okay")</f>
        <v>Okay</v>
      </c>
      <c r="M799" t="str">
        <f>IF(Table2[[#This Row],[CurrentStock]]-Table2[[#This Row],[ReorderLevel]]&lt;0,Table2[[#This Row],[CurrentStock]]-Table2[[#This Row],[ReorderLevel]],"")</f>
        <v/>
      </c>
      <c r="N799" t="str">
        <f>IF(Table2[[#This Row],[Stock Gap]]&lt;0, "Understock","Okay")</f>
        <v>Okay</v>
      </c>
      <c r="O799" s="13" t="str">
        <f>IF(Table2[[#This Row],[Stock Gap]]&lt;0, "Yes", "No")</f>
        <v>No</v>
      </c>
      <c r="P799" s="13" t="str">
        <f>IF(Table2[[#This Row],[CurrentStock]]&lt;Table2[[#This Row],[ReorderLevel]],"Reorder", "Okay")</f>
        <v>Okay</v>
      </c>
      <c r="Q799" s="13" t="str">
        <f>IF(Table2[[#This Row],[CurrentStock]]&gt;Table2[[#This Row],[ReorderLevel]]*3, "Overstock", "Okay")</f>
        <v>Okay</v>
      </c>
    </row>
    <row r="800" spans="1:17" x14ac:dyDescent="0.35">
      <c r="A800">
        <v>71869</v>
      </c>
      <c r="B800" t="s">
        <v>14</v>
      </c>
      <c r="C800" t="s">
        <v>28</v>
      </c>
      <c r="D800">
        <v>184</v>
      </c>
      <c r="E800">
        <v>80</v>
      </c>
      <c r="F800" s="2">
        <v>48.76</v>
      </c>
      <c r="G800" t="s">
        <v>33</v>
      </c>
      <c r="H800" s="1">
        <v>45353</v>
      </c>
      <c r="I800" s="1">
        <v>45360</v>
      </c>
      <c r="J800" t="s">
        <v>36</v>
      </c>
      <c r="K800" s="8">
        <f>Table2[[#This Row],[CurrentStock]]*Table2[[#This Row],[UnitPrice]]</f>
        <v>8971.84</v>
      </c>
      <c r="L800" t="str">
        <f>IF(Table2[[#This Row],[CurrentStock]]&lt;=Table2[[#This Row],[ReorderLevel]], "Reorder Needed", "Okay")</f>
        <v>Okay</v>
      </c>
      <c r="M800" t="str">
        <f>IF(Table2[[#This Row],[CurrentStock]]-Table2[[#This Row],[ReorderLevel]]&lt;0,Table2[[#This Row],[CurrentStock]]-Table2[[#This Row],[ReorderLevel]],"")</f>
        <v/>
      </c>
      <c r="N800" t="str">
        <f>IF(Table2[[#This Row],[Stock Gap]]&lt;0, "Understock","Okay")</f>
        <v>Okay</v>
      </c>
      <c r="O800" s="13" t="str">
        <f>IF(Table2[[#This Row],[Stock Gap]]&lt;0, "Yes", "No")</f>
        <v>No</v>
      </c>
      <c r="P800" s="13" t="str">
        <f>IF(Table2[[#This Row],[CurrentStock]]&lt;Table2[[#This Row],[ReorderLevel]],"Reorder", "Okay")</f>
        <v>Okay</v>
      </c>
      <c r="Q800" s="13" t="str">
        <f>IF(Table2[[#This Row],[CurrentStock]]&gt;Table2[[#This Row],[ReorderLevel]]*3, "Overstock", "Okay")</f>
        <v>Okay</v>
      </c>
    </row>
    <row r="801" spans="1:17" x14ac:dyDescent="0.35">
      <c r="A801">
        <v>91899</v>
      </c>
      <c r="B801" t="s">
        <v>19</v>
      </c>
      <c r="C801" t="s">
        <v>28</v>
      </c>
      <c r="D801">
        <v>230</v>
      </c>
      <c r="E801">
        <v>50</v>
      </c>
      <c r="F801" s="2">
        <v>73.180000000000007</v>
      </c>
      <c r="G801" t="s">
        <v>32</v>
      </c>
      <c r="H801" s="1">
        <v>45421</v>
      </c>
      <c r="I801" s="1">
        <v>45456</v>
      </c>
      <c r="J801" t="s">
        <v>38</v>
      </c>
      <c r="K801" s="8">
        <f>Table2[[#This Row],[CurrentStock]]*Table2[[#This Row],[UnitPrice]]</f>
        <v>16831.400000000001</v>
      </c>
      <c r="L801" t="str">
        <f>IF(Table2[[#This Row],[CurrentStock]]&lt;=Table2[[#This Row],[ReorderLevel]], "Reorder Needed", "Okay")</f>
        <v>Okay</v>
      </c>
      <c r="M801" t="str">
        <f>IF(Table2[[#This Row],[CurrentStock]]-Table2[[#This Row],[ReorderLevel]]&lt;0,Table2[[#This Row],[CurrentStock]]-Table2[[#This Row],[ReorderLevel]],"")</f>
        <v/>
      </c>
      <c r="N801" t="str">
        <f>IF(Table2[[#This Row],[Stock Gap]]&lt;0, "Understock","Okay")</f>
        <v>Okay</v>
      </c>
      <c r="O801" s="13" t="str">
        <f>IF(Table2[[#This Row],[Stock Gap]]&lt;0, "Yes", "No")</f>
        <v>No</v>
      </c>
      <c r="P801" s="13" t="str">
        <f>IF(Table2[[#This Row],[CurrentStock]]&lt;Table2[[#This Row],[ReorderLevel]],"Reorder", "Okay")</f>
        <v>Okay</v>
      </c>
      <c r="Q801" s="13" t="str">
        <f>IF(Table2[[#This Row],[CurrentStock]]&gt;Table2[[#This Row],[ReorderLevel]]*3, "Overstock", "Okay")</f>
        <v>Overstock</v>
      </c>
    </row>
    <row r="802" spans="1:17" x14ac:dyDescent="0.35">
      <c r="A802">
        <v>50097</v>
      </c>
      <c r="B802" t="s">
        <v>22</v>
      </c>
      <c r="C802" t="s">
        <v>29</v>
      </c>
      <c r="D802">
        <v>68</v>
      </c>
      <c r="E802">
        <v>30</v>
      </c>
      <c r="F802" s="2">
        <v>36.28</v>
      </c>
      <c r="G802" t="s">
        <v>35</v>
      </c>
      <c r="H802" s="1">
        <v>45621</v>
      </c>
      <c r="I802" s="1">
        <v>45650</v>
      </c>
      <c r="J802" t="s">
        <v>38</v>
      </c>
      <c r="K802" s="8">
        <f>Table2[[#This Row],[CurrentStock]]*Table2[[#This Row],[UnitPrice]]</f>
        <v>2467.04</v>
      </c>
      <c r="L802" t="str">
        <f>IF(Table2[[#This Row],[CurrentStock]]&lt;=Table2[[#This Row],[ReorderLevel]], "Reorder Needed", "Okay")</f>
        <v>Okay</v>
      </c>
      <c r="M802" t="str">
        <f>IF(Table2[[#This Row],[CurrentStock]]-Table2[[#This Row],[ReorderLevel]]&lt;0,Table2[[#This Row],[CurrentStock]]-Table2[[#This Row],[ReorderLevel]],"")</f>
        <v/>
      </c>
      <c r="N802" t="str">
        <f>IF(Table2[[#This Row],[Stock Gap]]&lt;0, "Understock","Okay")</f>
        <v>Okay</v>
      </c>
      <c r="O802" s="13" t="str">
        <f>IF(Table2[[#This Row],[Stock Gap]]&lt;0, "Yes", "No")</f>
        <v>No</v>
      </c>
      <c r="P802" s="13" t="str">
        <f>IF(Table2[[#This Row],[CurrentStock]]&lt;Table2[[#This Row],[ReorderLevel]],"Reorder", "Okay")</f>
        <v>Okay</v>
      </c>
      <c r="Q802" s="13" t="str">
        <f>IF(Table2[[#This Row],[CurrentStock]]&gt;Table2[[#This Row],[ReorderLevel]]*3, "Overstock", "Okay")</f>
        <v>Okay</v>
      </c>
    </row>
    <row r="803" spans="1:17" x14ac:dyDescent="0.35">
      <c r="A803">
        <v>27194</v>
      </c>
      <c r="B803" t="s">
        <v>19</v>
      </c>
      <c r="C803" t="s">
        <v>28</v>
      </c>
      <c r="D803">
        <v>2</v>
      </c>
      <c r="E803">
        <v>30</v>
      </c>
      <c r="F803" s="2">
        <v>319.29000000000002</v>
      </c>
      <c r="G803" t="s">
        <v>33</v>
      </c>
      <c r="H803" s="1">
        <v>45344</v>
      </c>
      <c r="I803" s="1">
        <v>45354</v>
      </c>
      <c r="J803" t="s">
        <v>38</v>
      </c>
      <c r="K803" s="8">
        <f>Table2[[#This Row],[CurrentStock]]*Table2[[#This Row],[UnitPrice]]</f>
        <v>638.58000000000004</v>
      </c>
      <c r="L803" t="str">
        <f>IF(Table2[[#This Row],[CurrentStock]]&lt;=Table2[[#This Row],[ReorderLevel]], "Reorder Needed", "Okay")</f>
        <v>Reorder Needed</v>
      </c>
      <c r="M803" s="7">
        <f>IF(Table2[[#This Row],[CurrentStock]]-Table2[[#This Row],[ReorderLevel]]&lt;0,Table2[[#This Row],[CurrentStock]]-Table2[[#This Row],[ReorderLevel]],"")</f>
        <v>-28</v>
      </c>
      <c r="N803" t="str">
        <f>IF(Table2[[#This Row],[Stock Gap]]&lt;0, "Understock","Okay")</f>
        <v>Understock</v>
      </c>
      <c r="O803" s="13" t="str">
        <f>IF(Table2[[#This Row],[Stock Gap]]&lt;0, "Yes", "No")</f>
        <v>Yes</v>
      </c>
      <c r="P803" s="13" t="str">
        <f>IF(Table2[[#This Row],[CurrentStock]]&lt;Table2[[#This Row],[ReorderLevel]],"Reorder", "Okay")</f>
        <v>Reorder</v>
      </c>
      <c r="Q803" s="13" t="str">
        <f>IF(Table2[[#This Row],[CurrentStock]]&gt;Table2[[#This Row],[ReorderLevel]]*3, "Overstock", "Okay")</f>
        <v>Okay</v>
      </c>
    </row>
    <row r="804" spans="1:17" x14ac:dyDescent="0.35">
      <c r="A804">
        <v>12147</v>
      </c>
      <c r="B804" t="s">
        <v>11</v>
      </c>
      <c r="C804" t="s">
        <v>27</v>
      </c>
      <c r="D804">
        <v>203</v>
      </c>
      <c r="E804">
        <v>20</v>
      </c>
      <c r="F804" s="2">
        <v>358.9</v>
      </c>
      <c r="G804" t="s">
        <v>33</v>
      </c>
      <c r="H804" s="1">
        <v>45302</v>
      </c>
      <c r="I804" s="1">
        <v>45340</v>
      </c>
      <c r="J804" t="s">
        <v>38</v>
      </c>
      <c r="K804" s="8">
        <f>Table2[[#This Row],[CurrentStock]]*Table2[[#This Row],[UnitPrice]]</f>
        <v>72856.7</v>
      </c>
      <c r="L804" t="str">
        <f>IF(Table2[[#This Row],[CurrentStock]]&lt;=Table2[[#This Row],[ReorderLevel]], "Reorder Needed", "Okay")</f>
        <v>Okay</v>
      </c>
      <c r="M804" t="str">
        <f>IF(Table2[[#This Row],[CurrentStock]]-Table2[[#This Row],[ReorderLevel]]&lt;0,Table2[[#This Row],[CurrentStock]]-Table2[[#This Row],[ReorderLevel]],"")</f>
        <v/>
      </c>
      <c r="N804" t="str">
        <f>IF(Table2[[#This Row],[Stock Gap]]&lt;0, "Understock","Okay")</f>
        <v>Okay</v>
      </c>
      <c r="O804" s="13" t="str">
        <f>IF(Table2[[#This Row],[Stock Gap]]&lt;0, "Yes", "No")</f>
        <v>No</v>
      </c>
      <c r="P804" s="13" t="str">
        <f>IF(Table2[[#This Row],[CurrentStock]]&lt;Table2[[#This Row],[ReorderLevel]],"Reorder", "Okay")</f>
        <v>Okay</v>
      </c>
      <c r="Q804" s="13" t="str">
        <f>IF(Table2[[#This Row],[CurrentStock]]&gt;Table2[[#This Row],[ReorderLevel]]*3, "Overstock", "Okay")</f>
        <v>Overstock</v>
      </c>
    </row>
    <row r="805" spans="1:17" x14ac:dyDescent="0.35">
      <c r="A805">
        <v>19479</v>
      </c>
      <c r="B805" t="s">
        <v>13</v>
      </c>
      <c r="C805" t="s">
        <v>26</v>
      </c>
      <c r="D805">
        <v>180</v>
      </c>
      <c r="E805">
        <v>40</v>
      </c>
      <c r="F805" s="2">
        <v>227.59</v>
      </c>
      <c r="G805" t="s">
        <v>32</v>
      </c>
      <c r="H805" s="1">
        <v>45546</v>
      </c>
      <c r="I805" s="1">
        <v>45580</v>
      </c>
      <c r="J805" t="s">
        <v>36</v>
      </c>
      <c r="K805" s="8">
        <f>Table2[[#This Row],[CurrentStock]]*Table2[[#This Row],[UnitPrice]]</f>
        <v>40966.199999999997</v>
      </c>
      <c r="L805" t="str">
        <f>IF(Table2[[#This Row],[CurrentStock]]&lt;=Table2[[#This Row],[ReorderLevel]], "Reorder Needed", "Okay")</f>
        <v>Okay</v>
      </c>
      <c r="M805" t="str">
        <f>IF(Table2[[#This Row],[CurrentStock]]-Table2[[#This Row],[ReorderLevel]]&lt;0,Table2[[#This Row],[CurrentStock]]-Table2[[#This Row],[ReorderLevel]],"")</f>
        <v/>
      </c>
      <c r="N805" t="str">
        <f>IF(Table2[[#This Row],[Stock Gap]]&lt;0, "Understock","Okay")</f>
        <v>Okay</v>
      </c>
      <c r="O805" s="13" t="str">
        <f>IF(Table2[[#This Row],[Stock Gap]]&lt;0, "Yes", "No")</f>
        <v>No</v>
      </c>
      <c r="P805" s="13" t="str">
        <f>IF(Table2[[#This Row],[CurrentStock]]&lt;Table2[[#This Row],[ReorderLevel]],"Reorder", "Okay")</f>
        <v>Okay</v>
      </c>
      <c r="Q805" s="13" t="str">
        <f>IF(Table2[[#This Row],[CurrentStock]]&gt;Table2[[#This Row],[ReorderLevel]]*3, "Overstock", "Okay")</f>
        <v>Overstock</v>
      </c>
    </row>
    <row r="806" spans="1:17" x14ac:dyDescent="0.35">
      <c r="A806">
        <v>79959</v>
      </c>
      <c r="B806" t="s">
        <v>18</v>
      </c>
      <c r="C806" t="s">
        <v>27</v>
      </c>
      <c r="D806">
        <v>275</v>
      </c>
      <c r="E806">
        <v>20</v>
      </c>
      <c r="F806" s="2">
        <v>333.85</v>
      </c>
      <c r="G806" t="s">
        <v>31</v>
      </c>
      <c r="H806" s="1">
        <v>45622</v>
      </c>
      <c r="I806" s="1">
        <v>45641</v>
      </c>
      <c r="J806" t="s">
        <v>37</v>
      </c>
      <c r="K806" s="8">
        <f>Table2[[#This Row],[CurrentStock]]*Table2[[#This Row],[UnitPrice]]</f>
        <v>91808.75</v>
      </c>
      <c r="L806" t="str">
        <f>IF(Table2[[#This Row],[CurrentStock]]&lt;=Table2[[#This Row],[ReorderLevel]], "Reorder Needed", "Okay")</f>
        <v>Okay</v>
      </c>
      <c r="M806" t="str">
        <f>IF(Table2[[#This Row],[CurrentStock]]-Table2[[#This Row],[ReorderLevel]]&lt;0,Table2[[#This Row],[CurrentStock]]-Table2[[#This Row],[ReorderLevel]],"")</f>
        <v/>
      </c>
      <c r="N806" t="str">
        <f>IF(Table2[[#This Row],[Stock Gap]]&lt;0, "Understock","Okay")</f>
        <v>Okay</v>
      </c>
      <c r="O806" s="13" t="str">
        <f>IF(Table2[[#This Row],[Stock Gap]]&lt;0, "Yes", "No")</f>
        <v>No</v>
      </c>
      <c r="P806" s="13" t="str">
        <f>IF(Table2[[#This Row],[CurrentStock]]&lt;Table2[[#This Row],[ReorderLevel]],"Reorder", "Okay")</f>
        <v>Okay</v>
      </c>
      <c r="Q806" s="13" t="str">
        <f>IF(Table2[[#This Row],[CurrentStock]]&gt;Table2[[#This Row],[ReorderLevel]]*3, "Overstock", "Okay")</f>
        <v>Overstock</v>
      </c>
    </row>
    <row r="807" spans="1:17" x14ac:dyDescent="0.35">
      <c r="A807">
        <v>87990</v>
      </c>
      <c r="B807" t="s">
        <v>14</v>
      </c>
      <c r="C807" t="s">
        <v>28</v>
      </c>
      <c r="D807">
        <v>26</v>
      </c>
      <c r="E807">
        <v>100</v>
      </c>
      <c r="F807" s="2">
        <v>264.95</v>
      </c>
      <c r="G807" t="s">
        <v>33</v>
      </c>
      <c r="H807" s="1">
        <v>45461</v>
      </c>
      <c r="I807" s="1">
        <v>45494</v>
      </c>
      <c r="J807" t="s">
        <v>36</v>
      </c>
      <c r="K807" s="8">
        <f>Table2[[#This Row],[CurrentStock]]*Table2[[#This Row],[UnitPrice]]</f>
        <v>6888.7</v>
      </c>
      <c r="L807" t="str">
        <f>IF(Table2[[#This Row],[CurrentStock]]&lt;=Table2[[#This Row],[ReorderLevel]], "Reorder Needed", "Okay")</f>
        <v>Reorder Needed</v>
      </c>
      <c r="M807" s="7">
        <f>IF(Table2[[#This Row],[CurrentStock]]-Table2[[#This Row],[ReorderLevel]]&lt;0,Table2[[#This Row],[CurrentStock]]-Table2[[#This Row],[ReorderLevel]],"")</f>
        <v>-74</v>
      </c>
      <c r="N807" t="str">
        <f>IF(Table2[[#This Row],[Stock Gap]]&lt;0, "Understock","Okay")</f>
        <v>Understock</v>
      </c>
      <c r="O807" s="13" t="str">
        <f>IF(Table2[[#This Row],[Stock Gap]]&lt;0, "Yes", "No")</f>
        <v>Yes</v>
      </c>
      <c r="P807" s="13" t="str">
        <f>IF(Table2[[#This Row],[CurrentStock]]&lt;Table2[[#This Row],[ReorderLevel]],"Reorder", "Okay")</f>
        <v>Reorder</v>
      </c>
      <c r="Q807" s="13" t="str">
        <f>IF(Table2[[#This Row],[CurrentStock]]&gt;Table2[[#This Row],[ReorderLevel]]*3, "Overstock", "Okay")</f>
        <v>Okay</v>
      </c>
    </row>
    <row r="808" spans="1:17" x14ac:dyDescent="0.35">
      <c r="A808">
        <v>47387</v>
      </c>
      <c r="B808" t="s">
        <v>18</v>
      </c>
      <c r="C808" t="s">
        <v>27</v>
      </c>
      <c r="D808">
        <v>228</v>
      </c>
      <c r="E808">
        <v>40</v>
      </c>
      <c r="F808" s="2">
        <v>138.25</v>
      </c>
      <c r="G808" t="s">
        <v>35</v>
      </c>
      <c r="H808" s="1">
        <v>45307</v>
      </c>
      <c r="I808" s="1">
        <v>45334</v>
      </c>
      <c r="J808" t="s">
        <v>38</v>
      </c>
      <c r="K808" s="8">
        <f>Table2[[#This Row],[CurrentStock]]*Table2[[#This Row],[UnitPrice]]</f>
        <v>31521</v>
      </c>
      <c r="L808" t="str">
        <f>IF(Table2[[#This Row],[CurrentStock]]&lt;=Table2[[#This Row],[ReorderLevel]], "Reorder Needed", "Okay")</f>
        <v>Okay</v>
      </c>
      <c r="M808" t="str">
        <f>IF(Table2[[#This Row],[CurrentStock]]-Table2[[#This Row],[ReorderLevel]]&lt;0,Table2[[#This Row],[CurrentStock]]-Table2[[#This Row],[ReorderLevel]],"")</f>
        <v/>
      </c>
      <c r="N808" t="str">
        <f>IF(Table2[[#This Row],[Stock Gap]]&lt;0, "Understock","Okay")</f>
        <v>Okay</v>
      </c>
      <c r="O808" s="13" t="str">
        <f>IF(Table2[[#This Row],[Stock Gap]]&lt;0, "Yes", "No")</f>
        <v>No</v>
      </c>
      <c r="P808" s="13" t="str">
        <f>IF(Table2[[#This Row],[CurrentStock]]&lt;Table2[[#This Row],[ReorderLevel]],"Reorder", "Okay")</f>
        <v>Okay</v>
      </c>
      <c r="Q808" s="13" t="str">
        <f>IF(Table2[[#This Row],[CurrentStock]]&gt;Table2[[#This Row],[ReorderLevel]]*3, "Overstock", "Okay")</f>
        <v>Overstock</v>
      </c>
    </row>
    <row r="809" spans="1:17" x14ac:dyDescent="0.35">
      <c r="A809">
        <v>40988</v>
      </c>
      <c r="B809" t="s">
        <v>9</v>
      </c>
      <c r="C809" t="s">
        <v>26</v>
      </c>
      <c r="D809">
        <v>452</v>
      </c>
      <c r="E809">
        <v>20</v>
      </c>
      <c r="F809" s="2">
        <v>210.74</v>
      </c>
      <c r="G809" t="s">
        <v>33</v>
      </c>
      <c r="H809" s="1">
        <v>45313</v>
      </c>
      <c r="I809" s="1">
        <v>45332</v>
      </c>
      <c r="J809" t="s">
        <v>36</v>
      </c>
      <c r="K809" s="8">
        <f>Table2[[#This Row],[CurrentStock]]*Table2[[#This Row],[UnitPrice]]</f>
        <v>95254.48000000001</v>
      </c>
      <c r="L809" t="str">
        <f>IF(Table2[[#This Row],[CurrentStock]]&lt;=Table2[[#This Row],[ReorderLevel]], "Reorder Needed", "Okay")</f>
        <v>Okay</v>
      </c>
      <c r="M809" t="str">
        <f>IF(Table2[[#This Row],[CurrentStock]]-Table2[[#This Row],[ReorderLevel]]&lt;0,Table2[[#This Row],[CurrentStock]]-Table2[[#This Row],[ReorderLevel]],"")</f>
        <v/>
      </c>
      <c r="N809" t="str">
        <f>IF(Table2[[#This Row],[Stock Gap]]&lt;0, "Understock","Okay")</f>
        <v>Okay</v>
      </c>
      <c r="O809" s="13" t="str">
        <f>IF(Table2[[#This Row],[Stock Gap]]&lt;0, "Yes", "No")</f>
        <v>No</v>
      </c>
      <c r="P809" s="13" t="str">
        <f>IF(Table2[[#This Row],[CurrentStock]]&lt;Table2[[#This Row],[ReorderLevel]],"Reorder", "Okay")</f>
        <v>Okay</v>
      </c>
      <c r="Q809" s="13" t="str">
        <f>IF(Table2[[#This Row],[CurrentStock]]&gt;Table2[[#This Row],[ReorderLevel]]*3, "Overstock", "Okay")</f>
        <v>Overstock</v>
      </c>
    </row>
    <row r="810" spans="1:17" x14ac:dyDescent="0.35">
      <c r="A810">
        <v>75305</v>
      </c>
      <c r="B810" t="s">
        <v>12</v>
      </c>
      <c r="C810" t="s">
        <v>28</v>
      </c>
      <c r="D810">
        <v>352</v>
      </c>
      <c r="E810">
        <v>40</v>
      </c>
      <c r="F810" s="2">
        <v>352.07</v>
      </c>
      <c r="G810" t="s">
        <v>35</v>
      </c>
      <c r="H810" s="1">
        <v>45408</v>
      </c>
      <c r="I810" s="1">
        <v>45442</v>
      </c>
      <c r="J810" t="s">
        <v>37</v>
      </c>
      <c r="K810" s="8">
        <f>Table2[[#This Row],[CurrentStock]]*Table2[[#This Row],[UnitPrice]]</f>
        <v>123928.64</v>
      </c>
      <c r="L810" t="str">
        <f>IF(Table2[[#This Row],[CurrentStock]]&lt;=Table2[[#This Row],[ReorderLevel]], "Reorder Needed", "Okay")</f>
        <v>Okay</v>
      </c>
      <c r="M810" t="str">
        <f>IF(Table2[[#This Row],[CurrentStock]]-Table2[[#This Row],[ReorderLevel]]&lt;0,Table2[[#This Row],[CurrentStock]]-Table2[[#This Row],[ReorderLevel]],"")</f>
        <v/>
      </c>
      <c r="N810" t="str">
        <f>IF(Table2[[#This Row],[Stock Gap]]&lt;0, "Understock","Okay")</f>
        <v>Okay</v>
      </c>
      <c r="O810" s="13" t="str">
        <f>IF(Table2[[#This Row],[Stock Gap]]&lt;0, "Yes", "No")</f>
        <v>No</v>
      </c>
      <c r="P810" s="13" t="str">
        <f>IF(Table2[[#This Row],[CurrentStock]]&lt;Table2[[#This Row],[ReorderLevel]],"Reorder", "Okay")</f>
        <v>Okay</v>
      </c>
      <c r="Q810" s="13" t="str">
        <f>IF(Table2[[#This Row],[CurrentStock]]&gt;Table2[[#This Row],[ReorderLevel]]*3, "Overstock", "Okay")</f>
        <v>Overstock</v>
      </c>
    </row>
    <row r="811" spans="1:17" x14ac:dyDescent="0.35">
      <c r="A811">
        <v>96673</v>
      </c>
      <c r="B811" t="s">
        <v>11</v>
      </c>
      <c r="C811" t="s">
        <v>27</v>
      </c>
      <c r="D811">
        <v>175</v>
      </c>
      <c r="E811">
        <v>20</v>
      </c>
      <c r="F811" s="2">
        <v>69.680000000000007</v>
      </c>
      <c r="G811" t="s">
        <v>31</v>
      </c>
      <c r="H811" s="1">
        <v>45425</v>
      </c>
      <c r="I811" s="1">
        <v>45453</v>
      </c>
      <c r="J811" t="s">
        <v>36</v>
      </c>
      <c r="K811" s="8">
        <f>Table2[[#This Row],[CurrentStock]]*Table2[[#This Row],[UnitPrice]]</f>
        <v>12194.000000000002</v>
      </c>
      <c r="L811" t="str">
        <f>IF(Table2[[#This Row],[CurrentStock]]&lt;=Table2[[#This Row],[ReorderLevel]], "Reorder Needed", "Okay")</f>
        <v>Okay</v>
      </c>
      <c r="M811" t="str">
        <f>IF(Table2[[#This Row],[CurrentStock]]-Table2[[#This Row],[ReorderLevel]]&lt;0,Table2[[#This Row],[CurrentStock]]-Table2[[#This Row],[ReorderLevel]],"")</f>
        <v/>
      </c>
      <c r="N811" t="str">
        <f>IF(Table2[[#This Row],[Stock Gap]]&lt;0, "Understock","Okay")</f>
        <v>Okay</v>
      </c>
      <c r="O811" s="13" t="str">
        <f>IF(Table2[[#This Row],[Stock Gap]]&lt;0, "Yes", "No")</f>
        <v>No</v>
      </c>
      <c r="P811" s="13" t="str">
        <f>IF(Table2[[#This Row],[CurrentStock]]&lt;Table2[[#This Row],[ReorderLevel]],"Reorder", "Okay")</f>
        <v>Okay</v>
      </c>
      <c r="Q811" s="13" t="str">
        <f>IF(Table2[[#This Row],[CurrentStock]]&gt;Table2[[#This Row],[ReorderLevel]]*3, "Overstock", "Okay")</f>
        <v>Overstock</v>
      </c>
    </row>
    <row r="812" spans="1:17" x14ac:dyDescent="0.35">
      <c r="A812">
        <v>90021</v>
      </c>
      <c r="B812" t="s">
        <v>13</v>
      </c>
      <c r="C812" t="s">
        <v>26</v>
      </c>
      <c r="D812">
        <v>272</v>
      </c>
      <c r="E812">
        <v>150</v>
      </c>
      <c r="F812" s="2">
        <v>112.77</v>
      </c>
      <c r="G812" t="s">
        <v>32</v>
      </c>
      <c r="H812" s="1">
        <v>45477</v>
      </c>
      <c r="I812" s="1">
        <v>45487</v>
      </c>
      <c r="J812" t="s">
        <v>37</v>
      </c>
      <c r="K812" s="8">
        <f>Table2[[#This Row],[CurrentStock]]*Table2[[#This Row],[UnitPrice]]</f>
        <v>30673.439999999999</v>
      </c>
      <c r="L812" t="str">
        <f>IF(Table2[[#This Row],[CurrentStock]]&lt;=Table2[[#This Row],[ReorderLevel]], "Reorder Needed", "Okay")</f>
        <v>Okay</v>
      </c>
      <c r="M812" t="str">
        <f>IF(Table2[[#This Row],[CurrentStock]]-Table2[[#This Row],[ReorderLevel]]&lt;0,Table2[[#This Row],[CurrentStock]]-Table2[[#This Row],[ReorderLevel]],"")</f>
        <v/>
      </c>
      <c r="N812" t="str">
        <f>IF(Table2[[#This Row],[Stock Gap]]&lt;0, "Understock","Okay")</f>
        <v>Okay</v>
      </c>
      <c r="O812" s="13" t="str">
        <f>IF(Table2[[#This Row],[Stock Gap]]&lt;0, "Yes", "No")</f>
        <v>No</v>
      </c>
      <c r="P812" s="13" t="str">
        <f>IF(Table2[[#This Row],[CurrentStock]]&lt;Table2[[#This Row],[ReorderLevel]],"Reorder", "Okay")</f>
        <v>Okay</v>
      </c>
      <c r="Q812" s="13" t="str">
        <f>IF(Table2[[#This Row],[CurrentStock]]&gt;Table2[[#This Row],[ReorderLevel]]*3, "Overstock", "Okay")</f>
        <v>Okay</v>
      </c>
    </row>
    <row r="813" spans="1:17" x14ac:dyDescent="0.35">
      <c r="A813">
        <v>32760</v>
      </c>
      <c r="B813" t="s">
        <v>21</v>
      </c>
      <c r="C813" t="s">
        <v>26</v>
      </c>
      <c r="D813">
        <v>397</v>
      </c>
      <c r="E813">
        <v>100</v>
      </c>
      <c r="F813" s="2">
        <v>449.84</v>
      </c>
      <c r="G813" t="s">
        <v>32</v>
      </c>
      <c r="H813" s="1">
        <v>45395</v>
      </c>
      <c r="I813" s="1">
        <v>45424</v>
      </c>
      <c r="J813" t="s">
        <v>36</v>
      </c>
      <c r="K813" s="8">
        <f>Table2[[#This Row],[CurrentStock]]*Table2[[#This Row],[UnitPrice]]</f>
        <v>178586.47999999998</v>
      </c>
      <c r="L813" t="str">
        <f>IF(Table2[[#This Row],[CurrentStock]]&lt;=Table2[[#This Row],[ReorderLevel]], "Reorder Needed", "Okay")</f>
        <v>Okay</v>
      </c>
      <c r="M813" t="str">
        <f>IF(Table2[[#This Row],[CurrentStock]]-Table2[[#This Row],[ReorderLevel]]&lt;0,Table2[[#This Row],[CurrentStock]]-Table2[[#This Row],[ReorderLevel]],"")</f>
        <v/>
      </c>
      <c r="N813" t="str">
        <f>IF(Table2[[#This Row],[Stock Gap]]&lt;0, "Understock","Okay")</f>
        <v>Okay</v>
      </c>
      <c r="O813" s="13" t="str">
        <f>IF(Table2[[#This Row],[Stock Gap]]&lt;0, "Yes", "No")</f>
        <v>No</v>
      </c>
      <c r="P813" s="13" t="str">
        <f>IF(Table2[[#This Row],[CurrentStock]]&lt;Table2[[#This Row],[ReorderLevel]],"Reorder", "Okay")</f>
        <v>Okay</v>
      </c>
      <c r="Q813" s="13" t="str">
        <f>IF(Table2[[#This Row],[CurrentStock]]&gt;Table2[[#This Row],[ReorderLevel]]*3, "Overstock", "Okay")</f>
        <v>Overstock</v>
      </c>
    </row>
    <row r="814" spans="1:17" x14ac:dyDescent="0.35">
      <c r="A814">
        <v>23362</v>
      </c>
      <c r="B814" t="s">
        <v>19</v>
      </c>
      <c r="C814" t="s">
        <v>28</v>
      </c>
      <c r="D814">
        <v>78</v>
      </c>
      <c r="E814">
        <v>50</v>
      </c>
      <c r="F814" s="2">
        <v>206.13</v>
      </c>
      <c r="G814" t="s">
        <v>32</v>
      </c>
      <c r="H814" s="1">
        <v>45560</v>
      </c>
      <c r="I814" s="1">
        <v>45598</v>
      </c>
      <c r="J814" t="s">
        <v>38</v>
      </c>
      <c r="K814" s="8">
        <f>Table2[[#This Row],[CurrentStock]]*Table2[[#This Row],[UnitPrice]]</f>
        <v>16078.14</v>
      </c>
      <c r="L814" t="str">
        <f>IF(Table2[[#This Row],[CurrentStock]]&lt;=Table2[[#This Row],[ReorderLevel]], "Reorder Needed", "Okay")</f>
        <v>Okay</v>
      </c>
      <c r="M814" t="str">
        <f>IF(Table2[[#This Row],[CurrentStock]]-Table2[[#This Row],[ReorderLevel]]&lt;0,Table2[[#This Row],[CurrentStock]]-Table2[[#This Row],[ReorderLevel]],"")</f>
        <v/>
      </c>
      <c r="N814" t="str">
        <f>IF(Table2[[#This Row],[Stock Gap]]&lt;0, "Understock","Okay")</f>
        <v>Okay</v>
      </c>
      <c r="O814" s="13" t="str">
        <f>IF(Table2[[#This Row],[Stock Gap]]&lt;0, "Yes", "No")</f>
        <v>No</v>
      </c>
      <c r="P814" s="13" t="str">
        <f>IF(Table2[[#This Row],[CurrentStock]]&lt;Table2[[#This Row],[ReorderLevel]],"Reorder", "Okay")</f>
        <v>Okay</v>
      </c>
      <c r="Q814" s="13" t="str">
        <f>IF(Table2[[#This Row],[CurrentStock]]&gt;Table2[[#This Row],[ReorderLevel]]*3, "Overstock", "Okay")</f>
        <v>Okay</v>
      </c>
    </row>
    <row r="815" spans="1:17" x14ac:dyDescent="0.35">
      <c r="A815">
        <v>77906</v>
      </c>
      <c r="B815" t="s">
        <v>14</v>
      </c>
      <c r="C815" t="s">
        <v>28</v>
      </c>
      <c r="D815">
        <v>130</v>
      </c>
      <c r="E815">
        <v>150</v>
      </c>
      <c r="F815" s="2">
        <v>18.97</v>
      </c>
      <c r="G815" t="s">
        <v>32</v>
      </c>
      <c r="H815" s="1">
        <v>45617</v>
      </c>
      <c r="I815" s="1">
        <v>45640</v>
      </c>
      <c r="J815" t="s">
        <v>37</v>
      </c>
      <c r="K815" s="8">
        <f>Table2[[#This Row],[CurrentStock]]*Table2[[#This Row],[UnitPrice]]</f>
        <v>2466.1</v>
      </c>
      <c r="L815" t="str">
        <f>IF(Table2[[#This Row],[CurrentStock]]&lt;=Table2[[#This Row],[ReorderLevel]], "Reorder Needed", "Okay")</f>
        <v>Reorder Needed</v>
      </c>
      <c r="M815" s="7">
        <f>IF(Table2[[#This Row],[CurrentStock]]-Table2[[#This Row],[ReorderLevel]]&lt;0,Table2[[#This Row],[CurrentStock]]-Table2[[#This Row],[ReorderLevel]],"")</f>
        <v>-20</v>
      </c>
      <c r="N815" t="str">
        <f>IF(Table2[[#This Row],[Stock Gap]]&lt;0, "Understock","Okay")</f>
        <v>Understock</v>
      </c>
      <c r="O815" s="13" t="str">
        <f>IF(Table2[[#This Row],[Stock Gap]]&lt;0, "Yes", "No")</f>
        <v>Yes</v>
      </c>
      <c r="P815" s="13" t="str">
        <f>IF(Table2[[#This Row],[CurrentStock]]&lt;Table2[[#This Row],[ReorderLevel]],"Reorder", "Okay")</f>
        <v>Reorder</v>
      </c>
      <c r="Q815" s="13" t="str">
        <f>IF(Table2[[#This Row],[CurrentStock]]&gt;Table2[[#This Row],[ReorderLevel]]*3, "Overstock", "Okay")</f>
        <v>Okay</v>
      </c>
    </row>
    <row r="816" spans="1:17" x14ac:dyDescent="0.35">
      <c r="A816">
        <v>79211</v>
      </c>
      <c r="B816" t="s">
        <v>17</v>
      </c>
      <c r="C816" t="s">
        <v>27</v>
      </c>
      <c r="D816">
        <v>322</v>
      </c>
      <c r="E816">
        <v>40</v>
      </c>
      <c r="F816" s="2">
        <v>148.27000000000001</v>
      </c>
      <c r="G816" t="s">
        <v>35</v>
      </c>
      <c r="H816" s="1">
        <v>45420</v>
      </c>
      <c r="I816" s="1">
        <v>45451</v>
      </c>
      <c r="J816" t="s">
        <v>38</v>
      </c>
      <c r="K816" s="8">
        <f>Table2[[#This Row],[CurrentStock]]*Table2[[#This Row],[UnitPrice]]</f>
        <v>47742.94</v>
      </c>
      <c r="L816" t="str">
        <f>IF(Table2[[#This Row],[CurrentStock]]&lt;=Table2[[#This Row],[ReorderLevel]], "Reorder Needed", "Okay")</f>
        <v>Okay</v>
      </c>
      <c r="M816" t="str">
        <f>IF(Table2[[#This Row],[CurrentStock]]-Table2[[#This Row],[ReorderLevel]]&lt;0,Table2[[#This Row],[CurrentStock]]-Table2[[#This Row],[ReorderLevel]],"")</f>
        <v/>
      </c>
      <c r="N816" t="str">
        <f>IF(Table2[[#This Row],[Stock Gap]]&lt;0, "Understock","Okay")</f>
        <v>Okay</v>
      </c>
      <c r="O816" s="13" t="str">
        <f>IF(Table2[[#This Row],[Stock Gap]]&lt;0, "Yes", "No")</f>
        <v>No</v>
      </c>
      <c r="P816" s="13" t="str">
        <f>IF(Table2[[#This Row],[CurrentStock]]&lt;Table2[[#This Row],[ReorderLevel]],"Reorder", "Okay")</f>
        <v>Okay</v>
      </c>
      <c r="Q816" s="13" t="str">
        <f>IF(Table2[[#This Row],[CurrentStock]]&gt;Table2[[#This Row],[ReorderLevel]]*3, "Overstock", "Okay")</f>
        <v>Overstock</v>
      </c>
    </row>
    <row r="817" spans="1:17" x14ac:dyDescent="0.35">
      <c r="A817">
        <v>78706</v>
      </c>
      <c r="B817" t="s">
        <v>9</v>
      </c>
      <c r="C817" t="s">
        <v>26</v>
      </c>
      <c r="D817">
        <v>296</v>
      </c>
      <c r="E817">
        <v>30</v>
      </c>
      <c r="F817" s="2">
        <v>17.21</v>
      </c>
      <c r="G817" t="s">
        <v>33</v>
      </c>
      <c r="H817" s="1">
        <v>45499</v>
      </c>
      <c r="I817" s="1">
        <v>45527</v>
      </c>
      <c r="J817" t="s">
        <v>37</v>
      </c>
      <c r="K817" s="8">
        <f>Table2[[#This Row],[CurrentStock]]*Table2[[#This Row],[UnitPrice]]</f>
        <v>5094.16</v>
      </c>
      <c r="L817" t="str">
        <f>IF(Table2[[#This Row],[CurrentStock]]&lt;=Table2[[#This Row],[ReorderLevel]], "Reorder Needed", "Okay")</f>
        <v>Okay</v>
      </c>
      <c r="M817" t="str">
        <f>IF(Table2[[#This Row],[CurrentStock]]-Table2[[#This Row],[ReorderLevel]]&lt;0,Table2[[#This Row],[CurrentStock]]-Table2[[#This Row],[ReorderLevel]],"")</f>
        <v/>
      </c>
      <c r="N817" t="str">
        <f>IF(Table2[[#This Row],[Stock Gap]]&lt;0, "Understock","Okay")</f>
        <v>Okay</v>
      </c>
      <c r="O817" s="13" t="str">
        <f>IF(Table2[[#This Row],[Stock Gap]]&lt;0, "Yes", "No")</f>
        <v>No</v>
      </c>
      <c r="P817" s="13" t="str">
        <f>IF(Table2[[#This Row],[CurrentStock]]&lt;Table2[[#This Row],[ReorderLevel]],"Reorder", "Okay")</f>
        <v>Okay</v>
      </c>
      <c r="Q817" s="13" t="str">
        <f>IF(Table2[[#This Row],[CurrentStock]]&gt;Table2[[#This Row],[ReorderLevel]]*3, "Overstock", "Okay")</f>
        <v>Overstock</v>
      </c>
    </row>
    <row r="818" spans="1:17" x14ac:dyDescent="0.35">
      <c r="A818">
        <v>57657</v>
      </c>
      <c r="B818" t="s">
        <v>20</v>
      </c>
      <c r="C818" t="s">
        <v>30</v>
      </c>
      <c r="D818">
        <v>28</v>
      </c>
      <c r="E818">
        <v>40</v>
      </c>
      <c r="F818" s="2">
        <v>319.45999999999998</v>
      </c>
      <c r="G818" t="s">
        <v>34</v>
      </c>
      <c r="H818" s="1">
        <v>45434</v>
      </c>
      <c r="I818" s="1">
        <v>45469</v>
      </c>
      <c r="J818" t="s">
        <v>37</v>
      </c>
      <c r="K818" s="8">
        <f>Table2[[#This Row],[CurrentStock]]*Table2[[#This Row],[UnitPrice]]</f>
        <v>8944.8799999999992</v>
      </c>
      <c r="L818" t="str">
        <f>IF(Table2[[#This Row],[CurrentStock]]&lt;=Table2[[#This Row],[ReorderLevel]], "Reorder Needed", "Okay")</f>
        <v>Reorder Needed</v>
      </c>
      <c r="M818" s="7">
        <f>IF(Table2[[#This Row],[CurrentStock]]-Table2[[#This Row],[ReorderLevel]]&lt;0,Table2[[#This Row],[CurrentStock]]-Table2[[#This Row],[ReorderLevel]],"")</f>
        <v>-12</v>
      </c>
      <c r="N818" t="str">
        <f>IF(Table2[[#This Row],[Stock Gap]]&lt;0, "Understock","Okay")</f>
        <v>Understock</v>
      </c>
      <c r="O818" s="13" t="str">
        <f>IF(Table2[[#This Row],[Stock Gap]]&lt;0, "Yes", "No")</f>
        <v>Yes</v>
      </c>
      <c r="P818" s="13" t="str">
        <f>IF(Table2[[#This Row],[CurrentStock]]&lt;Table2[[#This Row],[ReorderLevel]],"Reorder", "Okay")</f>
        <v>Reorder</v>
      </c>
      <c r="Q818" s="13" t="str">
        <f>IF(Table2[[#This Row],[CurrentStock]]&gt;Table2[[#This Row],[ReorderLevel]]*3, "Overstock", "Okay")</f>
        <v>Okay</v>
      </c>
    </row>
    <row r="819" spans="1:17" x14ac:dyDescent="0.35">
      <c r="A819">
        <v>69557</v>
      </c>
      <c r="B819" t="s">
        <v>23</v>
      </c>
      <c r="C819" t="s">
        <v>30</v>
      </c>
      <c r="D819">
        <v>191</v>
      </c>
      <c r="E819">
        <v>40</v>
      </c>
      <c r="F819" s="2">
        <v>172.56</v>
      </c>
      <c r="G819" t="s">
        <v>31</v>
      </c>
      <c r="H819" s="1">
        <v>45506</v>
      </c>
      <c r="I819" s="1">
        <v>45512</v>
      </c>
      <c r="J819" t="s">
        <v>38</v>
      </c>
      <c r="K819" s="8">
        <f>Table2[[#This Row],[CurrentStock]]*Table2[[#This Row],[UnitPrice]]</f>
        <v>32958.959999999999</v>
      </c>
      <c r="L819" t="str">
        <f>IF(Table2[[#This Row],[CurrentStock]]&lt;=Table2[[#This Row],[ReorderLevel]], "Reorder Needed", "Okay")</f>
        <v>Okay</v>
      </c>
      <c r="M819" t="str">
        <f>IF(Table2[[#This Row],[CurrentStock]]-Table2[[#This Row],[ReorderLevel]]&lt;0,Table2[[#This Row],[CurrentStock]]-Table2[[#This Row],[ReorderLevel]],"")</f>
        <v/>
      </c>
      <c r="N819" t="str">
        <f>IF(Table2[[#This Row],[Stock Gap]]&lt;0, "Understock","Okay")</f>
        <v>Okay</v>
      </c>
      <c r="O819" s="13" t="str">
        <f>IF(Table2[[#This Row],[Stock Gap]]&lt;0, "Yes", "No")</f>
        <v>No</v>
      </c>
      <c r="P819" s="13" t="str">
        <f>IF(Table2[[#This Row],[CurrentStock]]&lt;Table2[[#This Row],[ReorderLevel]],"Reorder", "Okay")</f>
        <v>Okay</v>
      </c>
      <c r="Q819" s="13" t="str">
        <f>IF(Table2[[#This Row],[CurrentStock]]&gt;Table2[[#This Row],[ReorderLevel]]*3, "Overstock", "Okay")</f>
        <v>Overstock</v>
      </c>
    </row>
    <row r="820" spans="1:17" x14ac:dyDescent="0.35">
      <c r="A820">
        <v>38561</v>
      </c>
      <c r="B820" t="s">
        <v>15</v>
      </c>
      <c r="C820" t="s">
        <v>29</v>
      </c>
      <c r="D820">
        <v>333</v>
      </c>
      <c r="E820">
        <v>20</v>
      </c>
      <c r="F820" s="2">
        <v>20.6</v>
      </c>
      <c r="G820" t="s">
        <v>34</v>
      </c>
      <c r="H820" s="1">
        <v>45614</v>
      </c>
      <c r="I820" s="1">
        <v>45644</v>
      </c>
      <c r="J820" t="s">
        <v>38</v>
      </c>
      <c r="K820" s="8">
        <f>Table2[[#This Row],[CurrentStock]]*Table2[[#This Row],[UnitPrice]]</f>
        <v>6859.8</v>
      </c>
      <c r="L820" t="str">
        <f>IF(Table2[[#This Row],[CurrentStock]]&lt;=Table2[[#This Row],[ReorderLevel]], "Reorder Needed", "Okay")</f>
        <v>Okay</v>
      </c>
      <c r="M820" t="str">
        <f>IF(Table2[[#This Row],[CurrentStock]]-Table2[[#This Row],[ReorderLevel]]&lt;0,Table2[[#This Row],[CurrentStock]]-Table2[[#This Row],[ReorderLevel]],"")</f>
        <v/>
      </c>
      <c r="N820" t="str">
        <f>IF(Table2[[#This Row],[Stock Gap]]&lt;0, "Understock","Okay")</f>
        <v>Okay</v>
      </c>
      <c r="O820" s="13" t="str">
        <f>IF(Table2[[#This Row],[Stock Gap]]&lt;0, "Yes", "No")</f>
        <v>No</v>
      </c>
      <c r="P820" s="13" t="str">
        <f>IF(Table2[[#This Row],[CurrentStock]]&lt;Table2[[#This Row],[ReorderLevel]],"Reorder", "Okay")</f>
        <v>Okay</v>
      </c>
      <c r="Q820" s="13" t="str">
        <f>IF(Table2[[#This Row],[CurrentStock]]&gt;Table2[[#This Row],[ReorderLevel]]*3, "Overstock", "Okay")</f>
        <v>Overstock</v>
      </c>
    </row>
    <row r="821" spans="1:17" x14ac:dyDescent="0.35">
      <c r="A821">
        <v>54460</v>
      </c>
      <c r="B821" t="s">
        <v>25</v>
      </c>
      <c r="C821" t="s">
        <v>29</v>
      </c>
      <c r="D821">
        <v>320</v>
      </c>
      <c r="E821">
        <v>80</v>
      </c>
      <c r="F821" s="2">
        <v>422.87</v>
      </c>
      <c r="G821" t="s">
        <v>34</v>
      </c>
      <c r="H821" s="1">
        <v>45489</v>
      </c>
      <c r="I821" s="1">
        <v>45521</v>
      </c>
      <c r="J821" t="s">
        <v>37</v>
      </c>
      <c r="K821" s="8">
        <f>Table2[[#This Row],[CurrentStock]]*Table2[[#This Row],[UnitPrice]]</f>
        <v>135318.39999999999</v>
      </c>
      <c r="L821" t="str">
        <f>IF(Table2[[#This Row],[CurrentStock]]&lt;=Table2[[#This Row],[ReorderLevel]], "Reorder Needed", "Okay")</f>
        <v>Okay</v>
      </c>
      <c r="M821" t="str">
        <f>IF(Table2[[#This Row],[CurrentStock]]-Table2[[#This Row],[ReorderLevel]]&lt;0,Table2[[#This Row],[CurrentStock]]-Table2[[#This Row],[ReorderLevel]],"")</f>
        <v/>
      </c>
      <c r="N821" t="str">
        <f>IF(Table2[[#This Row],[Stock Gap]]&lt;0, "Understock","Okay")</f>
        <v>Okay</v>
      </c>
      <c r="O821" s="13" t="str">
        <f>IF(Table2[[#This Row],[Stock Gap]]&lt;0, "Yes", "No")</f>
        <v>No</v>
      </c>
      <c r="P821" s="13" t="str">
        <f>IF(Table2[[#This Row],[CurrentStock]]&lt;Table2[[#This Row],[ReorderLevel]],"Reorder", "Okay")</f>
        <v>Okay</v>
      </c>
      <c r="Q821" s="13" t="str">
        <f>IF(Table2[[#This Row],[CurrentStock]]&gt;Table2[[#This Row],[ReorderLevel]]*3, "Overstock", "Okay")</f>
        <v>Overstock</v>
      </c>
    </row>
    <row r="822" spans="1:17" x14ac:dyDescent="0.35">
      <c r="A822">
        <v>70663</v>
      </c>
      <c r="B822" t="s">
        <v>14</v>
      </c>
      <c r="C822" t="s">
        <v>28</v>
      </c>
      <c r="D822">
        <v>243</v>
      </c>
      <c r="E822">
        <v>40</v>
      </c>
      <c r="F822" s="2">
        <v>413.64</v>
      </c>
      <c r="G822" t="s">
        <v>35</v>
      </c>
      <c r="H822" s="1">
        <v>45495</v>
      </c>
      <c r="I822" s="1">
        <v>45501</v>
      </c>
      <c r="J822" t="s">
        <v>36</v>
      </c>
      <c r="K822" s="8">
        <f>Table2[[#This Row],[CurrentStock]]*Table2[[#This Row],[UnitPrice]]</f>
        <v>100514.51999999999</v>
      </c>
      <c r="L822" t="str">
        <f>IF(Table2[[#This Row],[CurrentStock]]&lt;=Table2[[#This Row],[ReorderLevel]], "Reorder Needed", "Okay")</f>
        <v>Okay</v>
      </c>
      <c r="M822" t="str">
        <f>IF(Table2[[#This Row],[CurrentStock]]-Table2[[#This Row],[ReorderLevel]]&lt;0,Table2[[#This Row],[CurrentStock]]-Table2[[#This Row],[ReorderLevel]],"")</f>
        <v/>
      </c>
      <c r="N822" t="str">
        <f>IF(Table2[[#This Row],[Stock Gap]]&lt;0, "Understock","Okay")</f>
        <v>Okay</v>
      </c>
      <c r="O822" s="13" t="str">
        <f>IF(Table2[[#This Row],[Stock Gap]]&lt;0, "Yes", "No")</f>
        <v>No</v>
      </c>
      <c r="P822" s="13" t="str">
        <f>IF(Table2[[#This Row],[CurrentStock]]&lt;Table2[[#This Row],[ReorderLevel]],"Reorder", "Okay")</f>
        <v>Okay</v>
      </c>
      <c r="Q822" s="13" t="str">
        <f>IF(Table2[[#This Row],[CurrentStock]]&gt;Table2[[#This Row],[ReorderLevel]]*3, "Overstock", "Okay")</f>
        <v>Overstock</v>
      </c>
    </row>
    <row r="823" spans="1:17" x14ac:dyDescent="0.35">
      <c r="A823">
        <v>84400</v>
      </c>
      <c r="B823" t="s">
        <v>15</v>
      </c>
      <c r="C823" t="s">
        <v>29</v>
      </c>
      <c r="D823">
        <v>68</v>
      </c>
      <c r="E823">
        <v>40</v>
      </c>
      <c r="F823" s="2">
        <v>285.88</v>
      </c>
      <c r="G823" t="s">
        <v>35</v>
      </c>
      <c r="H823" s="1">
        <v>45507</v>
      </c>
      <c r="I823" s="1">
        <v>45542</v>
      </c>
      <c r="J823" t="s">
        <v>37</v>
      </c>
      <c r="K823" s="8">
        <f>Table2[[#This Row],[CurrentStock]]*Table2[[#This Row],[UnitPrice]]</f>
        <v>19439.84</v>
      </c>
      <c r="L823" t="str">
        <f>IF(Table2[[#This Row],[CurrentStock]]&lt;=Table2[[#This Row],[ReorderLevel]], "Reorder Needed", "Okay")</f>
        <v>Okay</v>
      </c>
      <c r="M823" t="str">
        <f>IF(Table2[[#This Row],[CurrentStock]]-Table2[[#This Row],[ReorderLevel]]&lt;0,Table2[[#This Row],[CurrentStock]]-Table2[[#This Row],[ReorderLevel]],"")</f>
        <v/>
      </c>
      <c r="N823" t="str">
        <f>IF(Table2[[#This Row],[Stock Gap]]&lt;0, "Understock","Okay")</f>
        <v>Okay</v>
      </c>
      <c r="O823" s="13" t="str">
        <f>IF(Table2[[#This Row],[Stock Gap]]&lt;0, "Yes", "No")</f>
        <v>No</v>
      </c>
      <c r="P823" s="13" t="str">
        <f>IF(Table2[[#This Row],[CurrentStock]]&lt;Table2[[#This Row],[ReorderLevel]],"Reorder", "Okay")</f>
        <v>Okay</v>
      </c>
      <c r="Q823" s="13" t="str">
        <f>IF(Table2[[#This Row],[CurrentStock]]&gt;Table2[[#This Row],[ReorderLevel]]*3, "Overstock", "Okay")</f>
        <v>Okay</v>
      </c>
    </row>
    <row r="824" spans="1:17" x14ac:dyDescent="0.35">
      <c r="A824">
        <v>78322</v>
      </c>
      <c r="B824" t="s">
        <v>10</v>
      </c>
      <c r="C824" t="s">
        <v>26</v>
      </c>
      <c r="D824">
        <v>30</v>
      </c>
      <c r="E824">
        <v>40</v>
      </c>
      <c r="F824" s="2">
        <v>75.819999999999993</v>
      </c>
      <c r="G824" t="s">
        <v>32</v>
      </c>
      <c r="H824" s="1">
        <v>45421</v>
      </c>
      <c r="I824" s="1">
        <v>45452</v>
      </c>
      <c r="J824" t="s">
        <v>37</v>
      </c>
      <c r="K824" s="8">
        <f>Table2[[#This Row],[CurrentStock]]*Table2[[#This Row],[UnitPrice]]</f>
        <v>2274.6</v>
      </c>
      <c r="L824" t="str">
        <f>IF(Table2[[#This Row],[CurrentStock]]&lt;=Table2[[#This Row],[ReorderLevel]], "Reorder Needed", "Okay")</f>
        <v>Reorder Needed</v>
      </c>
      <c r="M824" s="7">
        <f>IF(Table2[[#This Row],[CurrentStock]]-Table2[[#This Row],[ReorderLevel]]&lt;0,Table2[[#This Row],[CurrentStock]]-Table2[[#This Row],[ReorderLevel]],"")</f>
        <v>-10</v>
      </c>
      <c r="N824" t="str">
        <f>IF(Table2[[#This Row],[Stock Gap]]&lt;0, "Understock","Okay")</f>
        <v>Understock</v>
      </c>
      <c r="O824" s="13" t="str">
        <f>IF(Table2[[#This Row],[Stock Gap]]&lt;0, "Yes", "No")</f>
        <v>Yes</v>
      </c>
      <c r="P824" s="13" t="str">
        <f>IF(Table2[[#This Row],[CurrentStock]]&lt;Table2[[#This Row],[ReorderLevel]],"Reorder", "Okay")</f>
        <v>Reorder</v>
      </c>
      <c r="Q824" s="13" t="str">
        <f>IF(Table2[[#This Row],[CurrentStock]]&gt;Table2[[#This Row],[ReorderLevel]]*3, "Overstock", "Okay")</f>
        <v>Okay</v>
      </c>
    </row>
    <row r="825" spans="1:17" x14ac:dyDescent="0.35">
      <c r="A825">
        <v>33806</v>
      </c>
      <c r="B825" t="s">
        <v>25</v>
      </c>
      <c r="C825" t="s">
        <v>29</v>
      </c>
      <c r="D825">
        <v>57</v>
      </c>
      <c r="E825">
        <v>80</v>
      </c>
      <c r="F825" s="2">
        <v>476.89</v>
      </c>
      <c r="G825" t="s">
        <v>35</v>
      </c>
      <c r="H825" s="1">
        <v>45632</v>
      </c>
      <c r="I825" s="1">
        <v>45665</v>
      </c>
      <c r="J825" t="s">
        <v>38</v>
      </c>
      <c r="K825" s="8">
        <f>Table2[[#This Row],[CurrentStock]]*Table2[[#This Row],[UnitPrice]]</f>
        <v>27182.73</v>
      </c>
      <c r="L825" t="str">
        <f>IF(Table2[[#This Row],[CurrentStock]]&lt;=Table2[[#This Row],[ReorderLevel]], "Reorder Needed", "Okay")</f>
        <v>Reorder Needed</v>
      </c>
      <c r="M825" s="7">
        <f>IF(Table2[[#This Row],[CurrentStock]]-Table2[[#This Row],[ReorderLevel]]&lt;0,Table2[[#This Row],[CurrentStock]]-Table2[[#This Row],[ReorderLevel]],"")</f>
        <v>-23</v>
      </c>
      <c r="N825" t="str">
        <f>IF(Table2[[#This Row],[Stock Gap]]&lt;0, "Understock","Okay")</f>
        <v>Understock</v>
      </c>
      <c r="O825" s="13" t="str">
        <f>IF(Table2[[#This Row],[Stock Gap]]&lt;0, "Yes", "No")</f>
        <v>Yes</v>
      </c>
      <c r="P825" s="13" t="str">
        <f>IF(Table2[[#This Row],[CurrentStock]]&lt;Table2[[#This Row],[ReorderLevel]],"Reorder", "Okay")</f>
        <v>Reorder</v>
      </c>
      <c r="Q825" s="13" t="str">
        <f>IF(Table2[[#This Row],[CurrentStock]]&gt;Table2[[#This Row],[ReorderLevel]]*3, "Overstock", "Okay")</f>
        <v>Okay</v>
      </c>
    </row>
    <row r="826" spans="1:17" x14ac:dyDescent="0.35">
      <c r="A826">
        <v>85432</v>
      </c>
      <c r="B826" t="s">
        <v>13</v>
      </c>
      <c r="C826" t="s">
        <v>26</v>
      </c>
      <c r="D826">
        <v>24</v>
      </c>
      <c r="E826">
        <v>30</v>
      </c>
      <c r="F826" s="2">
        <v>383.94</v>
      </c>
      <c r="G826" t="s">
        <v>34</v>
      </c>
      <c r="H826" s="1">
        <v>45317</v>
      </c>
      <c r="I826" s="1">
        <v>45327</v>
      </c>
      <c r="J826" t="s">
        <v>37</v>
      </c>
      <c r="K826" s="8">
        <f>Table2[[#This Row],[CurrentStock]]*Table2[[#This Row],[UnitPrice]]</f>
        <v>9214.56</v>
      </c>
      <c r="L826" t="str">
        <f>IF(Table2[[#This Row],[CurrentStock]]&lt;=Table2[[#This Row],[ReorderLevel]], "Reorder Needed", "Okay")</f>
        <v>Reorder Needed</v>
      </c>
      <c r="M826" s="7">
        <f>IF(Table2[[#This Row],[CurrentStock]]-Table2[[#This Row],[ReorderLevel]]&lt;0,Table2[[#This Row],[CurrentStock]]-Table2[[#This Row],[ReorderLevel]],"")</f>
        <v>-6</v>
      </c>
      <c r="N826" t="str">
        <f>IF(Table2[[#This Row],[Stock Gap]]&lt;0, "Understock","Okay")</f>
        <v>Understock</v>
      </c>
      <c r="O826" s="13" t="str">
        <f>IF(Table2[[#This Row],[Stock Gap]]&lt;0, "Yes", "No")</f>
        <v>Yes</v>
      </c>
      <c r="P826" s="13" t="str">
        <f>IF(Table2[[#This Row],[CurrentStock]]&lt;Table2[[#This Row],[ReorderLevel]],"Reorder", "Okay")</f>
        <v>Reorder</v>
      </c>
      <c r="Q826" s="13" t="str">
        <f>IF(Table2[[#This Row],[CurrentStock]]&gt;Table2[[#This Row],[ReorderLevel]]*3, "Overstock", "Okay")</f>
        <v>Okay</v>
      </c>
    </row>
    <row r="827" spans="1:17" x14ac:dyDescent="0.35">
      <c r="A827">
        <v>96840</v>
      </c>
      <c r="B827" t="s">
        <v>17</v>
      </c>
      <c r="C827" t="s">
        <v>27</v>
      </c>
      <c r="D827">
        <v>306</v>
      </c>
      <c r="E827">
        <v>80</v>
      </c>
      <c r="F827" s="2">
        <v>436.84</v>
      </c>
      <c r="G827" t="s">
        <v>31</v>
      </c>
      <c r="H827" s="1">
        <v>45339</v>
      </c>
      <c r="I827" s="1">
        <v>45368</v>
      </c>
      <c r="J827" t="s">
        <v>37</v>
      </c>
      <c r="K827" s="8">
        <f>Table2[[#This Row],[CurrentStock]]*Table2[[#This Row],[UnitPrice]]</f>
        <v>133673.03999999998</v>
      </c>
      <c r="L827" t="str">
        <f>IF(Table2[[#This Row],[CurrentStock]]&lt;=Table2[[#This Row],[ReorderLevel]], "Reorder Needed", "Okay")</f>
        <v>Okay</v>
      </c>
      <c r="M827" t="str">
        <f>IF(Table2[[#This Row],[CurrentStock]]-Table2[[#This Row],[ReorderLevel]]&lt;0,Table2[[#This Row],[CurrentStock]]-Table2[[#This Row],[ReorderLevel]],"")</f>
        <v/>
      </c>
      <c r="N827" t="str">
        <f>IF(Table2[[#This Row],[Stock Gap]]&lt;0, "Understock","Okay")</f>
        <v>Okay</v>
      </c>
      <c r="O827" s="13" t="str">
        <f>IF(Table2[[#This Row],[Stock Gap]]&lt;0, "Yes", "No")</f>
        <v>No</v>
      </c>
      <c r="P827" s="13" t="str">
        <f>IF(Table2[[#This Row],[CurrentStock]]&lt;Table2[[#This Row],[ReorderLevel]],"Reorder", "Okay")</f>
        <v>Okay</v>
      </c>
      <c r="Q827" s="13" t="str">
        <f>IF(Table2[[#This Row],[CurrentStock]]&gt;Table2[[#This Row],[ReorderLevel]]*3, "Overstock", "Okay")</f>
        <v>Overstock</v>
      </c>
    </row>
    <row r="828" spans="1:17" x14ac:dyDescent="0.35">
      <c r="A828">
        <v>91787</v>
      </c>
      <c r="B828" t="s">
        <v>13</v>
      </c>
      <c r="C828" t="s">
        <v>26</v>
      </c>
      <c r="D828">
        <v>260</v>
      </c>
      <c r="E828">
        <v>30</v>
      </c>
      <c r="F828" s="2">
        <v>315.27999999999997</v>
      </c>
      <c r="G828" t="s">
        <v>35</v>
      </c>
      <c r="H828" s="1">
        <v>45496</v>
      </c>
      <c r="I828" s="1">
        <v>45503</v>
      </c>
      <c r="J828" t="s">
        <v>37</v>
      </c>
      <c r="K828" s="8">
        <f>Table2[[#This Row],[CurrentStock]]*Table2[[#This Row],[UnitPrice]]</f>
        <v>81972.799999999988</v>
      </c>
      <c r="L828" t="str">
        <f>IF(Table2[[#This Row],[CurrentStock]]&lt;=Table2[[#This Row],[ReorderLevel]], "Reorder Needed", "Okay")</f>
        <v>Okay</v>
      </c>
      <c r="M828" t="str">
        <f>IF(Table2[[#This Row],[CurrentStock]]-Table2[[#This Row],[ReorderLevel]]&lt;0,Table2[[#This Row],[CurrentStock]]-Table2[[#This Row],[ReorderLevel]],"")</f>
        <v/>
      </c>
      <c r="N828" t="str">
        <f>IF(Table2[[#This Row],[Stock Gap]]&lt;0, "Understock","Okay")</f>
        <v>Okay</v>
      </c>
      <c r="O828" s="13" t="str">
        <f>IF(Table2[[#This Row],[Stock Gap]]&lt;0, "Yes", "No")</f>
        <v>No</v>
      </c>
      <c r="P828" s="13" t="str">
        <f>IF(Table2[[#This Row],[CurrentStock]]&lt;Table2[[#This Row],[ReorderLevel]],"Reorder", "Okay")</f>
        <v>Okay</v>
      </c>
      <c r="Q828" s="13" t="str">
        <f>IF(Table2[[#This Row],[CurrentStock]]&gt;Table2[[#This Row],[ReorderLevel]]*3, "Overstock", "Okay")</f>
        <v>Overstock</v>
      </c>
    </row>
    <row r="829" spans="1:17" x14ac:dyDescent="0.35">
      <c r="A829">
        <v>67851</v>
      </c>
      <c r="B829" t="s">
        <v>16</v>
      </c>
      <c r="C829" t="s">
        <v>29</v>
      </c>
      <c r="D829">
        <v>103</v>
      </c>
      <c r="E829">
        <v>100</v>
      </c>
      <c r="F829" s="2">
        <v>433.89</v>
      </c>
      <c r="G829" t="s">
        <v>32</v>
      </c>
      <c r="H829" s="1">
        <v>45507</v>
      </c>
      <c r="I829" s="1">
        <v>45531</v>
      </c>
      <c r="J829" t="s">
        <v>36</v>
      </c>
      <c r="K829" s="8">
        <f>Table2[[#This Row],[CurrentStock]]*Table2[[#This Row],[UnitPrice]]</f>
        <v>44690.67</v>
      </c>
      <c r="L829" t="str">
        <f>IF(Table2[[#This Row],[CurrentStock]]&lt;=Table2[[#This Row],[ReorderLevel]], "Reorder Needed", "Okay")</f>
        <v>Okay</v>
      </c>
      <c r="M829" t="str">
        <f>IF(Table2[[#This Row],[CurrentStock]]-Table2[[#This Row],[ReorderLevel]]&lt;0,Table2[[#This Row],[CurrentStock]]-Table2[[#This Row],[ReorderLevel]],"")</f>
        <v/>
      </c>
      <c r="N829" t="str">
        <f>IF(Table2[[#This Row],[Stock Gap]]&lt;0, "Understock","Okay")</f>
        <v>Okay</v>
      </c>
      <c r="O829" s="13" t="str">
        <f>IF(Table2[[#This Row],[Stock Gap]]&lt;0, "Yes", "No")</f>
        <v>No</v>
      </c>
      <c r="P829" s="13" t="str">
        <f>IF(Table2[[#This Row],[CurrentStock]]&lt;Table2[[#This Row],[ReorderLevel]],"Reorder", "Okay")</f>
        <v>Okay</v>
      </c>
      <c r="Q829" s="13" t="str">
        <f>IF(Table2[[#This Row],[CurrentStock]]&gt;Table2[[#This Row],[ReorderLevel]]*3, "Overstock", "Okay")</f>
        <v>Okay</v>
      </c>
    </row>
    <row r="830" spans="1:17" x14ac:dyDescent="0.35">
      <c r="A830">
        <v>31359</v>
      </c>
      <c r="B830" t="s">
        <v>22</v>
      </c>
      <c r="C830" t="s">
        <v>29</v>
      </c>
      <c r="D830">
        <v>38</v>
      </c>
      <c r="E830">
        <v>20</v>
      </c>
      <c r="F830" s="2">
        <v>54.12</v>
      </c>
      <c r="G830" t="s">
        <v>33</v>
      </c>
      <c r="H830" s="1">
        <v>45545</v>
      </c>
      <c r="I830" s="1">
        <v>45573</v>
      </c>
      <c r="J830" t="s">
        <v>36</v>
      </c>
      <c r="K830" s="8">
        <f>Table2[[#This Row],[CurrentStock]]*Table2[[#This Row],[UnitPrice]]</f>
        <v>2056.56</v>
      </c>
      <c r="L830" t="str">
        <f>IF(Table2[[#This Row],[CurrentStock]]&lt;=Table2[[#This Row],[ReorderLevel]], "Reorder Needed", "Okay")</f>
        <v>Okay</v>
      </c>
      <c r="M830" t="str">
        <f>IF(Table2[[#This Row],[CurrentStock]]-Table2[[#This Row],[ReorderLevel]]&lt;0,Table2[[#This Row],[CurrentStock]]-Table2[[#This Row],[ReorderLevel]],"")</f>
        <v/>
      </c>
      <c r="N830" t="str">
        <f>IF(Table2[[#This Row],[Stock Gap]]&lt;0, "Understock","Okay")</f>
        <v>Okay</v>
      </c>
      <c r="O830" s="13" t="str">
        <f>IF(Table2[[#This Row],[Stock Gap]]&lt;0, "Yes", "No")</f>
        <v>No</v>
      </c>
      <c r="P830" s="13" t="str">
        <f>IF(Table2[[#This Row],[CurrentStock]]&lt;Table2[[#This Row],[ReorderLevel]],"Reorder", "Okay")</f>
        <v>Okay</v>
      </c>
      <c r="Q830" s="13" t="str">
        <f>IF(Table2[[#This Row],[CurrentStock]]&gt;Table2[[#This Row],[ReorderLevel]]*3, "Overstock", "Okay")</f>
        <v>Okay</v>
      </c>
    </row>
    <row r="831" spans="1:17" x14ac:dyDescent="0.35">
      <c r="A831">
        <v>91103</v>
      </c>
      <c r="B831" t="s">
        <v>24</v>
      </c>
      <c r="C831" t="s">
        <v>30</v>
      </c>
      <c r="D831">
        <v>383</v>
      </c>
      <c r="E831">
        <v>30</v>
      </c>
      <c r="F831" s="2">
        <v>313.45</v>
      </c>
      <c r="G831" t="s">
        <v>34</v>
      </c>
      <c r="H831" s="1">
        <v>45306</v>
      </c>
      <c r="I831" s="1">
        <v>45315</v>
      </c>
      <c r="J831" t="s">
        <v>38</v>
      </c>
      <c r="K831" s="8">
        <f>Table2[[#This Row],[CurrentStock]]*Table2[[#This Row],[UnitPrice]]</f>
        <v>120051.34999999999</v>
      </c>
      <c r="L831" t="str">
        <f>IF(Table2[[#This Row],[CurrentStock]]&lt;=Table2[[#This Row],[ReorderLevel]], "Reorder Needed", "Okay")</f>
        <v>Okay</v>
      </c>
      <c r="M831" t="str">
        <f>IF(Table2[[#This Row],[CurrentStock]]-Table2[[#This Row],[ReorderLevel]]&lt;0,Table2[[#This Row],[CurrentStock]]-Table2[[#This Row],[ReorderLevel]],"")</f>
        <v/>
      </c>
      <c r="N831" t="str">
        <f>IF(Table2[[#This Row],[Stock Gap]]&lt;0, "Understock","Okay")</f>
        <v>Okay</v>
      </c>
      <c r="O831" s="13" t="str">
        <f>IF(Table2[[#This Row],[Stock Gap]]&lt;0, "Yes", "No")</f>
        <v>No</v>
      </c>
      <c r="P831" s="13" t="str">
        <f>IF(Table2[[#This Row],[CurrentStock]]&lt;Table2[[#This Row],[ReorderLevel]],"Reorder", "Okay")</f>
        <v>Okay</v>
      </c>
      <c r="Q831" s="13" t="str">
        <f>IF(Table2[[#This Row],[CurrentStock]]&gt;Table2[[#This Row],[ReorderLevel]]*3, "Overstock", "Okay")</f>
        <v>Overstock</v>
      </c>
    </row>
    <row r="832" spans="1:17" x14ac:dyDescent="0.35">
      <c r="A832">
        <v>19215</v>
      </c>
      <c r="B832" t="s">
        <v>23</v>
      </c>
      <c r="C832" t="s">
        <v>30</v>
      </c>
      <c r="D832">
        <v>145</v>
      </c>
      <c r="E832">
        <v>150</v>
      </c>
      <c r="F832" s="2">
        <v>211.85</v>
      </c>
      <c r="G832" t="s">
        <v>32</v>
      </c>
      <c r="H832" s="1">
        <v>45351</v>
      </c>
      <c r="I832" s="1">
        <v>45371</v>
      </c>
      <c r="J832" t="s">
        <v>38</v>
      </c>
      <c r="K832" s="8">
        <f>Table2[[#This Row],[CurrentStock]]*Table2[[#This Row],[UnitPrice]]</f>
        <v>30718.25</v>
      </c>
      <c r="L832" t="str">
        <f>IF(Table2[[#This Row],[CurrentStock]]&lt;=Table2[[#This Row],[ReorderLevel]], "Reorder Needed", "Okay")</f>
        <v>Reorder Needed</v>
      </c>
      <c r="M832" s="7">
        <f>IF(Table2[[#This Row],[CurrentStock]]-Table2[[#This Row],[ReorderLevel]]&lt;0,Table2[[#This Row],[CurrentStock]]-Table2[[#This Row],[ReorderLevel]],"")</f>
        <v>-5</v>
      </c>
      <c r="N832" t="str">
        <f>IF(Table2[[#This Row],[Stock Gap]]&lt;0, "Understock","Okay")</f>
        <v>Understock</v>
      </c>
      <c r="O832" s="13" t="str">
        <f>IF(Table2[[#This Row],[Stock Gap]]&lt;0, "Yes", "No")</f>
        <v>Yes</v>
      </c>
      <c r="P832" s="13" t="str">
        <f>IF(Table2[[#This Row],[CurrentStock]]&lt;Table2[[#This Row],[ReorderLevel]],"Reorder", "Okay")</f>
        <v>Reorder</v>
      </c>
      <c r="Q832" s="13" t="str">
        <f>IF(Table2[[#This Row],[CurrentStock]]&gt;Table2[[#This Row],[ReorderLevel]]*3, "Overstock", "Okay")</f>
        <v>Okay</v>
      </c>
    </row>
    <row r="833" spans="1:17" x14ac:dyDescent="0.35">
      <c r="A833">
        <v>99876</v>
      </c>
      <c r="B833" t="s">
        <v>15</v>
      </c>
      <c r="C833" t="s">
        <v>29</v>
      </c>
      <c r="D833">
        <v>244</v>
      </c>
      <c r="E833">
        <v>100</v>
      </c>
      <c r="F833" s="2">
        <v>292.75</v>
      </c>
      <c r="G833" t="s">
        <v>34</v>
      </c>
      <c r="H833" s="1">
        <v>45580</v>
      </c>
      <c r="I833" s="1">
        <v>45609</v>
      </c>
      <c r="J833" t="s">
        <v>37</v>
      </c>
      <c r="K833" s="8">
        <f>Table2[[#This Row],[CurrentStock]]*Table2[[#This Row],[UnitPrice]]</f>
        <v>71431</v>
      </c>
      <c r="L833" t="str">
        <f>IF(Table2[[#This Row],[CurrentStock]]&lt;=Table2[[#This Row],[ReorderLevel]], "Reorder Needed", "Okay")</f>
        <v>Okay</v>
      </c>
      <c r="M833" t="str">
        <f>IF(Table2[[#This Row],[CurrentStock]]-Table2[[#This Row],[ReorderLevel]]&lt;0,Table2[[#This Row],[CurrentStock]]-Table2[[#This Row],[ReorderLevel]],"")</f>
        <v/>
      </c>
      <c r="N833" t="str">
        <f>IF(Table2[[#This Row],[Stock Gap]]&lt;0, "Understock","Okay")</f>
        <v>Okay</v>
      </c>
      <c r="O833" s="13" t="str">
        <f>IF(Table2[[#This Row],[Stock Gap]]&lt;0, "Yes", "No")</f>
        <v>No</v>
      </c>
      <c r="P833" s="13" t="str">
        <f>IF(Table2[[#This Row],[CurrentStock]]&lt;Table2[[#This Row],[ReorderLevel]],"Reorder", "Okay")</f>
        <v>Okay</v>
      </c>
      <c r="Q833" s="13" t="str">
        <f>IF(Table2[[#This Row],[CurrentStock]]&gt;Table2[[#This Row],[ReorderLevel]]*3, "Overstock", "Okay")</f>
        <v>Okay</v>
      </c>
    </row>
    <row r="834" spans="1:17" x14ac:dyDescent="0.35">
      <c r="A834">
        <v>83396</v>
      </c>
      <c r="B834" t="s">
        <v>18</v>
      </c>
      <c r="C834" t="s">
        <v>27</v>
      </c>
      <c r="D834">
        <v>464</v>
      </c>
      <c r="E834">
        <v>30</v>
      </c>
      <c r="F834" s="2">
        <v>270.17</v>
      </c>
      <c r="G834" t="s">
        <v>35</v>
      </c>
      <c r="H834" s="1">
        <v>45567</v>
      </c>
      <c r="I834" s="1">
        <v>45601</v>
      </c>
      <c r="J834" t="s">
        <v>38</v>
      </c>
      <c r="K834" s="8">
        <f>Table2[[#This Row],[CurrentStock]]*Table2[[#This Row],[UnitPrice]]</f>
        <v>125358.88</v>
      </c>
      <c r="L834" t="str">
        <f>IF(Table2[[#This Row],[CurrentStock]]&lt;=Table2[[#This Row],[ReorderLevel]], "Reorder Needed", "Okay")</f>
        <v>Okay</v>
      </c>
      <c r="M834" t="str">
        <f>IF(Table2[[#This Row],[CurrentStock]]-Table2[[#This Row],[ReorderLevel]]&lt;0,Table2[[#This Row],[CurrentStock]]-Table2[[#This Row],[ReorderLevel]],"")</f>
        <v/>
      </c>
      <c r="N834" t="str">
        <f>IF(Table2[[#This Row],[Stock Gap]]&lt;0, "Understock","Okay")</f>
        <v>Okay</v>
      </c>
      <c r="O834" s="13" t="str">
        <f>IF(Table2[[#This Row],[Stock Gap]]&lt;0, "Yes", "No")</f>
        <v>No</v>
      </c>
      <c r="P834" s="13" t="str">
        <f>IF(Table2[[#This Row],[CurrentStock]]&lt;Table2[[#This Row],[ReorderLevel]],"Reorder", "Okay")</f>
        <v>Okay</v>
      </c>
      <c r="Q834" s="13" t="str">
        <f>IF(Table2[[#This Row],[CurrentStock]]&gt;Table2[[#This Row],[ReorderLevel]]*3, "Overstock", "Okay")</f>
        <v>Overstock</v>
      </c>
    </row>
    <row r="835" spans="1:17" x14ac:dyDescent="0.35">
      <c r="A835">
        <v>85282</v>
      </c>
      <c r="B835" t="s">
        <v>18</v>
      </c>
      <c r="C835" t="s">
        <v>27</v>
      </c>
      <c r="D835">
        <v>487</v>
      </c>
      <c r="E835">
        <v>30</v>
      </c>
      <c r="F835" s="2">
        <v>296.01</v>
      </c>
      <c r="G835" t="s">
        <v>31</v>
      </c>
      <c r="H835" s="1">
        <v>45480</v>
      </c>
      <c r="I835" s="1">
        <v>45501</v>
      </c>
      <c r="J835" t="s">
        <v>38</v>
      </c>
      <c r="K835" s="8">
        <f>Table2[[#This Row],[CurrentStock]]*Table2[[#This Row],[UnitPrice]]</f>
        <v>144156.87</v>
      </c>
      <c r="L835" t="str">
        <f>IF(Table2[[#This Row],[CurrentStock]]&lt;=Table2[[#This Row],[ReorderLevel]], "Reorder Needed", "Okay")</f>
        <v>Okay</v>
      </c>
      <c r="M835" t="str">
        <f>IF(Table2[[#This Row],[CurrentStock]]-Table2[[#This Row],[ReorderLevel]]&lt;0,Table2[[#This Row],[CurrentStock]]-Table2[[#This Row],[ReorderLevel]],"")</f>
        <v/>
      </c>
      <c r="N835" t="str">
        <f>IF(Table2[[#This Row],[Stock Gap]]&lt;0, "Understock","Okay")</f>
        <v>Okay</v>
      </c>
      <c r="O835" s="13" t="str">
        <f>IF(Table2[[#This Row],[Stock Gap]]&lt;0, "Yes", "No")</f>
        <v>No</v>
      </c>
      <c r="P835" s="13" t="str">
        <f>IF(Table2[[#This Row],[CurrentStock]]&lt;Table2[[#This Row],[ReorderLevel]],"Reorder", "Okay")</f>
        <v>Okay</v>
      </c>
      <c r="Q835" s="13" t="str">
        <f>IF(Table2[[#This Row],[CurrentStock]]&gt;Table2[[#This Row],[ReorderLevel]]*3, "Overstock", "Okay")</f>
        <v>Overstock</v>
      </c>
    </row>
    <row r="836" spans="1:17" x14ac:dyDescent="0.35">
      <c r="A836">
        <v>30823</v>
      </c>
      <c r="B836" t="s">
        <v>19</v>
      </c>
      <c r="C836" t="s">
        <v>28</v>
      </c>
      <c r="D836">
        <v>33</v>
      </c>
      <c r="E836">
        <v>50</v>
      </c>
      <c r="F836" s="2">
        <v>280.93</v>
      </c>
      <c r="G836" t="s">
        <v>35</v>
      </c>
      <c r="H836" s="1">
        <v>45621</v>
      </c>
      <c r="I836" s="1">
        <v>45635</v>
      </c>
      <c r="J836" t="s">
        <v>37</v>
      </c>
      <c r="K836" s="8">
        <f>Table2[[#This Row],[CurrentStock]]*Table2[[#This Row],[UnitPrice]]</f>
        <v>9270.69</v>
      </c>
      <c r="L836" t="str">
        <f>IF(Table2[[#This Row],[CurrentStock]]&lt;=Table2[[#This Row],[ReorderLevel]], "Reorder Needed", "Okay")</f>
        <v>Reorder Needed</v>
      </c>
      <c r="M836" s="7">
        <f>IF(Table2[[#This Row],[CurrentStock]]-Table2[[#This Row],[ReorderLevel]]&lt;0,Table2[[#This Row],[CurrentStock]]-Table2[[#This Row],[ReorderLevel]],"")</f>
        <v>-17</v>
      </c>
      <c r="N836" t="str">
        <f>IF(Table2[[#This Row],[Stock Gap]]&lt;0, "Understock","Okay")</f>
        <v>Understock</v>
      </c>
      <c r="O836" s="13" t="str">
        <f>IF(Table2[[#This Row],[Stock Gap]]&lt;0, "Yes", "No")</f>
        <v>Yes</v>
      </c>
      <c r="P836" s="13" t="str">
        <f>IF(Table2[[#This Row],[CurrentStock]]&lt;Table2[[#This Row],[ReorderLevel]],"Reorder", "Okay")</f>
        <v>Reorder</v>
      </c>
      <c r="Q836" s="13" t="str">
        <f>IF(Table2[[#This Row],[CurrentStock]]&gt;Table2[[#This Row],[ReorderLevel]]*3, "Overstock", "Okay")</f>
        <v>Okay</v>
      </c>
    </row>
    <row r="837" spans="1:17" x14ac:dyDescent="0.35">
      <c r="A837">
        <v>99826</v>
      </c>
      <c r="B837" t="s">
        <v>14</v>
      </c>
      <c r="C837" t="s">
        <v>28</v>
      </c>
      <c r="D837">
        <v>444</v>
      </c>
      <c r="E837">
        <v>80</v>
      </c>
      <c r="F837" s="2">
        <v>226.44</v>
      </c>
      <c r="G837" t="s">
        <v>32</v>
      </c>
      <c r="H837" s="1">
        <v>45371</v>
      </c>
      <c r="I837" s="1">
        <v>45382</v>
      </c>
      <c r="J837" t="s">
        <v>38</v>
      </c>
      <c r="K837" s="8">
        <f>Table2[[#This Row],[CurrentStock]]*Table2[[#This Row],[UnitPrice]]</f>
        <v>100539.36</v>
      </c>
      <c r="L837" t="str">
        <f>IF(Table2[[#This Row],[CurrentStock]]&lt;=Table2[[#This Row],[ReorderLevel]], "Reorder Needed", "Okay")</f>
        <v>Okay</v>
      </c>
      <c r="M837" t="str">
        <f>IF(Table2[[#This Row],[CurrentStock]]-Table2[[#This Row],[ReorderLevel]]&lt;0,Table2[[#This Row],[CurrentStock]]-Table2[[#This Row],[ReorderLevel]],"")</f>
        <v/>
      </c>
      <c r="N837" t="str">
        <f>IF(Table2[[#This Row],[Stock Gap]]&lt;0, "Understock","Okay")</f>
        <v>Okay</v>
      </c>
      <c r="O837" s="13" t="str">
        <f>IF(Table2[[#This Row],[Stock Gap]]&lt;0, "Yes", "No")</f>
        <v>No</v>
      </c>
      <c r="P837" s="13" t="str">
        <f>IF(Table2[[#This Row],[CurrentStock]]&lt;Table2[[#This Row],[ReorderLevel]],"Reorder", "Okay")</f>
        <v>Okay</v>
      </c>
      <c r="Q837" s="13" t="str">
        <f>IF(Table2[[#This Row],[CurrentStock]]&gt;Table2[[#This Row],[ReorderLevel]]*3, "Overstock", "Okay")</f>
        <v>Overstock</v>
      </c>
    </row>
    <row r="838" spans="1:17" x14ac:dyDescent="0.35">
      <c r="A838">
        <v>85039</v>
      </c>
      <c r="B838" t="s">
        <v>21</v>
      </c>
      <c r="C838" t="s">
        <v>26</v>
      </c>
      <c r="D838">
        <v>240</v>
      </c>
      <c r="E838">
        <v>80</v>
      </c>
      <c r="F838" s="2">
        <v>482.93</v>
      </c>
      <c r="G838" t="s">
        <v>34</v>
      </c>
      <c r="H838" s="1">
        <v>45519</v>
      </c>
      <c r="I838" s="1">
        <v>45540</v>
      </c>
      <c r="J838" t="s">
        <v>38</v>
      </c>
      <c r="K838" s="8">
        <f>Table2[[#This Row],[CurrentStock]]*Table2[[#This Row],[UnitPrice]]</f>
        <v>115903.2</v>
      </c>
      <c r="L838" t="str">
        <f>IF(Table2[[#This Row],[CurrentStock]]&lt;=Table2[[#This Row],[ReorderLevel]], "Reorder Needed", "Okay")</f>
        <v>Okay</v>
      </c>
      <c r="M838" t="str">
        <f>IF(Table2[[#This Row],[CurrentStock]]-Table2[[#This Row],[ReorderLevel]]&lt;0,Table2[[#This Row],[CurrentStock]]-Table2[[#This Row],[ReorderLevel]],"")</f>
        <v/>
      </c>
      <c r="N838" t="str">
        <f>IF(Table2[[#This Row],[Stock Gap]]&lt;0, "Understock","Okay")</f>
        <v>Okay</v>
      </c>
      <c r="O838" s="13" t="str">
        <f>IF(Table2[[#This Row],[Stock Gap]]&lt;0, "Yes", "No")</f>
        <v>No</v>
      </c>
      <c r="P838" s="13" t="str">
        <f>IF(Table2[[#This Row],[CurrentStock]]&lt;Table2[[#This Row],[ReorderLevel]],"Reorder", "Okay")</f>
        <v>Okay</v>
      </c>
      <c r="Q838" s="13" t="str">
        <f>IF(Table2[[#This Row],[CurrentStock]]&gt;Table2[[#This Row],[ReorderLevel]]*3, "Overstock", "Okay")</f>
        <v>Okay</v>
      </c>
    </row>
    <row r="839" spans="1:17" x14ac:dyDescent="0.35">
      <c r="A839">
        <v>81621</v>
      </c>
      <c r="B839" t="s">
        <v>19</v>
      </c>
      <c r="C839" t="s">
        <v>28</v>
      </c>
      <c r="D839">
        <v>65</v>
      </c>
      <c r="E839">
        <v>20</v>
      </c>
      <c r="F839" s="2">
        <v>356.1</v>
      </c>
      <c r="G839" t="s">
        <v>34</v>
      </c>
      <c r="H839" s="1">
        <v>45608</v>
      </c>
      <c r="I839" s="1">
        <v>45615</v>
      </c>
      <c r="J839" t="s">
        <v>37</v>
      </c>
      <c r="K839" s="8">
        <f>Table2[[#This Row],[CurrentStock]]*Table2[[#This Row],[UnitPrice]]</f>
        <v>23146.5</v>
      </c>
      <c r="L839" t="str">
        <f>IF(Table2[[#This Row],[CurrentStock]]&lt;=Table2[[#This Row],[ReorderLevel]], "Reorder Needed", "Okay")</f>
        <v>Okay</v>
      </c>
      <c r="M839" t="str">
        <f>IF(Table2[[#This Row],[CurrentStock]]-Table2[[#This Row],[ReorderLevel]]&lt;0,Table2[[#This Row],[CurrentStock]]-Table2[[#This Row],[ReorderLevel]],"")</f>
        <v/>
      </c>
      <c r="N839" t="str">
        <f>IF(Table2[[#This Row],[Stock Gap]]&lt;0, "Understock","Okay")</f>
        <v>Okay</v>
      </c>
      <c r="O839" s="13" t="str">
        <f>IF(Table2[[#This Row],[Stock Gap]]&lt;0, "Yes", "No")</f>
        <v>No</v>
      </c>
      <c r="P839" s="13" t="str">
        <f>IF(Table2[[#This Row],[CurrentStock]]&lt;Table2[[#This Row],[ReorderLevel]],"Reorder", "Okay")</f>
        <v>Okay</v>
      </c>
      <c r="Q839" s="13" t="str">
        <f>IF(Table2[[#This Row],[CurrentStock]]&gt;Table2[[#This Row],[ReorderLevel]]*3, "Overstock", "Okay")</f>
        <v>Overstock</v>
      </c>
    </row>
    <row r="840" spans="1:17" x14ac:dyDescent="0.35">
      <c r="A840">
        <v>19336</v>
      </c>
      <c r="B840" t="s">
        <v>17</v>
      </c>
      <c r="C840" t="s">
        <v>27</v>
      </c>
      <c r="D840">
        <v>197</v>
      </c>
      <c r="E840">
        <v>80</v>
      </c>
      <c r="F840" s="2">
        <v>372.29</v>
      </c>
      <c r="G840" t="s">
        <v>32</v>
      </c>
      <c r="H840" s="1">
        <v>45528</v>
      </c>
      <c r="I840" s="1">
        <v>45558</v>
      </c>
      <c r="J840" t="s">
        <v>38</v>
      </c>
      <c r="K840" s="8">
        <f>Table2[[#This Row],[CurrentStock]]*Table2[[#This Row],[UnitPrice]]</f>
        <v>73341.13</v>
      </c>
      <c r="L840" t="str">
        <f>IF(Table2[[#This Row],[CurrentStock]]&lt;=Table2[[#This Row],[ReorderLevel]], "Reorder Needed", "Okay")</f>
        <v>Okay</v>
      </c>
      <c r="M840" t="str">
        <f>IF(Table2[[#This Row],[CurrentStock]]-Table2[[#This Row],[ReorderLevel]]&lt;0,Table2[[#This Row],[CurrentStock]]-Table2[[#This Row],[ReorderLevel]],"")</f>
        <v/>
      </c>
      <c r="N840" t="str">
        <f>IF(Table2[[#This Row],[Stock Gap]]&lt;0, "Understock","Okay")</f>
        <v>Okay</v>
      </c>
      <c r="O840" s="13" t="str">
        <f>IF(Table2[[#This Row],[Stock Gap]]&lt;0, "Yes", "No")</f>
        <v>No</v>
      </c>
      <c r="P840" s="13" t="str">
        <f>IF(Table2[[#This Row],[CurrentStock]]&lt;Table2[[#This Row],[ReorderLevel]],"Reorder", "Okay")</f>
        <v>Okay</v>
      </c>
      <c r="Q840" s="13" t="str">
        <f>IF(Table2[[#This Row],[CurrentStock]]&gt;Table2[[#This Row],[ReorderLevel]]*3, "Overstock", "Okay")</f>
        <v>Okay</v>
      </c>
    </row>
    <row r="841" spans="1:17" x14ac:dyDescent="0.35">
      <c r="A841">
        <v>59037</v>
      </c>
      <c r="B841" t="s">
        <v>24</v>
      </c>
      <c r="C841" t="s">
        <v>30</v>
      </c>
      <c r="D841">
        <v>471</v>
      </c>
      <c r="E841">
        <v>40</v>
      </c>
      <c r="F841" s="2">
        <v>453.43</v>
      </c>
      <c r="G841" t="s">
        <v>33</v>
      </c>
      <c r="H841" s="1">
        <v>45397</v>
      </c>
      <c r="I841" s="1">
        <v>45433</v>
      </c>
      <c r="J841" t="s">
        <v>38</v>
      </c>
      <c r="K841" s="8">
        <f>Table2[[#This Row],[CurrentStock]]*Table2[[#This Row],[UnitPrice]]</f>
        <v>213565.53</v>
      </c>
      <c r="L841" t="str">
        <f>IF(Table2[[#This Row],[CurrentStock]]&lt;=Table2[[#This Row],[ReorderLevel]], "Reorder Needed", "Okay")</f>
        <v>Okay</v>
      </c>
      <c r="M841" t="str">
        <f>IF(Table2[[#This Row],[CurrentStock]]-Table2[[#This Row],[ReorderLevel]]&lt;0,Table2[[#This Row],[CurrentStock]]-Table2[[#This Row],[ReorderLevel]],"")</f>
        <v/>
      </c>
      <c r="N841" t="str">
        <f>IF(Table2[[#This Row],[Stock Gap]]&lt;0, "Understock","Okay")</f>
        <v>Okay</v>
      </c>
      <c r="O841" s="13" t="str">
        <f>IF(Table2[[#This Row],[Stock Gap]]&lt;0, "Yes", "No")</f>
        <v>No</v>
      </c>
      <c r="P841" s="13" t="str">
        <f>IF(Table2[[#This Row],[CurrentStock]]&lt;Table2[[#This Row],[ReorderLevel]],"Reorder", "Okay")</f>
        <v>Okay</v>
      </c>
      <c r="Q841" s="13" t="str">
        <f>IF(Table2[[#This Row],[CurrentStock]]&gt;Table2[[#This Row],[ReorderLevel]]*3, "Overstock", "Okay")</f>
        <v>Overstock</v>
      </c>
    </row>
    <row r="842" spans="1:17" x14ac:dyDescent="0.35">
      <c r="A842">
        <v>36393</v>
      </c>
      <c r="B842" t="s">
        <v>15</v>
      </c>
      <c r="C842" t="s">
        <v>29</v>
      </c>
      <c r="D842">
        <v>346</v>
      </c>
      <c r="E842">
        <v>20</v>
      </c>
      <c r="F842" s="2">
        <v>164.16</v>
      </c>
      <c r="G842" t="s">
        <v>34</v>
      </c>
      <c r="H842" s="1">
        <v>45407</v>
      </c>
      <c r="I842" s="1">
        <v>45429</v>
      </c>
      <c r="J842" t="s">
        <v>37</v>
      </c>
      <c r="K842" s="8">
        <f>Table2[[#This Row],[CurrentStock]]*Table2[[#This Row],[UnitPrice]]</f>
        <v>56799.360000000001</v>
      </c>
      <c r="L842" t="str">
        <f>IF(Table2[[#This Row],[CurrentStock]]&lt;=Table2[[#This Row],[ReorderLevel]], "Reorder Needed", "Okay")</f>
        <v>Okay</v>
      </c>
      <c r="M842" t="str">
        <f>IF(Table2[[#This Row],[CurrentStock]]-Table2[[#This Row],[ReorderLevel]]&lt;0,Table2[[#This Row],[CurrentStock]]-Table2[[#This Row],[ReorderLevel]],"")</f>
        <v/>
      </c>
      <c r="N842" t="str">
        <f>IF(Table2[[#This Row],[Stock Gap]]&lt;0, "Understock","Okay")</f>
        <v>Okay</v>
      </c>
      <c r="O842" s="13" t="str">
        <f>IF(Table2[[#This Row],[Stock Gap]]&lt;0, "Yes", "No")</f>
        <v>No</v>
      </c>
      <c r="P842" s="13" t="str">
        <f>IF(Table2[[#This Row],[CurrentStock]]&lt;Table2[[#This Row],[ReorderLevel]],"Reorder", "Okay")</f>
        <v>Okay</v>
      </c>
      <c r="Q842" s="13" t="str">
        <f>IF(Table2[[#This Row],[CurrentStock]]&gt;Table2[[#This Row],[ReorderLevel]]*3, "Overstock", "Okay")</f>
        <v>Overstock</v>
      </c>
    </row>
    <row r="843" spans="1:17" x14ac:dyDescent="0.35">
      <c r="A843">
        <v>62066</v>
      </c>
      <c r="B843" t="s">
        <v>13</v>
      </c>
      <c r="C843" t="s">
        <v>26</v>
      </c>
      <c r="D843">
        <v>361</v>
      </c>
      <c r="E843">
        <v>100</v>
      </c>
      <c r="F843" s="2">
        <v>30.75</v>
      </c>
      <c r="G843" t="s">
        <v>31</v>
      </c>
      <c r="H843" s="1">
        <v>45344</v>
      </c>
      <c r="I843" s="1">
        <v>45376</v>
      </c>
      <c r="J843" t="s">
        <v>37</v>
      </c>
      <c r="K843" s="8">
        <f>Table2[[#This Row],[CurrentStock]]*Table2[[#This Row],[UnitPrice]]</f>
        <v>11100.75</v>
      </c>
      <c r="L843" t="str">
        <f>IF(Table2[[#This Row],[CurrentStock]]&lt;=Table2[[#This Row],[ReorderLevel]], "Reorder Needed", "Okay")</f>
        <v>Okay</v>
      </c>
      <c r="M843" t="str">
        <f>IF(Table2[[#This Row],[CurrentStock]]-Table2[[#This Row],[ReorderLevel]]&lt;0,Table2[[#This Row],[CurrentStock]]-Table2[[#This Row],[ReorderLevel]],"")</f>
        <v/>
      </c>
      <c r="N843" t="str">
        <f>IF(Table2[[#This Row],[Stock Gap]]&lt;0, "Understock","Okay")</f>
        <v>Okay</v>
      </c>
      <c r="O843" s="13" t="str">
        <f>IF(Table2[[#This Row],[Stock Gap]]&lt;0, "Yes", "No")</f>
        <v>No</v>
      </c>
      <c r="P843" s="13" t="str">
        <f>IF(Table2[[#This Row],[CurrentStock]]&lt;Table2[[#This Row],[ReorderLevel]],"Reorder", "Okay")</f>
        <v>Okay</v>
      </c>
      <c r="Q843" s="13" t="str">
        <f>IF(Table2[[#This Row],[CurrentStock]]&gt;Table2[[#This Row],[ReorderLevel]]*3, "Overstock", "Okay")</f>
        <v>Overstock</v>
      </c>
    </row>
    <row r="844" spans="1:17" x14ac:dyDescent="0.35">
      <c r="A844">
        <v>92315</v>
      </c>
      <c r="B844" t="s">
        <v>12</v>
      </c>
      <c r="C844" t="s">
        <v>28</v>
      </c>
      <c r="D844">
        <v>432</v>
      </c>
      <c r="E844">
        <v>150</v>
      </c>
      <c r="F844" s="2">
        <v>257.31</v>
      </c>
      <c r="G844" t="s">
        <v>31</v>
      </c>
      <c r="H844" s="1">
        <v>45378</v>
      </c>
      <c r="I844" s="1">
        <v>45401</v>
      </c>
      <c r="J844" t="s">
        <v>36</v>
      </c>
      <c r="K844" s="8">
        <f>Table2[[#This Row],[CurrentStock]]*Table2[[#This Row],[UnitPrice]]</f>
        <v>111157.92</v>
      </c>
      <c r="L844" t="str">
        <f>IF(Table2[[#This Row],[CurrentStock]]&lt;=Table2[[#This Row],[ReorderLevel]], "Reorder Needed", "Okay")</f>
        <v>Okay</v>
      </c>
      <c r="M844" t="str">
        <f>IF(Table2[[#This Row],[CurrentStock]]-Table2[[#This Row],[ReorderLevel]]&lt;0,Table2[[#This Row],[CurrentStock]]-Table2[[#This Row],[ReorderLevel]],"")</f>
        <v/>
      </c>
      <c r="N844" t="str">
        <f>IF(Table2[[#This Row],[Stock Gap]]&lt;0, "Understock","Okay")</f>
        <v>Okay</v>
      </c>
      <c r="O844" s="13" t="str">
        <f>IF(Table2[[#This Row],[Stock Gap]]&lt;0, "Yes", "No")</f>
        <v>No</v>
      </c>
      <c r="P844" s="13" t="str">
        <f>IF(Table2[[#This Row],[CurrentStock]]&lt;Table2[[#This Row],[ReorderLevel]],"Reorder", "Okay")</f>
        <v>Okay</v>
      </c>
      <c r="Q844" s="13" t="str">
        <f>IF(Table2[[#This Row],[CurrentStock]]&gt;Table2[[#This Row],[ReorderLevel]]*3, "Overstock", "Okay")</f>
        <v>Okay</v>
      </c>
    </row>
    <row r="845" spans="1:17" x14ac:dyDescent="0.35">
      <c r="A845">
        <v>63331</v>
      </c>
      <c r="B845" t="s">
        <v>15</v>
      </c>
      <c r="C845" t="s">
        <v>29</v>
      </c>
      <c r="D845">
        <v>28</v>
      </c>
      <c r="E845">
        <v>30</v>
      </c>
      <c r="F845" s="2">
        <v>101.52</v>
      </c>
      <c r="G845" t="s">
        <v>33</v>
      </c>
      <c r="H845" s="1">
        <v>45655</v>
      </c>
      <c r="I845" s="1">
        <v>45661</v>
      </c>
      <c r="J845" t="s">
        <v>38</v>
      </c>
      <c r="K845" s="8">
        <f>Table2[[#This Row],[CurrentStock]]*Table2[[#This Row],[UnitPrice]]</f>
        <v>2842.56</v>
      </c>
      <c r="L845" t="str">
        <f>IF(Table2[[#This Row],[CurrentStock]]&lt;=Table2[[#This Row],[ReorderLevel]], "Reorder Needed", "Okay")</f>
        <v>Reorder Needed</v>
      </c>
      <c r="M845" s="7">
        <f>IF(Table2[[#This Row],[CurrentStock]]-Table2[[#This Row],[ReorderLevel]]&lt;0,Table2[[#This Row],[CurrentStock]]-Table2[[#This Row],[ReorderLevel]],"")</f>
        <v>-2</v>
      </c>
      <c r="N845" t="str">
        <f>IF(Table2[[#This Row],[Stock Gap]]&lt;0, "Understock","Okay")</f>
        <v>Understock</v>
      </c>
      <c r="O845" s="13" t="str">
        <f>IF(Table2[[#This Row],[Stock Gap]]&lt;0, "Yes", "No")</f>
        <v>Yes</v>
      </c>
      <c r="P845" s="13" t="str">
        <f>IF(Table2[[#This Row],[CurrentStock]]&lt;Table2[[#This Row],[ReorderLevel]],"Reorder", "Okay")</f>
        <v>Reorder</v>
      </c>
      <c r="Q845" s="13" t="str">
        <f>IF(Table2[[#This Row],[CurrentStock]]&gt;Table2[[#This Row],[ReorderLevel]]*3, "Overstock", "Okay")</f>
        <v>Okay</v>
      </c>
    </row>
    <row r="846" spans="1:17" x14ac:dyDescent="0.35">
      <c r="A846">
        <v>19719</v>
      </c>
      <c r="B846" t="s">
        <v>20</v>
      </c>
      <c r="C846" t="s">
        <v>30</v>
      </c>
      <c r="D846">
        <v>278</v>
      </c>
      <c r="E846">
        <v>40</v>
      </c>
      <c r="F846" s="2">
        <v>401.9</v>
      </c>
      <c r="G846" t="s">
        <v>32</v>
      </c>
      <c r="H846" s="1">
        <v>45622</v>
      </c>
      <c r="I846" s="1">
        <v>45654</v>
      </c>
      <c r="J846" t="s">
        <v>37</v>
      </c>
      <c r="K846" s="8">
        <f>Table2[[#This Row],[CurrentStock]]*Table2[[#This Row],[UnitPrice]]</f>
        <v>111728.2</v>
      </c>
      <c r="L846" t="str">
        <f>IF(Table2[[#This Row],[CurrentStock]]&lt;=Table2[[#This Row],[ReorderLevel]], "Reorder Needed", "Okay")</f>
        <v>Okay</v>
      </c>
      <c r="M846" t="str">
        <f>IF(Table2[[#This Row],[CurrentStock]]-Table2[[#This Row],[ReorderLevel]]&lt;0,Table2[[#This Row],[CurrentStock]]-Table2[[#This Row],[ReorderLevel]],"")</f>
        <v/>
      </c>
      <c r="N846" t="str">
        <f>IF(Table2[[#This Row],[Stock Gap]]&lt;0, "Understock","Okay")</f>
        <v>Okay</v>
      </c>
      <c r="O846" s="13" t="str">
        <f>IF(Table2[[#This Row],[Stock Gap]]&lt;0, "Yes", "No")</f>
        <v>No</v>
      </c>
      <c r="P846" s="13" t="str">
        <f>IF(Table2[[#This Row],[CurrentStock]]&lt;Table2[[#This Row],[ReorderLevel]],"Reorder", "Okay")</f>
        <v>Okay</v>
      </c>
      <c r="Q846" s="13" t="str">
        <f>IF(Table2[[#This Row],[CurrentStock]]&gt;Table2[[#This Row],[ReorderLevel]]*3, "Overstock", "Okay")</f>
        <v>Overstock</v>
      </c>
    </row>
    <row r="847" spans="1:17" x14ac:dyDescent="0.35">
      <c r="A847">
        <v>49029</v>
      </c>
      <c r="B847" t="s">
        <v>15</v>
      </c>
      <c r="C847" t="s">
        <v>29</v>
      </c>
      <c r="D847">
        <v>228</v>
      </c>
      <c r="E847">
        <v>30</v>
      </c>
      <c r="F847" s="2">
        <v>88.22</v>
      </c>
      <c r="G847" t="s">
        <v>32</v>
      </c>
      <c r="H847" s="1">
        <v>45341</v>
      </c>
      <c r="I847" s="1">
        <v>45359</v>
      </c>
      <c r="J847" t="s">
        <v>37</v>
      </c>
      <c r="K847" s="8">
        <f>Table2[[#This Row],[CurrentStock]]*Table2[[#This Row],[UnitPrice]]</f>
        <v>20114.16</v>
      </c>
      <c r="L847" t="str">
        <f>IF(Table2[[#This Row],[CurrentStock]]&lt;=Table2[[#This Row],[ReorderLevel]], "Reorder Needed", "Okay")</f>
        <v>Okay</v>
      </c>
      <c r="M847" t="str">
        <f>IF(Table2[[#This Row],[CurrentStock]]-Table2[[#This Row],[ReorderLevel]]&lt;0,Table2[[#This Row],[CurrentStock]]-Table2[[#This Row],[ReorderLevel]],"")</f>
        <v/>
      </c>
      <c r="N847" t="str">
        <f>IF(Table2[[#This Row],[Stock Gap]]&lt;0, "Understock","Okay")</f>
        <v>Okay</v>
      </c>
      <c r="O847" s="13" t="str">
        <f>IF(Table2[[#This Row],[Stock Gap]]&lt;0, "Yes", "No")</f>
        <v>No</v>
      </c>
      <c r="P847" s="13" t="str">
        <f>IF(Table2[[#This Row],[CurrentStock]]&lt;Table2[[#This Row],[ReorderLevel]],"Reorder", "Okay")</f>
        <v>Okay</v>
      </c>
      <c r="Q847" s="13" t="str">
        <f>IF(Table2[[#This Row],[CurrentStock]]&gt;Table2[[#This Row],[ReorderLevel]]*3, "Overstock", "Okay")</f>
        <v>Overstock</v>
      </c>
    </row>
    <row r="848" spans="1:17" x14ac:dyDescent="0.35">
      <c r="A848">
        <v>66247</v>
      </c>
      <c r="B848" t="s">
        <v>18</v>
      </c>
      <c r="C848" t="s">
        <v>27</v>
      </c>
      <c r="D848">
        <v>394</v>
      </c>
      <c r="E848">
        <v>150</v>
      </c>
      <c r="F848" s="2">
        <v>337.96</v>
      </c>
      <c r="G848" t="s">
        <v>33</v>
      </c>
      <c r="H848" s="1">
        <v>45614</v>
      </c>
      <c r="I848" s="1">
        <v>45632</v>
      </c>
      <c r="J848" t="s">
        <v>37</v>
      </c>
      <c r="K848" s="8">
        <f>Table2[[#This Row],[CurrentStock]]*Table2[[#This Row],[UnitPrice]]</f>
        <v>133156.24</v>
      </c>
      <c r="L848" t="str">
        <f>IF(Table2[[#This Row],[CurrentStock]]&lt;=Table2[[#This Row],[ReorderLevel]], "Reorder Needed", "Okay")</f>
        <v>Okay</v>
      </c>
      <c r="M848" t="str">
        <f>IF(Table2[[#This Row],[CurrentStock]]-Table2[[#This Row],[ReorderLevel]]&lt;0,Table2[[#This Row],[CurrentStock]]-Table2[[#This Row],[ReorderLevel]],"")</f>
        <v/>
      </c>
      <c r="N848" t="str">
        <f>IF(Table2[[#This Row],[Stock Gap]]&lt;0, "Understock","Okay")</f>
        <v>Okay</v>
      </c>
      <c r="O848" s="13" t="str">
        <f>IF(Table2[[#This Row],[Stock Gap]]&lt;0, "Yes", "No")</f>
        <v>No</v>
      </c>
      <c r="P848" s="13" t="str">
        <f>IF(Table2[[#This Row],[CurrentStock]]&lt;Table2[[#This Row],[ReorderLevel]],"Reorder", "Okay")</f>
        <v>Okay</v>
      </c>
      <c r="Q848" s="13" t="str">
        <f>IF(Table2[[#This Row],[CurrentStock]]&gt;Table2[[#This Row],[ReorderLevel]]*3, "Overstock", "Okay")</f>
        <v>Okay</v>
      </c>
    </row>
    <row r="849" spans="1:17" x14ac:dyDescent="0.35">
      <c r="A849">
        <v>56228</v>
      </c>
      <c r="B849" t="s">
        <v>17</v>
      </c>
      <c r="C849" t="s">
        <v>27</v>
      </c>
      <c r="D849">
        <v>393</v>
      </c>
      <c r="E849">
        <v>40</v>
      </c>
      <c r="F849" s="2">
        <v>497.83</v>
      </c>
      <c r="G849" t="s">
        <v>33</v>
      </c>
      <c r="H849" s="1">
        <v>45339</v>
      </c>
      <c r="I849" s="1">
        <v>45365</v>
      </c>
      <c r="J849" t="s">
        <v>38</v>
      </c>
      <c r="K849" s="8">
        <f>Table2[[#This Row],[CurrentStock]]*Table2[[#This Row],[UnitPrice]]</f>
        <v>195647.19</v>
      </c>
      <c r="L849" t="str">
        <f>IF(Table2[[#This Row],[CurrentStock]]&lt;=Table2[[#This Row],[ReorderLevel]], "Reorder Needed", "Okay")</f>
        <v>Okay</v>
      </c>
      <c r="M849" t="str">
        <f>IF(Table2[[#This Row],[CurrentStock]]-Table2[[#This Row],[ReorderLevel]]&lt;0,Table2[[#This Row],[CurrentStock]]-Table2[[#This Row],[ReorderLevel]],"")</f>
        <v/>
      </c>
      <c r="N849" t="str">
        <f>IF(Table2[[#This Row],[Stock Gap]]&lt;0, "Understock","Okay")</f>
        <v>Okay</v>
      </c>
      <c r="O849" s="13" t="str">
        <f>IF(Table2[[#This Row],[Stock Gap]]&lt;0, "Yes", "No")</f>
        <v>No</v>
      </c>
      <c r="P849" s="13" t="str">
        <f>IF(Table2[[#This Row],[CurrentStock]]&lt;Table2[[#This Row],[ReorderLevel]],"Reorder", "Okay")</f>
        <v>Okay</v>
      </c>
      <c r="Q849" s="13" t="str">
        <f>IF(Table2[[#This Row],[CurrentStock]]&gt;Table2[[#This Row],[ReorderLevel]]*3, "Overstock", "Okay")</f>
        <v>Overstock</v>
      </c>
    </row>
    <row r="850" spans="1:17" x14ac:dyDescent="0.35">
      <c r="A850">
        <v>87924</v>
      </c>
      <c r="B850" t="s">
        <v>25</v>
      </c>
      <c r="C850" t="s">
        <v>29</v>
      </c>
      <c r="D850">
        <v>259</v>
      </c>
      <c r="E850">
        <v>50</v>
      </c>
      <c r="F850" s="2">
        <v>247.03</v>
      </c>
      <c r="G850" t="s">
        <v>35</v>
      </c>
      <c r="H850" s="1">
        <v>45300</v>
      </c>
      <c r="I850" s="1">
        <v>45339</v>
      </c>
      <c r="J850" t="s">
        <v>38</v>
      </c>
      <c r="K850" s="8">
        <f>Table2[[#This Row],[CurrentStock]]*Table2[[#This Row],[UnitPrice]]</f>
        <v>63980.77</v>
      </c>
      <c r="L850" t="str">
        <f>IF(Table2[[#This Row],[CurrentStock]]&lt;=Table2[[#This Row],[ReorderLevel]], "Reorder Needed", "Okay")</f>
        <v>Okay</v>
      </c>
      <c r="M850" t="str">
        <f>IF(Table2[[#This Row],[CurrentStock]]-Table2[[#This Row],[ReorderLevel]]&lt;0,Table2[[#This Row],[CurrentStock]]-Table2[[#This Row],[ReorderLevel]],"")</f>
        <v/>
      </c>
      <c r="N850" t="str">
        <f>IF(Table2[[#This Row],[Stock Gap]]&lt;0, "Understock","Okay")</f>
        <v>Okay</v>
      </c>
      <c r="O850" s="13" t="str">
        <f>IF(Table2[[#This Row],[Stock Gap]]&lt;0, "Yes", "No")</f>
        <v>No</v>
      </c>
      <c r="P850" s="13" t="str">
        <f>IF(Table2[[#This Row],[CurrentStock]]&lt;Table2[[#This Row],[ReorderLevel]],"Reorder", "Okay")</f>
        <v>Okay</v>
      </c>
      <c r="Q850" s="13" t="str">
        <f>IF(Table2[[#This Row],[CurrentStock]]&gt;Table2[[#This Row],[ReorderLevel]]*3, "Overstock", "Okay")</f>
        <v>Overstock</v>
      </c>
    </row>
    <row r="851" spans="1:17" x14ac:dyDescent="0.35">
      <c r="A851">
        <v>36849</v>
      </c>
      <c r="B851" t="s">
        <v>23</v>
      </c>
      <c r="C851" t="s">
        <v>30</v>
      </c>
      <c r="D851">
        <v>455</v>
      </c>
      <c r="E851">
        <v>40</v>
      </c>
      <c r="F851" s="2">
        <v>143.27000000000001</v>
      </c>
      <c r="G851" t="s">
        <v>31</v>
      </c>
      <c r="H851" s="1">
        <v>45628</v>
      </c>
      <c r="I851" s="1">
        <v>45663</v>
      </c>
      <c r="J851" t="s">
        <v>36</v>
      </c>
      <c r="K851" s="8">
        <f>Table2[[#This Row],[CurrentStock]]*Table2[[#This Row],[UnitPrice]]</f>
        <v>65187.850000000006</v>
      </c>
      <c r="L851" t="str">
        <f>IF(Table2[[#This Row],[CurrentStock]]&lt;=Table2[[#This Row],[ReorderLevel]], "Reorder Needed", "Okay")</f>
        <v>Okay</v>
      </c>
      <c r="M851" t="str">
        <f>IF(Table2[[#This Row],[CurrentStock]]-Table2[[#This Row],[ReorderLevel]]&lt;0,Table2[[#This Row],[CurrentStock]]-Table2[[#This Row],[ReorderLevel]],"")</f>
        <v/>
      </c>
      <c r="N851" t="str">
        <f>IF(Table2[[#This Row],[Stock Gap]]&lt;0, "Understock","Okay")</f>
        <v>Okay</v>
      </c>
      <c r="O851" s="13" t="str">
        <f>IF(Table2[[#This Row],[Stock Gap]]&lt;0, "Yes", "No")</f>
        <v>No</v>
      </c>
      <c r="P851" s="13" t="str">
        <f>IF(Table2[[#This Row],[CurrentStock]]&lt;Table2[[#This Row],[ReorderLevel]],"Reorder", "Okay")</f>
        <v>Okay</v>
      </c>
      <c r="Q851" s="13" t="str">
        <f>IF(Table2[[#This Row],[CurrentStock]]&gt;Table2[[#This Row],[ReorderLevel]]*3, "Overstock", "Okay")</f>
        <v>Overstock</v>
      </c>
    </row>
    <row r="852" spans="1:17" x14ac:dyDescent="0.35">
      <c r="A852">
        <v>96669</v>
      </c>
      <c r="B852" t="s">
        <v>20</v>
      </c>
      <c r="C852" t="s">
        <v>30</v>
      </c>
      <c r="D852">
        <v>398</v>
      </c>
      <c r="E852">
        <v>150</v>
      </c>
      <c r="F852" s="2">
        <v>256.33999999999997</v>
      </c>
      <c r="G852" t="s">
        <v>33</v>
      </c>
      <c r="H852" s="1">
        <v>45426</v>
      </c>
      <c r="I852" s="1">
        <v>45460</v>
      </c>
      <c r="J852" t="s">
        <v>38</v>
      </c>
      <c r="K852" s="8">
        <f>Table2[[#This Row],[CurrentStock]]*Table2[[#This Row],[UnitPrice]]</f>
        <v>102023.31999999999</v>
      </c>
      <c r="L852" t="str">
        <f>IF(Table2[[#This Row],[CurrentStock]]&lt;=Table2[[#This Row],[ReorderLevel]], "Reorder Needed", "Okay")</f>
        <v>Okay</v>
      </c>
      <c r="M852" t="str">
        <f>IF(Table2[[#This Row],[CurrentStock]]-Table2[[#This Row],[ReorderLevel]]&lt;0,Table2[[#This Row],[CurrentStock]]-Table2[[#This Row],[ReorderLevel]],"")</f>
        <v/>
      </c>
      <c r="N852" t="str">
        <f>IF(Table2[[#This Row],[Stock Gap]]&lt;0, "Understock","Okay")</f>
        <v>Okay</v>
      </c>
      <c r="O852" s="13" t="str">
        <f>IF(Table2[[#This Row],[Stock Gap]]&lt;0, "Yes", "No")</f>
        <v>No</v>
      </c>
      <c r="P852" s="13" t="str">
        <f>IF(Table2[[#This Row],[CurrentStock]]&lt;Table2[[#This Row],[ReorderLevel]],"Reorder", "Okay")</f>
        <v>Okay</v>
      </c>
      <c r="Q852" s="13" t="str">
        <f>IF(Table2[[#This Row],[CurrentStock]]&gt;Table2[[#This Row],[ReorderLevel]]*3, "Overstock", "Okay")</f>
        <v>Okay</v>
      </c>
    </row>
    <row r="853" spans="1:17" x14ac:dyDescent="0.35">
      <c r="A853">
        <v>86631</v>
      </c>
      <c r="B853" t="s">
        <v>11</v>
      </c>
      <c r="C853" t="s">
        <v>27</v>
      </c>
      <c r="D853">
        <v>325</v>
      </c>
      <c r="E853">
        <v>40</v>
      </c>
      <c r="F853" s="2">
        <v>49.46</v>
      </c>
      <c r="G853" t="s">
        <v>35</v>
      </c>
      <c r="H853" s="1">
        <v>45574</v>
      </c>
      <c r="I853" s="1">
        <v>45596</v>
      </c>
      <c r="J853" t="s">
        <v>38</v>
      </c>
      <c r="K853" s="8">
        <f>Table2[[#This Row],[CurrentStock]]*Table2[[#This Row],[UnitPrice]]</f>
        <v>16074.5</v>
      </c>
      <c r="L853" t="str">
        <f>IF(Table2[[#This Row],[CurrentStock]]&lt;=Table2[[#This Row],[ReorderLevel]], "Reorder Needed", "Okay")</f>
        <v>Okay</v>
      </c>
      <c r="M853" t="str">
        <f>IF(Table2[[#This Row],[CurrentStock]]-Table2[[#This Row],[ReorderLevel]]&lt;0,Table2[[#This Row],[CurrentStock]]-Table2[[#This Row],[ReorderLevel]],"")</f>
        <v/>
      </c>
      <c r="N853" t="str">
        <f>IF(Table2[[#This Row],[Stock Gap]]&lt;0, "Understock","Okay")</f>
        <v>Okay</v>
      </c>
      <c r="O853" s="13" t="str">
        <f>IF(Table2[[#This Row],[Stock Gap]]&lt;0, "Yes", "No")</f>
        <v>No</v>
      </c>
      <c r="P853" s="13" t="str">
        <f>IF(Table2[[#This Row],[CurrentStock]]&lt;Table2[[#This Row],[ReorderLevel]],"Reorder", "Okay")</f>
        <v>Okay</v>
      </c>
      <c r="Q853" s="13" t="str">
        <f>IF(Table2[[#This Row],[CurrentStock]]&gt;Table2[[#This Row],[ReorderLevel]]*3, "Overstock", "Okay")</f>
        <v>Overstock</v>
      </c>
    </row>
    <row r="854" spans="1:17" x14ac:dyDescent="0.35">
      <c r="A854">
        <v>28705</v>
      </c>
      <c r="B854" t="s">
        <v>24</v>
      </c>
      <c r="C854" t="s">
        <v>30</v>
      </c>
      <c r="D854">
        <v>462</v>
      </c>
      <c r="E854">
        <v>40</v>
      </c>
      <c r="F854" s="2">
        <v>321.14</v>
      </c>
      <c r="G854" t="s">
        <v>33</v>
      </c>
      <c r="H854" s="1">
        <v>45315</v>
      </c>
      <c r="I854" s="1">
        <v>45320</v>
      </c>
      <c r="J854" t="s">
        <v>36</v>
      </c>
      <c r="K854" s="8">
        <f>Table2[[#This Row],[CurrentStock]]*Table2[[#This Row],[UnitPrice]]</f>
        <v>148366.68</v>
      </c>
      <c r="L854" t="str">
        <f>IF(Table2[[#This Row],[CurrentStock]]&lt;=Table2[[#This Row],[ReorderLevel]], "Reorder Needed", "Okay")</f>
        <v>Okay</v>
      </c>
      <c r="M854" t="str">
        <f>IF(Table2[[#This Row],[CurrentStock]]-Table2[[#This Row],[ReorderLevel]]&lt;0,Table2[[#This Row],[CurrentStock]]-Table2[[#This Row],[ReorderLevel]],"")</f>
        <v/>
      </c>
      <c r="N854" t="str">
        <f>IF(Table2[[#This Row],[Stock Gap]]&lt;0, "Understock","Okay")</f>
        <v>Okay</v>
      </c>
      <c r="O854" s="13" t="str">
        <f>IF(Table2[[#This Row],[Stock Gap]]&lt;0, "Yes", "No")</f>
        <v>No</v>
      </c>
      <c r="P854" s="13" t="str">
        <f>IF(Table2[[#This Row],[CurrentStock]]&lt;Table2[[#This Row],[ReorderLevel]],"Reorder", "Okay")</f>
        <v>Okay</v>
      </c>
      <c r="Q854" s="13" t="str">
        <f>IF(Table2[[#This Row],[CurrentStock]]&gt;Table2[[#This Row],[ReorderLevel]]*3, "Overstock", "Okay")</f>
        <v>Overstock</v>
      </c>
    </row>
    <row r="855" spans="1:17" x14ac:dyDescent="0.35">
      <c r="A855">
        <v>36739</v>
      </c>
      <c r="B855" t="s">
        <v>12</v>
      </c>
      <c r="C855" t="s">
        <v>28</v>
      </c>
      <c r="D855">
        <v>406</v>
      </c>
      <c r="E855">
        <v>80</v>
      </c>
      <c r="F855" s="2">
        <v>460.42</v>
      </c>
      <c r="G855" t="s">
        <v>35</v>
      </c>
      <c r="H855" s="1">
        <v>45525</v>
      </c>
      <c r="I855" s="1">
        <v>45564</v>
      </c>
      <c r="J855" t="s">
        <v>38</v>
      </c>
      <c r="K855" s="8">
        <f>Table2[[#This Row],[CurrentStock]]*Table2[[#This Row],[UnitPrice]]</f>
        <v>186930.52000000002</v>
      </c>
      <c r="L855" t="str">
        <f>IF(Table2[[#This Row],[CurrentStock]]&lt;=Table2[[#This Row],[ReorderLevel]], "Reorder Needed", "Okay")</f>
        <v>Okay</v>
      </c>
      <c r="M855" t="str">
        <f>IF(Table2[[#This Row],[CurrentStock]]-Table2[[#This Row],[ReorderLevel]]&lt;0,Table2[[#This Row],[CurrentStock]]-Table2[[#This Row],[ReorderLevel]],"")</f>
        <v/>
      </c>
      <c r="N855" t="str">
        <f>IF(Table2[[#This Row],[Stock Gap]]&lt;0, "Understock","Okay")</f>
        <v>Okay</v>
      </c>
      <c r="O855" s="13" t="str">
        <f>IF(Table2[[#This Row],[Stock Gap]]&lt;0, "Yes", "No")</f>
        <v>No</v>
      </c>
      <c r="P855" s="13" t="str">
        <f>IF(Table2[[#This Row],[CurrentStock]]&lt;Table2[[#This Row],[ReorderLevel]],"Reorder", "Okay")</f>
        <v>Okay</v>
      </c>
      <c r="Q855" s="13" t="str">
        <f>IF(Table2[[#This Row],[CurrentStock]]&gt;Table2[[#This Row],[ReorderLevel]]*3, "Overstock", "Okay")</f>
        <v>Overstock</v>
      </c>
    </row>
    <row r="856" spans="1:17" x14ac:dyDescent="0.35">
      <c r="A856">
        <v>94085</v>
      </c>
      <c r="B856" t="s">
        <v>21</v>
      </c>
      <c r="C856" t="s">
        <v>26</v>
      </c>
      <c r="D856">
        <v>209</v>
      </c>
      <c r="E856">
        <v>100</v>
      </c>
      <c r="F856" s="2">
        <v>204.12</v>
      </c>
      <c r="G856" t="s">
        <v>35</v>
      </c>
      <c r="H856" s="1">
        <v>45571</v>
      </c>
      <c r="I856" s="1">
        <v>45583</v>
      </c>
      <c r="J856" t="s">
        <v>36</v>
      </c>
      <c r="K856" s="8">
        <f>Table2[[#This Row],[CurrentStock]]*Table2[[#This Row],[UnitPrice]]</f>
        <v>42661.08</v>
      </c>
      <c r="L856" t="str">
        <f>IF(Table2[[#This Row],[CurrentStock]]&lt;=Table2[[#This Row],[ReorderLevel]], "Reorder Needed", "Okay")</f>
        <v>Okay</v>
      </c>
      <c r="M856" t="str">
        <f>IF(Table2[[#This Row],[CurrentStock]]-Table2[[#This Row],[ReorderLevel]]&lt;0,Table2[[#This Row],[CurrentStock]]-Table2[[#This Row],[ReorderLevel]],"")</f>
        <v/>
      </c>
      <c r="N856" t="str">
        <f>IF(Table2[[#This Row],[Stock Gap]]&lt;0, "Understock","Okay")</f>
        <v>Okay</v>
      </c>
      <c r="O856" s="13" t="str">
        <f>IF(Table2[[#This Row],[Stock Gap]]&lt;0, "Yes", "No")</f>
        <v>No</v>
      </c>
      <c r="P856" s="13" t="str">
        <f>IF(Table2[[#This Row],[CurrentStock]]&lt;Table2[[#This Row],[ReorderLevel]],"Reorder", "Okay")</f>
        <v>Okay</v>
      </c>
      <c r="Q856" s="13" t="str">
        <f>IF(Table2[[#This Row],[CurrentStock]]&gt;Table2[[#This Row],[ReorderLevel]]*3, "Overstock", "Okay")</f>
        <v>Okay</v>
      </c>
    </row>
    <row r="857" spans="1:17" x14ac:dyDescent="0.35">
      <c r="A857">
        <v>29558</v>
      </c>
      <c r="B857" t="s">
        <v>21</v>
      </c>
      <c r="C857" t="s">
        <v>26</v>
      </c>
      <c r="D857">
        <v>99</v>
      </c>
      <c r="E857">
        <v>80</v>
      </c>
      <c r="F857" s="2">
        <v>56.89</v>
      </c>
      <c r="G857" t="s">
        <v>32</v>
      </c>
      <c r="H857" s="1">
        <v>45645</v>
      </c>
      <c r="I857" s="1">
        <v>45679</v>
      </c>
      <c r="J857" t="s">
        <v>36</v>
      </c>
      <c r="K857" s="8">
        <f>Table2[[#This Row],[CurrentStock]]*Table2[[#This Row],[UnitPrice]]</f>
        <v>5632.11</v>
      </c>
      <c r="L857" t="str">
        <f>IF(Table2[[#This Row],[CurrentStock]]&lt;=Table2[[#This Row],[ReorderLevel]], "Reorder Needed", "Okay")</f>
        <v>Okay</v>
      </c>
      <c r="M857" t="str">
        <f>IF(Table2[[#This Row],[CurrentStock]]-Table2[[#This Row],[ReorderLevel]]&lt;0,Table2[[#This Row],[CurrentStock]]-Table2[[#This Row],[ReorderLevel]],"")</f>
        <v/>
      </c>
      <c r="N857" t="str">
        <f>IF(Table2[[#This Row],[Stock Gap]]&lt;0, "Understock","Okay")</f>
        <v>Okay</v>
      </c>
      <c r="O857" s="13" t="str">
        <f>IF(Table2[[#This Row],[Stock Gap]]&lt;0, "Yes", "No")</f>
        <v>No</v>
      </c>
      <c r="P857" s="13" t="str">
        <f>IF(Table2[[#This Row],[CurrentStock]]&lt;Table2[[#This Row],[ReorderLevel]],"Reorder", "Okay")</f>
        <v>Okay</v>
      </c>
      <c r="Q857" s="13" t="str">
        <f>IF(Table2[[#This Row],[CurrentStock]]&gt;Table2[[#This Row],[ReorderLevel]]*3, "Overstock", "Okay")</f>
        <v>Okay</v>
      </c>
    </row>
    <row r="858" spans="1:17" x14ac:dyDescent="0.35">
      <c r="A858">
        <v>70926</v>
      </c>
      <c r="B858" t="s">
        <v>22</v>
      </c>
      <c r="C858" t="s">
        <v>29</v>
      </c>
      <c r="D858">
        <v>6</v>
      </c>
      <c r="E858">
        <v>150</v>
      </c>
      <c r="F858" s="2">
        <v>206.18</v>
      </c>
      <c r="G858" t="s">
        <v>35</v>
      </c>
      <c r="H858" s="1">
        <v>45481</v>
      </c>
      <c r="I858" s="1">
        <v>45513</v>
      </c>
      <c r="J858" t="s">
        <v>38</v>
      </c>
      <c r="K858" s="8">
        <f>Table2[[#This Row],[CurrentStock]]*Table2[[#This Row],[UnitPrice]]</f>
        <v>1237.08</v>
      </c>
      <c r="L858" t="str">
        <f>IF(Table2[[#This Row],[CurrentStock]]&lt;=Table2[[#This Row],[ReorderLevel]], "Reorder Needed", "Okay")</f>
        <v>Reorder Needed</v>
      </c>
      <c r="M858" s="7">
        <f>IF(Table2[[#This Row],[CurrentStock]]-Table2[[#This Row],[ReorderLevel]]&lt;0,Table2[[#This Row],[CurrentStock]]-Table2[[#This Row],[ReorderLevel]],"")</f>
        <v>-144</v>
      </c>
      <c r="N858" t="str">
        <f>IF(Table2[[#This Row],[Stock Gap]]&lt;0, "Understock","Okay")</f>
        <v>Understock</v>
      </c>
      <c r="O858" s="13" t="str">
        <f>IF(Table2[[#This Row],[Stock Gap]]&lt;0, "Yes", "No")</f>
        <v>Yes</v>
      </c>
      <c r="P858" s="13" t="str">
        <f>IF(Table2[[#This Row],[CurrentStock]]&lt;Table2[[#This Row],[ReorderLevel]],"Reorder", "Okay")</f>
        <v>Reorder</v>
      </c>
      <c r="Q858" s="13" t="str">
        <f>IF(Table2[[#This Row],[CurrentStock]]&gt;Table2[[#This Row],[ReorderLevel]]*3, "Overstock", "Okay")</f>
        <v>Okay</v>
      </c>
    </row>
    <row r="859" spans="1:17" x14ac:dyDescent="0.35">
      <c r="A859">
        <v>23163</v>
      </c>
      <c r="B859" t="s">
        <v>13</v>
      </c>
      <c r="C859" t="s">
        <v>26</v>
      </c>
      <c r="D859">
        <v>465</v>
      </c>
      <c r="E859">
        <v>50</v>
      </c>
      <c r="F859" s="2">
        <v>198.17</v>
      </c>
      <c r="G859" t="s">
        <v>32</v>
      </c>
      <c r="H859" s="1">
        <v>45298</v>
      </c>
      <c r="I859" s="1">
        <v>45330</v>
      </c>
      <c r="J859" t="s">
        <v>38</v>
      </c>
      <c r="K859" s="8">
        <f>Table2[[#This Row],[CurrentStock]]*Table2[[#This Row],[UnitPrice]]</f>
        <v>92149.049999999988</v>
      </c>
      <c r="L859" t="str">
        <f>IF(Table2[[#This Row],[CurrentStock]]&lt;=Table2[[#This Row],[ReorderLevel]], "Reorder Needed", "Okay")</f>
        <v>Okay</v>
      </c>
      <c r="M859" t="str">
        <f>IF(Table2[[#This Row],[CurrentStock]]-Table2[[#This Row],[ReorderLevel]]&lt;0,Table2[[#This Row],[CurrentStock]]-Table2[[#This Row],[ReorderLevel]],"")</f>
        <v/>
      </c>
      <c r="N859" t="str">
        <f>IF(Table2[[#This Row],[Stock Gap]]&lt;0, "Understock","Okay")</f>
        <v>Okay</v>
      </c>
      <c r="O859" s="13" t="str">
        <f>IF(Table2[[#This Row],[Stock Gap]]&lt;0, "Yes", "No")</f>
        <v>No</v>
      </c>
      <c r="P859" s="13" t="str">
        <f>IF(Table2[[#This Row],[CurrentStock]]&lt;Table2[[#This Row],[ReorderLevel]],"Reorder", "Okay")</f>
        <v>Okay</v>
      </c>
      <c r="Q859" s="13" t="str">
        <f>IF(Table2[[#This Row],[CurrentStock]]&gt;Table2[[#This Row],[ReorderLevel]]*3, "Overstock", "Okay")</f>
        <v>Overstock</v>
      </c>
    </row>
    <row r="860" spans="1:17" x14ac:dyDescent="0.35">
      <c r="A860">
        <v>12413</v>
      </c>
      <c r="B860" t="s">
        <v>21</v>
      </c>
      <c r="C860" t="s">
        <v>26</v>
      </c>
      <c r="D860">
        <v>239</v>
      </c>
      <c r="E860">
        <v>50</v>
      </c>
      <c r="F860" s="2">
        <v>327.11</v>
      </c>
      <c r="G860" t="s">
        <v>32</v>
      </c>
      <c r="H860" s="1">
        <v>45614</v>
      </c>
      <c r="I860" s="1">
        <v>45641</v>
      </c>
      <c r="J860" t="s">
        <v>38</v>
      </c>
      <c r="K860" s="8">
        <f>Table2[[#This Row],[CurrentStock]]*Table2[[#This Row],[UnitPrice]]</f>
        <v>78179.290000000008</v>
      </c>
      <c r="L860" t="str">
        <f>IF(Table2[[#This Row],[CurrentStock]]&lt;=Table2[[#This Row],[ReorderLevel]], "Reorder Needed", "Okay")</f>
        <v>Okay</v>
      </c>
      <c r="M860" t="str">
        <f>IF(Table2[[#This Row],[CurrentStock]]-Table2[[#This Row],[ReorderLevel]]&lt;0,Table2[[#This Row],[CurrentStock]]-Table2[[#This Row],[ReorderLevel]],"")</f>
        <v/>
      </c>
      <c r="N860" t="str">
        <f>IF(Table2[[#This Row],[Stock Gap]]&lt;0, "Understock","Okay")</f>
        <v>Okay</v>
      </c>
      <c r="O860" s="13" t="str">
        <f>IF(Table2[[#This Row],[Stock Gap]]&lt;0, "Yes", "No")</f>
        <v>No</v>
      </c>
      <c r="P860" s="13" t="str">
        <f>IF(Table2[[#This Row],[CurrentStock]]&lt;Table2[[#This Row],[ReorderLevel]],"Reorder", "Okay")</f>
        <v>Okay</v>
      </c>
      <c r="Q860" s="13" t="str">
        <f>IF(Table2[[#This Row],[CurrentStock]]&gt;Table2[[#This Row],[ReorderLevel]]*3, "Overstock", "Okay")</f>
        <v>Overstock</v>
      </c>
    </row>
    <row r="861" spans="1:17" x14ac:dyDescent="0.35">
      <c r="A861">
        <v>89731</v>
      </c>
      <c r="B861" t="s">
        <v>14</v>
      </c>
      <c r="C861" t="s">
        <v>28</v>
      </c>
      <c r="D861">
        <v>8</v>
      </c>
      <c r="E861">
        <v>40</v>
      </c>
      <c r="F861" s="2">
        <v>305.32</v>
      </c>
      <c r="G861" t="s">
        <v>33</v>
      </c>
      <c r="H861" s="1">
        <v>45595</v>
      </c>
      <c r="I861" s="1">
        <v>45624</v>
      </c>
      <c r="J861" t="s">
        <v>36</v>
      </c>
      <c r="K861" s="8">
        <f>Table2[[#This Row],[CurrentStock]]*Table2[[#This Row],[UnitPrice]]</f>
        <v>2442.56</v>
      </c>
      <c r="L861" t="str">
        <f>IF(Table2[[#This Row],[CurrentStock]]&lt;=Table2[[#This Row],[ReorderLevel]], "Reorder Needed", "Okay")</f>
        <v>Reorder Needed</v>
      </c>
      <c r="M861" s="7">
        <f>IF(Table2[[#This Row],[CurrentStock]]-Table2[[#This Row],[ReorderLevel]]&lt;0,Table2[[#This Row],[CurrentStock]]-Table2[[#This Row],[ReorderLevel]],"")</f>
        <v>-32</v>
      </c>
      <c r="N861" t="str">
        <f>IF(Table2[[#This Row],[Stock Gap]]&lt;0, "Understock","Okay")</f>
        <v>Understock</v>
      </c>
      <c r="O861" s="13" t="str">
        <f>IF(Table2[[#This Row],[Stock Gap]]&lt;0, "Yes", "No")</f>
        <v>Yes</v>
      </c>
      <c r="P861" s="13" t="str">
        <f>IF(Table2[[#This Row],[CurrentStock]]&lt;Table2[[#This Row],[ReorderLevel]],"Reorder", "Okay")</f>
        <v>Reorder</v>
      </c>
      <c r="Q861" s="13" t="str">
        <f>IF(Table2[[#This Row],[CurrentStock]]&gt;Table2[[#This Row],[ReorderLevel]]*3, "Overstock", "Okay")</f>
        <v>Okay</v>
      </c>
    </row>
    <row r="862" spans="1:17" x14ac:dyDescent="0.35">
      <c r="A862">
        <v>11214</v>
      </c>
      <c r="B862" t="s">
        <v>12</v>
      </c>
      <c r="C862" t="s">
        <v>28</v>
      </c>
      <c r="D862">
        <v>118</v>
      </c>
      <c r="E862">
        <v>150</v>
      </c>
      <c r="F862" s="2">
        <v>172.05</v>
      </c>
      <c r="G862" t="s">
        <v>33</v>
      </c>
      <c r="H862" s="1">
        <v>45395</v>
      </c>
      <c r="I862" s="1">
        <v>45409</v>
      </c>
      <c r="J862" t="s">
        <v>37</v>
      </c>
      <c r="K862" s="8">
        <f>Table2[[#This Row],[CurrentStock]]*Table2[[#This Row],[UnitPrice]]</f>
        <v>20301.900000000001</v>
      </c>
      <c r="L862" t="str">
        <f>IF(Table2[[#This Row],[CurrentStock]]&lt;=Table2[[#This Row],[ReorderLevel]], "Reorder Needed", "Okay")</f>
        <v>Reorder Needed</v>
      </c>
      <c r="M862" s="7">
        <f>IF(Table2[[#This Row],[CurrentStock]]-Table2[[#This Row],[ReorderLevel]]&lt;0,Table2[[#This Row],[CurrentStock]]-Table2[[#This Row],[ReorderLevel]],"")</f>
        <v>-32</v>
      </c>
      <c r="N862" t="str">
        <f>IF(Table2[[#This Row],[Stock Gap]]&lt;0, "Understock","Okay")</f>
        <v>Understock</v>
      </c>
      <c r="O862" s="13" t="str">
        <f>IF(Table2[[#This Row],[Stock Gap]]&lt;0, "Yes", "No")</f>
        <v>Yes</v>
      </c>
      <c r="P862" s="13" t="str">
        <f>IF(Table2[[#This Row],[CurrentStock]]&lt;Table2[[#This Row],[ReorderLevel]],"Reorder", "Okay")</f>
        <v>Reorder</v>
      </c>
      <c r="Q862" s="13" t="str">
        <f>IF(Table2[[#This Row],[CurrentStock]]&gt;Table2[[#This Row],[ReorderLevel]]*3, "Overstock", "Okay")</f>
        <v>Okay</v>
      </c>
    </row>
    <row r="863" spans="1:17" x14ac:dyDescent="0.35">
      <c r="A863">
        <v>55807</v>
      </c>
      <c r="B863" t="s">
        <v>12</v>
      </c>
      <c r="C863" t="s">
        <v>28</v>
      </c>
      <c r="D863">
        <v>283</v>
      </c>
      <c r="E863">
        <v>80</v>
      </c>
      <c r="F863" s="2">
        <v>338.19</v>
      </c>
      <c r="G863" t="s">
        <v>32</v>
      </c>
      <c r="H863" s="1">
        <v>45497</v>
      </c>
      <c r="I863" s="1">
        <v>45534</v>
      </c>
      <c r="J863" t="s">
        <v>37</v>
      </c>
      <c r="K863" s="8">
        <f>Table2[[#This Row],[CurrentStock]]*Table2[[#This Row],[UnitPrice]]</f>
        <v>95707.77</v>
      </c>
      <c r="L863" t="str">
        <f>IF(Table2[[#This Row],[CurrentStock]]&lt;=Table2[[#This Row],[ReorderLevel]], "Reorder Needed", "Okay")</f>
        <v>Okay</v>
      </c>
      <c r="M863" t="str">
        <f>IF(Table2[[#This Row],[CurrentStock]]-Table2[[#This Row],[ReorderLevel]]&lt;0,Table2[[#This Row],[CurrentStock]]-Table2[[#This Row],[ReorderLevel]],"")</f>
        <v/>
      </c>
      <c r="N863" t="str">
        <f>IF(Table2[[#This Row],[Stock Gap]]&lt;0, "Understock","Okay")</f>
        <v>Okay</v>
      </c>
      <c r="O863" s="13" t="str">
        <f>IF(Table2[[#This Row],[Stock Gap]]&lt;0, "Yes", "No")</f>
        <v>No</v>
      </c>
      <c r="P863" s="13" t="str">
        <f>IF(Table2[[#This Row],[CurrentStock]]&lt;Table2[[#This Row],[ReorderLevel]],"Reorder", "Okay")</f>
        <v>Okay</v>
      </c>
      <c r="Q863" s="13" t="str">
        <f>IF(Table2[[#This Row],[CurrentStock]]&gt;Table2[[#This Row],[ReorderLevel]]*3, "Overstock", "Okay")</f>
        <v>Overstock</v>
      </c>
    </row>
    <row r="864" spans="1:17" x14ac:dyDescent="0.35">
      <c r="A864">
        <v>38469</v>
      </c>
      <c r="B864" t="s">
        <v>19</v>
      </c>
      <c r="C864" t="s">
        <v>28</v>
      </c>
      <c r="D864">
        <v>104</v>
      </c>
      <c r="E864">
        <v>30</v>
      </c>
      <c r="F864" s="2">
        <v>422.06</v>
      </c>
      <c r="G864" t="s">
        <v>31</v>
      </c>
      <c r="H864" s="1">
        <v>45549</v>
      </c>
      <c r="I864" s="1">
        <v>45565</v>
      </c>
      <c r="J864" t="s">
        <v>37</v>
      </c>
      <c r="K864" s="8">
        <f>Table2[[#This Row],[CurrentStock]]*Table2[[#This Row],[UnitPrice]]</f>
        <v>43894.239999999998</v>
      </c>
      <c r="L864" t="str">
        <f>IF(Table2[[#This Row],[CurrentStock]]&lt;=Table2[[#This Row],[ReorderLevel]], "Reorder Needed", "Okay")</f>
        <v>Okay</v>
      </c>
      <c r="M864" t="str">
        <f>IF(Table2[[#This Row],[CurrentStock]]-Table2[[#This Row],[ReorderLevel]]&lt;0,Table2[[#This Row],[CurrentStock]]-Table2[[#This Row],[ReorderLevel]],"")</f>
        <v/>
      </c>
      <c r="N864" t="str">
        <f>IF(Table2[[#This Row],[Stock Gap]]&lt;0, "Understock","Okay")</f>
        <v>Okay</v>
      </c>
      <c r="O864" s="13" t="str">
        <f>IF(Table2[[#This Row],[Stock Gap]]&lt;0, "Yes", "No")</f>
        <v>No</v>
      </c>
      <c r="P864" s="13" t="str">
        <f>IF(Table2[[#This Row],[CurrentStock]]&lt;Table2[[#This Row],[ReorderLevel]],"Reorder", "Okay")</f>
        <v>Okay</v>
      </c>
      <c r="Q864" s="13" t="str">
        <f>IF(Table2[[#This Row],[CurrentStock]]&gt;Table2[[#This Row],[ReorderLevel]]*3, "Overstock", "Okay")</f>
        <v>Overstock</v>
      </c>
    </row>
    <row r="865" spans="1:17" x14ac:dyDescent="0.35">
      <c r="A865">
        <v>26608</v>
      </c>
      <c r="B865" t="s">
        <v>9</v>
      </c>
      <c r="C865" t="s">
        <v>26</v>
      </c>
      <c r="D865">
        <v>378</v>
      </c>
      <c r="E865">
        <v>100</v>
      </c>
      <c r="F865" s="2">
        <v>337.08</v>
      </c>
      <c r="G865" t="s">
        <v>32</v>
      </c>
      <c r="H865" s="1">
        <v>45549</v>
      </c>
      <c r="I865" s="1">
        <v>45582</v>
      </c>
      <c r="J865" t="s">
        <v>38</v>
      </c>
      <c r="K865" s="8">
        <f>Table2[[#This Row],[CurrentStock]]*Table2[[#This Row],[UnitPrice]]</f>
        <v>127416.23999999999</v>
      </c>
      <c r="L865" t="str">
        <f>IF(Table2[[#This Row],[CurrentStock]]&lt;=Table2[[#This Row],[ReorderLevel]], "Reorder Needed", "Okay")</f>
        <v>Okay</v>
      </c>
      <c r="M865" t="str">
        <f>IF(Table2[[#This Row],[CurrentStock]]-Table2[[#This Row],[ReorderLevel]]&lt;0,Table2[[#This Row],[CurrentStock]]-Table2[[#This Row],[ReorderLevel]],"")</f>
        <v/>
      </c>
      <c r="N865" t="str">
        <f>IF(Table2[[#This Row],[Stock Gap]]&lt;0, "Understock","Okay")</f>
        <v>Okay</v>
      </c>
      <c r="O865" s="13" t="str">
        <f>IF(Table2[[#This Row],[Stock Gap]]&lt;0, "Yes", "No")</f>
        <v>No</v>
      </c>
      <c r="P865" s="13" t="str">
        <f>IF(Table2[[#This Row],[CurrentStock]]&lt;Table2[[#This Row],[ReorderLevel]],"Reorder", "Okay")</f>
        <v>Okay</v>
      </c>
      <c r="Q865" s="13" t="str">
        <f>IF(Table2[[#This Row],[CurrentStock]]&gt;Table2[[#This Row],[ReorderLevel]]*3, "Overstock", "Okay")</f>
        <v>Overstock</v>
      </c>
    </row>
    <row r="866" spans="1:17" x14ac:dyDescent="0.35">
      <c r="A866">
        <v>31630</v>
      </c>
      <c r="B866" t="s">
        <v>21</v>
      </c>
      <c r="C866" t="s">
        <v>26</v>
      </c>
      <c r="D866">
        <v>199</v>
      </c>
      <c r="E866">
        <v>80</v>
      </c>
      <c r="F866" s="2">
        <v>312.86</v>
      </c>
      <c r="G866" t="s">
        <v>35</v>
      </c>
      <c r="H866" s="1">
        <v>45644</v>
      </c>
      <c r="I866" s="1">
        <v>45654</v>
      </c>
      <c r="J866" t="s">
        <v>37</v>
      </c>
      <c r="K866" s="8">
        <f>Table2[[#This Row],[CurrentStock]]*Table2[[#This Row],[UnitPrice]]</f>
        <v>62259.14</v>
      </c>
      <c r="L866" t="str">
        <f>IF(Table2[[#This Row],[CurrentStock]]&lt;=Table2[[#This Row],[ReorderLevel]], "Reorder Needed", "Okay")</f>
        <v>Okay</v>
      </c>
      <c r="M866" t="str">
        <f>IF(Table2[[#This Row],[CurrentStock]]-Table2[[#This Row],[ReorderLevel]]&lt;0,Table2[[#This Row],[CurrentStock]]-Table2[[#This Row],[ReorderLevel]],"")</f>
        <v/>
      </c>
      <c r="N866" t="str">
        <f>IF(Table2[[#This Row],[Stock Gap]]&lt;0, "Understock","Okay")</f>
        <v>Okay</v>
      </c>
      <c r="O866" s="13" t="str">
        <f>IF(Table2[[#This Row],[Stock Gap]]&lt;0, "Yes", "No")</f>
        <v>No</v>
      </c>
      <c r="P866" s="13" t="str">
        <f>IF(Table2[[#This Row],[CurrentStock]]&lt;Table2[[#This Row],[ReorderLevel]],"Reorder", "Okay")</f>
        <v>Okay</v>
      </c>
      <c r="Q866" s="13" t="str">
        <f>IF(Table2[[#This Row],[CurrentStock]]&gt;Table2[[#This Row],[ReorderLevel]]*3, "Overstock", "Okay")</f>
        <v>Okay</v>
      </c>
    </row>
    <row r="867" spans="1:17" x14ac:dyDescent="0.35">
      <c r="A867">
        <v>82388</v>
      </c>
      <c r="B867" t="s">
        <v>19</v>
      </c>
      <c r="C867" t="s">
        <v>28</v>
      </c>
      <c r="D867">
        <v>234</v>
      </c>
      <c r="E867">
        <v>50</v>
      </c>
      <c r="F867" s="2">
        <v>107.72</v>
      </c>
      <c r="G867" t="s">
        <v>34</v>
      </c>
      <c r="H867" s="1">
        <v>45331</v>
      </c>
      <c r="I867" s="1">
        <v>45367</v>
      </c>
      <c r="J867" t="s">
        <v>38</v>
      </c>
      <c r="K867" s="8">
        <f>Table2[[#This Row],[CurrentStock]]*Table2[[#This Row],[UnitPrice]]</f>
        <v>25206.48</v>
      </c>
      <c r="L867" t="str">
        <f>IF(Table2[[#This Row],[CurrentStock]]&lt;=Table2[[#This Row],[ReorderLevel]], "Reorder Needed", "Okay")</f>
        <v>Okay</v>
      </c>
      <c r="M867" t="str">
        <f>IF(Table2[[#This Row],[CurrentStock]]-Table2[[#This Row],[ReorderLevel]]&lt;0,Table2[[#This Row],[CurrentStock]]-Table2[[#This Row],[ReorderLevel]],"")</f>
        <v/>
      </c>
      <c r="N867" t="str">
        <f>IF(Table2[[#This Row],[Stock Gap]]&lt;0, "Understock","Okay")</f>
        <v>Okay</v>
      </c>
      <c r="O867" s="13" t="str">
        <f>IF(Table2[[#This Row],[Stock Gap]]&lt;0, "Yes", "No")</f>
        <v>No</v>
      </c>
      <c r="P867" s="13" t="str">
        <f>IF(Table2[[#This Row],[CurrentStock]]&lt;Table2[[#This Row],[ReorderLevel]],"Reorder", "Okay")</f>
        <v>Okay</v>
      </c>
      <c r="Q867" s="13" t="str">
        <f>IF(Table2[[#This Row],[CurrentStock]]&gt;Table2[[#This Row],[ReorderLevel]]*3, "Overstock", "Okay")</f>
        <v>Overstock</v>
      </c>
    </row>
    <row r="868" spans="1:17" x14ac:dyDescent="0.35">
      <c r="A868">
        <v>34014</v>
      </c>
      <c r="B868" t="s">
        <v>11</v>
      </c>
      <c r="C868" t="s">
        <v>27</v>
      </c>
      <c r="D868">
        <v>97</v>
      </c>
      <c r="E868">
        <v>20</v>
      </c>
      <c r="F868" s="2">
        <v>75.680000000000007</v>
      </c>
      <c r="G868" t="s">
        <v>35</v>
      </c>
      <c r="H868" s="1">
        <v>45533</v>
      </c>
      <c r="I868" s="1">
        <v>45544</v>
      </c>
      <c r="J868" t="s">
        <v>38</v>
      </c>
      <c r="K868" s="8">
        <f>Table2[[#This Row],[CurrentStock]]*Table2[[#This Row],[UnitPrice]]</f>
        <v>7340.9600000000009</v>
      </c>
      <c r="L868" t="str">
        <f>IF(Table2[[#This Row],[CurrentStock]]&lt;=Table2[[#This Row],[ReorderLevel]], "Reorder Needed", "Okay")</f>
        <v>Okay</v>
      </c>
      <c r="M868" t="str">
        <f>IF(Table2[[#This Row],[CurrentStock]]-Table2[[#This Row],[ReorderLevel]]&lt;0,Table2[[#This Row],[CurrentStock]]-Table2[[#This Row],[ReorderLevel]],"")</f>
        <v/>
      </c>
      <c r="N868" t="str">
        <f>IF(Table2[[#This Row],[Stock Gap]]&lt;0, "Understock","Okay")</f>
        <v>Okay</v>
      </c>
      <c r="O868" s="13" t="str">
        <f>IF(Table2[[#This Row],[Stock Gap]]&lt;0, "Yes", "No")</f>
        <v>No</v>
      </c>
      <c r="P868" s="13" t="str">
        <f>IF(Table2[[#This Row],[CurrentStock]]&lt;Table2[[#This Row],[ReorderLevel]],"Reorder", "Okay")</f>
        <v>Okay</v>
      </c>
      <c r="Q868" s="13" t="str">
        <f>IF(Table2[[#This Row],[CurrentStock]]&gt;Table2[[#This Row],[ReorderLevel]]*3, "Overstock", "Okay")</f>
        <v>Overstock</v>
      </c>
    </row>
    <row r="869" spans="1:17" x14ac:dyDescent="0.35">
      <c r="A869">
        <v>93245</v>
      </c>
      <c r="B869" t="s">
        <v>13</v>
      </c>
      <c r="C869" t="s">
        <v>26</v>
      </c>
      <c r="D869">
        <v>280</v>
      </c>
      <c r="E869">
        <v>40</v>
      </c>
      <c r="F869" s="2">
        <v>178.34</v>
      </c>
      <c r="G869" t="s">
        <v>31</v>
      </c>
      <c r="H869" s="1">
        <v>45443</v>
      </c>
      <c r="I869" s="1">
        <v>45481</v>
      </c>
      <c r="J869" t="s">
        <v>37</v>
      </c>
      <c r="K869" s="8">
        <f>Table2[[#This Row],[CurrentStock]]*Table2[[#This Row],[UnitPrice]]</f>
        <v>49935.200000000004</v>
      </c>
      <c r="L869" t="str">
        <f>IF(Table2[[#This Row],[CurrentStock]]&lt;=Table2[[#This Row],[ReorderLevel]], "Reorder Needed", "Okay")</f>
        <v>Okay</v>
      </c>
      <c r="M869" t="str">
        <f>IF(Table2[[#This Row],[CurrentStock]]-Table2[[#This Row],[ReorderLevel]]&lt;0,Table2[[#This Row],[CurrentStock]]-Table2[[#This Row],[ReorderLevel]],"")</f>
        <v/>
      </c>
      <c r="N869" t="str">
        <f>IF(Table2[[#This Row],[Stock Gap]]&lt;0, "Understock","Okay")</f>
        <v>Okay</v>
      </c>
      <c r="O869" s="13" t="str">
        <f>IF(Table2[[#This Row],[Stock Gap]]&lt;0, "Yes", "No")</f>
        <v>No</v>
      </c>
      <c r="P869" s="13" t="str">
        <f>IF(Table2[[#This Row],[CurrentStock]]&lt;Table2[[#This Row],[ReorderLevel]],"Reorder", "Okay")</f>
        <v>Okay</v>
      </c>
      <c r="Q869" s="13" t="str">
        <f>IF(Table2[[#This Row],[CurrentStock]]&gt;Table2[[#This Row],[ReorderLevel]]*3, "Overstock", "Okay")</f>
        <v>Overstock</v>
      </c>
    </row>
    <row r="870" spans="1:17" x14ac:dyDescent="0.35">
      <c r="A870">
        <v>11831</v>
      </c>
      <c r="B870" t="s">
        <v>12</v>
      </c>
      <c r="C870" t="s">
        <v>28</v>
      </c>
      <c r="D870">
        <v>48</v>
      </c>
      <c r="E870">
        <v>100</v>
      </c>
      <c r="F870" s="2">
        <v>194.27</v>
      </c>
      <c r="G870" t="s">
        <v>32</v>
      </c>
      <c r="H870" s="1">
        <v>45601</v>
      </c>
      <c r="I870" s="1">
        <v>45632</v>
      </c>
      <c r="J870" t="s">
        <v>37</v>
      </c>
      <c r="K870" s="8">
        <f>Table2[[#This Row],[CurrentStock]]*Table2[[#This Row],[UnitPrice]]</f>
        <v>9324.9600000000009</v>
      </c>
      <c r="L870" t="str">
        <f>IF(Table2[[#This Row],[CurrentStock]]&lt;=Table2[[#This Row],[ReorderLevel]], "Reorder Needed", "Okay")</f>
        <v>Reorder Needed</v>
      </c>
      <c r="M870" s="7">
        <f>IF(Table2[[#This Row],[CurrentStock]]-Table2[[#This Row],[ReorderLevel]]&lt;0,Table2[[#This Row],[CurrentStock]]-Table2[[#This Row],[ReorderLevel]],"")</f>
        <v>-52</v>
      </c>
      <c r="N870" t="str">
        <f>IF(Table2[[#This Row],[Stock Gap]]&lt;0, "Understock","Okay")</f>
        <v>Understock</v>
      </c>
      <c r="O870" s="13" t="str">
        <f>IF(Table2[[#This Row],[Stock Gap]]&lt;0, "Yes", "No")</f>
        <v>Yes</v>
      </c>
      <c r="P870" s="13" t="str">
        <f>IF(Table2[[#This Row],[CurrentStock]]&lt;Table2[[#This Row],[ReorderLevel]],"Reorder", "Okay")</f>
        <v>Reorder</v>
      </c>
      <c r="Q870" s="13" t="str">
        <f>IF(Table2[[#This Row],[CurrentStock]]&gt;Table2[[#This Row],[ReorderLevel]]*3, "Overstock", "Okay")</f>
        <v>Okay</v>
      </c>
    </row>
    <row r="871" spans="1:17" x14ac:dyDescent="0.35">
      <c r="A871">
        <v>86508</v>
      </c>
      <c r="B871" t="s">
        <v>21</v>
      </c>
      <c r="C871" t="s">
        <v>26</v>
      </c>
      <c r="D871">
        <v>272</v>
      </c>
      <c r="E871">
        <v>20</v>
      </c>
      <c r="F871" s="2">
        <v>264.51</v>
      </c>
      <c r="G871" t="s">
        <v>34</v>
      </c>
      <c r="H871" s="1">
        <v>45599</v>
      </c>
      <c r="I871" s="1">
        <v>45619</v>
      </c>
      <c r="J871" t="s">
        <v>36</v>
      </c>
      <c r="K871" s="8">
        <f>Table2[[#This Row],[CurrentStock]]*Table2[[#This Row],[UnitPrice]]</f>
        <v>71946.720000000001</v>
      </c>
      <c r="L871" t="str">
        <f>IF(Table2[[#This Row],[CurrentStock]]&lt;=Table2[[#This Row],[ReorderLevel]], "Reorder Needed", "Okay")</f>
        <v>Okay</v>
      </c>
      <c r="M871" t="str">
        <f>IF(Table2[[#This Row],[CurrentStock]]-Table2[[#This Row],[ReorderLevel]]&lt;0,Table2[[#This Row],[CurrentStock]]-Table2[[#This Row],[ReorderLevel]],"")</f>
        <v/>
      </c>
      <c r="N871" t="str">
        <f>IF(Table2[[#This Row],[Stock Gap]]&lt;0, "Understock","Okay")</f>
        <v>Okay</v>
      </c>
      <c r="O871" s="13" t="str">
        <f>IF(Table2[[#This Row],[Stock Gap]]&lt;0, "Yes", "No")</f>
        <v>No</v>
      </c>
      <c r="P871" s="13" t="str">
        <f>IF(Table2[[#This Row],[CurrentStock]]&lt;Table2[[#This Row],[ReorderLevel]],"Reorder", "Okay")</f>
        <v>Okay</v>
      </c>
      <c r="Q871" s="13" t="str">
        <f>IF(Table2[[#This Row],[CurrentStock]]&gt;Table2[[#This Row],[ReorderLevel]]*3, "Overstock", "Okay")</f>
        <v>Overstock</v>
      </c>
    </row>
    <row r="872" spans="1:17" x14ac:dyDescent="0.35">
      <c r="A872">
        <v>21017</v>
      </c>
      <c r="B872" t="s">
        <v>9</v>
      </c>
      <c r="C872" t="s">
        <v>26</v>
      </c>
      <c r="D872">
        <v>476</v>
      </c>
      <c r="E872">
        <v>80</v>
      </c>
      <c r="F872" s="2">
        <v>290.70999999999998</v>
      </c>
      <c r="G872" t="s">
        <v>31</v>
      </c>
      <c r="H872" s="1">
        <v>45632</v>
      </c>
      <c r="I872" s="1">
        <v>45641</v>
      </c>
      <c r="J872" t="s">
        <v>36</v>
      </c>
      <c r="K872" s="8">
        <f>Table2[[#This Row],[CurrentStock]]*Table2[[#This Row],[UnitPrice]]</f>
        <v>138377.96</v>
      </c>
      <c r="L872" t="str">
        <f>IF(Table2[[#This Row],[CurrentStock]]&lt;=Table2[[#This Row],[ReorderLevel]], "Reorder Needed", "Okay")</f>
        <v>Okay</v>
      </c>
      <c r="M872" t="str">
        <f>IF(Table2[[#This Row],[CurrentStock]]-Table2[[#This Row],[ReorderLevel]]&lt;0,Table2[[#This Row],[CurrentStock]]-Table2[[#This Row],[ReorderLevel]],"")</f>
        <v/>
      </c>
      <c r="N872" t="str">
        <f>IF(Table2[[#This Row],[Stock Gap]]&lt;0, "Understock","Okay")</f>
        <v>Okay</v>
      </c>
      <c r="O872" s="13" t="str">
        <f>IF(Table2[[#This Row],[Stock Gap]]&lt;0, "Yes", "No")</f>
        <v>No</v>
      </c>
      <c r="P872" s="13" t="str">
        <f>IF(Table2[[#This Row],[CurrentStock]]&lt;Table2[[#This Row],[ReorderLevel]],"Reorder", "Okay")</f>
        <v>Okay</v>
      </c>
      <c r="Q872" s="13" t="str">
        <f>IF(Table2[[#This Row],[CurrentStock]]&gt;Table2[[#This Row],[ReorderLevel]]*3, "Overstock", "Okay")</f>
        <v>Overstock</v>
      </c>
    </row>
    <row r="873" spans="1:17" x14ac:dyDescent="0.35">
      <c r="A873">
        <v>10368</v>
      </c>
      <c r="B873" t="s">
        <v>25</v>
      </c>
      <c r="C873" t="s">
        <v>29</v>
      </c>
      <c r="D873">
        <v>275</v>
      </c>
      <c r="E873">
        <v>20</v>
      </c>
      <c r="F873" s="2">
        <v>216.02</v>
      </c>
      <c r="G873" t="s">
        <v>34</v>
      </c>
      <c r="H873" s="1">
        <v>45301</v>
      </c>
      <c r="I873" s="1">
        <v>45314</v>
      </c>
      <c r="J873" t="s">
        <v>37</v>
      </c>
      <c r="K873" s="8">
        <f>Table2[[#This Row],[CurrentStock]]*Table2[[#This Row],[UnitPrice]]</f>
        <v>59405.5</v>
      </c>
      <c r="L873" t="str">
        <f>IF(Table2[[#This Row],[CurrentStock]]&lt;=Table2[[#This Row],[ReorderLevel]], "Reorder Needed", "Okay")</f>
        <v>Okay</v>
      </c>
      <c r="M873" t="str">
        <f>IF(Table2[[#This Row],[CurrentStock]]-Table2[[#This Row],[ReorderLevel]]&lt;0,Table2[[#This Row],[CurrentStock]]-Table2[[#This Row],[ReorderLevel]],"")</f>
        <v/>
      </c>
      <c r="N873" t="str">
        <f>IF(Table2[[#This Row],[Stock Gap]]&lt;0, "Understock","Okay")</f>
        <v>Okay</v>
      </c>
      <c r="O873" s="13" t="str">
        <f>IF(Table2[[#This Row],[Stock Gap]]&lt;0, "Yes", "No")</f>
        <v>No</v>
      </c>
      <c r="P873" s="13" t="str">
        <f>IF(Table2[[#This Row],[CurrentStock]]&lt;Table2[[#This Row],[ReorderLevel]],"Reorder", "Okay")</f>
        <v>Okay</v>
      </c>
      <c r="Q873" s="13" t="str">
        <f>IF(Table2[[#This Row],[CurrentStock]]&gt;Table2[[#This Row],[ReorderLevel]]*3, "Overstock", "Okay")</f>
        <v>Overstock</v>
      </c>
    </row>
    <row r="874" spans="1:17" x14ac:dyDescent="0.35">
      <c r="A874">
        <v>38365</v>
      </c>
      <c r="B874" t="s">
        <v>14</v>
      </c>
      <c r="C874" t="s">
        <v>28</v>
      </c>
      <c r="D874">
        <v>408</v>
      </c>
      <c r="E874">
        <v>20</v>
      </c>
      <c r="F874" s="2">
        <v>23.6</v>
      </c>
      <c r="G874" t="s">
        <v>34</v>
      </c>
      <c r="H874" s="1">
        <v>45302</v>
      </c>
      <c r="I874" s="1">
        <v>45332</v>
      </c>
      <c r="J874" t="s">
        <v>38</v>
      </c>
      <c r="K874" s="8">
        <f>Table2[[#This Row],[CurrentStock]]*Table2[[#This Row],[UnitPrice]]</f>
        <v>9628.8000000000011</v>
      </c>
      <c r="L874" t="str">
        <f>IF(Table2[[#This Row],[CurrentStock]]&lt;=Table2[[#This Row],[ReorderLevel]], "Reorder Needed", "Okay")</f>
        <v>Okay</v>
      </c>
      <c r="M874" t="str">
        <f>IF(Table2[[#This Row],[CurrentStock]]-Table2[[#This Row],[ReorderLevel]]&lt;0,Table2[[#This Row],[CurrentStock]]-Table2[[#This Row],[ReorderLevel]],"")</f>
        <v/>
      </c>
      <c r="N874" t="str">
        <f>IF(Table2[[#This Row],[Stock Gap]]&lt;0, "Understock","Okay")</f>
        <v>Okay</v>
      </c>
      <c r="O874" s="13" t="str">
        <f>IF(Table2[[#This Row],[Stock Gap]]&lt;0, "Yes", "No")</f>
        <v>No</v>
      </c>
      <c r="P874" s="13" t="str">
        <f>IF(Table2[[#This Row],[CurrentStock]]&lt;Table2[[#This Row],[ReorderLevel]],"Reorder", "Okay")</f>
        <v>Okay</v>
      </c>
      <c r="Q874" s="13" t="str">
        <f>IF(Table2[[#This Row],[CurrentStock]]&gt;Table2[[#This Row],[ReorderLevel]]*3, "Overstock", "Okay")</f>
        <v>Overstock</v>
      </c>
    </row>
    <row r="875" spans="1:17" x14ac:dyDescent="0.35">
      <c r="A875">
        <v>45670</v>
      </c>
      <c r="B875" t="s">
        <v>9</v>
      </c>
      <c r="C875" t="s">
        <v>26</v>
      </c>
      <c r="D875">
        <v>285</v>
      </c>
      <c r="E875">
        <v>50</v>
      </c>
      <c r="F875" s="2">
        <v>127.49</v>
      </c>
      <c r="G875" t="s">
        <v>33</v>
      </c>
      <c r="H875" s="1">
        <v>45624</v>
      </c>
      <c r="I875" s="1">
        <v>45659</v>
      </c>
      <c r="J875" t="s">
        <v>37</v>
      </c>
      <c r="K875" s="8">
        <f>Table2[[#This Row],[CurrentStock]]*Table2[[#This Row],[UnitPrice]]</f>
        <v>36334.65</v>
      </c>
      <c r="L875" t="str">
        <f>IF(Table2[[#This Row],[CurrentStock]]&lt;=Table2[[#This Row],[ReorderLevel]], "Reorder Needed", "Okay")</f>
        <v>Okay</v>
      </c>
      <c r="M875" t="str">
        <f>IF(Table2[[#This Row],[CurrentStock]]-Table2[[#This Row],[ReorderLevel]]&lt;0,Table2[[#This Row],[CurrentStock]]-Table2[[#This Row],[ReorderLevel]],"")</f>
        <v/>
      </c>
      <c r="N875" t="str">
        <f>IF(Table2[[#This Row],[Stock Gap]]&lt;0, "Understock","Okay")</f>
        <v>Okay</v>
      </c>
      <c r="O875" s="13" t="str">
        <f>IF(Table2[[#This Row],[Stock Gap]]&lt;0, "Yes", "No")</f>
        <v>No</v>
      </c>
      <c r="P875" s="13" t="str">
        <f>IF(Table2[[#This Row],[CurrentStock]]&lt;Table2[[#This Row],[ReorderLevel]],"Reorder", "Okay")</f>
        <v>Okay</v>
      </c>
      <c r="Q875" s="13" t="str">
        <f>IF(Table2[[#This Row],[CurrentStock]]&gt;Table2[[#This Row],[ReorderLevel]]*3, "Overstock", "Okay")</f>
        <v>Overstock</v>
      </c>
    </row>
    <row r="876" spans="1:17" x14ac:dyDescent="0.35">
      <c r="A876">
        <v>66326</v>
      </c>
      <c r="B876" t="s">
        <v>15</v>
      </c>
      <c r="C876" t="s">
        <v>29</v>
      </c>
      <c r="D876">
        <v>439</v>
      </c>
      <c r="E876">
        <v>20</v>
      </c>
      <c r="F876" s="2">
        <v>137.78</v>
      </c>
      <c r="G876" t="s">
        <v>31</v>
      </c>
      <c r="H876" s="1">
        <v>45483</v>
      </c>
      <c r="I876" s="1">
        <v>45499</v>
      </c>
      <c r="J876" t="s">
        <v>37</v>
      </c>
      <c r="K876" s="8">
        <f>Table2[[#This Row],[CurrentStock]]*Table2[[#This Row],[UnitPrice]]</f>
        <v>60485.42</v>
      </c>
      <c r="L876" t="str">
        <f>IF(Table2[[#This Row],[CurrentStock]]&lt;=Table2[[#This Row],[ReorderLevel]], "Reorder Needed", "Okay")</f>
        <v>Okay</v>
      </c>
      <c r="M876" t="str">
        <f>IF(Table2[[#This Row],[CurrentStock]]-Table2[[#This Row],[ReorderLevel]]&lt;0,Table2[[#This Row],[CurrentStock]]-Table2[[#This Row],[ReorderLevel]],"")</f>
        <v/>
      </c>
      <c r="N876" t="str">
        <f>IF(Table2[[#This Row],[Stock Gap]]&lt;0, "Understock","Okay")</f>
        <v>Okay</v>
      </c>
      <c r="O876" s="13" t="str">
        <f>IF(Table2[[#This Row],[Stock Gap]]&lt;0, "Yes", "No")</f>
        <v>No</v>
      </c>
      <c r="P876" s="13" t="str">
        <f>IF(Table2[[#This Row],[CurrentStock]]&lt;Table2[[#This Row],[ReorderLevel]],"Reorder", "Okay")</f>
        <v>Okay</v>
      </c>
      <c r="Q876" s="13" t="str">
        <f>IF(Table2[[#This Row],[CurrentStock]]&gt;Table2[[#This Row],[ReorderLevel]]*3, "Overstock", "Okay")</f>
        <v>Overstock</v>
      </c>
    </row>
    <row r="877" spans="1:17" x14ac:dyDescent="0.35">
      <c r="A877">
        <v>51964</v>
      </c>
      <c r="B877" t="s">
        <v>20</v>
      </c>
      <c r="C877" t="s">
        <v>30</v>
      </c>
      <c r="D877">
        <v>239</v>
      </c>
      <c r="E877">
        <v>30</v>
      </c>
      <c r="F877" s="2">
        <v>272.57</v>
      </c>
      <c r="G877" t="s">
        <v>35</v>
      </c>
      <c r="H877" s="1">
        <v>45524</v>
      </c>
      <c r="I877" s="1">
        <v>45562</v>
      </c>
      <c r="J877" t="s">
        <v>37</v>
      </c>
      <c r="K877" s="8">
        <f>Table2[[#This Row],[CurrentStock]]*Table2[[#This Row],[UnitPrice]]</f>
        <v>65144.229999999996</v>
      </c>
      <c r="L877" t="str">
        <f>IF(Table2[[#This Row],[CurrentStock]]&lt;=Table2[[#This Row],[ReorderLevel]], "Reorder Needed", "Okay")</f>
        <v>Okay</v>
      </c>
      <c r="M877" t="str">
        <f>IF(Table2[[#This Row],[CurrentStock]]-Table2[[#This Row],[ReorderLevel]]&lt;0,Table2[[#This Row],[CurrentStock]]-Table2[[#This Row],[ReorderLevel]],"")</f>
        <v/>
      </c>
      <c r="N877" t="str">
        <f>IF(Table2[[#This Row],[Stock Gap]]&lt;0, "Understock","Okay")</f>
        <v>Okay</v>
      </c>
      <c r="O877" s="13" t="str">
        <f>IF(Table2[[#This Row],[Stock Gap]]&lt;0, "Yes", "No")</f>
        <v>No</v>
      </c>
      <c r="P877" s="13" t="str">
        <f>IF(Table2[[#This Row],[CurrentStock]]&lt;Table2[[#This Row],[ReorderLevel]],"Reorder", "Okay")</f>
        <v>Okay</v>
      </c>
      <c r="Q877" s="13" t="str">
        <f>IF(Table2[[#This Row],[CurrentStock]]&gt;Table2[[#This Row],[ReorderLevel]]*3, "Overstock", "Okay")</f>
        <v>Overstock</v>
      </c>
    </row>
    <row r="878" spans="1:17" x14ac:dyDescent="0.35">
      <c r="A878">
        <v>84353</v>
      </c>
      <c r="B878" t="s">
        <v>9</v>
      </c>
      <c r="C878" t="s">
        <v>26</v>
      </c>
      <c r="D878">
        <v>151</v>
      </c>
      <c r="E878">
        <v>50</v>
      </c>
      <c r="F878" s="2">
        <v>123.92</v>
      </c>
      <c r="G878" t="s">
        <v>33</v>
      </c>
      <c r="H878" s="1">
        <v>45432</v>
      </c>
      <c r="I878" s="1">
        <v>45467</v>
      </c>
      <c r="J878" t="s">
        <v>37</v>
      </c>
      <c r="K878" s="8">
        <f>Table2[[#This Row],[CurrentStock]]*Table2[[#This Row],[UnitPrice]]</f>
        <v>18711.920000000002</v>
      </c>
      <c r="L878" t="str">
        <f>IF(Table2[[#This Row],[CurrentStock]]&lt;=Table2[[#This Row],[ReorderLevel]], "Reorder Needed", "Okay")</f>
        <v>Okay</v>
      </c>
      <c r="M878" t="str">
        <f>IF(Table2[[#This Row],[CurrentStock]]-Table2[[#This Row],[ReorderLevel]]&lt;0,Table2[[#This Row],[CurrentStock]]-Table2[[#This Row],[ReorderLevel]],"")</f>
        <v/>
      </c>
      <c r="N878" t="str">
        <f>IF(Table2[[#This Row],[Stock Gap]]&lt;0, "Understock","Okay")</f>
        <v>Okay</v>
      </c>
      <c r="O878" s="13" t="str">
        <f>IF(Table2[[#This Row],[Stock Gap]]&lt;0, "Yes", "No")</f>
        <v>No</v>
      </c>
      <c r="P878" s="13" t="str">
        <f>IF(Table2[[#This Row],[CurrentStock]]&lt;Table2[[#This Row],[ReorderLevel]],"Reorder", "Okay")</f>
        <v>Okay</v>
      </c>
      <c r="Q878" s="13" t="str">
        <f>IF(Table2[[#This Row],[CurrentStock]]&gt;Table2[[#This Row],[ReorderLevel]]*3, "Overstock", "Okay")</f>
        <v>Overstock</v>
      </c>
    </row>
    <row r="879" spans="1:17" x14ac:dyDescent="0.35">
      <c r="A879">
        <v>68008</v>
      </c>
      <c r="B879" t="s">
        <v>11</v>
      </c>
      <c r="C879" t="s">
        <v>27</v>
      </c>
      <c r="D879">
        <v>139</v>
      </c>
      <c r="E879">
        <v>80</v>
      </c>
      <c r="F879" s="2">
        <v>172.49</v>
      </c>
      <c r="G879" t="s">
        <v>35</v>
      </c>
      <c r="H879" s="1">
        <v>45515</v>
      </c>
      <c r="I879" s="1">
        <v>45533</v>
      </c>
      <c r="J879" t="s">
        <v>37</v>
      </c>
      <c r="K879" s="8">
        <f>Table2[[#This Row],[CurrentStock]]*Table2[[#This Row],[UnitPrice]]</f>
        <v>23976.11</v>
      </c>
      <c r="L879" t="str">
        <f>IF(Table2[[#This Row],[CurrentStock]]&lt;=Table2[[#This Row],[ReorderLevel]], "Reorder Needed", "Okay")</f>
        <v>Okay</v>
      </c>
      <c r="M879" t="str">
        <f>IF(Table2[[#This Row],[CurrentStock]]-Table2[[#This Row],[ReorderLevel]]&lt;0,Table2[[#This Row],[CurrentStock]]-Table2[[#This Row],[ReorderLevel]],"")</f>
        <v/>
      </c>
      <c r="N879" t="str">
        <f>IF(Table2[[#This Row],[Stock Gap]]&lt;0, "Understock","Okay")</f>
        <v>Okay</v>
      </c>
      <c r="O879" s="13" t="str">
        <f>IF(Table2[[#This Row],[Stock Gap]]&lt;0, "Yes", "No")</f>
        <v>No</v>
      </c>
      <c r="P879" s="13" t="str">
        <f>IF(Table2[[#This Row],[CurrentStock]]&lt;Table2[[#This Row],[ReorderLevel]],"Reorder", "Okay")</f>
        <v>Okay</v>
      </c>
      <c r="Q879" s="13" t="str">
        <f>IF(Table2[[#This Row],[CurrentStock]]&gt;Table2[[#This Row],[ReorderLevel]]*3, "Overstock", "Okay")</f>
        <v>Okay</v>
      </c>
    </row>
    <row r="880" spans="1:17" x14ac:dyDescent="0.35">
      <c r="A880">
        <v>78906</v>
      </c>
      <c r="B880" t="s">
        <v>25</v>
      </c>
      <c r="C880" t="s">
        <v>29</v>
      </c>
      <c r="D880">
        <v>30</v>
      </c>
      <c r="E880">
        <v>80</v>
      </c>
      <c r="F880" s="2">
        <v>484.09</v>
      </c>
      <c r="G880" t="s">
        <v>34</v>
      </c>
      <c r="H880" s="1">
        <v>45654</v>
      </c>
      <c r="I880" s="1">
        <v>45663</v>
      </c>
      <c r="J880" t="s">
        <v>37</v>
      </c>
      <c r="K880" s="8">
        <f>Table2[[#This Row],[CurrentStock]]*Table2[[#This Row],[UnitPrice]]</f>
        <v>14522.699999999999</v>
      </c>
      <c r="L880" t="str">
        <f>IF(Table2[[#This Row],[CurrentStock]]&lt;=Table2[[#This Row],[ReorderLevel]], "Reorder Needed", "Okay")</f>
        <v>Reorder Needed</v>
      </c>
      <c r="M880" s="7">
        <f>IF(Table2[[#This Row],[CurrentStock]]-Table2[[#This Row],[ReorderLevel]]&lt;0,Table2[[#This Row],[CurrentStock]]-Table2[[#This Row],[ReorderLevel]],"")</f>
        <v>-50</v>
      </c>
      <c r="N880" t="str">
        <f>IF(Table2[[#This Row],[Stock Gap]]&lt;0, "Understock","Okay")</f>
        <v>Understock</v>
      </c>
      <c r="O880" s="13" t="str">
        <f>IF(Table2[[#This Row],[Stock Gap]]&lt;0, "Yes", "No")</f>
        <v>Yes</v>
      </c>
      <c r="P880" s="13" t="str">
        <f>IF(Table2[[#This Row],[CurrentStock]]&lt;Table2[[#This Row],[ReorderLevel]],"Reorder", "Okay")</f>
        <v>Reorder</v>
      </c>
      <c r="Q880" s="13" t="str">
        <f>IF(Table2[[#This Row],[CurrentStock]]&gt;Table2[[#This Row],[ReorderLevel]]*3, "Overstock", "Okay")</f>
        <v>Okay</v>
      </c>
    </row>
    <row r="881" spans="1:17" x14ac:dyDescent="0.35">
      <c r="A881">
        <v>42125</v>
      </c>
      <c r="B881" t="s">
        <v>12</v>
      </c>
      <c r="C881" t="s">
        <v>28</v>
      </c>
      <c r="D881">
        <v>486</v>
      </c>
      <c r="E881">
        <v>150</v>
      </c>
      <c r="F881" s="2">
        <v>316.11</v>
      </c>
      <c r="G881" t="s">
        <v>34</v>
      </c>
      <c r="H881" s="1">
        <v>45358</v>
      </c>
      <c r="I881" s="1">
        <v>45384</v>
      </c>
      <c r="J881" t="s">
        <v>37</v>
      </c>
      <c r="K881" s="8">
        <f>Table2[[#This Row],[CurrentStock]]*Table2[[#This Row],[UnitPrice]]</f>
        <v>153629.46000000002</v>
      </c>
      <c r="L881" t="str">
        <f>IF(Table2[[#This Row],[CurrentStock]]&lt;=Table2[[#This Row],[ReorderLevel]], "Reorder Needed", "Okay")</f>
        <v>Okay</v>
      </c>
      <c r="M881" t="str">
        <f>IF(Table2[[#This Row],[CurrentStock]]-Table2[[#This Row],[ReorderLevel]]&lt;0,Table2[[#This Row],[CurrentStock]]-Table2[[#This Row],[ReorderLevel]],"")</f>
        <v/>
      </c>
      <c r="N881" t="str">
        <f>IF(Table2[[#This Row],[Stock Gap]]&lt;0, "Understock","Okay")</f>
        <v>Okay</v>
      </c>
      <c r="O881" s="13" t="str">
        <f>IF(Table2[[#This Row],[Stock Gap]]&lt;0, "Yes", "No")</f>
        <v>No</v>
      </c>
      <c r="P881" s="13" t="str">
        <f>IF(Table2[[#This Row],[CurrentStock]]&lt;Table2[[#This Row],[ReorderLevel]],"Reorder", "Okay")</f>
        <v>Okay</v>
      </c>
      <c r="Q881" s="13" t="str">
        <f>IF(Table2[[#This Row],[CurrentStock]]&gt;Table2[[#This Row],[ReorderLevel]]*3, "Overstock", "Okay")</f>
        <v>Overstock</v>
      </c>
    </row>
    <row r="882" spans="1:17" x14ac:dyDescent="0.35">
      <c r="A882">
        <v>16895</v>
      </c>
      <c r="B882" t="s">
        <v>11</v>
      </c>
      <c r="C882" t="s">
        <v>27</v>
      </c>
      <c r="D882">
        <v>336</v>
      </c>
      <c r="E882">
        <v>30</v>
      </c>
      <c r="F882" s="2">
        <v>224.26</v>
      </c>
      <c r="G882" t="s">
        <v>33</v>
      </c>
      <c r="H882" s="1">
        <v>45529</v>
      </c>
      <c r="I882" s="1">
        <v>45560</v>
      </c>
      <c r="J882" t="s">
        <v>38</v>
      </c>
      <c r="K882" s="8">
        <f>Table2[[#This Row],[CurrentStock]]*Table2[[#This Row],[UnitPrice]]</f>
        <v>75351.360000000001</v>
      </c>
      <c r="L882" t="str">
        <f>IF(Table2[[#This Row],[CurrentStock]]&lt;=Table2[[#This Row],[ReorderLevel]], "Reorder Needed", "Okay")</f>
        <v>Okay</v>
      </c>
      <c r="M882" t="str">
        <f>IF(Table2[[#This Row],[CurrentStock]]-Table2[[#This Row],[ReorderLevel]]&lt;0,Table2[[#This Row],[CurrentStock]]-Table2[[#This Row],[ReorderLevel]],"")</f>
        <v/>
      </c>
      <c r="N882" t="str">
        <f>IF(Table2[[#This Row],[Stock Gap]]&lt;0, "Understock","Okay")</f>
        <v>Okay</v>
      </c>
      <c r="O882" s="13" t="str">
        <f>IF(Table2[[#This Row],[Stock Gap]]&lt;0, "Yes", "No")</f>
        <v>No</v>
      </c>
      <c r="P882" s="13" t="str">
        <f>IF(Table2[[#This Row],[CurrentStock]]&lt;Table2[[#This Row],[ReorderLevel]],"Reorder", "Okay")</f>
        <v>Okay</v>
      </c>
      <c r="Q882" s="13" t="str">
        <f>IF(Table2[[#This Row],[CurrentStock]]&gt;Table2[[#This Row],[ReorderLevel]]*3, "Overstock", "Okay")</f>
        <v>Overstock</v>
      </c>
    </row>
    <row r="883" spans="1:17" x14ac:dyDescent="0.35">
      <c r="A883">
        <v>65823</v>
      </c>
      <c r="B883" t="s">
        <v>25</v>
      </c>
      <c r="C883" t="s">
        <v>29</v>
      </c>
      <c r="D883">
        <v>63</v>
      </c>
      <c r="E883">
        <v>40</v>
      </c>
      <c r="F883" s="2">
        <v>399.16</v>
      </c>
      <c r="G883" t="s">
        <v>34</v>
      </c>
      <c r="H883" s="1">
        <v>45405</v>
      </c>
      <c r="I883" s="1">
        <v>45429</v>
      </c>
      <c r="J883" t="s">
        <v>37</v>
      </c>
      <c r="K883" s="8">
        <f>Table2[[#This Row],[CurrentStock]]*Table2[[#This Row],[UnitPrice]]</f>
        <v>25147.08</v>
      </c>
      <c r="L883" t="str">
        <f>IF(Table2[[#This Row],[CurrentStock]]&lt;=Table2[[#This Row],[ReorderLevel]], "Reorder Needed", "Okay")</f>
        <v>Okay</v>
      </c>
      <c r="M883" t="str">
        <f>IF(Table2[[#This Row],[CurrentStock]]-Table2[[#This Row],[ReorderLevel]]&lt;0,Table2[[#This Row],[CurrentStock]]-Table2[[#This Row],[ReorderLevel]],"")</f>
        <v/>
      </c>
      <c r="N883" t="str">
        <f>IF(Table2[[#This Row],[Stock Gap]]&lt;0, "Understock","Okay")</f>
        <v>Okay</v>
      </c>
      <c r="O883" s="13" t="str">
        <f>IF(Table2[[#This Row],[Stock Gap]]&lt;0, "Yes", "No")</f>
        <v>No</v>
      </c>
      <c r="P883" s="13" t="str">
        <f>IF(Table2[[#This Row],[CurrentStock]]&lt;Table2[[#This Row],[ReorderLevel]],"Reorder", "Okay")</f>
        <v>Okay</v>
      </c>
      <c r="Q883" s="13" t="str">
        <f>IF(Table2[[#This Row],[CurrentStock]]&gt;Table2[[#This Row],[ReorderLevel]]*3, "Overstock", "Okay")</f>
        <v>Okay</v>
      </c>
    </row>
    <row r="884" spans="1:17" x14ac:dyDescent="0.35">
      <c r="A884">
        <v>30982</v>
      </c>
      <c r="B884" t="s">
        <v>25</v>
      </c>
      <c r="C884" t="s">
        <v>29</v>
      </c>
      <c r="D884">
        <v>104</v>
      </c>
      <c r="E884">
        <v>50</v>
      </c>
      <c r="F884" s="2">
        <v>28.65</v>
      </c>
      <c r="G884" t="s">
        <v>34</v>
      </c>
      <c r="H884" s="1">
        <v>45591</v>
      </c>
      <c r="I884" s="1">
        <v>45607</v>
      </c>
      <c r="J884" t="s">
        <v>37</v>
      </c>
      <c r="K884" s="8">
        <f>Table2[[#This Row],[CurrentStock]]*Table2[[#This Row],[UnitPrice]]</f>
        <v>2979.6</v>
      </c>
      <c r="L884" t="str">
        <f>IF(Table2[[#This Row],[CurrentStock]]&lt;=Table2[[#This Row],[ReorderLevel]], "Reorder Needed", "Okay")</f>
        <v>Okay</v>
      </c>
      <c r="M884" t="str">
        <f>IF(Table2[[#This Row],[CurrentStock]]-Table2[[#This Row],[ReorderLevel]]&lt;0,Table2[[#This Row],[CurrentStock]]-Table2[[#This Row],[ReorderLevel]],"")</f>
        <v/>
      </c>
      <c r="N884" t="str">
        <f>IF(Table2[[#This Row],[Stock Gap]]&lt;0, "Understock","Okay")</f>
        <v>Okay</v>
      </c>
      <c r="O884" s="13" t="str">
        <f>IF(Table2[[#This Row],[Stock Gap]]&lt;0, "Yes", "No")</f>
        <v>No</v>
      </c>
      <c r="P884" s="13" t="str">
        <f>IF(Table2[[#This Row],[CurrentStock]]&lt;Table2[[#This Row],[ReorderLevel]],"Reorder", "Okay")</f>
        <v>Okay</v>
      </c>
      <c r="Q884" s="13" t="str">
        <f>IF(Table2[[#This Row],[CurrentStock]]&gt;Table2[[#This Row],[ReorderLevel]]*3, "Overstock", "Okay")</f>
        <v>Okay</v>
      </c>
    </row>
    <row r="885" spans="1:17" x14ac:dyDescent="0.35">
      <c r="A885">
        <v>27358</v>
      </c>
      <c r="B885" t="s">
        <v>18</v>
      </c>
      <c r="C885" t="s">
        <v>27</v>
      </c>
      <c r="D885">
        <v>425</v>
      </c>
      <c r="E885">
        <v>50</v>
      </c>
      <c r="F885" s="2">
        <v>388.59</v>
      </c>
      <c r="G885" t="s">
        <v>32</v>
      </c>
      <c r="H885" s="1">
        <v>45394</v>
      </c>
      <c r="I885" s="1">
        <v>45416</v>
      </c>
      <c r="J885" t="s">
        <v>37</v>
      </c>
      <c r="K885" s="8">
        <f>Table2[[#This Row],[CurrentStock]]*Table2[[#This Row],[UnitPrice]]</f>
        <v>165150.75</v>
      </c>
      <c r="L885" t="str">
        <f>IF(Table2[[#This Row],[CurrentStock]]&lt;=Table2[[#This Row],[ReorderLevel]], "Reorder Needed", "Okay")</f>
        <v>Okay</v>
      </c>
      <c r="M885" t="str">
        <f>IF(Table2[[#This Row],[CurrentStock]]-Table2[[#This Row],[ReorderLevel]]&lt;0,Table2[[#This Row],[CurrentStock]]-Table2[[#This Row],[ReorderLevel]],"")</f>
        <v/>
      </c>
      <c r="N885" t="str">
        <f>IF(Table2[[#This Row],[Stock Gap]]&lt;0, "Understock","Okay")</f>
        <v>Okay</v>
      </c>
      <c r="O885" s="13" t="str">
        <f>IF(Table2[[#This Row],[Stock Gap]]&lt;0, "Yes", "No")</f>
        <v>No</v>
      </c>
      <c r="P885" s="13" t="str">
        <f>IF(Table2[[#This Row],[CurrentStock]]&lt;Table2[[#This Row],[ReorderLevel]],"Reorder", "Okay")</f>
        <v>Okay</v>
      </c>
      <c r="Q885" s="13" t="str">
        <f>IF(Table2[[#This Row],[CurrentStock]]&gt;Table2[[#This Row],[ReorderLevel]]*3, "Overstock", "Okay")</f>
        <v>Overstock</v>
      </c>
    </row>
    <row r="886" spans="1:17" x14ac:dyDescent="0.35">
      <c r="A886">
        <v>46495</v>
      </c>
      <c r="B886" t="s">
        <v>21</v>
      </c>
      <c r="C886" t="s">
        <v>26</v>
      </c>
      <c r="D886">
        <v>225</v>
      </c>
      <c r="E886">
        <v>100</v>
      </c>
      <c r="F886" s="2">
        <v>295.44</v>
      </c>
      <c r="G886" t="s">
        <v>34</v>
      </c>
      <c r="H886" s="1">
        <v>45540</v>
      </c>
      <c r="I886" s="1">
        <v>45549</v>
      </c>
      <c r="J886" t="s">
        <v>38</v>
      </c>
      <c r="K886" s="8">
        <f>Table2[[#This Row],[CurrentStock]]*Table2[[#This Row],[UnitPrice]]</f>
        <v>66474</v>
      </c>
      <c r="L886" t="str">
        <f>IF(Table2[[#This Row],[CurrentStock]]&lt;=Table2[[#This Row],[ReorderLevel]], "Reorder Needed", "Okay")</f>
        <v>Okay</v>
      </c>
      <c r="M886" t="str">
        <f>IF(Table2[[#This Row],[CurrentStock]]-Table2[[#This Row],[ReorderLevel]]&lt;0,Table2[[#This Row],[CurrentStock]]-Table2[[#This Row],[ReorderLevel]],"")</f>
        <v/>
      </c>
      <c r="N886" t="str">
        <f>IF(Table2[[#This Row],[Stock Gap]]&lt;0, "Understock","Okay")</f>
        <v>Okay</v>
      </c>
      <c r="O886" s="13" t="str">
        <f>IF(Table2[[#This Row],[Stock Gap]]&lt;0, "Yes", "No")</f>
        <v>No</v>
      </c>
      <c r="P886" s="13" t="str">
        <f>IF(Table2[[#This Row],[CurrentStock]]&lt;Table2[[#This Row],[ReorderLevel]],"Reorder", "Okay")</f>
        <v>Okay</v>
      </c>
      <c r="Q886" s="13" t="str">
        <f>IF(Table2[[#This Row],[CurrentStock]]&gt;Table2[[#This Row],[ReorderLevel]]*3, "Overstock", "Okay")</f>
        <v>Okay</v>
      </c>
    </row>
    <row r="887" spans="1:17" x14ac:dyDescent="0.35">
      <c r="A887">
        <v>19716</v>
      </c>
      <c r="B887" t="s">
        <v>20</v>
      </c>
      <c r="C887" t="s">
        <v>30</v>
      </c>
      <c r="D887">
        <v>414</v>
      </c>
      <c r="E887">
        <v>40</v>
      </c>
      <c r="F887" s="2">
        <v>129.81</v>
      </c>
      <c r="G887" t="s">
        <v>33</v>
      </c>
      <c r="H887" s="1">
        <v>45412</v>
      </c>
      <c r="I887" s="1">
        <v>45428</v>
      </c>
      <c r="J887" t="s">
        <v>38</v>
      </c>
      <c r="K887" s="8">
        <f>Table2[[#This Row],[CurrentStock]]*Table2[[#This Row],[UnitPrice]]</f>
        <v>53741.340000000004</v>
      </c>
      <c r="L887" t="str">
        <f>IF(Table2[[#This Row],[CurrentStock]]&lt;=Table2[[#This Row],[ReorderLevel]], "Reorder Needed", "Okay")</f>
        <v>Okay</v>
      </c>
      <c r="M887" t="str">
        <f>IF(Table2[[#This Row],[CurrentStock]]-Table2[[#This Row],[ReorderLevel]]&lt;0,Table2[[#This Row],[CurrentStock]]-Table2[[#This Row],[ReorderLevel]],"")</f>
        <v/>
      </c>
      <c r="N887" t="str">
        <f>IF(Table2[[#This Row],[Stock Gap]]&lt;0, "Understock","Okay")</f>
        <v>Okay</v>
      </c>
      <c r="O887" s="13" t="str">
        <f>IF(Table2[[#This Row],[Stock Gap]]&lt;0, "Yes", "No")</f>
        <v>No</v>
      </c>
      <c r="P887" s="13" t="str">
        <f>IF(Table2[[#This Row],[CurrentStock]]&lt;Table2[[#This Row],[ReorderLevel]],"Reorder", "Okay")</f>
        <v>Okay</v>
      </c>
      <c r="Q887" s="13" t="str">
        <f>IF(Table2[[#This Row],[CurrentStock]]&gt;Table2[[#This Row],[ReorderLevel]]*3, "Overstock", "Okay")</f>
        <v>Overstock</v>
      </c>
    </row>
    <row r="888" spans="1:17" x14ac:dyDescent="0.35">
      <c r="A888">
        <v>17213</v>
      </c>
      <c r="B888" t="s">
        <v>19</v>
      </c>
      <c r="C888" t="s">
        <v>28</v>
      </c>
      <c r="D888">
        <v>278</v>
      </c>
      <c r="E888">
        <v>20</v>
      </c>
      <c r="F888" s="2">
        <v>477.44</v>
      </c>
      <c r="G888" t="s">
        <v>31</v>
      </c>
      <c r="H888" s="1">
        <v>45512</v>
      </c>
      <c r="I888" s="1">
        <v>45532</v>
      </c>
      <c r="J888" t="s">
        <v>37</v>
      </c>
      <c r="K888" s="8">
        <f>Table2[[#This Row],[CurrentStock]]*Table2[[#This Row],[UnitPrice]]</f>
        <v>132728.32000000001</v>
      </c>
      <c r="L888" t="str">
        <f>IF(Table2[[#This Row],[CurrentStock]]&lt;=Table2[[#This Row],[ReorderLevel]], "Reorder Needed", "Okay")</f>
        <v>Okay</v>
      </c>
      <c r="M888" t="str">
        <f>IF(Table2[[#This Row],[CurrentStock]]-Table2[[#This Row],[ReorderLevel]]&lt;0,Table2[[#This Row],[CurrentStock]]-Table2[[#This Row],[ReorderLevel]],"")</f>
        <v/>
      </c>
      <c r="N888" t="str">
        <f>IF(Table2[[#This Row],[Stock Gap]]&lt;0, "Understock","Okay")</f>
        <v>Okay</v>
      </c>
      <c r="O888" s="13" t="str">
        <f>IF(Table2[[#This Row],[Stock Gap]]&lt;0, "Yes", "No")</f>
        <v>No</v>
      </c>
      <c r="P888" s="13" t="str">
        <f>IF(Table2[[#This Row],[CurrentStock]]&lt;Table2[[#This Row],[ReorderLevel]],"Reorder", "Okay")</f>
        <v>Okay</v>
      </c>
      <c r="Q888" s="13" t="str">
        <f>IF(Table2[[#This Row],[CurrentStock]]&gt;Table2[[#This Row],[ReorderLevel]]*3, "Overstock", "Okay")</f>
        <v>Overstock</v>
      </c>
    </row>
    <row r="889" spans="1:17" x14ac:dyDescent="0.35">
      <c r="A889">
        <v>85386</v>
      </c>
      <c r="B889" t="s">
        <v>22</v>
      </c>
      <c r="C889" t="s">
        <v>29</v>
      </c>
      <c r="D889">
        <v>161</v>
      </c>
      <c r="E889">
        <v>40</v>
      </c>
      <c r="F889" s="2">
        <v>313.08</v>
      </c>
      <c r="G889" t="s">
        <v>33</v>
      </c>
      <c r="H889" s="1">
        <v>45452</v>
      </c>
      <c r="I889" s="1">
        <v>45487</v>
      </c>
      <c r="J889" t="s">
        <v>38</v>
      </c>
      <c r="K889" s="8">
        <f>Table2[[#This Row],[CurrentStock]]*Table2[[#This Row],[UnitPrice]]</f>
        <v>50405.88</v>
      </c>
      <c r="L889" t="str">
        <f>IF(Table2[[#This Row],[CurrentStock]]&lt;=Table2[[#This Row],[ReorderLevel]], "Reorder Needed", "Okay")</f>
        <v>Okay</v>
      </c>
      <c r="M889" t="str">
        <f>IF(Table2[[#This Row],[CurrentStock]]-Table2[[#This Row],[ReorderLevel]]&lt;0,Table2[[#This Row],[CurrentStock]]-Table2[[#This Row],[ReorderLevel]],"")</f>
        <v/>
      </c>
      <c r="N889" t="str">
        <f>IF(Table2[[#This Row],[Stock Gap]]&lt;0, "Understock","Okay")</f>
        <v>Okay</v>
      </c>
      <c r="O889" s="13" t="str">
        <f>IF(Table2[[#This Row],[Stock Gap]]&lt;0, "Yes", "No")</f>
        <v>No</v>
      </c>
      <c r="P889" s="13" t="str">
        <f>IF(Table2[[#This Row],[CurrentStock]]&lt;Table2[[#This Row],[ReorderLevel]],"Reorder", "Okay")</f>
        <v>Okay</v>
      </c>
      <c r="Q889" s="13" t="str">
        <f>IF(Table2[[#This Row],[CurrentStock]]&gt;Table2[[#This Row],[ReorderLevel]]*3, "Overstock", "Okay")</f>
        <v>Overstock</v>
      </c>
    </row>
    <row r="890" spans="1:17" x14ac:dyDescent="0.35">
      <c r="A890">
        <v>54149</v>
      </c>
      <c r="B890" t="s">
        <v>24</v>
      </c>
      <c r="C890" t="s">
        <v>30</v>
      </c>
      <c r="D890">
        <v>377</v>
      </c>
      <c r="E890">
        <v>20</v>
      </c>
      <c r="F890" s="2">
        <v>21.26</v>
      </c>
      <c r="G890" t="s">
        <v>34</v>
      </c>
      <c r="H890" s="1">
        <v>45314</v>
      </c>
      <c r="I890" s="1">
        <v>45325</v>
      </c>
      <c r="J890" t="s">
        <v>36</v>
      </c>
      <c r="K890" s="8">
        <f>Table2[[#This Row],[CurrentStock]]*Table2[[#This Row],[UnitPrice]]</f>
        <v>8015.02</v>
      </c>
      <c r="L890" t="str">
        <f>IF(Table2[[#This Row],[CurrentStock]]&lt;=Table2[[#This Row],[ReorderLevel]], "Reorder Needed", "Okay")</f>
        <v>Okay</v>
      </c>
      <c r="M890" t="str">
        <f>IF(Table2[[#This Row],[CurrentStock]]-Table2[[#This Row],[ReorderLevel]]&lt;0,Table2[[#This Row],[CurrentStock]]-Table2[[#This Row],[ReorderLevel]],"")</f>
        <v/>
      </c>
      <c r="N890" t="str">
        <f>IF(Table2[[#This Row],[Stock Gap]]&lt;0, "Understock","Okay")</f>
        <v>Okay</v>
      </c>
      <c r="O890" s="13" t="str">
        <f>IF(Table2[[#This Row],[Stock Gap]]&lt;0, "Yes", "No")</f>
        <v>No</v>
      </c>
      <c r="P890" s="13" t="str">
        <f>IF(Table2[[#This Row],[CurrentStock]]&lt;Table2[[#This Row],[ReorderLevel]],"Reorder", "Okay")</f>
        <v>Okay</v>
      </c>
      <c r="Q890" s="13" t="str">
        <f>IF(Table2[[#This Row],[CurrentStock]]&gt;Table2[[#This Row],[ReorderLevel]]*3, "Overstock", "Okay")</f>
        <v>Overstock</v>
      </c>
    </row>
    <row r="891" spans="1:17" x14ac:dyDescent="0.35">
      <c r="A891">
        <v>84554</v>
      </c>
      <c r="B891" t="s">
        <v>12</v>
      </c>
      <c r="C891" t="s">
        <v>28</v>
      </c>
      <c r="D891">
        <v>421</v>
      </c>
      <c r="E891">
        <v>50</v>
      </c>
      <c r="F891" s="2">
        <v>176.91</v>
      </c>
      <c r="G891" t="s">
        <v>32</v>
      </c>
      <c r="H891" s="1">
        <v>45335</v>
      </c>
      <c r="I891" s="1">
        <v>45369</v>
      </c>
      <c r="J891" t="s">
        <v>37</v>
      </c>
      <c r="K891" s="8">
        <f>Table2[[#This Row],[CurrentStock]]*Table2[[#This Row],[UnitPrice]]</f>
        <v>74479.11</v>
      </c>
      <c r="L891" t="str">
        <f>IF(Table2[[#This Row],[CurrentStock]]&lt;=Table2[[#This Row],[ReorderLevel]], "Reorder Needed", "Okay")</f>
        <v>Okay</v>
      </c>
      <c r="M891" t="str">
        <f>IF(Table2[[#This Row],[CurrentStock]]-Table2[[#This Row],[ReorderLevel]]&lt;0,Table2[[#This Row],[CurrentStock]]-Table2[[#This Row],[ReorderLevel]],"")</f>
        <v/>
      </c>
      <c r="N891" t="str">
        <f>IF(Table2[[#This Row],[Stock Gap]]&lt;0, "Understock","Okay")</f>
        <v>Okay</v>
      </c>
      <c r="O891" s="13" t="str">
        <f>IF(Table2[[#This Row],[Stock Gap]]&lt;0, "Yes", "No")</f>
        <v>No</v>
      </c>
      <c r="P891" s="13" t="str">
        <f>IF(Table2[[#This Row],[CurrentStock]]&lt;Table2[[#This Row],[ReorderLevel]],"Reorder", "Okay")</f>
        <v>Okay</v>
      </c>
      <c r="Q891" s="13" t="str">
        <f>IF(Table2[[#This Row],[CurrentStock]]&gt;Table2[[#This Row],[ReorderLevel]]*3, "Overstock", "Okay")</f>
        <v>Overstock</v>
      </c>
    </row>
    <row r="892" spans="1:17" x14ac:dyDescent="0.35">
      <c r="A892">
        <v>81327</v>
      </c>
      <c r="B892" t="s">
        <v>10</v>
      </c>
      <c r="C892" t="s">
        <v>26</v>
      </c>
      <c r="D892">
        <v>401</v>
      </c>
      <c r="E892">
        <v>80</v>
      </c>
      <c r="F892" s="2">
        <v>271.37</v>
      </c>
      <c r="G892" t="s">
        <v>32</v>
      </c>
      <c r="H892" s="1">
        <v>45609</v>
      </c>
      <c r="I892" s="1">
        <v>45636</v>
      </c>
      <c r="J892" t="s">
        <v>37</v>
      </c>
      <c r="K892" s="8">
        <f>Table2[[#This Row],[CurrentStock]]*Table2[[#This Row],[UnitPrice]]</f>
        <v>108819.37</v>
      </c>
      <c r="L892" t="str">
        <f>IF(Table2[[#This Row],[CurrentStock]]&lt;=Table2[[#This Row],[ReorderLevel]], "Reorder Needed", "Okay")</f>
        <v>Okay</v>
      </c>
      <c r="M892" t="str">
        <f>IF(Table2[[#This Row],[CurrentStock]]-Table2[[#This Row],[ReorderLevel]]&lt;0,Table2[[#This Row],[CurrentStock]]-Table2[[#This Row],[ReorderLevel]],"")</f>
        <v/>
      </c>
      <c r="N892" t="str">
        <f>IF(Table2[[#This Row],[Stock Gap]]&lt;0, "Understock","Okay")</f>
        <v>Okay</v>
      </c>
      <c r="O892" s="13" t="str">
        <f>IF(Table2[[#This Row],[Stock Gap]]&lt;0, "Yes", "No")</f>
        <v>No</v>
      </c>
      <c r="P892" s="13" t="str">
        <f>IF(Table2[[#This Row],[CurrentStock]]&lt;Table2[[#This Row],[ReorderLevel]],"Reorder", "Okay")</f>
        <v>Okay</v>
      </c>
      <c r="Q892" s="13" t="str">
        <f>IF(Table2[[#This Row],[CurrentStock]]&gt;Table2[[#This Row],[ReorderLevel]]*3, "Overstock", "Okay")</f>
        <v>Overstock</v>
      </c>
    </row>
    <row r="893" spans="1:17" x14ac:dyDescent="0.35">
      <c r="A893">
        <v>51831</v>
      </c>
      <c r="B893" t="s">
        <v>19</v>
      </c>
      <c r="C893" t="s">
        <v>28</v>
      </c>
      <c r="D893">
        <v>189</v>
      </c>
      <c r="E893">
        <v>150</v>
      </c>
      <c r="F893" s="2">
        <v>462.71</v>
      </c>
      <c r="G893" t="s">
        <v>33</v>
      </c>
      <c r="H893" s="1">
        <v>45648</v>
      </c>
      <c r="I893" s="1">
        <v>45669</v>
      </c>
      <c r="J893" t="s">
        <v>36</v>
      </c>
      <c r="K893" s="8">
        <f>Table2[[#This Row],[CurrentStock]]*Table2[[#This Row],[UnitPrice]]</f>
        <v>87452.19</v>
      </c>
      <c r="L893" t="str">
        <f>IF(Table2[[#This Row],[CurrentStock]]&lt;=Table2[[#This Row],[ReorderLevel]], "Reorder Needed", "Okay")</f>
        <v>Okay</v>
      </c>
      <c r="M893" t="str">
        <f>IF(Table2[[#This Row],[CurrentStock]]-Table2[[#This Row],[ReorderLevel]]&lt;0,Table2[[#This Row],[CurrentStock]]-Table2[[#This Row],[ReorderLevel]],"")</f>
        <v/>
      </c>
      <c r="N893" t="str">
        <f>IF(Table2[[#This Row],[Stock Gap]]&lt;0, "Understock","Okay")</f>
        <v>Okay</v>
      </c>
      <c r="O893" s="13" t="str">
        <f>IF(Table2[[#This Row],[Stock Gap]]&lt;0, "Yes", "No")</f>
        <v>No</v>
      </c>
      <c r="P893" s="13" t="str">
        <f>IF(Table2[[#This Row],[CurrentStock]]&lt;Table2[[#This Row],[ReorderLevel]],"Reorder", "Okay")</f>
        <v>Okay</v>
      </c>
      <c r="Q893" s="13" t="str">
        <f>IF(Table2[[#This Row],[CurrentStock]]&gt;Table2[[#This Row],[ReorderLevel]]*3, "Overstock", "Okay")</f>
        <v>Okay</v>
      </c>
    </row>
    <row r="894" spans="1:17" x14ac:dyDescent="0.35">
      <c r="A894">
        <v>96799</v>
      </c>
      <c r="B894" t="s">
        <v>12</v>
      </c>
      <c r="C894" t="s">
        <v>28</v>
      </c>
      <c r="D894">
        <v>81</v>
      </c>
      <c r="E894">
        <v>80</v>
      </c>
      <c r="F894" s="2">
        <v>313.17</v>
      </c>
      <c r="G894" t="s">
        <v>32</v>
      </c>
      <c r="H894" s="1">
        <v>45374</v>
      </c>
      <c r="I894" s="1">
        <v>45384</v>
      </c>
      <c r="J894" t="s">
        <v>37</v>
      </c>
      <c r="K894" s="8">
        <f>Table2[[#This Row],[CurrentStock]]*Table2[[#This Row],[UnitPrice]]</f>
        <v>25366.77</v>
      </c>
      <c r="L894" t="str">
        <f>IF(Table2[[#This Row],[CurrentStock]]&lt;=Table2[[#This Row],[ReorderLevel]], "Reorder Needed", "Okay")</f>
        <v>Okay</v>
      </c>
      <c r="M894" t="str">
        <f>IF(Table2[[#This Row],[CurrentStock]]-Table2[[#This Row],[ReorderLevel]]&lt;0,Table2[[#This Row],[CurrentStock]]-Table2[[#This Row],[ReorderLevel]],"")</f>
        <v/>
      </c>
      <c r="N894" t="str">
        <f>IF(Table2[[#This Row],[Stock Gap]]&lt;0, "Understock","Okay")</f>
        <v>Okay</v>
      </c>
      <c r="O894" s="13" t="str">
        <f>IF(Table2[[#This Row],[Stock Gap]]&lt;0, "Yes", "No")</f>
        <v>No</v>
      </c>
      <c r="P894" s="13" t="str">
        <f>IF(Table2[[#This Row],[CurrentStock]]&lt;Table2[[#This Row],[ReorderLevel]],"Reorder", "Okay")</f>
        <v>Okay</v>
      </c>
      <c r="Q894" s="13" t="str">
        <f>IF(Table2[[#This Row],[CurrentStock]]&gt;Table2[[#This Row],[ReorderLevel]]*3, "Overstock", "Okay")</f>
        <v>Okay</v>
      </c>
    </row>
    <row r="895" spans="1:17" x14ac:dyDescent="0.35">
      <c r="A895">
        <v>22336</v>
      </c>
      <c r="B895" t="s">
        <v>17</v>
      </c>
      <c r="C895" t="s">
        <v>27</v>
      </c>
      <c r="D895">
        <v>395</v>
      </c>
      <c r="E895">
        <v>80</v>
      </c>
      <c r="F895" s="2">
        <v>152.97</v>
      </c>
      <c r="G895" t="s">
        <v>33</v>
      </c>
      <c r="H895" s="1">
        <v>45602</v>
      </c>
      <c r="I895" s="1">
        <v>45607</v>
      </c>
      <c r="J895" t="s">
        <v>36</v>
      </c>
      <c r="K895" s="8">
        <f>Table2[[#This Row],[CurrentStock]]*Table2[[#This Row],[UnitPrice]]</f>
        <v>60423.15</v>
      </c>
      <c r="L895" t="str">
        <f>IF(Table2[[#This Row],[CurrentStock]]&lt;=Table2[[#This Row],[ReorderLevel]], "Reorder Needed", "Okay")</f>
        <v>Okay</v>
      </c>
      <c r="M895" t="str">
        <f>IF(Table2[[#This Row],[CurrentStock]]-Table2[[#This Row],[ReorderLevel]]&lt;0,Table2[[#This Row],[CurrentStock]]-Table2[[#This Row],[ReorderLevel]],"")</f>
        <v/>
      </c>
      <c r="N895" t="str">
        <f>IF(Table2[[#This Row],[Stock Gap]]&lt;0, "Understock","Okay")</f>
        <v>Okay</v>
      </c>
      <c r="O895" s="13" t="str">
        <f>IF(Table2[[#This Row],[Stock Gap]]&lt;0, "Yes", "No")</f>
        <v>No</v>
      </c>
      <c r="P895" s="13" t="str">
        <f>IF(Table2[[#This Row],[CurrentStock]]&lt;Table2[[#This Row],[ReorderLevel]],"Reorder", "Okay")</f>
        <v>Okay</v>
      </c>
      <c r="Q895" s="13" t="str">
        <f>IF(Table2[[#This Row],[CurrentStock]]&gt;Table2[[#This Row],[ReorderLevel]]*3, "Overstock", "Okay")</f>
        <v>Overstock</v>
      </c>
    </row>
    <row r="896" spans="1:17" x14ac:dyDescent="0.35">
      <c r="A896">
        <v>37228</v>
      </c>
      <c r="B896" t="s">
        <v>16</v>
      </c>
      <c r="C896" t="s">
        <v>29</v>
      </c>
      <c r="D896">
        <v>23</v>
      </c>
      <c r="E896">
        <v>150</v>
      </c>
      <c r="F896" s="2">
        <v>17.79</v>
      </c>
      <c r="G896" t="s">
        <v>34</v>
      </c>
      <c r="H896" s="1">
        <v>45418</v>
      </c>
      <c r="I896" s="1">
        <v>45439</v>
      </c>
      <c r="J896" t="s">
        <v>37</v>
      </c>
      <c r="K896" s="8">
        <f>Table2[[#This Row],[CurrentStock]]*Table2[[#This Row],[UnitPrice]]</f>
        <v>409.16999999999996</v>
      </c>
      <c r="L896" t="str">
        <f>IF(Table2[[#This Row],[CurrentStock]]&lt;=Table2[[#This Row],[ReorderLevel]], "Reorder Needed", "Okay")</f>
        <v>Reorder Needed</v>
      </c>
      <c r="M896" s="7">
        <f>IF(Table2[[#This Row],[CurrentStock]]-Table2[[#This Row],[ReorderLevel]]&lt;0,Table2[[#This Row],[CurrentStock]]-Table2[[#This Row],[ReorderLevel]],"")</f>
        <v>-127</v>
      </c>
      <c r="N896" t="str">
        <f>IF(Table2[[#This Row],[Stock Gap]]&lt;0, "Understock","Okay")</f>
        <v>Understock</v>
      </c>
      <c r="O896" s="13" t="str">
        <f>IF(Table2[[#This Row],[Stock Gap]]&lt;0, "Yes", "No")</f>
        <v>Yes</v>
      </c>
      <c r="P896" s="13" t="str">
        <f>IF(Table2[[#This Row],[CurrentStock]]&lt;Table2[[#This Row],[ReorderLevel]],"Reorder", "Okay")</f>
        <v>Reorder</v>
      </c>
      <c r="Q896" s="13" t="str">
        <f>IF(Table2[[#This Row],[CurrentStock]]&gt;Table2[[#This Row],[ReorderLevel]]*3, "Overstock", "Okay")</f>
        <v>Okay</v>
      </c>
    </row>
    <row r="897" spans="1:17" x14ac:dyDescent="0.35">
      <c r="A897">
        <v>45256</v>
      </c>
      <c r="B897" t="s">
        <v>24</v>
      </c>
      <c r="C897" t="s">
        <v>30</v>
      </c>
      <c r="D897">
        <v>328</v>
      </c>
      <c r="E897">
        <v>50</v>
      </c>
      <c r="F897" s="2">
        <v>330.91</v>
      </c>
      <c r="G897" t="s">
        <v>35</v>
      </c>
      <c r="H897" s="1">
        <v>45519</v>
      </c>
      <c r="I897" s="1">
        <v>45551</v>
      </c>
      <c r="J897" t="s">
        <v>37</v>
      </c>
      <c r="K897" s="8">
        <f>Table2[[#This Row],[CurrentStock]]*Table2[[#This Row],[UnitPrice]]</f>
        <v>108538.48000000001</v>
      </c>
      <c r="L897" t="str">
        <f>IF(Table2[[#This Row],[CurrentStock]]&lt;=Table2[[#This Row],[ReorderLevel]], "Reorder Needed", "Okay")</f>
        <v>Okay</v>
      </c>
      <c r="M897" t="str">
        <f>IF(Table2[[#This Row],[CurrentStock]]-Table2[[#This Row],[ReorderLevel]]&lt;0,Table2[[#This Row],[CurrentStock]]-Table2[[#This Row],[ReorderLevel]],"")</f>
        <v/>
      </c>
      <c r="N897" t="str">
        <f>IF(Table2[[#This Row],[Stock Gap]]&lt;0, "Understock","Okay")</f>
        <v>Okay</v>
      </c>
      <c r="O897" s="13" t="str">
        <f>IF(Table2[[#This Row],[Stock Gap]]&lt;0, "Yes", "No")</f>
        <v>No</v>
      </c>
      <c r="P897" s="13" t="str">
        <f>IF(Table2[[#This Row],[CurrentStock]]&lt;Table2[[#This Row],[ReorderLevel]],"Reorder", "Okay")</f>
        <v>Okay</v>
      </c>
      <c r="Q897" s="13" t="str">
        <f>IF(Table2[[#This Row],[CurrentStock]]&gt;Table2[[#This Row],[ReorderLevel]]*3, "Overstock", "Okay")</f>
        <v>Overstock</v>
      </c>
    </row>
    <row r="898" spans="1:17" x14ac:dyDescent="0.35">
      <c r="A898">
        <v>15409</v>
      </c>
      <c r="B898" t="s">
        <v>14</v>
      </c>
      <c r="C898" t="s">
        <v>28</v>
      </c>
      <c r="D898">
        <v>228</v>
      </c>
      <c r="E898">
        <v>150</v>
      </c>
      <c r="F898" s="2">
        <v>107.29</v>
      </c>
      <c r="G898" t="s">
        <v>31</v>
      </c>
      <c r="H898" s="1">
        <v>45644</v>
      </c>
      <c r="I898" s="1">
        <v>45660</v>
      </c>
      <c r="J898" t="s">
        <v>37</v>
      </c>
      <c r="K898" s="8">
        <f>Table2[[#This Row],[CurrentStock]]*Table2[[#This Row],[UnitPrice]]</f>
        <v>24462.120000000003</v>
      </c>
      <c r="L898" t="str">
        <f>IF(Table2[[#This Row],[CurrentStock]]&lt;=Table2[[#This Row],[ReorderLevel]], "Reorder Needed", "Okay")</f>
        <v>Okay</v>
      </c>
      <c r="M898" t="str">
        <f>IF(Table2[[#This Row],[CurrentStock]]-Table2[[#This Row],[ReorderLevel]]&lt;0,Table2[[#This Row],[CurrentStock]]-Table2[[#This Row],[ReorderLevel]],"")</f>
        <v/>
      </c>
      <c r="N898" t="str">
        <f>IF(Table2[[#This Row],[Stock Gap]]&lt;0, "Understock","Okay")</f>
        <v>Okay</v>
      </c>
      <c r="O898" s="13" t="str">
        <f>IF(Table2[[#This Row],[Stock Gap]]&lt;0, "Yes", "No")</f>
        <v>No</v>
      </c>
      <c r="P898" s="13" t="str">
        <f>IF(Table2[[#This Row],[CurrentStock]]&lt;Table2[[#This Row],[ReorderLevel]],"Reorder", "Okay")</f>
        <v>Okay</v>
      </c>
      <c r="Q898" s="13" t="str">
        <f>IF(Table2[[#This Row],[CurrentStock]]&gt;Table2[[#This Row],[ReorderLevel]]*3, "Overstock", "Okay")</f>
        <v>Okay</v>
      </c>
    </row>
    <row r="899" spans="1:17" x14ac:dyDescent="0.35">
      <c r="A899">
        <v>29768</v>
      </c>
      <c r="B899" t="s">
        <v>16</v>
      </c>
      <c r="C899" t="s">
        <v>29</v>
      </c>
      <c r="D899">
        <v>189</v>
      </c>
      <c r="E899">
        <v>80</v>
      </c>
      <c r="F899" s="2">
        <v>374.88</v>
      </c>
      <c r="G899" t="s">
        <v>31</v>
      </c>
      <c r="H899" s="1">
        <v>45650</v>
      </c>
      <c r="I899" s="1">
        <v>45669</v>
      </c>
      <c r="J899" t="s">
        <v>38</v>
      </c>
      <c r="K899" s="8">
        <f>Table2[[#This Row],[CurrentStock]]*Table2[[#This Row],[UnitPrice]]</f>
        <v>70852.319999999992</v>
      </c>
      <c r="L899" t="str">
        <f>IF(Table2[[#This Row],[CurrentStock]]&lt;=Table2[[#This Row],[ReorderLevel]], "Reorder Needed", "Okay")</f>
        <v>Okay</v>
      </c>
      <c r="M899" t="str">
        <f>IF(Table2[[#This Row],[CurrentStock]]-Table2[[#This Row],[ReorderLevel]]&lt;0,Table2[[#This Row],[CurrentStock]]-Table2[[#This Row],[ReorderLevel]],"")</f>
        <v/>
      </c>
      <c r="N899" t="str">
        <f>IF(Table2[[#This Row],[Stock Gap]]&lt;0, "Understock","Okay")</f>
        <v>Okay</v>
      </c>
      <c r="O899" s="13" t="str">
        <f>IF(Table2[[#This Row],[Stock Gap]]&lt;0, "Yes", "No")</f>
        <v>No</v>
      </c>
      <c r="P899" s="13" t="str">
        <f>IF(Table2[[#This Row],[CurrentStock]]&lt;Table2[[#This Row],[ReorderLevel]],"Reorder", "Okay")</f>
        <v>Okay</v>
      </c>
      <c r="Q899" s="13" t="str">
        <f>IF(Table2[[#This Row],[CurrentStock]]&gt;Table2[[#This Row],[ReorderLevel]]*3, "Overstock", "Okay")</f>
        <v>Okay</v>
      </c>
    </row>
    <row r="900" spans="1:17" x14ac:dyDescent="0.35">
      <c r="A900">
        <v>25764</v>
      </c>
      <c r="B900" t="s">
        <v>21</v>
      </c>
      <c r="C900" t="s">
        <v>26</v>
      </c>
      <c r="D900">
        <v>28</v>
      </c>
      <c r="E900">
        <v>30</v>
      </c>
      <c r="F900" s="2">
        <v>480.09</v>
      </c>
      <c r="G900" t="s">
        <v>33</v>
      </c>
      <c r="H900" s="1">
        <v>45368</v>
      </c>
      <c r="I900" s="1">
        <v>45389</v>
      </c>
      <c r="J900" t="s">
        <v>37</v>
      </c>
      <c r="K900" s="8">
        <f>Table2[[#This Row],[CurrentStock]]*Table2[[#This Row],[UnitPrice]]</f>
        <v>13442.519999999999</v>
      </c>
      <c r="L900" t="str">
        <f>IF(Table2[[#This Row],[CurrentStock]]&lt;=Table2[[#This Row],[ReorderLevel]], "Reorder Needed", "Okay")</f>
        <v>Reorder Needed</v>
      </c>
      <c r="M900" s="7">
        <f>IF(Table2[[#This Row],[CurrentStock]]-Table2[[#This Row],[ReorderLevel]]&lt;0,Table2[[#This Row],[CurrentStock]]-Table2[[#This Row],[ReorderLevel]],"")</f>
        <v>-2</v>
      </c>
      <c r="N900" t="str">
        <f>IF(Table2[[#This Row],[Stock Gap]]&lt;0, "Understock","Okay")</f>
        <v>Understock</v>
      </c>
      <c r="O900" s="13" t="str">
        <f>IF(Table2[[#This Row],[Stock Gap]]&lt;0, "Yes", "No")</f>
        <v>Yes</v>
      </c>
      <c r="P900" s="13" t="str">
        <f>IF(Table2[[#This Row],[CurrentStock]]&lt;Table2[[#This Row],[ReorderLevel]],"Reorder", "Okay")</f>
        <v>Reorder</v>
      </c>
      <c r="Q900" s="13" t="str">
        <f>IF(Table2[[#This Row],[CurrentStock]]&gt;Table2[[#This Row],[ReorderLevel]]*3, "Overstock", "Okay")</f>
        <v>Okay</v>
      </c>
    </row>
    <row r="901" spans="1:17" x14ac:dyDescent="0.35">
      <c r="A901">
        <v>23894</v>
      </c>
      <c r="B901" t="s">
        <v>25</v>
      </c>
      <c r="C901" t="s">
        <v>29</v>
      </c>
      <c r="D901">
        <v>449</v>
      </c>
      <c r="E901">
        <v>20</v>
      </c>
      <c r="F901" s="2">
        <v>451.31</v>
      </c>
      <c r="G901" t="s">
        <v>34</v>
      </c>
      <c r="H901" s="1">
        <v>45352</v>
      </c>
      <c r="I901" s="1">
        <v>45382</v>
      </c>
      <c r="J901" t="s">
        <v>37</v>
      </c>
      <c r="K901" s="8">
        <f>Table2[[#This Row],[CurrentStock]]*Table2[[#This Row],[UnitPrice]]</f>
        <v>202638.19</v>
      </c>
      <c r="L901" t="str">
        <f>IF(Table2[[#This Row],[CurrentStock]]&lt;=Table2[[#This Row],[ReorderLevel]], "Reorder Needed", "Okay")</f>
        <v>Okay</v>
      </c>
      <c r="M901" t="str">
        <f>IF(Table2[[#This Row],[CurrentStock]]-Table2[[#This Row],[ReorderLevel]]&lt;0,Table2[[#This Row],[CurrentStock]]-Table2[[#This Row],[ReorderLevel]],"")</f>
        <v/>
      </c>
      <c r="N901" t="str">
        <f>IF(Table2[[#This Row],[Stock Gap]]&lt;0, "Understock","Okay")</f>
        <v>Okay</v>
      </c>
      <c r="O901" s="13" t="str">
        <f>IF(Table2[[#This Row],[Stock Gap]]&lt;0, "Yes", "No")</f>
        <v>No</v>
      </c>
      <c r="P901" s="13" t="str">
        <f>IF(Table2[[#This Row],[CurrentStock]]&lt;Table2[[#This Row],[ReorderLevel]],"Reorder", "Okay")</f>
        <v>Okay</v>
      </c>
      <c r="Q901" s="13" t="str">
        <f>IF(Table2[[#This Row],[CurrentStock]]&gt;Table2[[#This Row],[ReorderLevel]]*3, "Overstock", "Okay")</f>
        <v>Overstock</v>
      </c>
    </row>
    <row r="902" spans="1:17" x14ac:dyDescent="0.35">
      <c r="A902">
        <v>27733</v>
      </c>
      <c r="B902" t="s">
        <v>14</v>
      </c>
      <c r="C902" t="s">
        <v>28</v>
      </c>
      <c r="D902">
        <v>362</v>
      </c>
      <c r="E902">
        <v>80</v>
      </c>
      <c r="F902" s="2">
        <v>35.369999999999997</v>
      </c>
      <c r="G902" t="s">
        <v>34</v>
      </c>
      <c r="H902" s="1">
        <v>45485</v>
      </c>
      <c r="I902" s="1">
        <v>45508</v>
      </c>
      <c r="J902" t="s">
        <v>36</v>
      </c>
      <c r="K902" s="8">
        <f>Table2[[#This Row],[CurrentStock]]*Table2[[#This Row],[UnitPrice]]</f>
        <v>12803.939999999999</v>
      </c>
      <c r="L902" t="str">
        <f>IF(Table2[[#This Row],[CurrentStock]]&lt;=Table2[[#This Row],[ReorderLevel]], "Reorder Needed", "Okay")</f>
        <v>Okay</v>
      </c>
      <c r="M902" t="str">
        <f>IF(Table2[[#This Row],[CurrentStock]]-Table2[[#This Row],[ReorderLevel]]&lt;0,Table2[[#This Row],[CurrentStock]]-Table2[[#This Row],[ReorderLevel]],"")</f>
        <v/>
      </c>
      <c r="N902" t="str">
        <f>IF(Table2[[#This Row],[Stock Gap]]&lt;0, "Understock","Okay")</f>
        <v>Okay</v>
      </c>
      <c r="O902" s="13" t="str">
        <f>IF(Table2[[#This Row],[Stock Gap]]&lt;0, "Yes", "No")</f>
        <v>No</v>
      </c>
      <c r="P902" s="13" t="str">
        <f>IF(Table2[[#This Row],[CurrentStock]]&lt;Table2[[#This Row],[ReorderLevel]],"Reorder", "Okay")</f>
        <v>Okay</v>
      </c>
      <c r="Q902" s="13" t="str">
        <f>IF(Table2[[#This Row],[CurrentStock]]&gt;Table2[[#This Row],[ReorderLevel]]*3, "Overstock", "Okay")</f>
        <v>Overstock</v>
      </c>
    </row>
    <row r="903" spans="1:17" x14ac:dyDescent="0.35">
      <c r="A903">
        <v>51152</v>
      </c>
      <c r="B903" t="s">
        <v>25</v>
      </c>
      <c r="C903" t="s">
        <v>29</v>
      </c>
      <c r="D903">
        <v>91</v>
      </c>
      <c r="E903">
        <v>100</v>
      </c>
      <c r="F903" s="2">
        <v>249.94</v>
      </c>
      <c r="G903" t="s">
        <v>31</v>
      </c>
      <c r="H903" s="1">
        <v>45444</v>
      </c>
      <c r="I903" s="1">
        <v>45481</v>
      </c>
      <c r="J903" t="s">
        <v>38</v>
      </c>
      <c r="K903" s="8">
        <f>Table2[[#This Row],[CurrentStock]]*Table2[[#This Row],[UnitPrice]]</f>
        <v>22744.54</v>
      </c>
      <c r="L903" t="str">
        <f>IF(Table2[[#This Row],[CurrentStock]]&lt;=Table2[[#This Row],[ReorderLevel]], "Reorder Needed", "Okay")</f>
        <v>Reorder Needed</v>
      </c>
      <c r="M903" s="7">
        <f>IF(Table2[[#This Row],[CurrentStock]]-Table2[[#This Row],[ReorderLevel]]&lt;0,Table2[[#This Row],[CurrentStock]]-Table2[[#This Row],[ReorderLevel]],"")</f>
        <v>-9</v>
      </c>
      <c r="N903" t="str">
        <f>IF(Table2[[#This Row],[Stock Gap]]&lt;0, "Understock","Okay")</f>
        <v>Understock</v>
      </c>
      <c r="O903" s="13" t="str">
        <f>IF(Table2[[#This Row],[Stock Gap]]&lt;0, "Yes", "No")</f>
        <v>Yes</v>
      </c>
      <c r="P903" s="13" t="str">
        <f>IF(Table2[[#This Row],[CurrentStock]]&lt;Table2[[#This Row],[ReorderLevel]],"Reorder", "Okay")</f>
        <v>Reorder</v>
      </c>
      <c r="Q903" s="13" t="str">
        <f>IF(Table2[[#This Row],[CurrentStock]]&gt;Table2[[#This Row],[ReorderLevel]]*3, "Overstock", "Okay")</f>
        <v>Okay</v>
      </c>
    </row>
    <row r="904" spans="1:17" x14ac:dyDescent="0.35">
      <c r="A904">
        <v>83664</v>
      </c>
      <c r="B904" t="s">
        <v>20</v>
      </c>
      <c r="C904" t="s">
        <v>30</v>
      </c>
      <c r="D904">
        <v>91</v>
      </c>
      <c r="E904">
        <v>40</v>
      </c>
      <c r="F904" s="2">
        <v>170.38</v>
      </c>
      <c r="G904" t="s">
        <v>33</v>
      </c>
      <c r="H904" s="1">
        <v>45624</v>
      </c>
      <c r="I904" s="1">
        <v>45648</v>
      </c>
      <c r="J904" t="s">
        <v>37</v>
      </c>
      <c r="K904" s="8">
        <f>Table2[[#This Row],[CurrentStock]]*Table2[[#This Row],[UnitPrice]]</f>
        <v>15504.58</v>
      </c>
      <c r="L904" t="str">
        <f>IF(Table2[[#This Row],[CurrentStock]]&lt;=Table2[[#This Row],[ReorderLevel]], "Reorder Needed", "Okay")</f>
        <v>Okay</v>
      </c>
      <c r="M904" t="str">
        <f>IF(Table2[[#This Row],[CurrentStock]]-Table2[[#This Row],[ReorderLevel]]&lt;0,Table2[[#This Row],[CurrentStock]]-Table2[[#This Row],[ReorderLevel]],"")</f>
        <v/>
      </c>
      <c r="N904" t="str">
        <f>IF(Table2[[#This Row],[Stock Gap]]&lt;0, "Understock","Okay")</f>
        <v>Okay</v>
      </c>
      <c r="O904" s="13" t="str">
        <f>IF(Table2[[#This Row],[Stock Gap]]&lt;0, "Yes", "No")</f>
        <v>No</v>
      </c>
      <c r="P904" s="13" t="str">
        <f>IF(Table2[[#This Row],[CurrentStock]]&lt;Table2[[#This Row],[ReorderLevel]],"Reorder", "Okay")</f>
        <v>Okay</v>
      </c>
      <c r="Q904" s="13" t="str">
        <f>IF(Table2[[#This Row],[CurrentStock]]&gt;Table2[[#This Row],[ReorderLevel]]*3, "Overstock", "Okay")</f>
        <v>Okay</v>
      </c>
    </row>
    <row r="905" spans="1:17" x14ac:dyDescent="0.35">
      <c r="A905">
        <v>47684</v>
      </c>
      <c r="B905" t="s">
        <v>23</v>
      </c>
      <c r="C905" t="s">
        <v>30</v>
      </c>
      <c r="D905">
        <v>205</v>
      </c>
      <c r="E905">
        <v>150</v>
      </c>
      <c r="F905" s="2">
        <v>186.31</v>
      </c>
      <c r="G905" t="s">
        <v>34</v>
      </c>
      <c r="H905" s="1">
        <v>45384</v>
      </c>
      <c r="I905" s="1">
        <v>45414</v>
      </c>
      <c r="J905" t="s">
        <v>38</v>
      </c>
      <c r="K905" s="8">
        <f>Table2[[#This Row],[CurrentStock]]*Table2[[#This Row],[UnitPrice]]</f>
        <v>38193.550000000003</v>
      </c>
      <c r="L905" t="str">
        <f>IF(Table2[[#This Row],[CurrentStock]]&lt;=Table2[[#This Row],[ReorderLevel]], "Reorder Needed", "Okay")</f>
        <v>Okay</v>
      </c>
      <c r="M905" t="str">
        <f>IF(Table2[[#This Row],[CurrentStock]]-Table2[[#This Row],[ReorderLevel]]&lt;0,Table2[[#This Row],[CurrentStock]]-Table2[[#This Row],[ReorderLevel]],"")</f>
        <v/>
      </c>
      <c r="N905" t="str">
        <f>IF(Table2[[#This Row],[Stock Gap]]&lt;0, "Understock","Okay")</f>
        <v>Okay</v>
      </c>
      <c r="O905" s="13" t="str">
        <f>IF(Table2[[#This Row],[Stock Gap]]&lt;0, "Yes", "No")</f>
        <v>No</v>
      </c>
      <c r="P905" s="13" t="str">
        <f>IF(Table2[[#This Row],[CurrentStock]]&lt;Table2[[#This Row],[ReorderLevel]],"Reorder", "Okay")</f>
        <v>Okay</v>
      </c>
      <c r="Q905" s="13" t="str">
        <f>IF(Table2[[#This Row],[CurrentStock]]&gt;Table2[[#This Row],[ReorderLevel]]*3, "Overstock", "Okay")</f>
        <v>Okay</v>
      </c>
    </row>
    <row r="906" spans="1:17" x14ac:dyDescent="0.35">
      <c r="A906">
        <v>97700</v>
      </c>
      <c r="B906" t="s">
        <v>25</v>
      </c>
      <c r="C906" t="s">
        <v>29</v>
      </c>
      <c r="D906">
        <v>1</v>
      </c>
      <c r="E906">
        <v>150</v>
      </c>
      <c r="F906" s="2">
        <v>339.85</v>
      </c>
      <c r="G906" t="s">
        <v>35</v>
      </c>
      <c r="H906" s="1">
        <v>45551</v>
      </c>
      <c r="I906" s="1">
        <v>45561</v>
      </c>
      <c r="J906" t="s">
        <v>38</v>
      </c>
      <c r="K906" s="8">
        <f>Table2[[#This Row],[CurrentStock]]*Table2[[#This Row],[UnitPrice]]</f>
        <v>339.85</v>
      </c>
      <c r="L906" t="str">
        <f>IF(Table2[[#This Row],[CurrentStock]]&lt;=Table2[[#This Row],[ReorderLevel]], "Reorder Needed", "Okay")</f>
        <v>Reorder Needed</v>
      </c>
      <c r="M906" s="7">
        <f>IF(Table2[[#This Row],[CurrentStock]]-Table2[[#This Row],[ReorderLevel]]&lt;0,Table2[[#This Row],[CurrentStock]]-Table2[[#This Row],[ReorderLevel]],"")</f>
        <v>-149</v>
      </c>
      <c r="N906" t="str">
        <f>IF(Table2[[#This Row],[Stock Gap]]&lt;0, "Understock","Okay")</f>
        <v>Understock</v>
      </c>
      <c r="O906" s="13" t="str">
        <f>IF(Table2[[#This Row],[Stock Gap]]&lt;0, "Yes", "No")</f>
        <v>Yes</v>
      </c>
      <c r="P906" s="13" t="str">
        <f>IF(Table2[[#This Row],[CurrentStock]]&lt;Table2[[#This Row],[ReorderLevel]],"Reorder", "Okay")</f>
        <v>Reorder</v>
      </c>
      <c r="Q906" s="13" t="str">
        <f>IF(Table2[[#This Row],[CurrentStock]]&gt;Table2[[#This Row],[ReorderLevel]]*3, "Overstock", "Okay")</f>
        <v>Okay</v>
      </c>
    </row>
    <row r="907" spans="1:17" x14ac:dyDescent="0.35">
      <c r="A907">
        <v>92999</v>
      </c>
      <c r="B907" t="s">
        <v>15</v>
      </c>
      <c r="C907" t="s">
        <v>29</v>
      </c>
      <c r="D907">
        <v>88</v>
      </c>
      <c r="E907">
        <v>30</v>
      </c>
      <c r="F907" s="2">
        <v>283.24</v>
      </c>
      <c r="G907" t="s">
        <v>33</v>
      </c>
      <c r="H907" s="1">
        <v>45452</v>
      </c>
      <c r="I907" s="1">
        <v>45470</v>
      </c>
      <c r="J907" t="s">
        <v>36</v>
      </c>
      <c r="K907" s="8">
        <f>Table2[[#This Row],[CurrentStock]]*Table2[[#This Row],[UnitPrice]]</f>
        <v>24925.120000000003</v>
      </c>
      <c r="L907" t="str">
        <f>IF(Table2[[#This Row],[CurrentStock]]&lt;=Table2[[#This Row],[ReorderLevel]], "Reorder Needed", "Okay")</f>
        <v>Okay</v>
      </c>
      <c r="M907" t="str">
        <f>IF(Table2[[#This Row],[CurrentStock]]-Table2[[#This Row],[ReorderLevel]]&lt;0,Table2[[#This Row],[CurrentStock]]-Table2[[#This Row],[ReorderLevel]],"")</f>
        <v/>
      </c>
      <c r="N907" t="str">
        <f>IF(Table2[[#This Row],[Stock Gap]]&lt;0, "Understock","Okay")</f>
        <v>Okay</v>
      </c>
      <c r="O907" s="13" t="str">
        <f>IF(Table2[[#This Row],[Stock Gap]]&lt;0, "Yes", "No")</f>
        <v>No</v>
      </c>
      <c r="P907" s="13" t="str">
        <f>IF(Table2[[#This Row],[CurrentStock]]&lt;Table2[[#This Row],[ReorderLevel]],"Reorder", "Okay")</f>
        <v>Okay</v>
      </c>
      <c r="Q907" s="13" t="str">
        <f>IF(Table2[[#This Row],[CurrentStock]]&gt;Table2[[#This Row],[ReorderLevel]]*3, "Overstock", "Okay")</f>
        <v>Okay</v>
      </c>
    </row>
    <row r="908" spans="1:17" x14ac:dyDescent="0.35">
      <c r="A908">
        <v>44523</v>
      </c>
      <c r="B908" t="s">
        <v>22</v>
      </c>
      <c r="C908" t="s">
        <v>29</v>
      </c>
      <c r="D908">
        <v>143</v>
      </c>
      <c r="E908">
        <v>100</v>
      </c>
      <c r="F908" s="2">
        <v>460.42</v>
      </c>
      <c r="G908" t="s">
        <v>31</v>
      </c>
      <c r="H908" s="1">
        <v>45631</v>
      </c>
      <c r="I908" s="1">
        <v>45664</v>
      </c>
      <c r="J908" t="s">
        <v>36</v>
      </c>
      <c r="K908" s="8">
        <f>Table2[[#This Row],[CurrentStock]]*Table2[[#This Row],[UnitPrice]]</f>
        <v>65840.06</v>
      </c>
      <c r="L908" t="str">
        <f>IF(Table2[[#This Row],[CurrentStock]]&lt;=Table2[[#This Row],[ReorderLevel]], "Reorder Needed", "Okay")</f>
        <v>Okay</v>
      </c>
      <c r="M908" t="str">
        <f>IF(Table2[[#This Row],[CurrentStock]]-Table2[[#This Row],[ReorderLevel]]&lt;0,Table2[[#This Row],[CurrentStock]]-Table2[[#This Row],[ReorderLevel]],"")</f>
        <v/>
      </c>
      <c r="N908" t="str">
        <f>IF(Table2[[#This Row],[Stock Gap]]&lt;0, "Understock","Okay")</f>
        <v>Okay</v>
      </c>
      <c r="O908" s="13" t="str">
        <f>IF(Table2[[#This Row],[Stock Gap]]&lt;0, "Yes", "No")</f>
        <v>No</v>
      </c>
      <c r="P908" s="13" t="str">
        <f>IF(Table2[[#This Row],[CurrentStock]]&lt;Table2[[#This Row],[ReorderLevel]],"Reorder", "Okay")</f>
        <v>Okay</v>
      </c>
      <c r="Q908" s="13" t="str">
        <f>IF(Table2[[#This Row],[CurrentStock]]&gt;Table2[[#This Row],[ReorderLevel]]*3, "Overstock", "Okay")</f>
        <v>Okay</v>
      </c>
    </row>
    <row r="909" spans="1:17" x14ac:dyDescent="0.35">
      <c r="A909">
        <v>16256</v>
      </c>
      <c r="B909" t="s">
        <v>19</v>
      </c>
      <c r="C909" t="s">
        <v>28</v>
      </c>
      <c r="D909">
        <v>65</v>
      </c>
      <c r="E909">
        <v>150</v>
      </c>
      <c r="F909" s="2">
        <v>437.53</v>
      </c>
      <c r="G909" t="s">
        <v>31</v>
      </c>
      <c r="H909" s="1">
        <v>45493</v>
      </c>
      <c r="I909" s="1">
        <v>45515</v>
      </c>
      <c r="J909" t="s">
        <v>36</v>
      </c>
      <c r="K909" s="8">
        <f>Table2[[#This Row],[CurrentStock]]*Table2[[#This Row],[UnitPrice]]</f>
        <v>28439.449999999997</v>
      </c>
      <c r="L909" t="str">
        <f>IF(Table2[[#This Row],[CurrentStock]]&lt;=Table2[[#This Row],[ReorderLevel]], "Reorder Needed", "Okay")</f>
        <v>Reorder Needed</v>
      </c>
      <c r="M909" s="7">
        <f>IF(Table2[[#This Row],[CurrentStock]]-Table2[[#This Row],[ReorderLevel]]&lt;0,Table2[[#This Row],[CurrentStock]]-Table2[[#This Row],[ReorderLevel]],"")</f>
        <v>-85</v>
      </c>
      <c r="N909" t="str">
        <f>IF(Table2[[#This Row],[Stock Gap]]&lt;0, "Understock","Okay")</f>
        <v>Understock</v>
      </c>
      <c r="O909" s="13" t="str">
        <f>IF(Table2[[#This Row],[Stock Gap]]&lt;0, "Yes", "No")</f>
        <v>Yes</v>
      </c>
      <c r="P909" s="13" t="str">
        <f>IF(Table2[[#This Row],[CurrentStock]]&lt;Table2[[#This Row],[ReorderLevel]],"Reorder", "Okay")</f>
        <v>Reorder</v>
      </c>
      <c r="Q909" s="13" t="str">
        <f>IF(Table2[[#This Row],[CurrentStock]]&gt;Table2[[#This Row],[ReorderLevel]]*3, "Overstock", "Okay")</f>
        <v>Okay</v>
      </c>
    </row>
    <row r="910" spans="1:17" x14ac:dyDescent="0.35">
      <c r="A910">
        <v>99922</v>
      </c>
      <c r="B910" t="s">
        <v>17</v>
      </c>
      <c r="C910" t="s">
        <v>27</v>
      </c>
      <c r="D910">
        <v>217</v>
      </c>
      <c r="E910">
        <v>80</v>
      </c>
      <c r="F910" s="2">
        <v>396.3</v>
      </c>
      <c r="G910" t="s">
        <v>31</v>
      </c>
      <c r="H910" s="1">
        <v>45625</v>
      </c>
      <c r="I910" s="1">
        <v>45653</v>
      </c>
      <c r="J910" t="s">
        <v>37</v>
      </c>
      <c r="K910" s="8">
        <f>Table2[[#This Row],[CurrentStock]]*Table2[[#This Row],[UnitPrice]]</f>
        <v>85997.1</v>
      </c>
      <c r="L910" t="str">
        <f>IF(Table2[[#This Row],[CurrentStock]]&lt;=Table2[[#This Row],[ReorderLevel]], "Reorder Needed", "Okay")</f>
        <v>Okay</v>
      </c>
      <c r="M910" t="str">
        <f>IF(Table2[[#This Row],[CurrentStock]]-Table2[[#This Row],[ReorderLevel]]&lt;0,Table2[[#This Row],[CurrentStock]]-Table2[[#This Row],[ReorderLevel]],"")</f>
        <v/>
      </c>
      <c r="N910" t="str">
        <f>IF(Table2[[#This Row],[Stock Gap]]&lt;0, "Understock","Okay")</f>
        <v>Okay</v>
      </c>
      <c r="O910" s="13" t="str">
        <f>IF(Table2[[#This Row],[Stock Gap]]&lt;0, "Yes", "No")</f>
        <v>No</v>
      </c>
      <c r="P910" s="13" t="str">
        <f>IF(Table2[[#This Row],[CurrentStock]]&lt;Table2[[#This Row],[ReorderLevel]],"Reorder", "Okay")</f>
        <v>Okay</v>
      </c>
      <c r="Q910" s="13" t="str">
        <f>IF(Table2[[#This Row],[CurrentStock]]&gt;Table2[[#This Row],[ReorderLevel]]*3, "Overstock", "Okay")</f>
        <v>Okay</v>
      </c>
    </row>
    <row r="911" spans="1:17" x14ac:dyDescent="0.35">
      <c r="A911">
        <v>75936</v>
      </c>
      <c r="B911" t="s">
        <v>11</v>
      </c>
      <c r="C911" t="s">
        <v>27</v>
      </c>
      <c r="D911">
        <v>482</v>
      </c>
      <c r="E911">
        <v>150</v>
      </c>
      <c r="F911" s="2">
        <v>63.16</v>
      </c>
      <c r="G911" t="s">
        <v>34</v>
      </c>
      <c r="H911" s="1">
        <v>45447</v>
      </c>
      <c r="I911" s="1">
        <v>45480</v>
      </c>
      <c r="J911" t="s">
        <v>36</v>
      </c>
      <c r="K911" s="8">
        <f>Table2[[#This Row],[CurrentStock]]*Table2[[#This Row],[UnitPrice]]</f>
        <v>30443.119999999999</v>
      </c>
      <c r="L911" t="str">
        <f>IF(Table2[[#This Row],[CurrentStock]]&lt;=Table2[[#This Row],[ReorderLevel]], "Reorder Needed", "Okay")</f>
        <v>Okay</v>
      </c>
      <c r="M911" t="str">
        <f>IF(Table2[[#This Row],[CurrentStock]]-Table2[[#This Row],[ReorderLevel]]&lt;0,Table2[[#This Row],[CurrentStock]]-Table2[[#This Row],[ReorderLevel]],"")</f>
        <v/>
      </c>
      <c r="N911" t="str">
        <f>IF(Table2[[#This Row],[Stock Gap]]&lt;0, "Understock","Okay")</f>
        <v>Okay</v>
      </c>
      <c r="O911" s="13" t="str">
        <f>IF(Table2[[#This Row],[Stock Gap]]&lt;0, "Yes", "No")</f>
        <v>No</v>
      </c>
      <c r="P911" s="13" t="str">
        <f>IF(Table2[[#This Row],[CurrentStock]]&lt;Table2[[#This Row],[ReorderLevel]],"Reorder", "Okay")</f>
        <v>Okay</v>
      </c>
      <c r="Q911" s="13" t="str">
        <f>IF(Table2[[#This Row],[CurrentStock]]&gt;Table2[[#This Row],[ReorderLevel]]*3, "Overstock", "Okay")</f>
        <v>Overstock</v>
      </c>
    </row>
    <row r="912" spans="1:17" x14ac:dyDescent="0.35">
      <c r="A912">
        <v>11353</v>
      </c>
      <c r="B912" t="s">
        <v>18</v>
      </c>
      <c r="C912" t="s">
        <v>27</v>
      </c>
      <c r="D912">
        <v>339</v>
      </c>
      <c r="E912">
        <v>40</v>
      </c>
      <c r="F912" s="2">
        <v>262.47000000000003</v>
      </c>
      <c r="G912" t="s">
        <v>31</v>
      </c>
      <c r="H912" s="1">
        <v>45517</v>
      </c>
      <c r="I912" s="1">
        <v>45531</v>
      </c>
      <c r="J912" t="s">
        <v>38</v>
      </c>
      <c r="K912" s="8">
        <f>Table2[[#This Row],[CurrentStock]]*Table2[[#This Row],[UnitPrice]]</f>
        <v>88977.330000000016</v>
      </c>
      <c r="L912" t="str">
        <f>IF(Table2[[#This Row],[CurrentStock]]&lt;=Table2[[#This Row],[ReorderLevel]], "Reorder Needed", "Okay")</f>
        <v>Okay</v>
      </c>
      <c r="M912" t="str">
        <f>IF(Table2[[#This Row],[CurrentStock]]-Table2[[#This Row],[ReorderLevel]]&lt;0,Table2[[#This Row],[CurrentStock]]-Table2[[#This Row],[ReorderLevel]],"")</f>
        <v/>
      </c>
      <c r="N912" t="str">
        <f>IF(Table2[[#This Row],[Stock Gap]]&lt;0, "Understock","Okay")</f>
        <v>Okay</v>
      </c>
      <c r="O912" s="13" t="str">
        <f>IF(Table2[[#This Row],[Stock Gap]]&lt;0, "Yes", "No")</f>
        <v>No</v>
      </c>
      <c r="P912" s="13" t="str">
        <f>IF(Table2[[#This Row],[CurrentStock]]&lt;Table2[[#This Row],[ReorderLevel]],"Reorder", "Okay")</f>
        <v>Okay</v>
      </c>
      <c r="Q912" s="13" t="str">
        <f>IF(Table2[[#This Row],[CurrentStock]]&gt;Table2[[#This Row],[ReorderLevel]]*3, "Overstock", "Okay")</f>
        <v>Overstock</v>
      </c>
    </row>
    <row r="913" spans="1:17" x14ac:dyDescent="0.35">
      <c r="A913">
        <v>30800</v>
      </c>
      <c r="B913" t="s">
        <v>10</v>
      </c>
      <c r="C913" t="s">
        <v>26</v>
      </c>
      <c r="D913">
        <v>459</v>
      </c>
      <c r="E913">
        <v>40</v>
      </c>
      <c r="F913" s="2">
        <v>101.7</v>
      </c>
      <c r="G913" t="s">
        <v>32</v>
      </c>
      <c r="H913" s="1">
        <v>45446</v>
      </c>
      <c r="I913" s="1">
        <v>45456</v>
      </c>
      <c r="J913" t="s">
        <v>38</v>
      </c>
      <c r="K913" s="8">
        <f>Table2[[#This Row],[CurrentStock]]*Table2[[#This Row],[UnitPrice]]</f>
        <v>46680.3</v>
      </c>
      <c r="L913" t="str">
        <f>IF(Table2[[#This Row],[CurrentStock]]&lt;=Table2[[#This Row],[ReorderLevel]], "Reorder Needed", "Okay")</f>
        <v>Okay</v>
      </c>
      <c r="M913" t="str">
        <f>IF(Table2[[#This Row],[CurrentStock]]-Table2[[#This Row],[ReorderLevel]]&lt;0,Table2[[#This Row],[CurrentStock]]-Table2[[#This Row],[ReorderLevel]],"")</f>
        <v/>
      </c>
      <c r="N913" t="str">
        <f>IF(Table2[[#This Row],[Stock Gap]]&lt;0, "Understock","Okay")</f>
        <v>Okay</v>
      </c>
      <c r="O913" s="13" t="str">
        <f>IF(Table2[[#This Row],[Stock Gap]]&lt;0, "Yes", "No")</f>
        <v>No</v>
      </c>
      <c r="P913" s="13" t="str">
        <f>IF(Table2[[#This Row],[CurrentStock]]&lt;Table2[[#This Row],[ReorderLevel]],"Reorder", "Okay")</f>
        <v>Okay</v>
      </c>
      <c r="Q913" s="13" t="str">
        <f>IF(Table2[[#This Row],[CurrentStock]]&gt;Table2[[#This Row],[ReorderLevel]]*3, "Overstock", "Okay")</f>
        <v>Overstock</v>
      </c>
    </row>
    <row r="914" spans="1:17" x14ac:dyDescent="0.35">
      <c r="A914">
        <v>57279</v>
      </c>
      <c r="B914" t="s">
        <v>17</v>
      </c>
      <c r="C914" t="s">
        <v>27</v>
      </c>
      <c r="D914">
        <v>124</v>
      </c>
      <c r="E914">
        <v>150</v>
      </c>
      <c r="F914" s="2">
        <v>253.34</v>
      </c>
      <c r="G914" t="s">
        <v>35</v>
      </c>
      <c r="H914" s="1">
        <v>45342</v>
      </c>
      <c r="I914" s="1">
        <v>45370</v>
      </c>
      <c r="J914" t="s">
        <v>38</v>
      </c>
      <c r="K914" s="8">
        <f>Table2[[#This Row],[CurrentStock]]*Table2[[#This Row],[UnitPrice]]</f>
        <v>31414.16</v>
      </c>
      <c r="L914" t="str">
        <f>IF(Table2[[#This Row],[CurrentStock]]&lt;=Table2[[#This Row],[ReorderLevel]], "Reorder Needed", "Okay")</f>
        <v>Reorder Needed</v>
      </c>
      <c r="M914" s="7">
        <f>IF(Table2[[#This Row],[CurrentStock]]-Table2[[#This Row],[ReorderLevel]]&lt;0,Table2[[#This Row],[CurrentStock]]-Table2[[#This Row],[ReorderLevel]],"")</f>
        <v>-26</v>
      </c>
      <c r="N914" t="str">
        <f>IF(Table2[[#This Row],[Stock Gap]]&lt;0, "Understock","Okay")</f>
        <v>Understock</v>
      </c>
      <c r="O914" s="13" t="str">
        <f>IF(Table2[[#This Row],[Stock Gap]]&lt;0, "Yes", "No")</f>
        <v>Yes</v>
      </c>
      <c r="P914" s="13" t="str">
        <f>IF(Table2[[#This Row],[CurrentStock]]&lt;Table2[[#This Row],[ReorderLevel]],"Reorder", "Okay")</f>
        <v>Reorder</v>
      </c>
      <c r="Q914" s="13" t="str">
        <f>IF(Table2[[#This Row],[CurrentStock]]&gt;Table2[[#This Row],[ReorderLevel]]*3, "Overstock", "Okay")</f>
        <v>Okay</v>
      </c>
    </row>
    <row r="915" spans="1:17" x14ac:dyDescent="0.35">
      <c r="A915">
        <v>73755</v>
      </c>
      <c r="B915" t="s">
        <v>14</v>
      </c>
      <c r="C915" t="s">
        <v>28</v>
      </c>
      <c r="D915">
        <v>192</v>
      </c>
      <c r="E915">
        <v>50</v>
      </c>
      <c r="F915" s="2">
        <v>486.48</v>
      </c>
      <c r="G915" t="s">
        <v>32</v>
      </c>
      <c r="H915" s="1">
        <v>45495</v>
      </c>
      <c r="I915" s="1">
        <v>45510</v>
      </c>
      <c r="J915" t="s">
        <v>38</v>
      </c>
      <c r="K915" s="8">
        <f>Table2[[#This Row],[CurrentStock]]*Table2[[#This Row],[UnitPrice]]</f>
        <v>93404.160000000003</v>
      </c>
      <c r="L915" t="str">
        <f>IF(Table2[[#This Row],[CurrentStock]]&lt;=Table2[[#This Row],[ReorderLevel]], "Reorder Needed", "Okay")</f>
        <v>Okay</v>
      </c>
      <c r="M915" t="str">
        <f>IF(Table2[[#This Row],[CurrentStock]]-Table2[[#This Row],[ReorderLevel]]&lt;0,Table2[[#This Row],[CurrentStock]]-Table2[[#This Row],[ReorderLevel]],"")</f>
        <v/>
      </c>
      <c r="N915" t="str">
        <f>IF(Table2[[#This Row],[Stock Gap]]&lt;0, "Understock","Okay")</f>
        <v>Okay</v>
      </c>
      <c r="O915" s="13" t="str">
        <f>IF(Table2[[#This Row],[Stock Gap]]&lt;0, "Yes", "No")</f>
        <v>No</v>
      </c>
      <c r="P915" s="13" t="str">
        <f>IF(Table2[[#This Row],[CurrentStock]]&lt;Table2[[#This Row],[ReorderLevel]],"Reorder", "Okay")</f>
        <v>Okay</v>
      </c>
      <c r="Q915" s="13" t="str">
        <f>IF(Table2[[#This Row],[CurrentStock]]&gt;Table2[[#This Row],[ReorderLevel]]*3, "Overstock", "Okay")</f>
        <v>Overstock</v>
      </c>
    </row>
    <row r="916" spans="1:17" x14ac:dyDescent="0.35">
      <c r="A916">
        <v>36751</v>
      </c>
      <c r="B916" t="s">
        <v>12</v>
      </c>
      <c r="C916" t="s">
        <v>28</v>
      </c>
      <c r="D916">
        <v>288</v>
      </c>
      <c r="E916">
        <v>80</v>
      </c>
      <c r="F916" s="2">
        <v>264.70999999999998</v>
      </c>
      <c r="G916" t="s">
        <v>35</v>
      </c>
      <c r="H916" s="1">
        <v>45605</v>
      </c>
      <c r="I916" s="1">
        <v>45633</v>
      </c>
      <c r="J916" t="s">
        <v>36</v>
      </c>
      <c r="K916" s="8">
        <f>Table2[[#This Row],[CurrentStock]]*Table2[[#This Row],[UnitPrice]]</f>
        <v>76236.479999999996</v>
      </c>
      <c r="L916" t="str">
        <f>IF(Table2[[#This Row],[CurrentStock]]&lt;=Table2[[#This Row],[ReorderLevel]], "Reorder Needed", "Okay")</f>
        <v>Okay</v>
      </c>
      <c r="M916" t="str">
        <f>IF(Table2[[#This Row],[CurrentStock]]-Table2[[#This Row],[ReorderLevel]]&lt;0,Table2[[#This Row],[CurrentStock]]-Table2[[#This Row],[ReorderLevel]],"")</f>
        <v/>
      </c>
      <c r="N916" t="str">
        <f>IF(Table2[[#This Row],[Stock Gap]]&lt;0, "Understock","Okay")</f>
        <v>Okay</v>
      </c>
      <c r="O916" s="13" t="str">
        <f>IF(Table2[[#This Row],[Stock Gap]]&lt;0, "Yes", "No")</f>
        <v>No</v>
      </c>
      <c r="P916" s="13" t="str">
        <f>IF(Table2[[#This Row],[CurrentStock]]&lt;Table2[[#This Row],[ReorderLevel]],"Reorder", "Okay")</f>
        <v>Okay</v>
      </c>
      <c r="Q916" s="13" t="str">
        <f>IF(Table2[[#This Row],[CurrentStock]]&gt;Table2[[#This Row],[ReorderLevel]]*3, "Overstock", "Okay")</f>
        <v>Overstock</v>
      </c>
    </row>
    <row r="917" spans="1:17" x14ac:dyDescent="0.35">
      <c r="A917">
        <v>60231</v>
      </c>
      <c r="B917" t="s">
        <v>20</v>
      </c>
      <c r="C917" t="s">
        <v>30</v>
      </c>
      <c r="D917">
        <v>229</v>
      </c>
      <c r="E917">
        <v>150</v>
      </c>
      <c r="F917" s="2">
        <v>398.1</v>
      </c>
      <c r="G917" t="s">
        <v>31</v>
      </c>
      <c r="H917" s="1">
        <v>45489</v>
      </c>
      <c r="I917" s="1">
        <v>45496</v>
      </c>
      <c r="J917" t="s">
        <v>37</v>
      </c>
      <c r="K917" s="8">
        <f>Table2[[#This Row],[CurrentStock]]*Table2[[#This Row],[UnitPrice]]</f>
        <v>91164.900000000009</v>
      </c>
      <c r="L917" t="str">
        <f>IF(Table2[[#This Row],[CurrentStock]]&lt;=Table2[[#This Row],[ReorderLevel]], "Reorder Needed", "Okay")</f>
        <v>Okay</v>
      </c>
      <c r="M917" t="str">
        <f>IF(Table2[[#This Row],[CurrentStock]]-Table2[[#This Row],[ReorderLevel]]&lt;0,Table2[[#This Row],[CurrentStock]]-Table2[[#This Row],[ReorderLevel]],"")</f>
        <v/>
      </c>
      <c r="N917" t="str">
        <f>IF(Table2[[#This Row],[Stock Gap]]&lt;0, "Understock","Okay")</f>
        <v>Okay</v>
      </c>
      <c r="O917" s="13" t="str">
        <f>IF(Table2[[#This Row],[Stock Gap]]&lt;0, "Yes", "No")</f>
        <v>No</v>
      </c>
      <c r="P917" s="13" t="str">
        <f>IF(Table2[[#This Row],[CurrentStock]]&lt;Table2[[#This Row],[ReorderLevel]],"Reorder", "Okay")</f>
        <v>Okay</v>
      </c>
      <c r="Q917" s="13" t="str">
        <f>IF(Table2[[#This Row],[CurrentStock]]&gt;Table2[[#This Row],[ReorderLevel]]*3, "Overstock", "Okay")</f>
        <v>Okay</v>
      </c>
    </row>
    <row r="918" spans="1:17" x14ac:dyDescent="0.35">
      <c r="A918">
        <v>31390</v>
      </c>
      <c r="B918" t="s">
        <v>16</v>
      </c>
      <c r="C918" t="s">
        <v>29</v>
      </c>
      <c r="D918">
        <v>91</v>
      </c>
      <c r="E918">
        <v>30</v>
      </c>
      <c r="F918" s="2">
        <v>98.83</v>
      </c>
      <c r="G918" t="s">
        <v>32</v>
      </c>
      <c r="H918" s="1">
        <v>45348</v>
      </c>
      <c r="I918" s="1">
        <v>45359</v>
      </c>
      <c r="J918" t="s">
        <v>38</v>
      </c>
      <c r="K918" s="8">
        <f>Table2[[#This Row],[CurrentStock]]*Table2[[#This Row],[UnitPrice]]</f>
        <v>8993.5300000000007</v>
      </c>
      <c r="L918" t="str">
        <f>IF(Table2[[#This Row],[CurrentStock]]&lt;=Table2[[#This Row],[ReorderLevel]], "Reorder Needed", "Okay")</f>
        <v>Okay</v>
      </c>
      <c r="M918" t="str">
        <f>IF(Table2[[#This Row],[CurrentStock]]-Table2[[#This Row],[ReorderLevel]]&lt;0,Table2[[#This Row],[CurrentStock]]-Table2[[#This Row],[ReorderLevel]],"")</f>
        <v/>
      </c>
      <c r="N918" t="str">
        <f>IF(Table2[[#This Row],[Stock Gap]]&lt;0, "Understock","Okay")</f>
        <v>Okay</v>
      </c>
      <c r="O918" s="13" t="str">
        <f>IF(Table2[[#This Row],[Stock Gap]]&lt;0, "Yes", "No")</f>
        <v>No</v>
      </c>
      <c r="P918" s="13" t="str">
        <f>IF(Table2[[#This Row],[CurrentStock]]&lt;Table2[[#This Row],[ReorderLevel]],"Reorder", "Okay")</f>
        <v>Okay</v>
      </c>
      <c r="Q918" s="13" t="str">
        <f>IF(Table2[[#This Row],[CurrentStock]]&gt;Table2[[#This Row],[ReorderLevel]]*3, "Overstock", "Okay")</f>
        <v>Overstock</v>
      </c>
    </row>
    <row r="919" spans="1:17" x14ac:dyDescent="0.35">
      <c r="A919">
        <v>57013</v>
      </c>
      <c r="B919" t="s">
        <v>9</v>
      </c>
      <c r="C919" t="s">
        <v>26</v>
      </c>
      <c r="D919">
        <v>87</v>
      </c>
      <c r="E919">
        <v>30</v>
      </c>
      <c r="F919" s="2">
        <v>123.49</v>
      </c>
      <c r="G919" t="s">
        <v>32</v>
      </c>
      <c r="H919" s="1">
        <v>45334</v>
      </c>
      <c r="I919" s="1">
        <v>45364</v>
      </c>
      <c r="J919" t="s">
        <v>36</v>
      </c>
      <c r="K919" s="8">
        <f>Table2[[#This Row],[CurrentStock]]*Table2[[#This Row],[UnitPrice]]</f>
        <v>10743.63</v>
      </c>
      <c r="L919" t="str">
        <f>IF(Table2[[#This Row],[CurrentStock]]&lt;=Table2[[#This Row],[ReorderLevel]], "Reorder Needed", "Okay")</f>
        <v>Okay</v>
      </c>
      <c r="M919" t="str">
        <f>IF(Table2[[#This Row],[CurrentStock]]-Table2[[#This Row],[ReorderLevel]]&lt;0,Table2[[#This Row],[CurrentStock]]-Table2[[#This Row],[ReorderLevel]],"")</f>
        <v/>
      </c>
      <c r="N919" t="str">
        <f>IF(Table2[[#This Row],[Stock Gap]]&lt;0, "Understock","Okay")</f>
        <v>Okay</v>
      </c>
      <c r="O919" s="13" t="str">
        <f>IF(Table2[[#This Row],[Stock Gap]]&lt;0, "Yes", "No")</f>
        <v>No</v>
      </c>
      <c r="P919" s="13" t="str">
        <f>IF(Table2[[#This Row],[CurrentStock]]&lt;Table2[[#This Row],[ReorderLevel]],"Reorder", "Okay")</f>
        <v>Okay</v>
      </c>
      <c r="Q919" s="13" t="str">
        <f>IF(Table2[[#This Row],[CurrentStock]]&gt;Table2[[#This Row],[ReorderLevel]]*3, "Overstock", "Okay")</f>
        <v>Okay</v>
      </c>
    </row>
    <row r="920" spans="1:17" x14ac:dyDescent="0.35">
      <c r="A920">
        <v>34124</v>
      </c>
      <c r="B920" t="s">
        <v>19</v>
      </c>
      <c r="C920" t="s">
        <v>28</v>
      </c>
      <c r="D920">
        <v>289</v>
      </c>
      <c r="E920">
        <v>20</v>
      </c>
      <c r="F920" s="2">
        <v>405.14</v>
      </c>
      <c r="G920" t="s">
        <v>35</v>
      </c>
      <c r="H920" s="1">
        <v>45504</v>
      </c>
      <c r="I920" s="1">
        <v>45528</v>
      </c>
      <c r="J920" t="s">
        <v>37</v>
      </c>
      <c r="K920" s="8">
        <f>Table2[[#This Row],[CurrentStock]]*Table2[[#This Row],[UnitPrice]]</f>
        <v>117085.45999999999</v>
      </c>
      <c r="L920" t="str">
        <f>IF(Table2[[#This Row],[CurrentStock]]&lt;=Table2[[#This Row],[ReorderLevel]], "Reorder Needed", "Okay")</f>
        <v>Okay</v>
      </c>
      <c r="M920" t="str">
        <f>IF(Table2[[#This Row],[CurrentStock]]-Table2[[#This Row],[ReorderLevel]]&lt;0,Table2[[#This Row],[CurrentStock]]-Table2[[#This Row],[ReorderLevel]],"")</f>
        <v/>
      </c>
      <c r="N920" t="str">
        <f>IF(Table2[[#This Row],[Stock Gap]]&lt;0, "Understock","Okay")</f>
        <v>Okay</v>
      </c>
      <c r="O920" s="13" t="str">
        <f>IF(Table2[[#This Row],[Stock Gap]]&lt;0, "Yes", "No")</f>
        <v>No</v>
      </c>
      <c r="P920" s="13" t="str">
        <f>IF(Table2[[#This Row],[CurrentStock]]&lt;Table2[[#This Row],[ReorderLevel]],"Reorder", "Okay")</f>
        <v>Okay</v>
      </c>
      <c r="Q920" s="13" t="str">
        <f>IF(Table2[[#This Row],[CurrentStock]]&gt;Table2[[#This Row],[ReorderLevel]]*3, "Overstock", "Okay")</f>
        <v>Overstock</v>
      </c>
    </row>
    <row r="921" spans="1:17" x14ac:dyDescent="0.35">
      <c r="A921">
        <v>95283</v>
      </c>
      <c r="B921" t="s">
        <v>13</v>
      </c>
      <c r="C921" t="s">
        <v>26</v>
      </c>
      <c r="D921">
        <v>403</v>
      </c>
      <c r="E921">
        <v>30</v>
      </c>
      <c r="F921" s="2">
        <v>397.38</v>
      </c>
      <c r="G921" t="s">
        <v>35</v>
      </c>
      <c r="H921" s="1">
        <v>45644</v>
      </c>
      <c r="I921" s="1">
        <v>45672</v>
      </c>
      <c r="J921" t="s">
        <v>37</v>
      </c>
      <c r="K921" s="8">
        <f>Table2[[#This Row],[CurrentStock]]*Table2[[#This Row],[UnitPrice]]</f>
        <v>160144.13999999998</v>
      </c>
      <c r="L921" t="str">
        <f>IF(Table2[[#This Row],[CurrentStock]]&lt;=Table2[[#This Row],[ReorderLevel]], "Reorder Needed", "Okay")</f>
        <v>Okay</v>
      </c>
      <c r="M921" t="str">
        <f>IF(Table2[[#This Row],[CurrentStock]]-Table2[[#This Row],[ReorderLevel]]&lt;0,Table2[[#This Row],[CurrentStock]]-Table2[[#This Row],[ReorderLevel]],"")</f>
        <v/>
      </c>
      <c r="N921" t="str">
        <f>IF(Table2[[#This Row],[Stock Gap]]&lt;0, "Understock","Okay")</f>
        <v>Okay</v>
      </c>
      <c r="O921" s="13" t="str">
        <f>IF(Table2[[#This Row],[Stock Gap]]&lt;0, "Yes", "No")</f>
        <v>No</v>
      </c>
      <c r="P921" s="13" t="str">
        <f>IF(Table2[[#This Row],[CurrentStock]]&lt;Table2[[#This Row],[ReorderLevel]],"Reorder", "Okay")</f>
        <v>Okay</v>
      </c>
      <c r="Q921" s="13" t="str">
        <f>IF(Table2[[#This Row],[CurrentStock]]&gt;Table2[[#This Row],[ReorderLevel]]*3, "Overstock", "Okay")</f>
        <v>Overstock</v>
      </c>
    </row>
    <row r="922" spans="1:17" x14ac:dyDescent="0.35">
      <c r="A922">
        <v>39377</v>
      </c>
      <c r="B922" t="s">
        <v>21</v>
      </c>
      <c r="C922" t="s">
        <v>26</v>
      </c>
      <c r="D922">
        <v>310</v>
      </c>
      <c r="E922">
        <v>80</v>
      </c>
      <c r="F922" s="2">
        <v>305.7</v>
      </c>
      <c r="G922" t="s">
        <v>34</v>
      </c>
      <c r="H922" s="1">
        <v>45496</v>
      </c>
      <c r="I922" s="1">
        <v>45524</v>
      </c>
      <c r="J922" t="s">
        <v>36</v>
      </c>
      <c r="K922" s="8">
        <f>Table2[[#This Row],[CurrentStock]]*Table2[[#This Row],[UnitPrice]]</f>
        <v>94767</v>
      </c>
      <c r="L922" t="str">
        <f>IF(Table2[[#This Row],[CurrentStock]]&lt;=Table2[[#This Row],[ReorderLevel]], "Reorder Needed", "Okay")</f>
        <v>Okay</v>
      </c>
      <c r="M922" t="str">
        <f>IF(Table2[[#This Row],[CurrentStock]]-Table2[[#This Row],[ReorderLevel]]&lt;0,Table2[[#This Row],[CurrentStock]]-Table2[[#This Row],[ReorderLevel]],"")</f>
        <v/>
      </c>
      <c r="N922" t="str">
        <f>IF(Table2[[#This Row],[Stock Gap]]&lt;0, "Understock","Okay")</f>
        <v>Okay</v>
      </c>
      <c r="O922" s="13" t="str">
        <f>IF(Table2[[#This Row],[Stock Gap]]&lt;0, "Yes", "No")</f>
        <v>No</v>
      </c>
      <c r="P922" s="13" t="str">
        <f>IF(Table2[[#This Row],[CurrentStock]]&lt;Table2[[#This Row],[ReorderLevel]],"Reorder", "Okay")</f>
        <v>Okay</v>
      </c>
      <c r="Q922" s="13" t="str">
        <f>IF(Table2[[#This Row],[CurrentStock]]&gt;Table2[[#This Row],[ReorderLevel]]*3, "Overstock", "Okay")</f>
        <v>Overstock</v>
      </c>
    </row>
    <row r="923" spans="1:17" x14ac:dyDescent="0.35">
      <c r="A923">
        <v>65283</v>
      </c>
      <c r="B923" t="s">
        <v>12</v>
      </c>
      <c r="C923" t="s">
        <v>28</v>
      </c>
      <c r="D923">
        <v>162</v>
      </c>
      <c r="E923">
        <v>40</v>
      </c>
      <c r="F923" s="2">
        <v>260.92</v>
      </c>
      <c r="G923" t="s">
        <v>32</v>
      </c>
      <c r="H923" s="1">
        <v>45628</v>
      </c>
      <c r="I923" s="1">
        <v>45660</v>
      </c>
      <c r="J923" t="s">
        <v>37</v>
      </c>
      <c r="K923" s="8">
        <f>Table2[[#This Row],[CurrentStock]]*Table2[[#This Row],[UnitPrice]]</f>
        <v>42269.04</v>
      </c>
      <c r="L923" t="str">
        <f>IF(Table2[[#This Row],[CurrentStock]]&lt;=Table2[[#This Row],[ReorderLevel]], "Reorder Needed", "Okay")</f>
        <v>Okay</v>
      </c>
      <c r="M923" t="str">
        <f>IF(Table2[[#This Row],[CurrentStock]]-Table2[[#This Row],[ReorderLevel]]&lt;0,Table2[[#This Row],[CurrentStock]]-Table2[[#This Row],[ReorderLevel]],"")</f>
        <v/>
      </c>
      <c r="N923" t="str">
        <f>IF(Table2[[#This Row],[Stock Gap]]&lt;0, "Understock","Okay")</f>
        <v>Okay</v>
      </c>
      <c r="O923" s="13" t="str">
        <f>IF(Table2[[#This Row],[Stock Gap]]&lt;0, "Yes", "No")</f>
        <v>No</v>
      </c>
      <c r="P923" s="13" t="str">
        <f>IF(Table2[[#This Row],[CurrentStock]]&lt;Table2[[#This Row],[ReorderLevel]],"Reorder", "Okay")</f>
        <v>Okay</v>
      </c>
      <c r="Q923" s="13" t="str">
        <f>IF(Table2[[#This Row],[CurrentStock]]&gt;Table2[[#This Row],[ReorderLevel]]*3, "Overstock", "Okay")</f>
        <v>Overstock</v>
      </c>
    </row>
    <row r="924" spans="1:17" x14ac:dyDescent="0.35">
      <c r="A924">
        <v>32553</v>
      </c>
      <c r="B924" t="s">
        <v>20</v>
      </c>
      <c r="C924" t="s">
        <v>30</v>
      </c>
      <c r="D924">
        <v>203</v>
      </c>
      <c r="E924">
        <v>150</v>
      </c>
      <c r="F924" s="2">
        <v>145.36000000000001</v>
      </c>
      <c r="G924" t="s">
        <v>31</v>
      </c>
      <c r="H924" s="1">
        <v>45579</v>
      </c>
      <c r="I924" s="1">
        <v>45615</v>
      </c>
      <c r="J924" t="s">
        <v>36</v>
      </c>
      <c r="K924" s="8">
        <f>Table2[[#This Row],[CurrentStock]]*Table2[[#This Row],[UnitPrice]]</f>
        <v>29508.080000000002</v>
      </c>
      <c r="L924" t="str">
        <f>IF(Table2[[#This Row],[CurrentStock]]&lt;=Table2[[#This Row],[ReorderLevel]], "Reorder Needed", "Okay")</f>
        <v>Okay</v>
      </c>
      <c r="M924" t="str">
        <f>IF(Table2[[#This Row],[CurrentStock]]-Table2[[#This Row],[ReorderLevel]]&lt;0,Table2[[#This Row],[CurrentStock]]-Table2[[#This Row],[ReorderLevel]],"")</f>
        <v/>
      </c>
      <c r="N924" t="str">
        <f>IF(Table2[[#This Row],[Stock Gap]]&lt;0, "Understock","Okay")</f>
        <v>Okay</v>
      </c>
      <c r="O924" s="13" t="str">
        <f>IF(Table2[[#This Row],[Stock Gap]]&lt;0, "Yes", "No")</f>
        <v>No</v>
      </c>
      <c r="P924" s="13" t="str">
        <f>IF(Table2[[#This Row],[CurrentStock]]&lt;Table2[[#This Row],[ReorderLevel]],"Reorder", "Okay")</f>
        <v>Okay</v>
      </c>
      <c r="Q924" s="13" t="str">
        <f>IF(Table2[[#This Row],[CurrentStock]]&gt;Table2[[#This Row],[ReorderLevel]]*3, "Overstock", "Okay")</f>
        <v>Okay</v>
      </c>
    </row>
    <row r="925" spans="1:17" x14ac:dyDescent="0.35">
      <c r="A925">
        <v>92227</v>
      </c>
      <c r="B925" t="s">
        <v>22</v>
      </c>
      <c r="C925" t="s">
        <v>29</v>
      </c>
      <c r="D925">
        <v>105</v>
      </c>
      <c r="E925">
        <v>30</v>
      </c>
      <c r="F925" s="2">
        <v>155.74</v>
      </c>
      <c r="G925" t="s">
        <v>31</v>
      </c>
      <c r="H925" s="1">
        <v>45522</v>
      </c>
      <c r="I925" s="1">
        <v>45533</v>
      </c>
      <c r="J925" t="s">
        <v>36</v>
      </c>
      <c r="K925" s="8">
        <f>Table2[[#This Row],[CurrentStock]]*Table2[[#This Row],[UnitPrice]]</f>
        <v>16352.7</v>
      </c>
      <c r="L925" t="str">
        <f>IF(Table2[[#This Row],[CurrentStock]]&lt;=Table2[[#This Row],[ReorderLevel]], "Reorder Needed", "Okay")</f>
        <v>Okay</v>
      </c>
      <c r="M925" t="str">
        <f>IF(Table2[[#This Row],[CurrentStock]]-Table2[[#This Row],[ReorderLevel]]&lt;0,Table2[[#This Row],[CurrentStock]]-Table2[[#This Row],[ReorderLevel]],"")</f>
        <v/>
      </c>
      <c r="N925" t="str">
        <f>IF(Table2[[#This Row],[Stock Gap]]&lt;0, "Understock","Okay")</f>
        <v>Okay</v>
      </c>
      <c r="O925" s="13" t="str">
        <f>IF(Table2[[#This Row],[Stock Gap]]&lt;0, "Yes", "No")</f>
        <v>No</v>
      </c>
      <c r="P925" s="13" t="str">
        <f>IF(Table2[[#This Row],[CurrentStock]]&lt;Table2[[#This Row],[ReorderLevel]],"Reorder", "Okay")</f>
        <v>Okay</v>
      </c>
      <c r="Q925" s="13" t="str">
        <f>IF(Table2[[#This Row],[CurrentStock]]&gt;Table2[[#This Row],[ReorderLevel]]*3, "Overstock", "Okay")</f>
        <v>Overstock</v>
      </c>
    </row>
    <row r="926" spans="1:17" x14ac:dyDescent="0.35">
      <c r="A926">
        <v>71607</v>
      </c>
      <c r="B926" t="s">
        <v>20</v>
      </c>
      <c r="C926" t="s">
        <v>30</v>
      </c>
      <c r="D926">
        <v>48</v>
      </c>
      <c r="E926">
        <v>20</v>
      </c>
      <c r="F926" s="2">
        <v>465.31</v>
      </c>
      <c r="G926" t="s">
        <v>35</v>
      </c>
      <c r="H926" s="1">
        <v>45344</v>
      </c>
      <c r="I926" s="1">
        <v>45367</v>
      </c>
      <c r="J926" t="s">
        <v>36</v>
      </c>
      <c r="K926" s="8">
        <f>Table2[[#This Row],[CurrentStock]]*Table2[[#This Row],[UnitPrice]]</f>
        <v>22334.880000000001</v>
      </c>
      <c r="L926" t="str">
        <f>IF(Table2[[#This Row],[CurrentStock]]&lt;=Table2[[#This Row],[ReorderLevel]], "Reorder Needed", "Okay")</f>
        <v>Okay</v>
      </c>
      <c r="M926" t="str">
        <f>IF(Table2[[#This Row],[CurrentStock]]-Table2[[#This Row],[ReorderLevel]]&lt;0,Table2[[#This Row],[CurrentStock]]-Table2[[#This Row],[ReorderLevel]],"")</f>
        <v/>
      </c>
      <c r="N926" t="str">
        <f>IF(Table2[[#This Row],[Stock Gap]]&lt;0, "Understock","Okay")</f>
        <v>Okay</v>
      </c>
      <c r="O926" s="13" t="str">
        <f>IF(Table2[[#This Row],[Stock Gap]]&lt;0, "Yes", "No")</f>
        <v>No</v>
      </c>
      <c r="P926" s="13" t="str">
        <f>IF(Table2[[#This Row],[CurrentStock]]&lt;Table2[[#This Row],[ReorderLevel]],"Reorder", "Okay")</f>
        <v>Okay</v>
      </c>
      <c r="Q926" s="13" t="str">
        <f>IF(Table2[[#This Row],[CurrentStock]]&gt;Table2[[#This Row],[ReorderLevel]]*3, "Overstock", "Okay")</f>
        <v>Okay</v>
      </c>
    </row>
    <row r="927" spans="1:17" x14ac:dyDescent="0.35">
      <c r="A927">
        <v>18837</v>
      </c>
      <c r="B927" t="s">
        <v>11</v>
      </c>
      <c r="C927" t="s">
        <v>27</v>
      </c>
      <c r="D927">
        <v>145</v>
      </c>
      <c r="E927">
        <v>50</v>
      </c>
      <c r="F927" s="2">
        <v>69.569999999999993</v>
      </c>
      <c r="G927" t="s">
        <v>31</v>
      </c>
      <c r="H927" s="1">
        <v>45458</v>
      </c>
      <c r="I927" s="1">
        <v>45471</v>
      </c>
      <c r="J927" t="s">
        <v>38</v>
      </c>
      <c r="K927" s="8">
        <f>Table2[[#This Row],[CurrentStock]]*Table2[[#This Row],[UnitPrice]]</f>
        <v>10087.65</v>
      </c>
      <c r="L927" t="str">
        <f>IF(Table2[[#This Row],[CurrentStock]]&lt;=Table2[[#This Row],[ReorderLevel]], "Reorder Needed", "Okay")</f>
        <v>Okay</v>
      </c>
      <c r="M927" t="str">
        <f>IF(Table2[[#This Row],[CurrentStock]]-Table2[[#This Row],[ReorderLevel]]&lt;0,Table2[[#This Row],[CurrentStock]]-Table2[[#This Row],[ReorderLevel]],"")</f>
        <v/>
      </c>
      <c r="N927" t="str">
        <f>IF(Table2[[#This Row],[Stock Gap]]&lt;0, "Understock","Okay")</f>
        <v>Okay</v>
      </c>
      <c r="O927" s="13" t="str">
        <f>IF(Table2[[#This Row],[Stock Gap]]&lt;0, "Yes", "No")</f>
        <v>No</v>
      </c>
      <c r="P927" s="13" t="str">
        <f>IF(Table2[[#This Row],[CurrentStock]]&lt;Table2[[#This Row],[ReorderLevel]],"Reorder", "Okay")</f>
        <v>Okay</v>
      </c>
      <c r="Q927" s="13" t="str">
        <f>IF(Table2[[#This Row],[CurrentStock]]&gt;Table2[[#This Row],[ReorderLevel]]*3, "Overstock", "Okay")</f>
        <v>Okay</v>
      </c>
    </row>
    <row r="928" spans="1:17" x14ac:dyDescent="0.35">
      <c r="A928">
        <v>86349</v>
      </c>
      <c r="B928" t="s">
        <v>16</v>
      </c>
      <c r="C928" t="s">
        <v>29</v>
      </c>
      <c r="D928">
        <v>384</v>
      </c>
      <c r="E928">
        <v>40</v>
      </c>
      <c r="F928" s="2">
        <v>42.39</v>
      </c>
      <c r="G928" t="s">
        <v>35</v>
      </c>
      <c r="H928" s="1">
        <v>45502</v>
      </c>
      <c r="I928" s="1">
        <v>45523</v>
      </c>
      <c r="J928" t="s">
        <v>36</v>
      </c>
      <c r="K928" s="8">
        <f>Table2[[#This Row],[CurrentStock]]*Table2[[#This Row],[UnitPrice]]</f>
        <v>16277.76</v>
      </c>
      <c r="L928" t="str">
        <f>IF(Table2[[#This Row],[CurrentStock]]&lt;=Table2[[#This Row],[ReorderLevel]], "Reorder Needed", "Okay")</f>
        <v>Okay</v>
      </c>
      <c r="M928" t="str">
        <f>IF(Table2[[#This Row],[CurrentStock]]-Table2[[#This Row],[ReorderLevel]]&lt;0,Table2[[#This Row],[CurrentStock]]-Table2[[#This Row],[ReorderLevel]],"")</f>
        <v/>
      </c>
      <c r="N928" t="str">
        <f>IF(Table2[[#This Row],[Stock Gap]]&lt;0, "Understock","Okay")</f>
        <v>Okay</v>
      </c>
      <c r="O928" s="13" t="str">
        <f>IF(Table2[[#This Row],[Stock Gap]]&lt;0, "Yes", "No")</f>
        <v>No</v>
      </c>
      <c r="P928" s="13" t="str">
        <f>IF(Table2[[#This Row],[CurrentStock]]&lt;Table2[[#This Row],[ReorderLevel]],"Reorder", "Okay")</f>
        <v>Okay</v>
      </c>
      <c r="Q928" s="13" t="str">
        <f>IF(Table2[[#This Row],[CurrentStock]]&gt;Table2[[#This Row],[ReorderLevel]]*3, "Overstock", "Okay")</f>
        <v>Overstock</v>
      </c>
    </row>
    <row r="929" spans="1:17" x14ac:dyDescent="0.35">
      <c r="A929">
        <v>52487</v>
      </c>
      <c r="B929" t="s">
        <v>11</v>
      </c>
      <c r="C929" t="s">
        <v>27</v>
      </c>
      <c r="D929">
        <v>285</v>
      </c>
      <c r="E929">
        <v>150</v>
      </c>
      <c r="F929" s="2">
        <v>232.52</v>
      </c>
      <c r="G929" t="s">
        <v>33</v>
      </c>
      <c r="H929" s="1">
        <v>45373</v>
      </c>
      <c r="I929" s="1">
        <v>45387</v>
      </c>
      <c r="J929" t="s">
        <v>36</v>
      </c>
      <c r="K929" s="8">
        <f>Table2[[#This Row],[CurrentStock]]*Table2[[#This Row],[UnitPrice]]</f>
        <v>66268.2</v>
      </c>
      <c r="L929" t="str">
        <f>IF(Table2[[#This Row],[CurrentStock]]&lt;=Table2[[#This Row],[ReorderLevel]], "Reorder Needed", "Okay")</f>
        <v>Okay</v>
      </c>
      <c r="M929" t="str">
        <f>IF(Table2[[#This Row],[CurrentStock]]-Table2[[#This Row],[ReorderLevel]]&lt;0,Table2[[#This Row],[CurrentStock]]-Table2[[#This Row],[ReorderLevel]],"")</f>
        <v/>
      </c>
      <c r="N929" t="str">
        <f>IF(Table2[[#This Row],[Stock Gap]]&lt;0, "Understock","Okay")</f>
        <v>Okay</v>
      </c>
      <c r="O929" s="13" t="str">
        <f>IF(Table2[[#This Row],[Stock Gap]]&lt;0, "Yes", "No")</f>
        <v>No</v>
      </c>
      <c r="P929" s="13" t="str">
        <f>IF(Table2[[#This Row],[CurrentStock]]&lt;Table2[[#This Row],[ReorderLevel]],"Reorder", "Okay")</f>
        <v>Okay</v>
      </c>
      <c r="Q929" s="13" t="str">
        <f>IF(Table2[[#This Row],[CurrentStock]]&gt;Table2[[#This Row],[ReorderLevel]]*3, "Overstock", "Okay")</f>
        <v>Okay</v>
      </c>
    </row>
    <row r="930" spans="1:17" x14ac:dyDescent="0.35">
      <c r="A930">
        <v>28976</v>
      </c>
      <c r="B930" t="s">
        <v>9</v>
      </c>
      <c r="C930" t="s">
        <v>26</v>
      </c>
      <c r="D930">
        <v>88</v>
      </c>
      <c r="E930">
        <v>80</v>
      </c>
      <c r="F930" s="2">
        <v>6.9</v>
      </c>
      <c r="G930" t="s">
        <v>32</v>
      </c>
      <c r="H930" s="1">
        <v>45635</v>
      </c>
      <c r="I930" s="1">
        <v>45641</v>
      </c>
      <c r="J930" t="s">
        <v>37</v>
      </c>
      <c r="K930" s="8">
        <f>Table2[[#This Row],[CurrentStock]]*Table2[[#This Row],[UnitPrice]]</f>
        <v>607.20000000000005</v>
      </c>
      <c r="L930" t="str">
        <f>IF(Table2[[#This Row],[CurrentStock]]&lt;=Table2[[#This Row],[ReorderLevel]], "Reorder Needed", "Okay")</f>
        <v>Okay</v>
      </c>
      <c r="M930" t="str">
        <f>IF(Table2[[#This Row],[CurrentStock]]-Table2[[#This Row],[ReorderLevel]]&lt;0,Table2[[#This Row],[CurrentStock]]-Table2[[#This Row],[ReorderLevel]],"")</f>
        <v/>
      </c>
      <c r="N930" t="str">
        <f>IF(Table2[[#This Row],[Stock Gap]]&lt;0, "Understock","Okay")</f>
        <v>Okay</v>
      </c>
      <c r="O930" s="13" t="str">
        <f>IF(Table2[[#This Row],[Stock Gap]]&lt;0, "Yes", "No")</f>
        <v>No</v>
      </c>
      <c r="P930" s="13" t="str">
        <f>IF(Table2[[#This Row],[CurrentStock]]&lt;Table2[[#This Row],[ReorderLevel]],"Reorder", "Okay")</f>
        <v>Okay</v>
      </c>
      <c r="Q930" s="13" t="str">
        <f>IF(Table2[[#This Row],[CurrentStock]]&gt;Table2[[#This Row],[ReorderLevel]]*3, "Overstock", "Okay")</f>
        <v>Okay</v>
      </c>
    </row>
    <row r="931" spans="1:17" x14ac:dyDescent="0.35">
      <c r="A931">
        <v>94360</v>
      </c>
      <c r="B931" t="s">
        <v>18</v>
      </c>
      <c r="C931" t="s">
        <v>27</v>
      </c>
      <c r="D931">
        <v>486</v>
      </c>
      <c r="E931">
        <v>80</v>
      </c>
      <c r="F931" s="2">
        <v>370</v>
      </c>
      <c r="G931" t="s">
        <v>33</v>
      </c>
      <c r="H931" s="1">
        <v>45333</v>
      </c>
      <c r="I931" s="1">
        <v>45358</v>
      </c>
      <c r="J931" t="s">
        <v>37</v>
      </c>
      <c r="K931" s="8">
        <f>Table2[[#This Row],[CurrentStock]]*Table2[[#This Row],[UnitPrice]]</f>
        <v>179820</v>
      </c>
      <c r="L931" t="str">
        <f>IF(Table2[[#This Row],[CurrentStock]]&lt;=Table2[[#This Row],[ReorderLevel]], "Reorder Needed", "Okay")</f>
        <v>Okay</v>
      </c>
      <c r="M931" t="str">
        <f>IF(Table2[[#This Row],[CurrentStock]]-Table2[[#This Row],[ReorderLevel]]&lt;0,Table2[[#This Row],[CurrentStock]]-Table2[[#This Row],[ReorderLevel]],"")</f>
        <v/>
      </c>
      <c r="N931" t="str">
        <f>IF(Table2[[#This Row],[Stock Gap]]&lt;0, "Understock","Okay")</f>
        <v>Okay</v>
      </c>
      <c r="O931" s="13" t="str">
        <f>IF(Table2[[#This Row],[Stock Gap]]&lt;0, "Yes", "No")</f>
        <v>No</v>
      </c>
      <c r="P931" s="13" t="str">
        <f>IF(Table2[[#This Row],[CurrentStock]]&lt;Table2[[#This Row],[ReorderLevel]],"Reorder", "Okay")</f>
        <v>Okay</v>
      </c>
      <c r="Q931" s="13" t="str">
        <f>IF(Table2[[#This Row],[CurrentStock]]&gt;Table2[[#This Row],[ReorderLevel]]*3, "Overstock", "Okay")</f>
        <v>Overstock</v>
      </c>
    </row>
    <row r="932" spans="1:17" x14ac:dyDescent="0.35">
      <c r="A932">
        <v>15190</v>
      </c>
      <c r="B932" t="s">
        <v>19</v>
      </c>
      <c r="C932" t="s">
        <v>28</v>
      </c>
      <c r="D932">
        <v>324</v>
      </c>
      <c r="E932">
        <v>20</v>
      </c>
      <c r="F932" s="2">
        <v>61.52</v>
      </c>
      <c r="G932" t="s">
        <v>33</v>
      </c>
      <c r="H932" s="1">
        <v>45611</v>
      </c>
      <c r="I932" s="1">
        <v>45638</v>
      </c>
      <c r="J932" t="s">
        <v>36</v>
      </c>
      <c r="K932" s="8">
        <f>Table2[[#This Row],[CurrentStock]]*Table2[[#This Row],[UnitPrice]]</f>
        <v>19932.48</v>
      </c>
      <c r="L932" t="str">
        <f>IF(Table2[[#This Row],[CurrentStock]]&lt;=Table2[[#This Row],[ReorderLevel]], "Reorder Needed", "Okay")</f>
        <v>Okay</v>
      </c>
      <c r="M932" t="str">
        <f>IF(Table2[[#This Row],[CurrentStock]]-Table2[[#This Row],[ReorderLevel]]&lt;0,Table2[[#This Row],[CurrentStock]]-Table2[[#This Row],[ReorderLevel]],"")</f>
        <v/>
      </c>
      <c r="N932" t="str">
        <f>IF(Table2[[#This Row],[Stock Gap]]&lt;0, "Understock","Okay")</f>
        <v>Okay</v>
      </c>
      <c r="O932" s="13" t="str">
        <f>IF(Table2[[#This Row],[Stock Gap]]&lt;0, "Yes", "No")</f>
        <v>No</v>
      </c>
      <c r="P932" s="13" t="str">
        <f>IF(Table2[[#This Row],[CurrentStock]]&lt;Table2[[#This Row],[ReorderLevel]],"Reorder", "Okay")</f>
        <v>Okay</v>
      </c>
      <c r="Q932" s="13" t="str">
        <f>IF(Table2[[#This Row],[CurrentStock]]&gt;Table2[[#This Row],[ReorderLevel]]*3, "Overstock", "Okay")</f>
        <v>Overstock</v>
      </c>
    </row>
    <row r="933" spans="1:17" x14ac:dyDescent="0.35">
      <c r="A933">
        <v>97858</v>
      </c>
      <c r="B933" t="s">
        <v>19</v>
      </c>
      <c r="C933" t="s">
        <v>28</v>
      </c>
      <c r="D933">
        <v>389</v>
      </c>
      <c r="E933">
        <v>150</v>
      </c>
      <c r="F933" s="2">
        <v>458.01</v>
      </c>
      <c r="G933" t="s">
        <v>33</v>
      </c>
      <c r="H933" s="1">
        <v>45300</v>
      </c>
      <c r="I933" s="1">
        <v>45337</v>
      </c>
      <c r="J933" t="s">
        <v>38</v>
      </c>
      <c r="K933" s="8">
        <f>Table2[[#This Row],[CurrentStock]]*Table2[[#This Row],[UnitPrice]]</f>
        <v>178165.88999999998</v>
      </c>
      <c r="L933" t="str">
        <f>IF(Table2[[#This Row],[CurrentStock]]&lt;=Table2[[#This Row],[ReorderLevel]], "Reorder Needed", "Okay")</f>
        <v>Okay</v>
      </c>
      <c r="M933" t="str">
        <f>IF(Table2[[#This Row],[CurrentStock]]-Table2[[#This Row],[ReorderLevel]]&lt;0,Table2[[#This Row],[CurrentStock]]-Table2[[#This Row],[ReorderLevel]],"")</f>
        <v/>
      </c>
      <c r="N933" t="str">
        <f>IF(Table2[[#This Row],[Stock Gap]]&lt;0, "Understock","Okay")</f>
        <v>Okay</v>
      </c>
      <c r="O933" s="13" t="str">
        <f>IF(Table2[[#This Row],[Stock Gap]]&lt;0, "Yes", "No")</f>
        <v>No</v>
      </c>
      <c r="P933" s="13" t="str">
        <f>IF(Table2[[#This Row],[CurrentStock]]&lt;Table2[[#This Row],[ReorderLevel]],"Reorder", "Okay")</f>
        <v>Okay</v>
      </c>
      <c r="Q933" s="13" t="str">
        <f>IF(Table2[[#This Row],[CurrentStock]]&gt;Table2[[#This Row],[ReorderLevel]]*3, "Overstock", "Okay")</f>
        <v>Okay</v>
      </c>
    </row>
    <row r="934" spans="1:17" x14ac:dyDescent="0.35">
      <c r="A934">
        <v>85271</v>
      </c>
      <c r="B934" t="s">
        <v>15</v>
      </c>
      <c r="C934" t="s">
        <v>29</v>
      </c>
      <c r="D934">
        <v>481</v>
      </c>
      <c r="E934">
        <v>20</v>
      </c>
      <c r="F934" s="2">
        <v>274.29000000000002</v>
      </c>
      <c r="G934" t="s">
        <v>32</v>
      </c>
      <c r="H934" s="1">
        <v>45305</v>
      </c>
      <c r="I934" s="1">
        <v>45324</v>
      </c>
      <c r="J934" t="s">
        <v>36</v>
      </c>
      <c r="K934" s="8">
        <f>Table2[[#This Row],[CurrentStock]]*Table2[[#This Row],[UnitPrice]]</f>
        <v>131933.49000000002</v>
      </c>
      <c r="L934" t="str">
        <f>IF(Table2[[#This Row],[CurrentStock]]&lt;=Table2[[#This Row],[ReorderLevel]], "Reorder Needed", "Okay")</f>
        <v>Okay</v>
      </c>
      <c r="M934" t="str">
        <f>IF(Table2[[#This Row],[CurrentStock]]-Table2[[#This Row],[ReorderLevel]]&lt;0,Table2[[#This Row],[CurrentStock]]-Table2[[#This Row],[ReorderLevel]],"")</f>
        <v/>
      </c>
      <c r="N934" t="str">
        <f>IF(Table2[[#This Row],[Stock Gap]]&lt;0, "Understock","Okay")</f>
        <v>Okay</v>
      </c>
      <c r="O934" s="13" t="str">
        <f>IF(Table2[[#This Row],[Stock Gap]]&lt;0, "Yes", "No")</f>
        <v>No</v>
      </c>
      <c r="P934" s="13" t="str">
        <f>IF(Table2[[#This Row],[CurrentStock]]&lt;Table2[[#This Row],[ReorderLevel]],"Reorder", "Okay")</f>
        <v>Okay</v>
      </c>
      <c r="Q934" s="13" t="str">
        <f>IF(Table2[[#This Row],[CurrentStock]]&gt;Table2[[#This Row],[ReorderLevel]]*3, "Overstock", "Okay")</f>
        <v>Overstock</v>
      </c>
    </row>
    <row r="935" spans="1:17" x14ac:dyDescent="0.35">
      <c r="A935">
        <v>48409</v>
      </c>
      <c r="B935" t="s">
        <v>10</v>
      </c>
      <c r="C935" t="s">
        <v>26</v>
      </c>
      <c r="D935">
        <v>445</v>
      </c>
      <c r="E935">
        <v>100</v>
      </c>
      <c r="F935" s="2">
        <v>303.69</v>
      </c>
      <c r="G935" t="s">
        <v>32</v>
      </c>
      <c r="H935" s="1">
        <v>45598</v>
      </c>
      <c r="I935" s="1">
        <v>45631</v>
      </c>
      <c r="J935" t="s">
        <v>37</v>
      </c>
      <c r="K935" s="8">
        <f>Table2[[#This Row],[CurrentStock]]*Table2[[#This Row],[UnitPrice]]</f>
        <v>135142.04999999999</v>
      </c>
      <c r="L935" t="str">
        <f>IF(Table2[[#This Row],[CurrentStock]]&lt;=Table2[[#This Row],[ReorderLevel]], "Reorder Needed", "Okay")</f>
        <v>Okay</v>
      </c>
      <c r="M935" t="str">
        <f>IF(Table2[[#This Row],[CurrentStock]]-Table2[[#This Row],[ReorderLevel]]&lt;0,Table2[[#This Row],[CurrentStock]]-Table2[[#This Row],[ReorderLevel]],"")</f>
        <v/>
      </c>
      <c r="N935" t="str">
        <f>IF(Table2[[#This Row],[Stock Gap]]&lt;0, "Understock","Okay")</f>
        <v>Okay</v>
      </c>
      <c r="O935" s="13" t="str">
        <f>IF(Table2[[#This Row],[Stock Gap]]&lt;0, "Yes", "No")</f>
        <v>No</v>
      </c>
      <c r="P935" s="13" t="str">
        <f>IF(Table2[[#This Row],[CurrentStock]]&lt;Table2[[#This Row],[ReorderLevel]],"Reorder", "Okay")</f>
        <v>Okay</v>
      </c>
      <c r="Q935" s="13" t="str">
        <f>IF(Table2[[#This Row],[CurrentStock]]&gt;Table2[[#This Row],[ReorderLevel]]*3, "Overstock", "Okay")</f>
        <v>Overstock</v>
      </c>
    </row>
    <row r="936" spans="1:17" x14ac:dyDescent="0.35">
      <c r="A936">
        <v>91238</v>
      </c>
      <c r="B936" t="s">
        <v>23</v>
      </c>
      <c r="C936" t="s">
        <v>30</v>
      </c>
      <c r="D936">
        <v>294</v>
      </c>
      <c r="E936">
        <v>80</v>
      </c>
      <c r="F936" s="2">
        <v>254.05</v>
      </c>
      <c r="G936" t="s">
        <v>34</v>
      </c>
      <c r="H936" s="1">
        <v>45479</v>
      </c>
      <c r="I936" s="1">
        <v>45503</v>
      </c>
      <c r="J936" t="s">
        <v>38</v>
      </c>
      <c r="K936" s="8">
        <f>Table2[[#This Row],[CurrentStock]]*Table2[[#This Row],[UnitPrice]]</f>
        <v>74690.7</v>
      </c>
      <c r="L936" t="str">
        <f>IF(Table2[[#This Row],[CurrentStock]]&lt;=Table2[[#This Row],[ReorderLevel]], "Reorder Needed", "Okay")</f>
        <v>Okay</v>
      </c>
      <c r="M936" t="str">
        <f>IF(Table2[[#This Row],[CurrentStock]]-Table2[[#This Row],[ReorderLevel]]&lt;0,Table2[[#This Row],[CurrentStock]]-Table2[[#This Row],[ReorderLevel]],"")</f>
        <v/>
      </c>
      <c r="N936" t="str">
        <f>IF(Table2[[#This Row],[Stock Gap]]&lt;0, "Understock","Okay")</f>
        <v>Okay</v>
      </c>
      <c r="O936" s="13" t="str">
        <f>IF(Table2[[#This Row],[Stock Gap]]&lt;0, "Yes", "No")</f>
        <v>No</v>
      </c>
      <c r="P936" s="13" t="str">
        <f>IF(Table2[[#This Row],[CurrentStock]]&lt;Table2[[#This Row],[ReorderLevel]],"Reorder", "Okay")</f>
        <v>Okay</v>
      </c>
      <c r="Q936" s="13" t="str">
        <f>IF(Table2[[#This Row],[CurrentStock]]&gt;Table2[[#This Row],[ReorderLevel]]*3, "Overstock", "Okay")</f>
        <v>Overstock</v>
      </c>
    </row>
    <row r="937" spans="1:17" x14ac:dyDescent="0.35">
      <c r="A937">
        <v>38341</v>
      </c>
      <c r="B937" t="s">
        <v>13</v>
      </c>
      <c r="C937" t="s">
        <v>26</v>
      </c>
      <c r="D937">
        <v>431</v>
      </c>
      <c r="E937">
        <v>20</v>
      </c>
      <c r="F937" s="2">
        <v>277.52</v>
      </c>
      <c r="G937" t="s">
        <v>33</v>
      </c>
      <c r="H937" s="1">
        <v>45608</v>
      </c>
      <c r="I937" s="1">
        <v>45622</v>
      </c>
      <c r="J937" t="s">
        <v>36</v>
      </c>
      <c r="K937" s="8">
        <f>Table2[[#This Row],[CurrentStock]]*Table2[[#This Row],[UnitPrice]]</f>
        <v>119611.12</v>
      </c>
      <c r="L937" t="str">
        <f>IF(Table2[[#This Row],[CurrentStock]]&lt;=Table2[[#This Row],[ReorderLevel]], "Reorder Needed", "Okay")</f>
        <v>Okay</v>
      </c>
      <c r="M937" t="str">
        <f>IF(Table2[[#This Row],[CurrentStock]]-Table2[[#This Row],[ReorderLevel]]&lt;0,Table2[[#This Row],[CurrentStock]]-Table2[[#This Row],[ReorderLevel]],"")</f>
        <v/>
      </c>
      <c r="N937" t="str">
        <f>IF(Table2[[#This Row],[Stock Gap]]&lt;0, "Understock","Okay")</f>
        <v>Okay</v>
      </c>
      <c r="O937" s="13" t="str">
        <f>IF(Table2[[#This Row],[Stock Gap]]&lt;0, "Yes", "No")</f>
        <v>No</v>
      </c>
      <c r="P937" s="13" t="str">
        <f>IF(Table2[[#This Row],[CurrentStock]]&lt;Table2[[#This Row],[ReorderLevel]],"Reorder", "Okay")</f>
        <v>Okay</v>
      </c>
      <c r="Q937" s="13" t="str">
        <f>IF(Table2[[#This Row],[CurrentStock]]&gt;Table2[[#This Row],[ReorderLevel]]*3, "Overstock", "Okay")</f>
        <v>Overstock</v>
      </c>
    </row>
    <row r="938" spans="1:17" x14ac:dyDescent="0.35">
      <c r="A938">
        <v>48383</v>
      </c>
      <c r="B938" t="s">
        <v>25</v>
      </c>
      <c r="C938" t="s">
        <v>29</v>
      </c>
      <c r="D938">
        <v>132</v>
      </c>
      <c r="E938">
        <v>150</v>
      </c>
      <c r="F938" s="2">
        <v>146.36000000000001</v>
      </c>
      <c r="G938" t="s">
        <v>35</v>
      </c>
      <c r="H938" s="1">
        <v>45514</v>
      </c>
      <c r="I938" s="1">
        <v>45541</v>
      </c>
      <c r="J938" t="s">
        <v>37</v>
      </c>
      <c r="K938" s="8">
        <f>Table2[[#This Row],[CurrentStock]]*Table2[[#This Row],[UnitPrice]]</f>
        <v>19319.52</v>
      </c>
      <c r="L938" t="str">
        <f>IF(Table2[[#This Row],[CurrentStock]]&lt;=Table2[[#This Row],[ReorderLevel]], "Reorder Needed", "Okay")</f>
        <v>Reorder Needed</v>
      </c>
      <c r="M938" s="7">
        <f>IF(Table2[[#This Row],[CurrentStock]]-Table2[[#This Row],[ReorderLevel]]&lt;0,Table2[[#This Row],[CurrentStock]]-Table2[[#This Row],[ReorderLevel]],"")</f>
        <v>-18</v>
      </c>
      <c r="N938" t="str">
        <f>IF(Table2[[#This Row],[Stock Gap]]&lt;0, "Understock","Okay")</f>
        <v>Understock</v>
      </c>
      <c r="O938" s="13" t="str">
        <f>IF(Table2[[#This Row],[Stock Gap]]&lt;0, "Yes", "No")</f>
        <v>Yes</v>
      </c>
      <c r="P938" s="13" t="str">
        <f>IF(Table2[[#This Row],[CurrentStock]]&lt;Table2[[#This Row],[ReorderLevel]],"Reorder", "Okay")</f>
        <v>Reorder</v>
      </c>
      <c r="Q938" s="13" t="str">
        <f>IF(Table2[[#This Row],[CurrentStock]]&gt;Table2[[#This Row],[ReorderLevel]]*3, "Overstock", "Okay")</f>
        <v>Okay</v>
      </c>
    </row>
    <row r="939" spans="1:17" x14ac:dyDescent="0.35">
      <c r="A939">
        <v>65612</v>
      </c>
      <c r="B939" t="s">
        <v>17</v>
      </c>
      <c r="C939" t="s">
        <v>27</v>
      </c>
      <c r="D939">
        <v>353</v>
      </c>
      <c r="E939">
        <v>80</v>
      </c>
      <c r="F939" s="2">
        <v>292</v>
      </c>
      <c r="G939" t="s">
        <v>31</v>
      </c>
      <c r="H939" s="1">
        <v>45575</v>
      </c>
      <c r="I939" s="1">
        <v>45611</v>
      </c>
      <c r="J939" t="s">
        <v>37</v>
      </c>
      <c r="K939" s="8">
        <f>Table2[[#This Row],[CurrentStock]]*Table2[[#This Row],[UnitPrice]]</f>
        <v>103076</v>
      </c>
      <c r="L939" t="str">
        <f>IF(Table2[[#This Row],[CurrentStock]]&lt;=Table2[[#This Row],[ReorderLevel]], "Reorder Needed", "Okay")</f>
        <v>Okay</v>
      </c>
      <c r="M939" t="str">
        <f>IF(Table2[[#This Row],[CurrentStock]]-Table2[[#This Row],[ReorderLevel]]&lt;0,Table2[[#This Row],[CurrentStock]]-Table2[[#This Row],[ReorderLevel]],"")</f>
        <v/>
      </c>
      <c r="N939" t="str">
        <f>IF(Table2[[#This Row],[Stock Gap]]&lt;0, "Understock","Okay")</f>
        <v>Okay</v>
      </c>
      <c r="O939" s="13" t="str">
        <f>IF(Table2[[#This Row],[Stock Gap]]&lt;0, "Yes", "No")</f>
        <v>No</v>
      </c>
      <c r="P939" s="13" t="str">
        <f>IF(Table2[[#This Row],[CurrentStock]]&lt;Table2[[#This Row],[ReorderLevel]],"Reorder", "Okay")</f>
        <v>Okay</v>
      </c>
      <c r="Q939" s="13" t="str">
        <f>IF(Table2[[#This Row],[CurrentStock]]&gt;Table2[[#This Row],[ReorderLevel]]*3, "Overstock", "Okay")</f>
        <v>Overstock</v>
      </c>
    </row>
    <row r="940" spans="1:17" x14ac:dyDescent="0.35">
      <c r="A940">
        <v>16853</v>
      </c>
      <c r="B940" t="s">
        <v>18</v>
      </c>
      <c r="C940" t="s">
        <v>27</v>
      </c>
      <c r="D940">
        <v>456</v>
      </c>
      <c r="E940">
        <v>30</v>
      </c>
      <c r="F940" s="2">
        <v>413.01</v>
      </c>
      <c r="G940" t="s">
        <v>34</v>
      </c>
      <c r="H940" s="1">
        <v>45496</v>
      </c>
      <c r="I940" s="1">
        <v>45505</v>
      </c>
      <c r="J940" t="s">
        <v>37</v>
      </c>
      <c r="K940" s="8">
        <f>Table2[[#This Row],[CurrentStock]]*Table2[[#This Row],[UnitPrice]]</f>
        <v>188332.56</v>
      </c>
      <c r="L940" t="str">
        <f>IF(Table2[[#This Row],[CurrentStock]]&lt;=Table2[[#This Row],[ReorderLevel]], "Reorder Needed", "Okay")</f>
        <v>Okay</v>
      </c>
      <c r="M940" t="str">
        <f>IF(Table2[[#This Row],[CurrentStock]]-Table2[[#This Row],[ReorderLevel]]&lt;0,Table2[[#This Row],[CurrentStock]]-Table2[[#This Row],[ReorderLevel]],"")</f>
        <v/>
      </c>
      <c r="N940" t="str">
        <f>IF(Table2[[#This Row],[Stock Gap]]&lt;0, "Understock","Okay")</f>
        <v>Okay</v>
      </c>
      <c r="O940" s="13" t="str">
        <f>IF(Table2[[#This Row],[Stock Gap]]&lt;0, "Yes", "No")</f>
        <v>No</v>
      </c>
      <c r="P940" s="13" t="str">
        <f>IF(Table2[[#This Row],[CurrentStock]]&lt;Table2[[#This Row],[ReorderLevel]],"Reorder", "Okay")</f>
        <v>Okay</v>
      </c>
      <c r="Q940" s="13" t="str">
        <f>IF(Table2[[#This Row],[CurrentStock]]&gt;Table2[[#This Row],[ReorderLevel]]*3, "Overstock", "Okay")</f>
        <v>Overstock</v>
      </c>
    </row>
    <row r="941" spans="1:17" x14ac:dyDescent="0.35">
      <c r="A941">
        <v>87186</v>
      </c>
      <c r="B941" t="s">
        <v>10</v>
      </c>
      <c r="C941" t="s">
        <v>26</v>
      </c>
      <c r="D941">
        <v>456</v>
      </c>
      <c r="E941">
        <v>30</v>
      </c>
      <c r="F941" s="2">
        <v>69.790000000000006</v>
      </c>
      <c r="G941" t="s">
        <v>34</v>
      </c>
      <c r="H941" s="1">
        <v>45423</v>
      </c>
      <c r="I941" s="1">
        <v>45452</v>
      </c>
      <c r="J941" t="s">
        <v>38</v>
      </c>
      <c r="K941" s="8">
        <f>Table2[[#This Row],[CurrentStock]]*Table2[[#This Row],[UnitPrice]]</f>
        <v>31824.240000000002</v>
      </c>
      <c r="L941" t="str">
        <f>IF(Table2[[#This Row],[CurrentStock]]&lt;=Table2[[#This Row],[ReorderLevel]], "Reorder Needed", "Okay")</f>
        <v>Okay</v>
      </c>
      <c r="M941" t="str">
        <f>IF(Table2[[#This Row],[CurrentStock]]-Table2[[#This Row],[ReorderLevel]]&lt;0,Table2[[#This Row],[CurrentStock]]-Table2[[#This Row],[ReorderLevel]],"")</f>
        <v/>
      </c>
      <c r="N941" t="str">
        <f>IF(Table2[[#This Row],[Stock Gap]]&lt;0, "Understock","Okay")</f>
        <v>Okay</v>
      </c>
      <c r="O941" s="13" t="str">
        <f>IF(Table2[[#This Row],[Stock Gap]]&lt;0, "Yes", "No")</f>
        <v>No</v>
      </c>
      <c r="P941" s="13" t="str">
        <f>IF(Table2[[#This Row],[CurrentStock]]&lt;Table2[[#This Row],[ReorderLevel]],"Reorder", "Okay")</f>
        <v>Okay</v>
      </c>
      <c r="Q941" s="13" t="str">
        <f>IF(Table2[[#This Row],[CurrentStock]]&gt;Table2[[#This Row],[ReorderLevel]]*3, "Overstock", "Okay")</f>
        <v>Overstock</v>
      </c>
    </row>
    <row r="942" spans="1:17" x14ac:dyDescent="0.35">
      <c r="A942">
        <v>19969</v>
      </c>
      <c r="B942" t="s">
        <v>13</v>
      </c>
      <c r="C942" t="s">
        <v>26</v>
      </c>
      <c r="D942">
        <v>289</v>
      </c>
      <c r="E942">
        <v>40</v>
      </c>
      <c r="F942" s="2">
        <v>386.26</v>
      </c>
      <c r="G942" t="s">
        <v>32</v>
      </c>
      <c r="H942" s="1">
        <v>45569</v>
      </c>
      <c r="I942" s="1">
        <v>45579</v>
      </c>
      <c r="J942" t="s">
        <v>38</v>
      </c>
      <c r="K942" s="8">
        <f>Table2[[#This Row],[CurrentStock]]*Table2[[#This Row],[UnitPrice]]</f>
        <v>111629.14</v>
      </c>
      <c r="L942" t="str">
        <f>IF(Table2[[#This Row],[CurrentStock]]&lt;=Table2[[#This Row],[ReorderLevel]], "Reorder Needed", "Okay")</f>
        <v>Okay</v>
      </c>
      <c r="M942" t="str">
        <f>IF(Table2[[#This Row],[CurrentStock]]-Table2[[#This Row],[ReorderLevel]]&lt;0,Table2[[#This Row],[CurrentStock]]-Table2[[#This Row],[ReorderLevel]],"")</f>
        <v/>
      </c>
      <c r="N942" t="str">
        <f>IF(Table2[[#This Row],[Stock Gap]]&lt;0, "Understock","Okay")</f>
        <v>Okay</v>
      </c>
      <c r="O942" s="13" t="str">
        <f>IF(Table2[[#This Row],[Stock Gap]]&lt;0, "Yes", "No")</f>
        <v>No</v>
      </c>
      <c r="P942" s="13" t="str">
        <f>IF(Table2[[#This Row],[CurrentStock]]&lt;Table2[[#This Row],[ReorderLevel]],"Reorder", "Okay")</f>
        <v>Okay</v>
      </c>
      <c r="Q942" s="13" t="str">
        <f>IF(Table2[[#This Row],[CurrentStock]]&gt;Table2[[#This Row],[ReorderLevel]]*3, "Overstock", "Okay")</f>
        <v>Overstock</v>
      </c>
    </row>
    <row r="943" spans="1:17" x14ac:dyDescent="0.35">
      <c r="A943">
        <v>99614</v>
      </c>
      <c r="B943" t="s">
        <v>20</v>
      </c>
      <c r="C943" t="s">
        <v>30</v>
      </c>
      <c r="D943">
        <v>399</v>
      </c>
      <c r="E943">
        <v>50</v>
      </c>
      <c r="F943" s="2">
        <v>481.29</v>
      </c>
      <c r="G943" t="s">
        <v>35</v>
      </c>
      <c r="H943" s="1">
        <v>45363</v>
      </c>
      <c r="I943" s="1">
        <v>45380</v>
      </c>
      <c r="J943" t="s">
        <v>38</v>
      </c>
      <c r="K943" s="8">
        <f>Table2[[#This Row],[CurrentStock]]*Table2[[#This Row],[UnitPrice]]</f>
        <v>192034.71000000002</v>
      </c>
      <c r="L943" t="str">
        <f>IF(Table2[[#This Row],[CurrentStock]]&lt;=Table2[[#This Row],[ReorderLevel]], "Reorder Needed", "Okay")</f>
        <v>Okay</v>
      </c>
      <c r="M943" t="str">
        <f>IF(Table2[[#This Row],[CurrentStock]]-Table2[[#This Row],[ReorderLevel]]&lt;0,Table2[[#This Row],[CurrentStock]]-Table2[[#This Row],[ReorderLevel]],"")</f>
        <v/>
      </c>
      <c r="N943" t="str">
        <f>IF(Table2[[#This Row],[Stock Gap]]&lt;0, "Understock","Okay")</f>
        <v>Okay</v>
      </c>
      <c r="O943" s="13" t="str">
        <f>IF(Table2[[#This Row],[Stock Gap]]&lt;0, "Yes", "No")</f>
        <v>No</v>
      </c>
      <c r="P943" s="13" t="str">
        <f>IF(Table2[[#This Row],[CurrentStock]]&lt;Table2[[#This Row],[ReorderLevel]],"Reorder", "Okay")</f>
        <v>Okay</v>
      </c>
      <c r="Q943" s="13" t="str">
        <f>IF(Table2[[#This Row],[CurrentStock]]&gt;Table2[[#This Row],[ReorderLevel]]*3, "Overstock", "Okay")</f>
        <v>Overstock</v>
      </c>
    </row>
    <row r="944" spans="1:17" x14ac:dyDescent="0.35">
      <c r="A944">
        <v>20131</v>
      </c>
      <c r="B944" t="s">
        <v>22</v>
      </c>
      <c r="C944" t="s">
        <v>29</v>
      </c>
      <c r="D944">
        <v>146</v>
      </c>
      <c r="E944">
        <v>150</v>
      </c>
      <c r="F944" s="2">
        <v>57.52</v>
      </c>
      <c r="G944" t="s">
        <v>35</v>
      </c>
      <c r="H944" s="1">
        <v>45430</v>
      </c>
      <c r="I944" s="1">
        <v>45454</v>
      </c>
      <c r="J944" t="s">
        <v>38</v>
      </c>
      <c r="K944" s="8">
        <f>Table2[[#This Row],[CurrentStock]]*Table2[[#This Row],[UnitPrice]]</f>
        <v>8397.92</v>
      </c>
      <c r="L944" t="str">
        <f>IF(Table2[[#This Row],[CurrentStock]]&lt;=Table2[[#This Row],[ReorderLevel]], "Reorder Needed", "Okay")</f>
        <v>Reorder Needed</v>
      </c>
      <c r="M944" s="7">
        <f>IF(Table2[[#This Row],[CurrentStock]]-Table2[[#This Row],[ReorderLevel]]&lt;0,Table2[[#This Row],[CurrentStock]]-Table2[[#This Row],[ReorderLevel]],"")</f>
        <v>-4</v>
      </c>
      <c r="N944" t="str">
        <f>IF(Table2[[#This Row],[Stock Gap]]&lt;0, "Understock","Okay")</f>
        <v>Understock</v>
      </c>
      <c r="O944" s="13" t="str">
        <f>IF(Table2[[#This Row],[Stock Gap]]&lt;0, "Yes", "No")</f>
        <v>Yes</v>
      </c>
      <c r="P944" s="13" t="str">
        <f>IF(Table2[[#This Row],[CurrentStock]]&lt;Table2[[#This Row],[ReorderLevel]],"Reorder", "Okay")</f>
        <v>Reorder</v>
      </c>
      <c r="Q944" s="13" t="str">
        <f>IF(Table2[[#This Row],[CurrentStock]]&gt;Table2[[#This Row],[ReorderLevel]]*3, "Overstock", "Okay")</f>
        <v>Okay</v>
      </c>
    </row>
    <row r="945" spans="1:17" x14ac:dyDescent="0.35">
      <c r="A945">
        <v>98822</v>
      </c>
      <c r="B945" t="s">
        <v>11</v>
      </c>
      <c r="C945" t="s">
        <v>27</v>
      </c>
      <c r="D945">
        <v>329</v>
      </c>
      <c r="E945">
        <v>30</v>
      </c>
      <c r="F945" s="2">
        <v>47.28</v>
      </c>
      <c r="G945" t="s">
        <v>33</v>
      </c>
      <c r="H945" s="1">
        <v>45492</v>
      </c>
      <c r="I945" s="1">
        <v>45527</v>
      </c>
      <c r="J945" t="s">
        <v>36</v>
      </c>
      <c r="K945" s="8">
        <f>Table2[[#This Row],[CurrentStock]]*Table2[[#This Row],[UnitPrice]]</f>
        <v>15555.12</v>
      </c>
      <c r="L945" t="str">
        <f>IF(Table2[[#This Row],[CurrentStock]]&lt;=Table2[[#This Row],[ReorderLevel]], "Reorder Needed", "Okay")</f>
        <v>Okay</v>
      </c>
      <c r="M945" t="str">
        <f>IF(Table2[[#This Row],[CurrentStock]]-Table2[[#This Row],[ReorderLevel]]&lt;0,Table2[[#This Row],[CurrentStock]]-Table2[[#This Row],[ReorderLevel]],"")</f>
        <v/>
      </c>
      <c r="N945" t="str">
        <f>IF(Table2[[#This Row],[Stock Gap]]&lt;0, "Understock","Okay")</f>
        <v>Okay</v>
      </c>
      <c r="O945" s="13" t="str">
        <f>IF(Table2[[#This Row],[Stock Gap]]&lt;0, "Yes", "No")</f>
        <v>No</v>
      </c>
      <c r="P945" s="13" t="str">
        <f>IF(Table2[[#This Row],[CurrentStock]]&lt;Table2[[#This Row],[ReorderLevel]],"Reorder", "Okay")</f>
        <v>Okay</v>
      </c>
      <c r="Q945" s="13" t="str">
        <f>IF(Table2[[#This Row],[CurrentStock]]&gt;Table2[[#This Row],[ReorderLevel]]*3, "Overstock", "Okay")</f>
        <v>Overstock</v>
      </c>
    </row>
    <row r="946" spans="1:17" x14ac:dyDescent="0.35">
      <c r="A946">
        <v>28706</v>
      </c>
      <c r="B946" t="s">
        <v>22</v>
      </c>
      <c r="C946" t="s">
        <v>29</v>
      </c>
      <c r="D946">
        <v>333</v>
      </c>
      <c r="E946">
        <v>50</v>
      </c>
      <c r="F946" s="2">
        <v>117.25</v>
      </c>
      <c r="G946" t="s">
        <v>35</v>
      </c>
      <c r="H946" s="1">
        <v>45650</v>
      </c>
      <c r="I946" s="1">
        <v>45671</v>
      </c>
      <c r="J946" t="s">
        <v>37</v>
      </c>
      <c r="K946" s="8">
        <f>Table2[[#This Row],[CurrentStock]]*Table2[[#This Row],[UnitPrice]]</f>
        <v>39044.25</v>
      </c>
      <c r="L946" t="str">
        <f>IF(Table2[[#This Row],[CurrentStock]]&lt;=Table2[[#This Row],[ReorderLevel]], "Reorder Needed", "Okay")</f>
        <v>Okay</v>
      </c>
      <c r="M946" t="str">
        <f>IF(Table2[[#This Row],[CurrentStock]]-Table2[[#This Row],[ReorderLevel]]&lt;0,Table2[[#This Row],[CurrentStock]]-Table2[[#This Row],[ReorderLevel]],"")</f>
        <v/>
      </c>
      <c r="N946" t="str">
        <f>IF(Table2[[#This Row],[Stock Gap]]&lt;0, "Understock","Okay")</f>
        <v>Okay</v>
      </c>
      <c r="O946" s="13" t="str">
        <f>IF(Table2[[#This Row],[Stock Gap]]&lt;0, "Yes", "No")</f>
        <v>No</v>
      </c>
      <c r="P946" s="13" t="str">
        <f>IF(Table2[[#This Row],[CurrentStock]]&lt;Table2[[#This Row],[ReorderLevel]],"Reorder", "Okay")</f>
        <v>Okay</v>
      </c>
      <c r="Q946" s="13" t="str">
        <f>IF(Table2[[#This Row],[CurrentStock]]&gt;Table2[[#This Row],[ReorderLevel]]*3, "Overstock", "Okay")</f>
        <v>Overstock</v>
      </c>
    </row>
    <row r="947" spans="1:17" x14ac:dyDescent="0.35">
      <c r="A947">
        <v>48015</v>
      </c>
      <c r="B947" t="s">
        <v>11</v>
      </c>
      <c r="C947" t="s">
        <v>27</v>
      </c>
      <c r="D947">
        <v>318</v>
      </c>
      <c r="E947">
        <v>80</v>
      </c>
      <c r="F947" s="2">
        <v>315.83999999999997</v>
      </c>
      <c r="G947" t="s">
        <v>32</v>
      </c>
      <c r="H947" s="1">
        <v>45444</v>
      </c>
      <c r="I947" s="1">
        <v>45459</v>
      </c>
      <c r="J947" t="s">
        <v>38</v>
      </c>
      <c r="K947" s="8">
        <f>Table2[[#This Row],[CurrentStock]]*Table2[[#This Row],[UnitPrice]]</f>
        <v>100437.12</v>
      </c>
      <c r="L947" t="str">
        <f>IF(Table2[[#This Row],[CurrentStock]]&lt;=Table2[[#This Row],[ReorderLevel]], "Reorder Needed", "Okay")</f>
        <v>Okay</v>
      </c>
      <c r="M947" t="str">
        <f>IF(Table2[[#This Row],[CurrentStock]]-Table2[[#This Row],[ReorderLevel]]&lt;0,Table2[[#This Row],[CurrentStock]]-Table2[[#This Row],[ReorderLevel]],"")</f>
        <v/>
      </c>
      <c r="N947" t="str">
        <f>IF(Table2[[#This Row],[Stock Gap]]&lt;0, "Understock","Okay")</f>
        <v>Okay</v>
      </c>
      <c r="O947" s="13" t="str">
        <f>IF(Table2[[#This Row],[Stock Gap]]&lt;0, "Yes", "No")</f>
        <v>No</v>
      </c>
      <c r="P947" s="13" t="str">
        <f>IF(Table2[[#This Row],[CurrentStock]]&lt;Table2[[#This Row],[ReorderLevel]],"Reorder", "Okay")</f>
        <v>Okay</v>
      </c>
      <c r="Q947" s="13" t="str">
        <f>IF(Table2[[#This Row],[CurrentStock]]&gt;Table2[[#This Row],[ReorderLevel]]*3, "Overstock", "Okay")</f>
        <v>Overstock</v>
      </c>
    </row>
    <row r="948" spans="1:17" x14ac:dyDescent="0.35">
      <c r="A948">
        <v>55784</v>
      </c>
      <c r="B948" t="s">
        <v>18</v>
      </c>
      <c r="C948" t="s">
        <v>27</v>
      </c>
      <c r="D948">
        <v>158</v>
      </c>
      <c r="E948">
        <v>30</v>
      </c>
      <c r="F948" s="2">
        <v>120.79</v>
      </c>
      <c r="G948" t="s">
        <v>32</v>
      </c>
      <c r="H948" s="1">
        <v>45314</v>
      </c>
      <c r="I948" s="1">
        <v>45331</v>
      </c>
      <c r="J948" t="s">
        <v>38</v>
      </c>
      <c r="K948" s="8">
        <f>Table2[[#This Row],[CurrentStock]]*Table2[[#This Row],[UnitPrice]]</f>
        <v>19084.82</v>
      </c>
      <c r="L948" t="str">
        <f>IF(Table2[[#This Row],[CurrentStock]]&lt;=Table2[[#This Row],[ReorderLevel]], "Reorder Needed", "Okay")</f>
        <v>Okay</v>
      </c>
      <c r="M948" t="str">
        <f>IF(Table2[[#This Row],[CurrentStock]]-Table2[[#This Row],[ReorderLevel]]&lt;0,Table2[[#This Row],[CurrentStock]]-Table2[[#This Row],[ReorderLevel]],"")</f>
        <v/>
      </c>
      <c r="N948" t="str">
        <f>IF(Table2[[#This Row],[Stock Gap]]&lt;0, "Understock","Okay")</f>
        <v>Okay</v>
      </c>
      <c r="O948" s="13" t="str">
        <f>IF(Table2[[#This Row],[Stock Gap]]&lt;0, "Yes", "No")</f>
        <v>No</v>
      </c>
      <c r="P948" s="13" t="str">
        <f>IF(Table2[[#This Row],[CurrentStock]]&lt;Table2[[#This Row],[ReorderLevel]],"Reorder", "Okay")</f>
        <v>Okay</v>
      </c>
      <c r="Q948" s="13" t="str">
        <f>IF(Table2[[#This Row],[CurrentStock]]&gt;Table2[[#This Row],[ReorderLevel]]*3, "Overstock", "Okay")</f>
        <v>Overstock</v>
      </c>
    </row>
    <row r="949" spans="1:17" x14ac:dyDescent="0.35">
      <c r="A949">
        <v>65989</v>
      </c>
      <c r="B949" t="s">
        <v>17</v>
      </c>
      <c r="C949" t="s">
        <v>27</v>
      </c>
      <c r="D949">
        <v>418</v>
      </c>
      <c r="E949">
        <v>20</v>
      </c>
      <c r="F949" s="2">
        <v>46.04</v>
      </c>
      <c r="G949" t="s">
        <v>32</v>
      </c>
      <c r="H949" s="1">
        <v>45376</v>
      </c>
      <c r="I949" s="1">
        <v>45412</v>
      </c>
      <c r="J949" t="s">
        <v>37</v>
      </c>
      <c r="K949" s="8">
        <f>Table2[[#This Row],[CurrentStock]]*Table2[[#This Row],[UnitPrice]]</f>
        <v>19244.72</v>
      </c>
      <c r="L949" t="str">
        <f>IF(Table2[[#This Row],[CurrentStock]]&lt;=Table2[[#This Row],[ReorderLevel]], "Reorder Needed", "Okay")</f>
        <v>Okay</v>
      </c>
      <c r="M949" t="str">
        <f>IF(Table2[[#This Row],[CurrentStock]]-Table2[[#This Row],[ReorderLevel]]&lt;0,Table2[[#This Row],[CurrentStock]]-Table2[[#This Row],[ReorderLevel]],"")</f>
        <v/>
      </c>
      <c r="N949" t="str">
        <f>IF(Table2[[#This Row],[Stock Gap]]&lt;0, "Understock","Okay")</f>
        <v>Okay</v>
      </c>
      <c r="O949" s="13" t="str">
        <f>IF(Table2[[#This Row],[Stock Gap]]&lt;0, "Yes", "No")</f>
        <v>No</v>
      </c>
      <c r="P949" s="13" t="str">
        <f>IF(Table2[[#This Row],[CurrentStock]]&lt;Table2[[#This Row],[ReorderLevel]],"Reorder", "Okay")</f>
        <v>Okay</v>
      </c>
      <c r="Q949" s="13" t="str">
        <f>IF(Table2[[#This Row],[CurrentStock]]&gt;Table2[[#This Row],[ReorderLevel]]*3, "Overstock", "Okay")</f>
        <v>Overstock</v>
      </c>
    </row>
    <row r="950" spans="1:17" x14ac:dyDescent="0.35">
      <c r="A950">
        <v>77560</v>
      </c>
      <c r="B950" t="s">
        <v>11</v>
      </c>
      <c r="C950" t="s">
        <v>27</v>
      </c>
      <c r="D950">
        <v>229</v>
      </c>
      <c r="E950">
        <v>100</v>
      </c>
      <c r="F950" s="2">
        <v>385.54</v>
      </c>
      <c r="G950" t="s">
        <v>32</v>
      </c>
      <c r="H950" s="1">
        <v>45447</v>
      </c>
      <c r="I950" s="1">
        <v>45452</v>
      </c>
      <c r="J950" t="s">
        <v>37</v>
      </c>
      <c r="K950" s="8">
        <f>Table2[[#This Row],[CurrentStock]]*Table2[[#This Row],[UnitPrice]]</f>
        <v>88288.66</v>
      </c>
      <c r="L950" t="str">
        <f>IF(Table2[[#This Row],[CurrentStock]]&lt;=Table2[[#This Row],[ReorderLevel]], "Reorder Needed", "Okay")</f>
        <v>Okay</v>
      </c>
      <c r="M950" t="str">
        <f>IF(Table2[[#This Row],[CurrentStock]]-Table2[[#This Row],[ReorderLevel]]&lt;0,Table2[[#This Row],[CurrentStock]]-Table2[[#This Row],[ReorderLevel]],"")</f>
        <v/>
      </c>
      <c r="N950" t="str">
        <f>IF(Table2[[#This Row],[Stock Gap]]&lt;0, "Understock","Okay")</f>
        <v>Okay</v>
      </c>
      <c r="O950" s="13" t="str">
        <f>IF(Table2[[#This Row],[Stock Gap]]&lt;0, "Yes", "No")</f>
        <v>No</v>
      </c>
      <c r="P950" s="13" t="str">
        <f>IF(Table2[[#This Row],[CurrentStock]]&lt;Table2[[#This Row],[ReorderLevel]],"Reorder", "Okay")</f>
        <v>Okay</v>
      </c>
      <c r="Q950" s="13" t="str">
        <f>IF(Table2[[#This Row],[CurrentStock]]&gt;Table2[[#This Row],[ReorderLevel]]*3, "Overstock", "Okay")</f>
        <v>Okay</v>
      </c>
    </row>
    <row r="951" spans="1:17" x14ac:dyDescent="0.35">
      <c r="A951">
        <v>25916</v>
      </c>
      <c r="B951" t="s">
        <v>21</v>
      </c>
      <c r="C951" t="s">
        <v>26</v>
      </c>
      <c r="D951">
        <v>381</v>
      </c>
      <c r="E951">
        <v>30</v>
      </c>
      <c r="F951" s="2">
        <v>7.42</v>
      </c>
      <c r="G951" t="s">
        <v>34</v>
      </c>
      <c r="H951" s="1">
        <v>45561</v>
      </c>
      <c r="I951" s="1">
        <v>45577</v>
      </c>
      <c r="J951" t="s">
        <v>37</v>
      </c>
      <c r="K951" s="8">
        <f>Table2[[#This Row],[CurrentStock]]*Table2[[#This Row],[UnitPrice]]</f>
        <v>2827.02</v>
      </c>
      <c r="L951" t="str">
        <f>IF(Table2[[#This Row],[CurrentStock]]&lt;=Table2[[#This Row],[ReorderLevel]], "Reorder Needed", "Okay")</f>
        <v>Okay</v>
      </c>
      <c r="M951" t="str">
        <f>IF(Table2[[#This Row],[CurrentStock]]-Table2[[#This Row],[ReorderLevel]]&lt;0,Table2[[#This Row],[CurrentStock]]-Table2[[#This Row],[ReorderLevel]],"")</f>
        <v/>
      </c>
      <c r="N951" t="str">
        <f>IF(Table2[[#This Row],[Stock Gap]]&lt;0, "Understock","Okay")</f>
        <v>Okay</v>
      </c>
      <c r="O951" s="13" t="str">
        <f>IF(Table2[[#This Row],[Stock Gap]]&lt;0, "Yes", "No")</f>
        <v>No</v>
      </c>
      <c r="P951" s="13" t="str">
        <f>IF(Table2[[#This Row],[CurrentStock]]&lt;Table2[[#This Row],[ReorderLevel]],"Reorder", "Okay")</f>
        <v>Okay</v>
      </c>
      <c r="Q951" s="13" t="str">
        <f>IF(Table2[[#This Row],[CurrentStock]]&gt;Table2[[#This Row],[ReorderLevel]]*3, "Overstock", "Okay")</f>
        <v>Overstock</v>
      </c>
    </row>
    <row r="952" spans="1:17" x14ac:dyDescent="0.35">
      <c r="A952">
        <v>45233</v>
      </c>
      <c r="B952" t="s">
        <v>24</v>
      </c>
      <c r="C952" t="s">
        <v>30</v>
      </c>
      <c r="D952">
        <v>252</v>
      </c>
      <c r="E952">
        <v>20</v>
      </c>
      <c r="F952" s="2">
        <v>450.88</v>
      </c>
      <c r="G952" t="s">
        <v>34</v>
      </c>
      <c r="H952" s="1">
        <v>45565</v>
      </c>
      <c r="I952" s="1">
        <v>45589</v>
      </c>
      <c r="J952" t="s">
        <v>38</v>
      </c>
      <c r="K952" s="8">
        <f>Table2[[#This Row],[CurrentStock]]*Table2[[#This Row],[UnitPrice]]</f>
        <v>113621.75999999999</v>
      </c>
      <c r="L952" t="str">
        <f>IF(Table2[[#This Row],[CurrentStock]]&lt;=Table2[[#This Row],[ReorderLevel]], "Reorder Needed", "Okay")</f>
        <v>Okay</v>
      </c>
      <c r="M952" t="str">
        <f>IF(Table2[[#This Row],[CurrentStock]]-Table2[[#This Row],[ReorderLevel]]&lt;0,Table2[[#This Row],[CurrentStock]]-Table2[[#This Row],[ReorderLevel]],"")</f>
        <v/>
      </c>
      <c r="N952" t="str">
        <f>IF(Table2[[#This Row],[Stock Gap]]&lt;0, "Understock","Okay")</f>
        <v>Okay</v>
      </c>
      <c r="O952" s="13" t="str">
        <f>IF(Table2[[#This Row],[Stock Gap]]&lt;0, "Yes", "No")</f>
        <v>No</v>
      </c>
      <c r="P952" s="13" t="str">
        <f>IF(Table2[[#This Row],[CurrentStock]]&lt;Table2[[#This Row],[ReorderLevel]],"Reorder", "Okay")</f>
        <v>Okay</v>
      </c>
      <c r="Q952" s="13" t="str">
        <f>IF(Table2[[#This Row],[CurrentStock]]&gt;Table2[[#This Row],[ReorderLevel]]*3, "Overstock", "Okay")</f>
        <v>Overstock</v>
      </c>
    </row>
    <row r="953" spans="1:17" x14ac:dyDescent="0.35">
      <c r="A953">
        <v>78295</v>
      </c>
      <c r="B953" t="s">
        <v>20</v>
      </c>
      <c r="C953" t="s">
        <v>30</v>
      </c>
      <c r="D953">
        <v>185</v>
      </c>
      <c r="E953">
        <v>30</v>
      </c>
      <c r="F953" s="2">
        <v>213.78</v>
      </c>
      <c r="G953" t="s">
        <v>33</v>
      </c>
      <c r="H953" s="1">
        <v>45544</v>
      </c>
      <c r="I953" s="1">
        <v>45567</v>
      </c>
      <c r="J953" t="s">
        <v>37</v>
      </c>
      <c r="K953" s="8">
        <f>Table2[[#This Row],[CurrentStock]]*Table2[[#This Row],[UnitPrice]]</f>
        <v>39549.300000000003</v>
      </c>
      <c r="L953" t="str">
        <f>IF(Table2[[#This Row],[CurrentStock]]&lt;=Table2[[#This Row],[ReorderLevel]], "Reorder Needed", "Okay")</f>
        <v>Okay</v>
      </c>
      <c r="M953" t="str">
        <f>IF(Table2[[#This Row],[CurrentStock]]-Table2[[#This Row],[ReorderLevel]]&lt;0,Table2[[#This Row],[CurrentStock]]-Table2[[#This Row],[ReorderLevel]],"")</f>
        <v/>
      </c>
      <c r="N953" t="str">
        <f>IF(Table2[[#This Row],[Stock Gap]]&lt;0, "Understock","Okay")</f>
        <v>Okay</v>
      </c>
      <c r="O953" s="13" t="str">
        <f>IF(Table2[[#This Row],[Stock Gap]]&lt;0, "Yes", "No")</f>
        <v>No</v>
      </c>
      <c r="P953" s="13" t="str">
        <f>IF(Table2[[#This Row],[CurrentStock]]&lt;Table2[[#This Row],[ReorderLevel]],"Reorder", "Okay")</f>
        <v>Okay</v>
      </c>
      <c r="Q953" s="13" t="str">
        <f>IF(Table2[[#This Row],[CurrentStock]]&gt;Table2[[#This Row],[ReorderLevel]]*3, "Overstock", "Okay")</f>
        <v>Overstock</v>
      </c>
    </row>
    <row r="954" spans="1:17" x14ac:dyDescent="0.35">
      <c r="A954">
        <v>81309</v>
      </c>
      <c r="B954" t="s">
        <v>12</v>
      </c>
      <c r="C954" t="s">
        <v>28</v>
      </c>
      <c r="D954">
        <v>235</v>
      </c>
      <c r="E954">
        <v>150</v>
      </c>
      <c r="F954" s="2">
        <v>181.35</v>
      </c>
      <c r="G954" t="s">
        <v>31</v>
      </c>
      <c r="H954" s="1">
        <v>45519</v>
      </c>
      <c r="I954" s="1">
        <v>45540</v>
      </c>
      <c r="J954" t="s">
        <v>36</v>
      </c>
      <c r="K954" s="8">
        <f>Table2[[#This Row],[CurrentStock]]*Table2[[#This Row],[UnitPrice]]</f>
        <v>42617.25</v>
      </c>
      <c r="L954" t="str">
        <f>IF(Table2[[#This Row],[CurrentStock]]&lt;=Table2[[#This Row],[ReorderLevel]], "Reorder Needed", "Okay")</f>
        <v>Okay</v>
      </c>
      <c r="M954" t="str">
        <f>IF(Table2[[#This Row],[CurrentStock]]-Table2[[#This Row],[ReorderLevel]]&lt;0,Table2[[#This Row],[CurrentStock]]-Table2[[#This Row],[ReorderLevel]],"")</f>
        <v/>
      </c>
      <c r="N954" t="str">
        <f>IF(Table2[[#This Row],[Stock Gap]]&lt;0, "Understock","Okay")</f>
        <v>Okay</v>
      </c>
      <c r="O954" s="13" t="str">
        <f>IF(Table2[[#This Row],[Stock Gap]]&lt;0, "Yes", "No")</f>
        <v>No</v>
      </c>
      <c r="P954" s="13" t="str">
        <f>IF(Table2[[#This Row],[CurrentStock]]&lt;Table2[[#This Row],[ReorderLevel]],"Reorder", "Okay")</f>
        <v>Okay</v>
      </c>
      <c r="Q954" s="13" t="str">
        <f>IF(Table2[[#This Row],[CurrentStock]]&gt;Table2[[#This Row],[ReorderLevel]]*3, "Overstock", "Okay")</f>
        <v>Okay</v>
      </c>
    </row>
    <row r="955" spans="1:17" x14ac:dyDescent="0.35">
      <c r="A955">
        <v>16791</v>
      </c>
      <c r="B955" t="s">
        <v>16</v>
      </c>
      <c r="C955" t="s">
        <v>29</v>
      </c>
      <c r="D955">
        <v>164</v>
      </c>
      <c r="E955">
        <v>40</v>
      </c>
      <c r="F955" s="2">
        <v>463.87</v>
      </c>
      <c r="G955" t="s">
        <v>33</v>
      </c>
      <c r="H955" s="1">
        <v>45344</v>
      </c>
      <c r="I955" s="1">
        <v>45359</v>
      </c>
      <c r="J955" t="s">
        <v>37</v>
      </c>
      <c r="K955" s="8">
        <f>Table2[[#This Row],[CurrentStock]]*Table2[[#This Row],[UnitPrice]]</f>
        <v>76074.680000000008</v>
      </c>
      <c r="L955" t="str">
        <f>IF(Table2[[#This Row],[CurrentStock]]&lt;=Table2[[#This Row],[ReorderLevel]], "Reorder Needed", "Okay")</f>
        <v>Okay</v>
      </c>
      <c r="M955" t="str">
        <f>IF(Table2[[#This Row],[CurrentStock]]-Table2[[#This Row],[ReorderLevel]]&lt;0,Table2[[#This Row],[CurrentStock]]-Table2[[#This Row],[ReorderLevel]],"")</f>
        <v/>
      </c>
      <c r="N955" t="str">
        <f>IF(Table2[[#This Row],[Stock Gap]]&lt;0, "Understock","Okay")</f>
        <v>Okay</v>
      </c>
      <c r="O955" s="13" t="str">
        <f>IF(Table2[[#This Row],[Stock Gap]]&lt;0, "Yes", "No")</f>
        <v>No</v>
      </c>
      <c r="P955" s="13" t="str">
        <f>IF(Table2[[#This Row],[CurrentStock]]&lt;Table2[[#This Row],[ReorderLevel]],"Reorder", "Okay")</f>
        <v>Okay</v>
      </c>
      <c r="Q955" s="13" t="str">
        <f>IF(Table2[[#This Row],[CurrentStock]]&gt;Table2[[#This Row],[ReorderLevel]]*3, "Overstock", "Okay")</f>
        <v>Overstock</v>
      </c>
    </row>
    <row r="956" spans="1:17" x14ac:dyDescent="0.35">
      <c r="A956">
        <v>53220</v>
      </c>
      <c r="B956" t="s">
        <v>10</v>
      </c>
      <c r="C956" t="s">
        <v>26</v>
      </c>
      <c r="D956">
        <v>357</v>
      </c>
      <c r="E956">
        <v>150</v>
      </c>
      <c r="F956" s="2">
        <v>407.03</v>
      </c>
      <c r="G956" t="s">
        <v>33</v>
      </c>
      <c r="H956" s="1">
        <v>45339</v>
      </c>
      <c r="I956" s="1">
        <v>45370</v>
      </c>
      <c r="J956" t="s">
        <v>37</v>
      </c>
      <c r="K956" s="8">
        <f>Table2[[#This Row],[CurrentStock]]*Table2[[#This Row],[UnitPrice]]</f>
        <v>145309.71</v>
      </c>
      <c r="L956" t="str">
        <f>IF(Table2[[#This Row],[CurrentStock]]&lt;=Table2[[#This Row],[ReorderLevel]], "Reorder Needed", "Okay")</f>
        <v>Okay</v>
      </c>
      <c r="M956" t="str">
        <f>IF(Table2[[#This Row],[CurrentStock]]-Table2[[#This Row],[ReorderLevel]]&lt;0,Table2[[#This Row],[CurrentStock]]-Table2[[#This Row],[ReorderLevel]],"")</f>
        <v/>
      </c>
      <c r="N956" t="str">
        <f>IF(Table2[[#This Row],[Stock Gap]]&lt;0, "Understock","Okay")</f>
        <v>Okay</v>
      </c>
      <c r="O956" s="13" t="str">
        <f>IF(Table2[[#This Row],[Stock Gap]]&lt;0, "Yes", "No")</f>
        <v>No</v>
      </c>
      <c r="P956" s="13" t="str">
        <f>IF(Table2[[#This Row],[CurrentStock]]&lt;Table2[[#This Row],[ReorderLevel]],"Reorder", "Okay")</f>
        <v>Okay</v>
      </c>
      <c r="Q956" s="13" t="str">
        <f>IF(Table2[[#This Row],[CurrentStock]]&gt;Table2[[#This Row],[ReorderLevel]]*3, "Overstock", "Okay")</f>
        <v>Okay</v>
      </c>
    </row>
    <row r="957" spans="1:17" x14ac:dyDescent="0.35">
      <c r="A957">
        <v>38261</v>
      </c>
      <c r="B957" t="s">
        <v>25</v>
      </c>
      <c r="C957" t="s">
        <v>29</v>
      </c>
      <c r="D957">
        <v>72</v>
      </c>
      <c r="E957">
        <v>50</v>
      </c>
      <c r="F957" s="2">
        <v>326.33</v>
      </c>
      <c r="G957" t="s">
        <v>32</v>
      </c>
      <c r="H957" s="1">
        <v>45368</v>
      </c>
      <c r="I957" s="1">
        <v>45398</v>
      </c>
      <c r="J957" t="s">
        <v>36</v>
      </c>
      <c r="K957" s="8">
        <f>Table2[[#This Row],[CurrentStock]]*Table2[[#This Row],[UnitPrice]]</f>
        <v>23495.759999999998</v>
      </c>
      <c r="L957" t="str">
        <f>IF(Table2[[#This Row],[CurrentStock]]&lt;=Table2[[#This Row],[ReorderLevel]], "Reorder Needed", "Okay")</f>
        <v>Okay</v>
      </c>
      <c r="M957" t="str">
        <f>IF(Table2[[#This Row],[CurrentStock]]-Table2[[#This Row],[ReorderLevel]]&lt;0,Table2[[#This Row],[CurrentStock]]-Table2[[#This Row],[ReorderLevel]],"")</f>
        <v/>
      </c>
      <c r="N957" t="str">
        <f>IF(Table2[[#This Row],[Stock Gap]]&lt;0, "Understock","Okay")</f>
        <v>Okay</v>
      </c>
      <c r="O957" s="13" t="str">
        <f>IF(Table2[[#This Row],[Stock Gap]]&lt;0, "Yes", "No")</f>
        <v>No</v>
      </c>
      <c r="P957" s="13" t="str">
        <f>IF(Table2[[#This Row],[CurrentStock]]&lt;Table2[[#This Row],[ReorderLevel]],"Reorder", "Okay")</f>
        <v>Okay</v>
      </c>
      <c r="Q957" s="13" t="str">
        <f>IF(Table2[[#This Row],[CurrentStock]]&gt;Table2[[#This Row],[ReorderLevel]]*3, "Overstock", "Okay")</f>
        <v>Okay</v>
      </c>
    </row>
    <row r="958" spans="1:17" x14ac:dyDescent="0.35">
      <c r="A958">
        <v>43012</v>
      </c>
      <c r="B958" t="s">
        <v>13</v>
      </c>
      <c r="C958" t="s">
        <v>26</v>
      </c>
      <c r="D958">
        <v>274</v>
      </c>
      <c r="E958">
        <v>40</v>
      </c>
      <c r="F958" s="2">
        <v>225.62</v>
      </c>
      <c r="G958" t="s">
        <v>32</v>
      </c>
      <c r="H958" s="1">
        <v>45368</v>
      </c>
      <c r="I958" s="1">
        <v>45400</v>
      </c>
      <c r="J958" t="s">
        <v>38</v>
      </c>
      <c r="K958" s="8">
        <f>Table2[[#This Row],[CurrentStock]]*Table2[[#This Row],[UnitPrice]]</f>
        <v>61819.880000000005</v>
      </c>
      <c r="L958" t="str">
        <f>IF(Table2[[#This Row],[CurrentStock]]&lt;=Table2[[#This Row],[ReorderLevel]], "Reorder Needed", "Okay")</f>
        <v>Okay</v>
      </c>
      <c r="M958" t="str">
        <f>IF(Table2[[#This Row],[CurrentStock]]-Table2[[#This Row],[ReorderLevel]]&lt;0,Table2[[#This Row],[CurrentStock]]-Table2[[#This Row],[ReorderLevel]],"")</f>
        <v/>
      </c>
      <c r="N958" t="str">
        <f>IF(Table2[[#This Row],[Stock Gap]]&lt;0, "Understock","Okay")</f>
        <v>Okay</v>
      </c>
      <c r="O958" s="13" t="str">
        <f>IF(Table2[[#This Row],[Stock Gap]]&lt;0, "Yes", "No")</f>
        <v>No</v>
      </c>
      <c r="P958" s="13" t="str">
        <f>IF(Table2[[#This Row],[CurrentStock]]&lt;Table2[[#This Row],[ReorderLevel]],"Reorder", "Okay")</f>
        <v>Okay</v>
      </c>
      <c r="Q958" s="13" t="str">
        <f>IF(Table2[[#This Row],[CurrentStock]]&gt;Table2[[#This Row],[ReorderLevel]]*3, "Overstock", "Okay")</f>
        <v>Overstock</v>
      </c>
    </row>
    <row r="959" spans="1:17" x14ac:dyDescent="0.35">
      <c r="A959">
        <v>45167</v>
      </c>
      <c r="B959" t="s">
        <v>22</v>
      </c>
      <c r="C959" t="s">
        <v>29</v>
      </c>
      <c r="D959">
        <v>200</v>
      </c>
      <c r="E959">
        <v>20</v>
      </c>
      <c r="F959" s="2">
        <v>271.14999999999998</v>
      </c>
      <c r="G959" t="s">
        <v>34</v>
      </c>
      <c r="H959" s="1">
        <v>45375</v>
      </c>
      <c r="I959" s="1">
        <v>45394</v>
      </c>
      <c r="J959" t="s">
        <v>36</v>
      </c>
      <c r="K959" s="8">
        <f>Table2[[#This Row],[CurrentStock]]*Table2[[#This Row],[UnitPrice]]</f>
        <v>54229.999999999993</v>
      </c>
      <c r="L959" t="str">
        <f>IF(Table2[[#This Row],[CurrentStock]]&lt;=Table2[[#This Row],[ReorderLevel]], "Reorder Needed", "Okay")</f>
        <v>Okay</v>
      </c>
      <c r="M959" t="str">
        <f>IF(Table2[[#This Row],[CurrentStock]]-Table2[[#This Row],[ReorderLevel]]&lt;0,Table2[[#This Row],[CurrentStock]]-Table2[[#This Row],[ReorderLevel]],"")</f>
        <v/>
      </c>
      <c r="N959" t="str">
        <f>IF(Table2[[#This Row],[Stock Gap]]&lt;0, "Understock","Okay")</f>
        <v>Okay</v>
      </c>
      <c r="O959" s="13" t="str">
        <f>IF(Table2[[#This Row],[Stock Gap]]&lt;0, "Yes", "No")</f>
        <v>No</v>
      </c>
      <c r="P959" s="13" t="str">
        <f>IF(Table2[[#This Row],[CurrentStock]]&lt;Table2[[#This Row],[ReorderLevel]],"Reorder", "Okay")</f>
        <v>Okay</v>
      </c>
      <c r="Q959" s="13" t="str">
        <f>IF(Table2[[#This Row],[CurrentStock]]&gt;Table2[[#This Row],[ReorderLevel]]*3, "Overstock", "Okay")</f>
        <v>Overstock</v>
      </c>
    </row>
    <row r="960" spans="1:17" x14ac:dyDescent="0.35">
      <c r="A960">
        <v>51002</v>
      </c>
      <c r="B960" t="s">
        <v>22</v>
      </c>
      <c r="C960" t="s">
        <v>29</v>
      </c>
      <c r="D960">
        <v>250</v>
      </c>
      <c r="E960">
        <v>150</v>
      </c>
      <c r="F960" s="2">
        <v>14.96</v>
      </c>
      <c r="G960" t="s">
        <v>33</v>
      </c>
      <c r="H960" s="1">
        <v>45500</v>
      </c>
      <c r="I960" s="1">
        <v>45536</v>
      </c>
      <c r="J960" t="s">
        <v>37</v>
      </c>
      <c r="K960" s="8">
        <f>Table2[[#This Row],[CurrentStock]]*Table2[[#This Row],[UnitPrice]]</f>
        <v>3740</v>
      </c>
      <c r="L960" t="str">
        <f>IF(Table2[[#This Row],[CurrentStock]]&lt;=Table2[[#This Row],[ReorderLevel]], "Reorder Needed", "Okay")</f>
        <v>Okay</v>
      </c>
      <c r="M960" t="str">
        <f>IF(Table2[[#This Row],[CurrentStock]]-Table2[[#This Row],[ReorderLevel]]&lt;0,Table2[[#This Row],[CurrentStock]]-Table2[[#This Row],[ReorderLevel]],"")</f>
        <v/>
      </c>
      <c r="N960" t="str">
        <f>IF(Table2[[#This Row],[Stock Gap]]&lt;0, "Understock","Okay")</f>
        <v>Okay</v>
      </c>
      <c r="O960" s="13" t="str">
        <f>IF(Table2[[#This Row],[Stock Gap]]&lt;0, "Yes", "No")</f>
        <v>No</v>
      </c>
      <c r="P960" s="13" t="str">
        <f>IF(Table2[[#This Row],[CurrentStock]]&lt;Table2[[#This Row],[ReorderLevel]],"Reorder", "Okay")</f>
        <v>Okay</v>
      </c>
      <c r="Q960" s="13" t="str">
        <f>IF(Table2[[#This Row],[CurrentStock]]&gt;Table2[[#This Row],[ReorderLevel]]*3, "Overstock", "Okay")</f>
        <v>Okay</v>
      </c>
    </row>
    <row r="961" spans="1:17" x14ac:dyDescent="0.35">
      <c r="A961">
        <v>28205</v>
      </c>
      <c r="B961" t="s">
        <v>16</v>
      </c>
      <c r="C961" t="s">
        <v>29</v>
      </c>
      <c r="D961">
        <v>83</v>
      </c>
      <c r="E961">
        <v>100</v>
      </c>
      <c r="F961" s="2">
        <v>272.68</v>
      </c>
      <c r="G961" t="s">
        <v>31</v>
      </c>
      <c r="H961" s="1">
        <v>45468</v>
      </c>
      <c r="I961" s="1">
        <v>45505</v>
      </c>
      <c r="J961" t="s">
        <v>37</v>
      </c>
      <c r="K961" s="8">
        <f>Table2[[#This Row],[CurrentStock]]*Table2[[#This Row],[UnitPrice]]</f>
        <v>22632.440000000002</v>
      </c>
      <c r="L961" t="str">
        <f>IF(Table2[[#This Row],[CurrentStock]]&lt;=Table2[[#This Row],[ReorderLevel]], "Reorder Needed", "Okay")</f>
        <v>Reorder Needed</v>
      </c>
      <c r="M961" s="7">
        <f>IF(Table2[[#This Row],[CurrentStock]]-Table2[[#This Row],[ReorderLevel]]&lt;0,Table2[[#This Row],[CurrentStock]]-Table2[[#This Row],[ReorderLevel]],"")</f>
        <v>-17</v>
      </c>
      <c r="N961" t="str">
        <f>IF(Table2[[#This Row],[Stock Gap]]&lt;0, "Understock","Okay")</f>
        <v>Understock</v>
      </c>
      <c r="O961" s="13" t="str">
        <f>IF(Table2[[#This Row],[Stock Gap]]&lt;0, "Yes", "No")</f>
        <v>Yes</v>
      </c>
      <c r="P961" s="13" t="str">
        <f>IF(Table2[[#This Row],[CurrentStock]]&lt;Table2[[#This Row],[ReorderLevel]],"Reorder", "Okay")</f>
        <v>Reorder</v>
      </c>
      <c r="Q961" s="13" t="str">
        <f>IF(Table2[[#This Row],[CurrentStock]]&gt;Table2[[#This Row],[ReorderLevel]]*3, "Overstock", "Okay")</f>
        <v>Okay</v>
      </c>
    </row>
    <row r="962" spans="1:17" x14ac:dyDescent="0.35">
      <c r="A962">
        <v>45645</v>
      </c>
      <c r="B962" t="s">
        <v>24</v>
      </c>
      <c r="C962" t="s">
        <v>30</v>
      </c>
      <c r="D962">
        <v>91</v>
      </c>
      <c r="E962">
        <v>100</v>
      </c>
      <c r="F962" s="2">
        <v>347.19</v>
      </c>
      <c r="G962" t="s">
        <v>33</v>
      </c>
      <c r="H962" s="1">
        <v>45385</v>
      </c>
      <c r="I962" s="1">
        <v>45422</v>
      </c>
      <c r="J962" t="s">
        <v>38</v>
      </c>
      <c r="K962" s="8">
        <f>Table2[[#This Row],[CurrentStock]]*Table2[[#This Row],[UnitPrice]]</f>
        <v>31594.29</v>
      </c>
      <c r="L962" t="str">
        <f>IF(Table2[[#This Row],[CurrentStock]]&lt;=Table2[[#This Row],[ReorderLevel]], "Reorder Needed", "Okay")</f>
        <v>Reorder Needed</v>
      </c>
      <c r="M962" s="7">
        <f>IF(Table2[[#This Row],[CurrentStock]]-Table2[[#This Row],[ReorderLevel]]&lt;0,Table2[[#This Row],[CurrentStock]]-Table2[[#This Row],[ReorderLevel]],"")</f>
        <v>-9</v>
      </c>
      <c r="N962" t="str">
        <f>IF(Table2[[#This Row],[Stock Gap]]&lt;0, "Understock","Okay")</f>
        <v>Understock</v>
      </c>
      <c r="O962" s="13" t="str">
        <f>IF(Table2[[#This Row],[Stock Gap]]&lt;0, "Yes", "No")</f>
        <v>Yes</v>
      </c>
      <c r="P962" s="13" t="str">
        <f>IF(Table2[[#This Row],[CurrentStock]]&lt;Table2[[#This Row],[ReorderLevel]],"Reorder", "Okay")</f>
        <v>Reorder</v>
      </c>
      <c r="Q962" s="13" t="str">
        <f>IF(Table2[[#This Row],[CurrentStock]]&gt;Table2[[#This Row],[ReorderLevel]]*3, "Overstock", "Okay")</f>
        <v>Okay</v>
      </c>
    </row>
    <row r="963" spans="1:17" x14ac:dyDescent="0.35">
      <c r="A963">
        <v>22213</v>
      </c>
      <c r="B963" t="s">
        <v>11</v>
      </c>
      <c r="C963" t="s">
        <v>27</v>
      </c>
      <c r="D963">
        <v>427</v>
      </c>
      <c r="E963">
        <v>40</v>
      </c>
      <c r="F963" s="2">
        <v>87.9</v>
      </c>
      <c r="G963" t="s">
        <v>34</v>
      </c>
      <c r="H963" s="1">
        <v>45481</v>
      </c>
      <c r="I963" s="1">
        <v>45510</v>
      </c>
      <c r="J963" t="s">
        <v>37</v>
      </c>
      <c r="K963" s="8">
        <f>Table2[[#This Row],[CurrentStock]]*Table2[[#This Row],[UnitPrice]]</f>
        <v>37533.300000000003</v>
      </c>
      <c r="L963" t="str">
        <f>IF(Table2[[#This Row],[CurrentStock]]&lt;=Table2[[#This Row],[ReorderLevel]], "Reorder Needed", "Okay")</f>
        <v>Okay</v>
      </c>
      <c r="M963" t="str">
        <f>IF(Table2[[#This Row],[CurrentStock]]-Table2[[#This Row],[ReorderLevel]]&lt;0,Table2[[#This Row],[CurrentStock]]-Table2[[#This Row],[ReorderLevel]],"")</f>
        <v/>
      </c>
      <c r="N963" t="str">
        <f>IF(Table2[[#This Row],[Stock Gap]]&lt;0, "Understock","Okay")</f>
        <v>Okay</v>
      </c>
      <c r="O963" s="13" t="str">
        <f>IF(Table2[[#This Row],[Stock Gap]]&lt;0, "Yes", "No")</f>
        <v>No</v>
      </c>
      <c r="P963" s="13" t="str">
        <f>IF(Table2[[#This Row],[CurrentStock]]&lt;Table2[[#This Row],[ReorderLevel]],"Reorder", "Okay")</f>
        <v>Okay</v>
      </c>
      <c r="Q963" s="13" t="str">
        <f>IF(Table2[[#This Row],[CurrentStock]]&gt;Table2[[#This Row],[ReorderLevel]]*3, "Overstock", "Okay")</f>
        <v>Overstock</v>
      </c>
    </row>
    <row r="964" spans="1:17" x14ac:dyDescent="0.35">
      <c r="A964">
        <v>32369</v>
      </c>
      <c r="B964" t="s">
        <v>20</v>
      </c>
      <c r="C964" t="s">
        <v>30</v>
      </c>
      <c r="D964">
        <v>19</v>
      </c>
      <c r="E964">
        <v>20</v>
      </c>
      <c r="F964" s="2">
        <v>467.74</v>
      </c>
      <c r="G964" t="s">
        <v>34</v>
      </c>
      <c r="H964" s="1">
        <v>45337</v>
      </c>
      <c r="I964" s="1">
        <v>45350</v>
      </c>
      <c r="J964" t="s">
        <v>37</v>
      </c>
      <c r="K964" s="8">
        <f>Table2[[#This Row],[CurrentStock]]*Table2[[#This Row],[UnitPrice]]</f>
        <v>8887.06</v>
      </c>
      <c r="L964" t="str">
        <f>IF(Table2[[#This Row],[CurrentStock]]&lt;=Table2[[#This Row],[ReorderLevel]], "Reorder Needed", "Okay")</f>
        <v>Reorder Needed</v>
      </c>
      <c r="M964" s="7">
        <f>IF(Table2[[#This Row],[CurrentStock]]-Table2[[#This Row],[ReorderLevel]]&lt;0,Table2[[#This Row],[CurrentStock]]-Table2[[#This Row],[ReorderLevel]],"")</f>
        <v>-1</v>
      </c>
      <c r="N964" t="str">
        <f>IF(Table2[[#This Row],[Stock Gap]]&lt;0, "Understock","Okay")</f>
        <v>Understock</v>
      </c>
      <c r="O964" s="13" t="str">
        <f>IF(Table2[[#This Row],[Stock Gap]]&lt;0, "Yes", "No")</f>
        <v>Yes</v>
      </c>
      <c r="P964" s="13" t="str">
        <f>IF(Table2[[#This Row],[CurrentStock]]&lt;Table2[[#This Row],[ReorderLevel]],"Reorder", "Okay")</f>
        <v>Reorder</v>
      </c>
      <c r="Q964" s="13" t="str">
        <f>IF(Table2[[#This Row],[CurrentStock]]&gt;Table2[[#This Row],[ReorderLevel]]*3, "Overstock", "Okay")</f>
        <v>Okay</v>
      </c>
    </row>
    <row r="965" spans="1:17" x14ac:dyDescent="0.35">
      <c r="A965">
        <v>37328</v>
      </c>
      <c r="B965" t="s">
        <v>15</v>
      </c>
      <c r="C965" t="s">
        <v>29</v>
      </c>
      <c r="D965">
        <v>60</v>
      </c>
      <c r="E965">
        <v>20</v>
      </c>
      <c r="F965" s="2">
        <v>403.39</v>
      </c>
      <c r="G965" t="s">
        <v>31</v>
      </c>
      <c r="H965" s="1">
        <v>45537</v>
      </c>
      <c r="I965" s="1">
        <v>45556</v>
      </c>
      <c r="J965" t="s">
        <v>38</v>
      </c>
      <c r="K965" s="8">
        <f>Table2[[#This Row],[CurrentStock]]*Table2[[#This Row],[UnitPrice]]</f>
        <v>24203.399999999998</v>
      </c>
      <c r="L965" t="str">
        <f>IF(Table2[[#This Row],[CurrentStock]]&lt;=Table2[[#This Row],[ReorderLevel]], "Reorder Needed", "Okay")</f>
        <v>Okay</v>
      </c>
      <c r="M965" t="str">
        <f>IF(Table2[[#This Row],[CurrentStock]]-Table2[[#This Row],[ReorderLevel]]&lt;0,Table2[[#This Row],[CurrentStock]]-Table2[[#This Row],[ReorderLevel]],"")</f>
        <v/>
      </c>
      <c r="N965" t="str">
        <f>IF(Table2[[#This Row],[Stock Gap]]&lt;0, "Understock","Okay")</f>
        <v>Okay</v>
      </c>
      <c r="O965" s="13" t="str">
        <f>IF(Table2[[#This Row],[Stock Gap]]&lt;0, "Yes", "No")</f>
        <v>No</v>
      </c>
      <c r="P965" s="13" t="str">
        <f>IF(Table2[[#This Row],[CurrentStock]]&lt;Table2[[#This Row],[ReorderLevel]],"Reorder", "Okay")</f>
        <v>Okay</v>
      </c>
      <c r="Q965" s="13" t="str">
        <f>IF(Table2[[#This Row],[CurrentStock]]&gt;Table2[[#This Row],[ReorderLevel]]*3, "Overstock", "Okay")</f>
        <v>Okay</v>
      </c>
    </row>
    <row r="966" spans="1:17" x14ac:dyDescent="0.35">
      <c r="A966">
        <v>59882</v>
      </c>
      <c r="B966" t="s">
        <v>13</v>
      </c>
      <c r="C966" t="s">
        <v>26</v>
      </c>
      <c r="D966">
        <v>494</v>
      </c>
      <c r="E966">
        <v>20</v>
      </c>
      <c r="F966" s="2">
        <v>230.53</v>
      </c>
      <c r="G966" t="s">
        <v>34</v>
      </c>
      <c r="H966" s="1">
        <v>45301</v>
      </c>
      <c r="I966" s="1">
        <v>45306</v>
      </c>
      <c r="J966" t="s">
        <v>37</v>
      </c>
      <c r="K966" s="8">
        <f>Table2[[#This Row],[CurrentStock]]*Table2[[#This Row],[UnitPrice]]</f>
        <v>113881.82</v>
      </c>
      <c r="L966" t="str">
        <f>IF(Table2[[#This Row],[CurrentStock]]&lt;=Table2[[#This Row],[ReorderLevel]], "Reorder Needed", "Okay")</f>
        <v>Okay</v>
      </c>
      <c r="M966" t="str">
        <f>IF(Table2[[#This Row],[CurrentStock]]-Table2[[#This Row],[ReorderLevel]]&lt;0,Table2[[#This Row],[CurrentStock]]-Table2[[#This Row],[ReorderLevel]],"")</f>
        <v/>
      </c>
      <c r="N966" t="str">
        <f>IF(Table2[[#This Row],[Stock Gap]]&lt;0, "Understock","Okay")</f>
        <v>Okay</v>
      </c>
      <c r="O966" s="13" t="str">
        <f>IF(Table2[[#This Row],[Stock Gap]]&lt;0, "Yes", "No")</f>
        <v>No</v>
      </c>
      <c r="P966" s="13" t="str">
        <f>IF(Table2[[#This Row],[CurrentStock]]&lt;Table2[[#This Row],[ReorderLevel]],"Reorder", "Okay")</f>
        <v>Okay</v>
      </c>
      <c r="Q966" s="13" t="str">
        <f>IF(Table2[[#This Row],[CurrentStock]]&gt;Table2[[#This Row],[ReorderLevel]]*3, "Overstock", "Okay")</f>
        <v>Overstock</v>
      </c>
    </row>
    <row r="967" spans="1:17" x14ac:dyDescent="0.35">
      <c r="A967">
        <v>77042</v>
      </c>
      <c r="B967" t="s">
        <v>19</v>
      </c>
      <c r="C967" t="s">
        <v>28</v>
      </c>
      <c r="D967">
        <v>132</v>
      </c>
      <c r="E967">
        <v>150</v>
      </c>
      <c r="F967" s="2">
        <v>346.56</v>
      </c>
      <c r="G967" t="s">
        <v>35</v>
      </c>
      <c r="H967" s="1">
        <v>45640</v>
      </c>
      <c r="I967" s="1">
        <v>45659</v>
      </c>
      <c r="J967" t="s">
        <v>37</v>
      </c>
      <c r="K967" s="8">
        <f>Table2[[#This Row],[CurrentStock]]*Table2[[#This Row],[UnitPrice]]</f>
        <v>45745.919999999998</v>
      </c>
      <c r="L967" t="str">
        <f>IF(Table2[[#This Row],[CurrentStock]]&lt;=Table2[[#This Row],[ReorderLevel]], "Reorder Needed", "Okay")</f>
        <v>Reorder Needed</v>
      </c>
      <c r="M967" s="7">
        <f>IF(Table2[[#This Row],[CurrentStock]]-Table2[[#This Row],[ReorderLevel]]&lt;0,Table2[[#This Row],[CurrentStock]]-Table2[[#This Row],[ReorderLevel]],"")</f>
        <v>-18</v>
      </c>
      <c r="N967" t="str">
        <f>IF(Table2[[#This Row],[Stock Gap]]&lt;0, "Understock","Okay")</f>
        <v>Understock</v>
      </c>
      <c r="O967" s="13" t="str">
        <f>IF(Table2[[#This Row],[Stock Gap]]&lt;0, "Yes", "No")</f>
        <v>Yes</v>
      </c>
      <c r="P967" s="13" t="str">
        <f>IF(Table2[[#This Row],[CurrentStock]]&lt;Table2[[#This Row],[ReorderLevel]],"Reorder", "Okay")</f>
        <v>Reorder</v>
      </c>
      <c r="Q967" s="13" t="str">
        <f>IF(Table2[[#This Row],[CurrentStock]]&gt;Table2[[#This Row],[ReorderLevel]]*3, "Overstock", "Okay")</f>
        <v>Okay</v>
      </c>
    </row>
    <row r="968" spans="1:17" x14ac:dyDescent="0.35">
      <c r="A968">
        <v>99110</v>
      </c>
      <c r="B968" t="s">
        <v>13</v>
      </c>
      <c r="C968" t="s">
        <v>26</v>
      </c>
      <c r="D968">
        <v>19</v>
      </c>
      <c r="E968">
        <v>80</v>
      </c>
      <c r="F968" s="2">
        <v>128.99</v>
      </c>
      <c r="G968" t="s">
        <v>31</v>
      </c>
      <c r="H968" s="1">
        <v>45413</v>
      </c>
      <c r="I968" s="1">
        <v>45443</v>
      </c>
      <c r="J968" t="s">
        <v>36</v>
      </c>
      <c r="K968" s="8">
        <f>Table2[[#This Row],[CurrentStock]]*Table2[[#This Row],[UnitPrice]]</f>
        <v>2450.8100000000004</v>
      </c>
      <c r="L968" t="str">
        <f>IF(Table2[[#This Row],[CurrentStock]]&lt;=Table2[[#This Row],[ReorderLevel]], "Reorder Needed", "Okay")</f>
        <v>Reorder Needed</v>
      </c>
      <c r="M968" s="7">
        <f>IF(Table2[[#This Row],[CurrentStock]]-Table2[[#This Row],[ReorderLevel]]&lt;0,Table2[[#This Row],[CurrentStock]]-Table2[[#This Row],[ReorderLevel]],"")</f>
        <v>-61</v>
      </c>
      <c r="N968" t="str">
        <f>IF(Table2[[#This Row],[Stock Gap]]&lt;0, "Understock","Okay")</f>
        <v>Understock</v>
      </c>
      <c r="O968" s="13" t="str">
        <f>IF(Table2[[#This Row],[Stock Gap]]&lt;0, "Yes", "No")</f>
        <v>Yes</v>
      </c>
      <c r="P968" s="13" t="str">
        <f>IF(Table2[[#This Row],[CurrentStock]]&lt;Table2[[#This Row],[ReorderLevel]],"Reorder", "Okay")</f>
        <v>Reorder</v>
      </c>
      <c r="Q968" s="13" t="str">
        <f>IF(Table2[[#This Row],[CurrentStock]]&gt;Table2[[#This Row],[ReorderLevel]]*3, "Overstock", "Okay")</f>
        <v>Okay</v>
      </c>
    </row>
    <row r="969" spans="1:17" x14ac:dyDescent="0.35">
      <c r="A969">
        <v>13621</v>
      </c>
      <c r="B969" t="s">
        <v>17</v>
      </c>
      <c r="C969" t="s">
        <v>27</v>
      </c>
      <c r="D969">
        <v>411</v>
      </c>
      <c r="E969">
        <v>40</v>
      </c>
      <c r="F969" s="2">
        <v>181.42</v>
      </c>
      <c r="G969" t="s">
        <v>33</v>
      </c>
      <c r="H969" s="1">
        <v>45343</v>
      </c>
      <c r="I969" s="1">
        <v>45364</v>
      </c>
      <c r="J969" t="s">
        <v>36</v>
      </c>
      <c r="K969" s="8">
        <f>Table2[[#This Row],[CurrentStock]]*Table2[[#This Row],[UnitPrice]]</f>
        <v>74563.62</v>
      </c>
      <c r="L969" t="str">
        <f>IF(Table2[[#This Row],[CurrentStock]]&lt;=Table2[[#This Row],[ReorderLevel]], "Reorder Needed", "Okay")</f>
        <v>Okay</v>
      </c>
      <c r="M969" t="str">
        <f>IF(Table2[[#This Row],[CurrentStock]]-Table2[[#This Row],[ReorderLevel]]&lt;0,Table2[[#This Row],[CurrentStock]]-Table2[[#This Row],[ReorderLevel]],"")</f>
        <v/>
      </c>
      <c r="N969" t="str">
        <f>IF(Table2[[#This Row],[Stock Gap]]&lt;0, "Understock","Okay")</f>
        <v>Okay</v>
      </c>
      <c r="O969" s="13" t="str">
        <f>IF(Table2[[#This Row],[Stock Gap]]&lt;0, "Yes", "No")</f>
        <v>No</v>
      </c>
      <c r="P969" s="13" t="str">
        <f>IF(Table2[[#This Row],[CurrentStock]]&lt;Table2[[#This Row],[ReorderLevel]],"Reorder", "Okay")</f>
        <v>Okay</v>
      </c>
      <c r="Q969" s="13" t="str">
        <f>IF(Table2[[#This Row],[CurrentStock]]&gt;Table2[[#This Row],[ReorderLevel]]*3, "Overstock", "Okay")</f>
        <v>Overstock</v>
      </c>
    </row>
    <row r="970" spans="1:17" x14ac:dyDescent="0.35">
      <c r="A970">
        <v>25659</v>
      </c>
      <c r="B970" t="s">
        <v>24</v>
      </c>
      <c r="C970" t="s">
        <v>30</v>
      </c>
      <c r="D970">
        <v>50</v>
      </c>
      <c r="E970">
        <v>20</v>
      </c>
      <c r="F970" s="2">
        <v>351.73</v>
      </c>
      <c r="G970" t="s">
        <v>33</v>
      </c>
      <c r="H970" s="1">
        <v>45602</v>
      </c>
      <c r="I970" s="1">
        <v>45621</v>
      </c>
      <c r="J970" t="s">
        <v>36</v>
      </c>
      <c r="K970" s="8">
        <f>Table2[[#This Row],[CurrentStock]]*Table2[[#This Row],[UnitPrice]]</f>
        <v>17586.5</v>
      </c>
      <c r="L970" t="str">
        <f>IF(Table2[[#This Row],[CurrentStock]]&lt;=Table2[[#This Row],[ReorderLevel]], "Reorder Needed", "Okay")</f>
        <v>Okay</v>
      </c>
      <c r="M970" t="str">
        <f>IF(Table2[[#This Row],[CurrentStock]]-Table2[[#This Row],[ReorderLevel]]&lt;0,Table2[[#This Row],[CurrentStock]]-Table2[[#This Row],[ReorderLevel]],"")</f>
        <v/>
      </c>
      <c r="N970" t="str">
        <f>IF(Table2[[#This Row],[Stock Gap]]&lt;0, "Understock","Okay")</f>
        <v>Okay</v>
      </c>
      <c r="O970" s="13" t="str">
        <f>IF(Table2[[#This Row],[Stock Gap]]&lt;0, "Yes", "No")</f>
        <v>No</v>
      </c>
      <c r="P970" s="13" t="str">
        <f>IF(Table2[[#This Row],[CurrentStock]]&lt;Table2[[#This Row],[ReorderLevel]],"Reorder", "Okay")</f>
        <v>Okay</v>
      </c>
      <c r="Q970" s="13" t="str">
        <f>IF(Table2[[#This Row],[CurrentStock]]&gt;Table2[[#This Row],[ReorderLevel]]*3, "Overstock", "Okay")</f>
        <v>Okay</v>
      </c>
    </row>
    <row r="971" spans="1:17" x14ac:dyDescent="0.35">
      <c r="A971">
        <v>67745</v>
      </c>
      <c r="B971" t="s">
        <v>21</v>
      </c>
      <c r="C971" t="s">
        <v>26</v>
      </c>
      <c r="D971">
        <v>127</v>
      </c>
      <c r="E971">
        <v>20</v>
      </c>
      <c r="F971" s="2">
        <v>145.72</v>
      </c>
      <c r="G971" t="s">
        <v>33</v>
      </c>
      <c r="H971" s="1">
        <v>45439</v>
      </c>
      <c r="I971" s="1">
        <v>45454</v>
      </c>
      <c r="J971" t="s">
        <v>36</v>
      </c>
      <c r="K971" s="8">
        <f>Table2[[#This Row],[CurrentStock]]*Table2[[#This Row],[UnitPrice]]</f>
        <v>18506.439999999999</v>
      </c>
      <c r="L971" t="str">
        <f>IF(Table2[[#This Row],[CurrentStock]]&lt;=Table2[[#This Row],[ReorderLevel]], "Reorder Needed", "Okay")</f>
        <v>Okay</v>
      </c>
      <c r="M971" t="str">
        <f>IF(Table2[[#This Row],[CurrentStock]]-Table2[[#This Row],[ReorderLevel]]&lt;0,Table2[[#This Row],[CurrentStock]]-Table2[[#This Row],[ReorderLevel]],"")</f>
        <v/>
      </c>
      <c r="N971" t="str">
        <f>IF(Table2[[#This Row],[Stock Gap]]&lt;0, "Understock","Okay")</f>
        <v>Okay</v>
      </c>
      <c r="O971" s="13" t="str">
        <f>IF(Table2[[#This Row],[Stock Gap]]&lt;0, "Yes", "No")</f>
        <v>No</v>
      </c>
      <c r="P971" s="13" t="str">
        <f>IF(Table2[[#This Row],[CurrentStock]]&lt;Table2[[#This Row],[ReorderLevel]],"Reorder", "Okay")</f>
        <v>Okay</v>
      </c>
      <c r="Q971" s="13" t="str">
        <f>IF(Table2[[#This Row],[CurrentStock]]&gt;Table2[[#This Row],[ReorderLevel]]*3, "Overstock", "Okay")</f>
        <v>Overstock</v>
      </c>
    </row>
    <row r="972" spans="1:17" x14ac:dyDescent="0.35">
      <c r="A972">
        <v>38797</v>
      </c>
      <c r="B972" t="s">
        <v>9</v>
      </c>
      <c r="C972" t="s">
        <v>26</v>
      </c>
      <c r="D972">
        <v>267</v>
      </c>
      <c r="E972">
        <v>80</v>
      </c>
      <c r="F972" s="2">
        <v>200.43</v>
      </c>
      <c r="G972" t="s">
        <v>32</v>
      </c>
      <c r="H972" s="1">
        <v>45611</v>
      </c>
      <c r="I972" s="1">
        <v>45624</v>
      </c>
      <c r="J972" t="s">
        <v>38</v>
      </c>
      <c r="K972" s="8">
        <f>Table2[[#This Row],[CurrentStock]]*Table2[[#This Row],[UnitPrice]]</f>
        <v>53514.810000000005</v>
      </c>
      <c r="L972" t="str">
        <f>IF(Table2[[#This Row],[CurrentStock]]&lt;=Table2[[#This Row],[ReorderLevel]], "Reorder Needed", "Okay")</f>
        <v>Okay</v>
      </c>
      <c r="M972" t="str">
        <f>IF(Table2[[#This Row],[CurrentStock]]-Table2[[#This Row],[ReorderLevel]]&lt;0,Table2[[#This Row],[CurrentStock]]-Table2[[#This Row],[ReorderLevel]],"")</f>
        <v/>
      </c>
      <c r="N972" t="str">
        <f>IF(Table2[[#This Row],[Stock Gap]]&lt;0, "Understock","Okay")</f>
        <v>Okay</v>
      </c>
      <c r="O972" s="13" t="str">
        <f>IF(Table2[[#This Row],[Stock Gap]]&lt;0, "Yes", "No")</f>
        <v>No</v>
      </c>
      <c r="P972" s="13" t="str">
        <f>IF(Table2[[#This Row],[CurrentStock]]&lt;Table2[[#This Row],[ReorderLevel]],"Reorder", "Okay")</f>
        <v>Okay</v>
      </c>
      <c r="Q972" s="13" t="str">
        <f>IF(Table2[[#This Row],[CurrentStock]]&gt;Table2[[#This Row],[ReorderLevel]]*3, "Overstock", "Okay")</f>
        <v>Overstock</v>
      </c>
    </row>
    <row r="973" spans="1:17" x14ac:dyDescent="0.35">
      <c r="A973">
        <v>85591</v>
      </c>
      <c r="B973" t="s">
        <v>18</v>
      </c>
      <c r="C973" t="s">
        <v>27</v>
      </c>
      <c r="D973">
        <v>115</v>
      </c>
      <c r="E973">
        <v>20</v>
      </c>
      <c r="F973" s="2">
        <v>398.67</v>
      </c>
      <c r="G973" t="s">
        <v>35</v>
      </c>
      <c r="H973" s="1">
        <v>45500</v>
      </c>
      <c r="I973" s="1">
        <v>45529</v>
      </c>
      <c r="J973" t="s">
        <v>36</v>
      </c>
      <c r="K973" s="8">
        <f>Table2[[#This Row],[CurrentStock]]*Table2[[#This Row],[UnitPrice]]</f>
        <v>45847.05</v>
      </c>
      <c r="L973" t="str">
        <f>IF(Table2[[#This Row],[CurrentStock]]&lt;=Table2[[#This Row],[ReorderLevel]], "Reorder Needed", "Okay")</f>
        <v>Okay</v>
      </c>
      <c r="M973" t="str">
        <f>IF(Table2[[#This Row],[CurrentStock]]-Table2[[#This Row],[ReorderLevel]]&lt;0,Table2[[#This Row],[CurrentStock]]-Table2[[#This Row],[ReorderLevel]],"")</f>
        <v/>
      </c>
      <c r="N973" t="str">
        <f>IF(Table2[[#This Row],[Stock Gap]]&lt;0, "Understock","Okay")</f>
        <v>Okay</v>
      </c>
      <c r="O973" s="13" t="str">
        <f>IF(Table2[[#This Row],[Stock Gap]]&lt;0, "Yes", "No")</f>
        <v>No</v>
      </c>
      <c r="P973" s="13" t="str">
        <f>IF(Table2[[#This Row],[CurrentStock]]&lt;Table2[[#This Row],[ReorderLevel]],"Reorder", "Okay")</f>
        <v>Okay</v>
      </c>
      <c r="Q973" s="13" t="str">
        <f>IF(Table2[[#This Row],[CurrentStock]]&gt;Table2[[#This Row],[ReorderLevel]]*3, "Overstock", "Okay")</f>
        <v>Overstock</v>
      </c>
    </row>
    <row r="974" spans="1:17" x14ac:dyDescent="0.35">
      <c r="A974">
        <v>67632</v>
      </c>
      <c r="B974" t="s">
        <v>18</v>
      </c>
      <c r="C974" t="s">
        <v>27</v>
      </c>
      <c r="D974">
        <v>146</v>
      </c>
      <c r="E974">
        <v>150</v>
      </c>
      <c r="F974" s="2">
        <v>140.03</v>
      </c>
      <c r="G974" t="s">
        <v>32</v>
      </c>
      <c r="H974" s="1">
        <v>45385</v>
      </c>
      <c r="I974" s="1">
        <v>45405</v>
      </c>
      <c r="J974" t="s">
        <v>38</v>
      </c>
      <c r="K974" s="8">
        <f>Table2[[#This Row],[CurrentStock]]*Table2[[#This Row],[UnitPrice]]</f>
        <v>20444.38</v>
      </c>
      <c r="L974" t="str">
        <f>IF(Table2[[#This Row],[CurrentStock]]&lt;=Table2[[#This Row],[ReorderLevel]], "Reorder Needed", "Okay")</f>
        <v>Reorder Needed</v>
      </c>
      <c r="M974" s="7">
        <f>IF(Table2[[#This Row],[CurrentStock]]-Table2[[#This Row],[ReorderLevel]]&lt;0,Table2[[#This Row],[CurrentStock]]-Table2[[#This Row],[ReorderLevel]],"")</f>
        <v>-4</v>
      </c>
      <c r="N974" t="str">
        <f>IF(Table2[[#This Row],[Stock Gap]]&lt;0, "Understock","Okay")</f>
        <v>Understock</v>
      </c>
      <c r="O974" s="13" t="str">
        <f>IF(Table2[[#This Row],[Stock Gap]]&lt;0, "Yes", "No")</f>
        <v>Yes</v>
      </c>
      <c r="P974" s="13" t="str">
        <f>IF(Table2[[#This Row],[CurrentStock]]&lt;Table2[[#This Row],[ReorderLevel]],"Reorder", "Okay")</f>
        <v>Reorder</v>
      </c>
      <c r="Q974" s="13" t="str">
        <f>IF(Table2[[#This Row],[CurrentStock]]&gt;Table2[[#This Row],[ReorderLevel]]*3, "Overstock", "Okay")</f>
        <v>Okay</v>
      </c>
    </row>
    <row r="975" spans="1:17" x14ac:dyDescent="0.35">
      <c r="A975">
        <v>63517</v>
      </c>
      <c r="B975" t="s">
        <v>11</v>
      </c>
      <c r="C975" t="s">
        <v>27</v>
      </c>
      <c r="D975">
        <v>185</v>
      </c>
      <c r="E975">
        <v>20</v>
      </c>
      <c r="F975" s="2">
        <v>471.94</v>
      </c>
      <c r="G975" t="s">
        <v>35</v>
      </c>
      <c r="H975" s="1">
        <v>45637</v>
      </c>
      <c r="I975" s="1">
        <v>45657</v>
      </c>
      <c r="J975" t="s">
        <v>37</v>
      </c>
      <c r="K975" s="8">
        <f>Table2[[#This Row],[CurrentStock]]*Table2[[#This Row],[UnitPrice]]</f>
        <v>87308.9</v>
      </c>
      <c r="L975" t="str">
        <f>IF(Table2[[#This Row],[CurrentStock]]&lt;=Table2[[#This Row],[ReorderLevel]], "Reorder Needed", "Okay")</f>
        <v>Okay</v>
      </c>
      <c r="M975" t="str">
        <f>IF(Table2[[#This Row],[CurrentStock]]-Table2[[#This Row],[ReorderLevel]]&lt;0,Table2[[#This Row],[CurrentStock]]-Table2[[#This Row],[ReorderLevel]],"")</f>
        <v/>
      </c>
      <c r="N975" t="str">
        <f>IF(Table2[[#This Row],[Stock Gap]]&lt;0, "Understock","Okay")</f>
        <v>Okay</v>
      </c>
      <c r="O975" s="13" t="str">
        <f>IF(Table2[[#This Row],[Stock Gap]]&lt;0, "Yes", "No")</f>
        <v>No</v>
      </c>
      <c r="P975" s="13" t="str">
        <f>IF(Table2[[#This Row],[CurrentStock]]&lt;Table2[[#This Row],[ReorderLevel]],"Reorder", "Okay")</f>
        <v>Okay</v>
      </c>
      <c r="Q975" s="13" t="str">
        <f>IF(Table2[[#This Row],[CurrentStock]]&gt;Table2[[#This Row],[ReorderLevel]]*3, "Overstock", "Okay")</f>
        <v>Overstock</v>
      </c>
    </row>
    <row r="976" spans="1:17" x14ac:dyDescent="0.35">
      <c r="A976">
        <v>23275</v>
      </c>
      <c r="B976" t="s">
        <v>14</v>
      </c>
      <c r="C976" t="s">
        <v>28</v>
      </c>
      <c r="D976">
        <v>385</v>
      </c>
      <c r="E976">
        <v>40</v>
      </c>
      <c r="F976" s="2">
        <v>462.62</v>
      </c>
      <c r="G976" t="s">
        <v>33</v>
      </c>
      <c r="H976" s="1">
        <v>45506</v>
      </c>
      <c r="I976" s="1">
        <v>45518</v>
      </c>
      <c r="J976" t="s">
        <v>38</v>
      </c>
      <c r="K976" s="8">
        <f>Table2[[#This Row],[CurrentStock]]*Table2[[#This Row],[UnitPrice]]</f>
        <v>178108.7</v>
      </c>
      <c r="L976" t="str">
        <f>IF(Table2[[#This Row],[CurrentStock]]&lt;=Table2[[#This Row],[ReorderLevel]], "Reorder Needed", "Okay")</f>
        <v>Okay</v>
      </c>
      <c r="M976" t="str">
        <f>IF(Table2[[#This Row],[CurrentStock]]-Table2[[#This Row],[ReorderLevel]]&lt;0,Table2[[#This Row],[CurrentStock]]-Table2[[#This Row],[ReorderLevel]],"")</f>
        <v/>
      </c>
      <c r="N976" t="str">
        <f>IF(Table2[[#This Row],[Stock Gap]]&lt;0, "Understock","Okay")</f>
        <v>Okay</v>
      </c>
      <c r="O976" s="13" t="str">
        <f>IF(Table2[[#This Row],[Stock Gap]]&lt;0, "Yes", "No")</f>
        <v>No</v>
      </c>
      <c r="P976" s="13" t="str">
        <f>IF(Table2[[#This Row],[CurrentStock]]&lt;Table2[[#This Row],[ReorderLevel]],"Reorder", "Okay")</f>
        <v>Okay</v>
      </c>
      <c r="Q976" s="13" t="str">
        <f>IF(Table2[[#This Row],[CurrentStock]]&gt;Table2[[#This Row],[ReorderLevel]]*3, "Overstock", "Okay")</f>
        <v>Overstock</v>
      </c>
    </row>
    <row r="977" spans="1:17" x14ac:dyDescent="0.35">
      <c r="A977">
        <v>42624</v>
      </c>
      <c r="B977" t="s">
        <v>22</v>
      </c>
      <c r="C977" t="s">
        <v>29</v>
      </c>
      <c r="D977">
        <v>92</v>
      </c>
      <c r="E977">
        <v>20</v>
      </c>
      <c r="F977" s="2">
        <v>33.85</v>
      </c>
      <c r="G977" t="s">
        <v>32</v>
      </c>
      <c r="H977" s="1">
        <v>45354</v>
      </c>
      <c r="I977" s="1">
        <v>45390</v>
      </c>
      <c r="J977" t="s">
        <v>36</v>
      </c>
      <c r="K977" s="8">
        <f>Table2[[#This Row],[CurrentStock]]*Table2[[#This Row],[UnitPrice]]</f>
        <v>3114.2000000000003</v>
      </c>
      <c r="L977" t="str">
        <f>IF(Table2[[#This Row],[CurrentStock]]&lt;=Table2[[#This Row],[ReorderLevel]], "Reorder Needed", "Okay")</f>
        <v>Okay</v>
      </c>
      <c r="M977" t="str">
        <f>IF(Table2[[#This Row],[CurrentStock]]-Table2[[#This Row],[ReorderLevel]]&lt;0,Table2[[#This Row],[CurrentStock]]-Table2[[#This Row],[ReorderLevel]],"")</f>
        <v/>
      </c>
      <c r="N977" t="str">
        <f>IF(Table2[[#This Row],[Stock Gap]]&lt;0, "Understock","Okay")</f>
        <v>Okay</v>
      </c>
      <c r="O977" s="13" t="str">
        <f>IF(Table2[[#This Row],[Stock Gap]]&lt;0, "Yes", "No")</f>
        <v>No</v>
      </c>
      <c r="P977" s="13" t="str">
        <f>IF(Table2[[#This Row],[CurrentStock]]&lt;Table2[[#This Row],[ReorderLevel]],"Reorder", "Okay")</f>
        <v>Okay</v>
      </c>
      <c r="Q977" s="13" t="str">
        <f>IF(Table2[[#This Row],[CurrentStock]]&gt;Table2[[#This Row],[ReorderLevel]]*3, "Overstock", "Okay")</f>
        <v>Overstock</v>
      </c>
    </row>
    <row r="978" spans="1:17" x14ac:dyDescent="0.35">
      <c r="A978">
        <v>75546</v>
      </c>
      <c r="B978" t="s">
        <v>21</v>
      </c>
      <c r="C978" t="s">
        <v>26</v>
      </c>
      <c r="D978">
        <v>268</v>
      </c>
      <c r="E978">
        <v>50</v>
      </c>
      <c r="F978" s="2">
        <v>152.35</v>
      </c>
      <c r="G978" t="s">
        <v>31</v>
      </c>
      <c r="H978" s="1">
        <v>45443</v>
      </c>
      <c r="I978" s="1">
        <v>45471</v>
      </c>
      <c r="J978" t="s">
        <v>38</v>
      </c>
      <c r="K978" s="8">
        <f>Table2[[#This Row],[CurrentStock]]*Table2[[#This Row],[UnitPrice]]</f>
        <v>40829.799999999996</v>
      </c>
      <c r="L978" t="str">
        <f>IF(Table2[[#This Row],[CurrentStock]]&lt;=Table2[[#This Row],[ReorderLevel]], "Reorder Needed", "Okay")</f>
        <v>Okay</v>
      </c>
      <c r="M978" t="str">
        <f>IF(Table2[[#This Row],[CurrentStock]]-Table2[[#This Row],[ReorderLevel]]&lt;0,Table2[[#This Row],[CurrentStock]]-Table2[[#This Row],[ReorderLevel]],"")</f>
        <v/>
      </c>
      <c r="N978" t="str">
        <f>IF(Table2[[#This Row],[Stock Gap]]&lt;0, "Understock","Okay")</f>
        <v>Okay</v>
      </c>
      <c r="O978" s="13" t="str">
        <f>IF(Table2[[#This Row],[Stock Gap]]&lt;0, "Yes", "No")</f>
        <v>No</v>
      </c>
      <c r="P978" s="13" t="str">
        <f>IF(Table2[[#This Row],[CurrentStock]]&lt;Table2[[#This Row],[ReorderLevel]],"Reorder", "Okay")</f>
        <v>Okay</v>
      </c>
      <c r="Q978" s="13" t="str">
        <f>IF(Table2[[#This Row],[CurrentStock]]&gt;Table2[[#This Row],[ReorderLevel]]*3, "Overstock", "Okay")</f>
        <v>Overstock</v>
      </c>
    </row>
    <row r="979" spans="1:17" x14ac:dyDescent="0.35">
      <c r="A979">
        <v>65872</v>
      </c>
      <c r="B979" t="s">
        <v>23</v>
      </c>
      <c r="C979" t="s">
        <v>30</v>
      </c>
      <c r="D979">
        <v>410</v>
      </c>
      <c r="E979">
        <v>50</v>
      </c>
      <c r="F979" s="2">
        <v>243.58</v>
      </c>
      <c r="G979" t="s">
        <v>34</v>
      </c>
      <c r="H979" s="1">
        <v>45419</v>
      </c>
      <c r="I979" s="1">
        <v>45451</v>
      </c>
      <c r="J979" t="s">
        <v>37</v>
      </c>
      <c r="K979" s="8">
        <f>Table2[[#This Row],[CurrentStock]]*Table2[[#This Row],[UnitPrice]]</f>
        <v>99867.8</v>
      </c>
      <c r="L979" t="str">
        <f>IF(Table2[[#This Row],[CurrentStock]]&lt;=Table2[[#This Row],[ReorderLevel]], "Reorder Needed", "Okay")</f>
        <v>Okay</v>
      </c>
      <c r="M979" t="str">
        <f>IF(Table2[[#This Row],[CurrentStock]]-Table2[[#This Row],[ReorderLevel]]&lt;0,Table2[[#This Row],[CurrentStock]]-Table2[[#This Row],[ReorderLevel]],"")</f>
        <v/>
      </c>
      <c r="N979" t="str">
        <f>IF(Table2[[#This Row],[Stock Gap]]&lt;0, "Understock","Okay")</f>
        <v>Okay</v>
      </c>
      <c r="O979" s="13" t="str">
        <f>IF(Table2[[#This Row],[Stock Gap]]&lt;0, "Yes", "No")</f>
        <v>No</v>
      </c>
      <c r="P979" s="13" t="str">
        <f>IF(Table2[[#This Row],[CurrentStock]]&lt;Table2[[#This Row],[ReorderLevel]],"Reorder", "Okay")</f>
        <v>Okay</v>
      </c>
      <c r="Q979" s="13" t="str">
        <f>IF(Table2[[#This Row],[CurrentStock]]&gt;Table2[[#This Row],[ReorderLevel]]*3, "Overstock", "Okay")</f>
        <v>Overstock</v>
      </c>
    </row>
    <row r="980" spans="1:17" x14ac:dyDescent="0.35">
      <c r="A980">
        <v>54135</v>
      </c>
      <c r="B980" t="s">
        <v>13</v>
      </c>
      <c r="C980" t="s">
        <v>26</v>
      </c>
      <c r="D980">
        <v>318</v>
      </c>
      <c r="E980">
        <v>80</v>
      </c>
      <c r="F980" s="2">
        <v>418.61</v>
      </c>
      <c r="G980" t="s">
        <v>33</v>
      </c>
      <c r="H980" s="1">
        <v>45501</v>
      </c>
      <c r="I980" s="1">
        <v>45511</v>
      </c>
      <c r="J980" t="s">
        <v>36</v>
      </c>
      <c r="K980" s="8">
        <f>Table2[[#This Row],[CurrentStock]]*Table2[[#This Row],[UnitPrice]]</f>
        <v>133117.98000000001</v>
      </c>
      <c r="L980" t="str">
        <f>IF(Table2[[#This Row],[CurrentStock]]&lt;=Table2[[#This Row],[ReorderLevel]], "Reorder Needed", "Okay")</f>
        <v>Okay</v>
      </c>
      <c r="M980" t="str">
        <f>IF(Table2[[#This Row],[CurrentStock]]-Table2[[#This Row],[ReorderLevel]]&lt;0,Table2[[#This Row],[CurrentStock]]-Table2[[#This Row],[ReorderLevel]],"")</f>
        <v/>
      </c>
      <c r="N980" t="str">
        <f>IF(Table2[[#This Row],[Stock Gap]]&lt;0, "Understock","Okay")</f>
        <v>Okay</v>
      </c>
      <c r="O980" s="13" t="str">
        <f>IF(Table2[[#This Row],[Stock Gap]]&lt;0, "Yes", "No")</f>
        <v>No</v>
      </c>
      <c r="P980" s="13" t="str">
        <f>IF(Table2[[#This Row],[CurrentStock]]&lt;Table2[[#This Row],[ReorderLevel]],"Reorder", "Okay")</f>
        <v>Okay</v>
      </c>
      <c r="Q980" s="13" t="str">
        <f>IF(Table2[[#This Row],[CurrentStock]]&gt;Table2[[#This Row],[ReorderLevel]]*3, "Overstock", "Okay")</f>
        <v>Overstock</v>
      </c>
    </row>
    <row r="981" spans="1:17" x14ac:dyDescent="0.35">
      <c r="A981">
        <v>42872</v>
      </c>
      <c r="B981" t="s">
        <v>21</v>
      </c>
      <c r="C981" t="s">
        <v>26</v>
      </c>
      <c r="D981">
        <v>329</v>
      </c>
      <c r="E981">
        <v>100</v>
      </c>
      <c r="F981" s="2">
        <v>134.53</v>
      </c>
      <c r="G981" t="s">
        <v>32</v>
      </c>
      <c r="H981" s="1">
        <v>45322</v>
      </c>
      <c r="I981" s="1">
        <v>45333</v>
      </c>
      <c r="J981" t="s">
        <v>38</v>
      </c>
      <c r="K981" s="8">
        <f>Table2[[#This Row],[CurrentStock]]*Table2[[#This Row],[UnitPrice]]</f>
        <v>44260.37</v>
      </c>
      <c r="L981" t="str">
        <f>IF(Table2[[#This Row],[CurrentStock]]&lt;=Table2[[#This Row],[ReorderLevel]], "Reorder Needed", "Okay")</f>
        <v>Okay</v>
      </c>
      <c r="M981" t="str">
        <f>IF(Table2[[#This Row],[CurrentStock]]-Table2[[#This Row],[ReorderLevel]]&lt;0,Table2[[#This Row],[CurrentStock]]-Table2[[#This Row],[ReorderLevel]],"")</f>
        <v/>
      </c>
      <c r="N981" t="str">
        <f>IF(Table2[[#This Row],[Stock Gap]]&lt;0, "Understock","Okay")</f>
        <v>Okay</v>
      </c>
      <c r="O981" s="13" t="str">
        <f>IF(Table2[[#This Row],[Stock Gap]]&lt;0, "Yes", "No")</f>
        <v>No</v>
      </c>
      <c r="P981" s="13" t="str">
        <f>IF(Table2[[#This Row],[CurrentStock]]&lt;Table2[[#This Row],[ReorderLevel]],"Reorder", "Okay")</f>
        <v>Okay</v>
      </c>
      <c r="Q981" s="13" t="str">
        <f>IF(Table2[[#This Row],[CurrentStock]]&gt;Table2[[#This Row],[ReorderLevel]]*3, "Overstock", "Okay")</f>
        <v>Overstock</v>
      </c>
    </row>
    <row r="982" spans="1:17" x14ac:dyDescent="0.35">
      <c r="A982">
        <v>32228</v>
      </c>
      <c r="B982" t="s">
        <v>15</v>
      </c>
      <c r="C982" t="s">
        <v>29</v>
      </c>
      <c r="D982">
        <v>155</v>
      </c>
      <c r="E982">
        <v>100</v>
      </c>
      <c r="F982" s="2">
        <v>109.96</v>
      </c>
      <c r="G982" t="s">
        <v>33</v>
      </c>
      <c r="H982" s="1">
        <v>45358</v>
      </c>
      <c r="I982" s="1">
        <v>45377</v>
      </c>
      <c r="J982" t="s">
        <v>36</v>
      </c>
      <c r="K982" s="8">
        <f>Table2[[#This Row],[CurrentStock]]*Table2[[#This Row],[UnitPrice]]</f>
        <v>17043.8</v>
      </c>
      <c r="L982" t="str">
        <f>IF(Table2[[#This Row],[CurrentStock]]&lt;=Table2[[#This Row],[ReorderLevel]], "Reorder Needed", "Okay")</f>
        <v>Okay</v>
      </c>
      <c r="M982" t="str">
        <f>IF(Table2[[#This Row],[CurrentStock]]-Table2[[#This Row],[ReorderLevel]]&lt;0,Table2[[#This Row],[CurrentStock]]-Table2[[#This Row],[ReorderLevel]],"")</f>
        <v/>
      </c>
      <c r="N982" t="str">
        <f>IF(Table2[[#This Row],[Stock Gap]]&lt;0, "Understock","Okay")</f>
        <v>Okay</v>
      </c>
      <c r="O982" s="13" t="str">
        <f>IF(Table2[[#This Row],[Stock Gap]]&lt;0, "Yes", "No")</f>
        <v>No</v>
      </c>
      <c r="P982" s="13" t="str">
        <f>IF(Table2[[#This Row],[CurrentStock]]&lt;Table2[[#This Row],[ReorderLevel]],"Reorder", "Okay")</f>
        <v>Okay</v>
      </c>
      <c r="Q982" s="13" t="str">
        <f>IF(Table2[[#This Row],[CurrentStock]]&gt;Table2[[#This Row],[ReorderLevel]]*3, "Overstock", "Okay")</f>
        <v>Okay</v>
      </c>
    </row>
    <row r="983" spans="1:17" x14ac:dyDescent="0.35">
      <c r="A983">
        <v>71756</v>
      </c>
      <c r="B983" t="s">
        <v>10</v>
      </c>
      <c r="C983" t="s">
        <v>26</v>
      </c>
      <c r="D983">
        <v>238</v>
      </c>
      <c r="E983">
        <v>20</v>
      </c>
      <c r="F983" s="2">
        <v>10.35</v>
      </c>
      <c r="G983" t="s">
        <v>33</v>
      </c>
      <c r="H983" s="1">
        <v>45383</v>
      </c>
      <c r="I983" s="1">
        <v>45410</v>
      </c>
      <c r="J983" t="s">
        <v>38</v>
      </c>
      <c r="K983" s="8">
        <f>Table2[[#This Row],[CurrentStock]]*Table2[[#This Row],[UnitPrice]]</f>
        <v>2463.2999999999997</v>
      </c>
      <c r="L983" t="str">
        <f>IF(Table2[[#This Row],[CurrentStock]]&lt;=Table2[[#This Row],[ReorderLevel]], "Reorder Needed", "Okay")</f>
        <v>Okay</v>
      </c>
      <c r="M983" t="str">
        <f>IF(Table2[[#This Row],[CurrentStock]]-Table2[[#This Row],[ReorderLevel]]&lt;0,Table2[[#This Row],[CurrentStock]]-Table2[[#This Row],[ReorderLevel]],"")</f>
        <v/>
      </c>
      <c r="N983" t="str">
        <f>IF(Table2[[#This Row],[Stock Gap]]&lt;0, "Understock","Okay")</f>
        <v>Okay</v>
      </c>
      <c r="O983" s="13" t="str">
        <f>IF(Table2[[#This Row],[Stock Gap]]&lt;0, "Yes", "No")</f>
        <v>No</v>
      </c>
      <c r="P983" s="13" t="str">
        <f>IF(Table2[[#This Row],[CurrentStock]]&lt;Table2[[#This Row],[ReorderLevel]],"Reorder", "Okay")</f>
        <v>Okay</v>
      </c>
      <c r="Q983" s="13" t="str">
        <f>IF(Table2[[#This Row],[CurrentStock]]&gt;Table2[[#This Row],[ReorderLevel]]*3, "Overstock", "Okay")</f>
        <v>Overstock</v>
      </c>
    </row>
    <row r="984" spans="1:17" x14ac:dyDescent="0.35">
      <c r="A984">
        <v>68182</v>
      </c>
      <c r="B984" t="s">
        <v>14</v>
      </c>
      <c r="C984" t="s">
        <v>28</v>
      </c>
      <c r="D984">
        <v>217</v>
      </c>
      <c r="E984">
        <v>100</v>
      </c>
      <c r="F984" s="2">
        <v>384</v>
      </c>
      <c r="G984" t="s">
        <v>32</v>
      </c>
      <c r="H984" s="1">
        <v>45569</v>
      </c>
      <c r="I984" s="1">
        <v>45591</v>
      </c>
      <c r="J984" t="s">
        <v>38</v>
      </c>
      <c r="K984" s="8">
        <f>Table2[[#This Row],[CurrentStock]]*Table2[[#This Row],[UnitPrice]]</f>
        <v>83328</v>
      </c>
      <c r="L984" t="str">
        <f>IF(Table2[[#This Row],[CurrentStock]]&lt;=Table2[[#This Row],[ReorderLevel]], "Reorder Needed", "Okay")</f>
        <v>Okay</v>
      </c>
      <c r="M984" t="str">
        <f>IF(Table2[[#This Row],[CurrentStock]]-Table2[[#This Row],[ReorderLevel]]&lt;0,Table2[[#This Row],[CurrentStock]]-Table2[[#This Row],[ReorderLevel]],"")</f>
        <v/>
      </c>
      <c r="N984" t="str">
        <f>IF(Table2[[#This Row],[Stock Gap]]&lt;0, "Understock","Okay")</f>
        <v>Okay</v>
      </c>
      <c r="O984" s="13" t="str">
        <f>IF(Table2[[#This Row],[Stock Gap]]&lt;0, "Yes", "No")</f>
        <v>No</v>
      </c>
      <c r="P984" s="13" t="str">
        <f>IF(Table2[[#This Row],[CurrentStock]]&lt;Table2[[#This Row],[ReorderLevel]],"Reorder", "Okay")</f>
        <v>Okay</v>
      </c>
      <c r="Q984" s="13" t="str">
        <f>IF(Table2[[#This Row],[CurrentStock]]&gt;Table2[[#This Row],[ReorderLevel]]*3, "Overstock", "Okay")</f>
        <v>Okay</v>
      </c>
    </row>
    <row r="985" spans="1:17" x14ac:dyDescent="0.35">
      <c r="A985">
        <v>17436</v>
      </c>
      <c r="B985" t="s">
        <v>24</v>
      </c>
      <c r="C985" t="s">
        <v>30</v>
      </c>
      <c r="D985">
        <v>312</v>
      </c>
      <c r="E985">
        <v>80</v>
      </c>
      <c r="F985" s="2">
        <v>315</v>
      </c>
      <c r="G985" t="s">
        <v>32</v>
      </c>
      <c r="H985" s="1">
        <v>45618</v>
      </c>
      <c r="I985" s="1">
        <v>45631</v>
      </c>
      <c r="J985" t="s">
        <v>37</v>
      </c>
      <c r="K985" s="8">
        <f>Table2[[#This Row],[CurrentStock]]*Table2[[#This Row],[UnitPrice]]</f>
        <v>98280</v>
      </c>
      <c r="L985" t="str">
        <f>IF(Table2[[#This Row],[CurrentStock]]&lt;=Table2[[#This Row],[ReorderLevel]], "Reorder Needed", "Okay")</f>
        <v>Okay</v>
      </c>
      <c r="M985" t="str">
        <f>IF(Table2[[#This Row],[CurrentStock]]-Table2[[#This Row],[ReorderLevel]]&lt;0,Table2[[#This Row],[CurrentStock]]-Table2[[#This Row],[ReorderLevel]],"")</f>
        <v/>
      </c>
      <c r="N985" t="str">
        <f>IF(Table2[[#This Row],[Stock Gap]]&lt;0, "Understock","Okay")</f>
        <v>Okay</v>
      </c>
      <c r="O985" s="13" t="str">
        <f>IF(Table2[[#This Row],[Stock Gap]]&lt;0, "Yes", "No")</f>
        <v>No</v>
      </c>
      <c r="P985" s="13" t="str">
        <f>IF(Table2[[#This Row],[CurrentStock]]&lt;Table2[[#This Row],[ReorderLevel]],"Reorder", "Okay")</f>
        <v>Okay</v>
      </c>
      <c r="Q985" s="13" t="str">
        <f>IF(Table2[[#This Row],[CurrentStock]]&gt;Table2[[#This Row],[ReorderLevel]]*3, "Overstock", "Okay")</f>
        <v>Overstock</v>
      </c>
    </row>
    <row r="986" spans="1:17" x14ac:dyDescent="0.35">
      <c r="A986">
        <v>27157</v>
      </c>
      <c r="B986" t="s">
        <v>19</v>
      </c>
      <c r="C986" t="s">
        <v>28</v>
      </c>
      <c r="D986">
        <v>276</v>
      </c>
      <c r="E986">
        <v>150</v>
      </c>
      <c r="F986" s="2">
        <v>136.08000000000001</v>
      </c>
      <c r="G986" t="s">
        <v>35</v>
      </c>
      <c r="H986" s="1">
        <v>45454</v>
      </c>
      <c r="I986" s="1">
        <v>45473</v>
      </c>
      <c r="J986" t="s">
        <v>36</v>
      </c>
      <c r="K986" s="8">
        <f>Table2[[#This Row],[CurrentStock]]*Table2[[#This Row],[UnitPrice]]</f>
        <v>37558.080000000002</v>
      </c>
      <c r="L986" t="str">
        <f>IF(Table2[[#This Row],[CurrentStock]]&lt;=Table2[[#This Row],[ReorderLevel]], "Reorder Needed", "Okay")</f>
        <v>Okay</v>
      </c>
      <c r="M986" t="str">
        <f>IF(Table2[[#This Row],[CurrentStock]]-Table2[[#This Row],[ReorderLevel]]&lt;0,Table2[[#This Row],[CurrentStock]]-Table2[[#This Row],[ReorderLevel]],"")</f>
        <v/>
      </c>
      <c r="N986" t="str">
        <f>IF(Table2[[#This Row],[Stock Gap]]&lt;0, "Understock","Okay")</f>
        <v>Okay</v>
      </c>
      <c r="O986" s="13" t="str">
        <f>IF(Table2[[#This Row],[Stock Gap]]&lt;0, "Yes", "No")</f>
        <v>No</v>
      </c>
      <c r="P986" s="13" t="str">
        <f>IF(Table2[[#This Row],[CurrentStock]]&lt;Table2[[#This Row],[ReorderLevel]],"Reorder", "Okay")</f>
        <v>Okay</v>
      </c>
      <c r="Q986" s="13" t="str">
        <f>IF(Table2[[#This Row],[CurrentStock]]&gt;Table2[[#This Row],[ReorderLevel]]*3, "Overstock", "Okay")</f>
        <v>Okay</v>
      </c>
    </row>
    <row r="987" spans="1:17" x14ac:dyDescent="0.35">
      <c r="A987">
        <v>37213</v>
      </c>
      <c r="B987" t="s">
        <v>18</v>
      </c>
      <c r="C987" t="s">
        <v>27</v>
      </c>
      <c r="D987">
        <v>224</v>
      </c>
      <c r="E987">
        <v>50</v>
      </c>
      <c r="F987" s="2">
        <v>481.37</v>
      </c>
      <c r="G987" t="s">
        <v>31</v>
      </c>
      <c r="H987" s="1">
        <v>45409</v>
      </c>
      <c r="I987" s="1">
        <v>45447</v>
      </c>
      <c r="J987" t="s">
        <v>37</v>
      </c>
      <c r="K987" s="8">
        <f>Table2[[#This Row],[CurrentStock]]*Table2[[#This Row],[UnitPrice]]</f>
        <v>107826.88</v>
      </c>
      <c r="L987" t="str">
        <f>IF(Table2[[#This Row],[CurrentStock]]&lt;=Table2[[#This Row],[ReorderLevel]], "Reorder Needed", "Okay")</f>
        <v>Okay</v>
      </c>
      <c r="M987" t="str">
        <f>IF(Table2[[#This Row],[CurrentStock]]-Table2[[#This Row],[ReorderLevel]]&lt;0,Table2[[#This Row],[CurrentStock]]-Table2[[#This Row],[ReorderLevel]],"")</f>
        <v/>
      </c>
      <c r="N987" t="str">
        <f>IF(Table2[[#This Row],[Stock Gap]]&lt;0, "Understock","Okay")</f>
        <v>Okay</v>
      </c>
      <c r="O987" s="13" t="str">
        <f>IF(Table2[[#This Row],[Stock Gap]]&lt;0, "Yes", "No")</f>
        <v>No</v>
      </c>
      <c r="P987" s="13" t="str">
        <f>IF(Table2[[#This Row],[CurrentStock]]&lt;Table2[[#This Row],[ReorderLevel]],"Reorder", "Okay")</f>
        <v>Okay</v>
      </c>
      <c r="Q987" s="13" t="str">
        <f>IF(Table2[[#This Row],[CurrentStock]]&gt;Table2[[#This Row],[ReorderLevel]]*3, "Overstock", "Okay")</f>
        <v>Overstock</v>
      </c>
    </row>
    <row r="988" spans="1:17" x14ac:dyDescent="0.35">
      <c r="A988">
        <v>43371</v>
      </c>
      <c r="B988" t="s">
        <v>9</v>
      </c>
      <c r="C988" t="s">
        <v>26</v>
      </c>
      <c r="D988">
        <v>356</v>
      </c>
      <c r="E988">
        <v>50</v>
      </c>
      <c r="F988" s="2">
        <v>366.3</v>
      </c>
      <c r="G988" t="s">
        <v>35</v>
      </c>
      <c r="H988" s="1">
        <v>45317</v>
      </c>
      <c r="I988" s="1">
        <v>45339</v>
      </c>
      <c r="J988" t="s">
        <v>37</v>
      </c>
      <c r="K988" s="8">
        <f>Table2[[#This Row],[CurrentStock]]*Table2[[#This Row],[UnitPrice]]</f>
        <v>130402.8</v>
      </c>
      <c r="L988" t="str">
        <f>IF(Table2[[#This Row],[CurrentStock]]&lt;=Table2[[#This Row],[ReorderLevel]], "Reorder Needed", "Okay")</f>
        <v>Okay</v>
      </c>
      <c r="M988" t="str">
        <f>IF(Table2[[#This Row],[CurrentStock]]-Table2[[#This Row],[ReorderLevel]]&lt;0,Table2[[#This Row],[CurrentStock]]-Table2[[#This Row],[ReorderLevel]],"")</f>
        <v/>
      </c>
      <c r="N988" t="str">
        <f>IF(Table2[[#This Row],[Stock Gap]]&lt;0, "Understock","Okay")</f>
        <v>Okay</v>
      </c>
      <c r="O988" s="13" t="str">
        <f>IF(Table2[[#This Row],[Stock Gap]]&lt;0, "Yes", "No")</f>
        <v>No</v>
      </c>
      <c r="P988" s="13" t="str">
        <f>IF(Table2[[#This Row],[CurrentStock]]&lt;Table2[[#This Row],[ReorderLevel]],"Reorder", "Okay")</f>
        <v>Okay</v>
      </c>
      <c r="Q988" s="13" t="str">
        <f>IF(Table2[[#This Row],[CurrentStock]]&gt;Table2[[#This Row],[ReorderLevel]]*3, "Overstock", "Okay")</f>
        <v>Overstock</v>
      </c>
    </row>
    <row r="989" spans="1:17" x14ac:dyDescent="0.35">
      <c r="A989">
        <v>44381</v>
      </c>
      <c r="B989" t="s">
        <v>19</v>
      </c>
      <c r="C989" t="s">
        <v>28</v>
      </c>
      <c r="D989">
        <v>479</v>
      </c>
      <c r="E989">
        <v>40</v>
      </c>
      <c r="F989" s="2">
        <v>313.98</v>
      </c>
      <c r="G989" t="s">
        <v>33</v>
      </c>
      <c r="H989" s="1">
        <v>45478</v>
      </c>
      <c r="I989" s="1">
        <v>45488</v>
      </c>
      <c r="J989" t="s">
        <v>38</v>
      </c>
      <c r="K989" s="8">
        <f>Table2[[#This Row],[CurrentStock]]*Table2[[#This Row],[UnitPrice]]</f>
        <v>150396.42000000001</v>
      </c>
      <c r="L989" t="str">
        <f>IF(Table2[[#This Row],[CurrentStock]]&lt;=Table2[[#This Row],[ReorderLevel]], "Reorder Needed", "Okay")</f>
        <v>Okay</v>
      </c>
      <c r="M989" t="str">
        <f>IF(Table2[[#This Row],[CurrentStock]]-Table2[[#This Row],[ReorderLevel]]&lt;0,Table2[[#This Row],[CurrentStock]]-Table2[[#This Row],[ReorderLevel]],"")</f>
        <v/>
      </c>
      <c r="N989" t="str">
        <f>IF(Table2[[#This Row],[Stock Gap]]&lt;0, "Understock","Okay")</f>
        <v>Okay</v>
      </c>
      <c r="O989" s="13" t="str">
        <f>IF(Table2[[#This Row],[Stock Gap]]&lt;0, "Yes", "No")</f>
        <v>No</v>
      </c>
      <c r="P989" s="13" t="str">
        <f>IF(Table2[[#This Row],[CurrentStock]]&lt;Table2[[#This Row],[ReorderLevel]],"Reorder", "Okay")</f>
        <v>Okay</v>
      </c>
      <c r="Q989" s="13" t="str">
        <f>IF(Table2[[#This Row],[CurrentStock]]&gt;Table2[[#This Row],[ReorderLevel]]*3, "Overstock", "Okay")</f>
        <v>Overstock</v>
      </c>
    </row>
    <row r="990" spans="1:17" x14ac:dyDescent="0.35">
      <c r="A990">
        <v>36745</v>
      </c>
      <c r="B990" t="s">
        <v>25</v>
      </c>
      <c r="C990" t="s">
        <v>29</v>
      </c>
      <c r="D990">
        <v>298</v>
      </c>
      <c r="E990">
        <v>50</v>
      </c>
      <c r="F990" s="2">
        <v>176.4</v>
      </c>
      <c r="G990" t="s">
        <v>31</v>
      </c>
      <c r="H990" s="1">
        <v>45440</v>
      </c>
      <c r="I990" s="1">
        <v>45471</v>
      </c>
      <c r="J990" t="s">
        <v>38</v>
      </c>
      <c r="K990" s="8">
        <f>Table2[[#This Row],[CurrentStock]]*Table2[[#This Row],[UnitPrice]]</f>
        <v>52567.200000000004</v>
      </c>
      <c r="L990" t="str">
        <f>IF(Table2[[#This Row],[CurrentStock]]&lt;=Table2[[#This Row],[ReorderLevel]], "Reorder Needed", "Okay")</f>
        <v>Okay</v>
      </c>
      <c r="M990" t="str">
        <f>IF(Table2[[#This Row],[CurrentStock]]-Table2[[#This Row],[ReorderLevel]]&lt;0,Table2[[#This Row],[CurrentStock]]-Table2[[#This Row],[ReorderLevel]],"")</f>
        <v/>
      </c>
      <c r="N990" t="str">
        <f>IF(Table2[[#This Row],[Stock Gap]]&lt;0, "Understock","Okay")</f>
        <v>Okay</v>
      </c>
      <c r="O990" s="13" t="str">
        <f>IF(Table2[[#This Row],[Stock Gap]]&lt;0, "Yes", "No")</f>
        <v>No</v>
      </c>
      <c r="P990" s="13" t="str">
        <f>IF(Table2[[#This Row],[CurrentStock]]&lt;Table2[[#This Row],[ReorderLevel]],"Reorder", "Okay")</f>
        <v>Okay</v>
      </c>
      <c r="Q990" s="13" t="str">
        <f>IF(Table2[[#This Row],[CurrentStock]]&gt;Table2[[#This Row],[ReorderLevel]]*3, "Overstock", "Okay")</f>
        <v>Overstock</v>
      </c>
    </row>
    <row r="991" spans="1:17" x14ac:dyDescent="0.35">
      <c r="A991">
        <v>74555</v>
      </c>
      <c r="B991" t="s">
        <v>16</v>
      </c>
      <c r="C991" t="s">
        <v>29</v>
      </c>
      <c r="D991">
        <v>237</v>
      </c>
      <c r="E991">
        <v>30</v>
      </c>
      <c r="F991" s="2">
        <v>109.21</v>
      </c>
      <c r="G991" t="s">
        <v>35</v>
      </c>
      <c r="H991" s="1">
        <v>45564</v>
      </c>
      <c r="I991" s="1">
        <v>45572</v>
      </c>
      <c r="J991" t="s">
        <v>36</v>
      </c>
      <c r="K991" s="8">
        <f>Table2[[#This Row],[CurrentStock]]*Table2[[#This Row],[UnitPrice]]</f>
        <v>25882.769999999997</v>
      </c>
      <c r="L991" t="str">
        <f>IF(Table2[[#This Row],[CurrentStock]]&lt;=Table2[[#This Row],[ReorderLevel]], "Reorder Needed", "Okay")</f>
        <v>Okay</v>
      </c>
      <c r="M991" t="str">
        <f>IF(Table2[[#This Row],[CurrentStock]]-Table2[[#This Row],[ReorderLevel]]&lt;0,Table2[[#This Row],[CurrentStock]]-Table2[[#This Row],[ReorderLevel]],"")</f>
        <v/>
      </c>
      <c r="N991" t="str">
        <f>IF(Table2[[#This Row],[Stock Gap]]&lt;0, "Understock","Okay")</f>
        <v>Okay</v>
      </c>
      <c r="O991" s="13" t="str">
        <f>IF(Table2[[#This Row],[Stock Gap]]&lt;0, "Yes", "No")</f>
        <v>No</v>
      </c>
      <c r="P991" s="13" t="str">
        <f>IF(Table2[[#This Row],[CurrentStock]]&lt;Table2[[#This Row],[ReorderLevel]],"Reorder", "Okay")</f>
        <v>Okay</v>
      </c>
      <c r="Q991" s="13" t="str">
        <f>IF(Table2[[#This Row],[CurrentStock]]&gt;Table2[[#This Row],[ReorderLevel]]*3, "Overstock", "Okay")</f>
        <v>Overstock</v>
      </c>
    </row>
    <row r="992" spans="1:17" x14ac:dyDescent="0.35">
      <c r="A992">
        <v>57096</v>
      </c>
      <c r="B992" t="s">
        <v>19</v>
      </c>
      <c r="C992" t="s">
        <v>28</v>
      </c>
      <c r="D992">
        <v>195</v>
      </c>
      <c r="E992">
        <v>30</v>
      </c>
      <c r="F992" s="2">
        <v>241.61</v>
      </c>
      <c r="G992" t="s">
        <v>34</v>
      </c>
      <c r="H992" s="1">
        <v>45614</v>
      </c>
      <c r="I992" s="1">
        <v>45620</v>
      </c>
      <c r="J992" t="s">
        <v>36</v>
      </c>
      <c r="K992" s="8">
        <f>Table2[[#This Row],[CurrentStock]]*Table2[[#This Row],[UnitPrice]]</f>
        <v>47113.950000000004</v>
      </c>
      <c r="L992" t="str">
        <f>IF(Table2[[#This Row],[CurrentStock]]&lt;=Table2[[#This Row],[ReorderLevel]], "Reorder Needed", "Okay")</f>
        <v>Okay</v>
      </c>
      <c r="M992" t="str">
        <f>IF(Table2[[#This Row],[CurrentStock]]-Table2[[#This Row],[ReorderLevel]]&lt;0,Table2[[#This Row],[CurrentStock]]-Table2[[#This Row],[ReorderLevel]],"")</f>
        <v/>
      </c>
      <c r="N992" t="str">
        <f>IF(Table2[[#This Row],[Stock Gap]]&lt;0, "Understock","Okay")</f>
        <v>Okay</v>
      </c>
      <c r="O992" s="13" t="str">
        <f>IF(Table2[[#This Row],[Stock Gap]]&lt;0, "Yes", "No")</f>
        <v>No</v>
      </c>
      <c r="P992" s="13" t="str">
        <f>IF(Table2[[#This Row],[CurrentStock]]&lt;Table2[[#This Row],[ReorderLevel]],"Reorder", "Okay")</f>
        <v>Okay</v>
      </c>
      <c r="Q992" s="13" t="str">
        <f>IF(Table2[[#This Row],[CurrentStock]]&gt;Table2[[#This Row],[ReorderLevel]]*3, "Overstock", "Okay")</f>
        <v>Overstock</v>
      </c>
    </row>
    <row r="993" spans="1:17" x14ac:dyDescent="0.35">
      <c r="A993">
        <v>62726</v>
      </c>
      <c r="B993" t="s">
        <v>24</v>
      </c>
      <c r="C993" t="s">
        <v>30</v>
      </c>
      <c r="D993">
        <v>26</v>
      </c>
      <c r="E993">
        <v>20</v>
      </c>
      <c r="F993" s="2">
        <v>379.93</v>
      </c>
      <c r="G993" t="s">
        <v>33</v>
      </c>
      <c r="H993" s="1">
        <v>45548</v>
      </c>
      <c r="I993" s="1">
        <v>45555</v>
      </c>
      <c r="J993" t="s">
        <v>36</v>
      </c>
      <c r="K993" s="8">
        <f>Table2[[#This Row],[CurrentStock]]*Table2[[#This Row],[UnitPrice]]</f>
        <v>9878.18</v>
      </c>
      <c r="L993" t="str">
        <f>IF(Table2[[#This Row],[CurrentStock]]&lt;=Table2[[#This Row],[ReorderLevel]], "Reorder Needed", "Okay")</f>
        <v>Okay</v>
      </c>
      <c r="M993" t="str">
        <f>IF(Table2[[#This Row],[CurrentStock]]-Table2[[#This Row],[ReorderLevel]]&lt;0,Table2[[#This Row],[CurrentStock]]-Table2[[#This Row],[ReorderLevel]],"")</f>
        <v/>
      </c>
      <c r="N993" t="str">
        <f>IF(Table2[[#This Row],[Stock Gap]]&lt;0, "Understock","Okay")</f>
        <v>Okay</v>
      </c>
      <c r="O993" s="13" t="str">
        <f>IF(Table2[[#This Row],[Stock Gap]]&lt;0, "Yes", "No")</f>
        <v>No</v>
      </c>
      <c r="P993" s="13" t="str">
        <f>IF(Table2[[#This Row],[CurrentStock]]&lt;Table2[[#This Row],[ReorderLevel]],"Reorder", "Okay")</f>
        <v>Okay</v>
      </c>
      <c r="Q993" s="13" t="str">
        <f>IF(Table2[[#This Row],[CurrentStock]]&gt;Table2[[#This Row],[ReorderLevel]]*3, "Overstock", "Okay")</f>
        <v>Okay</v>
      </c>
    </row>
    <row r="994" spans="1:17" x14ac:dyDescent="0.35">
      <c r="A994">
        <v>88182</v>
      </c>
      <c r="B994" t="s">
        <v>15</v>
      </c>
      <c r="C994" t="s">
        <v>29</v>
      </c>
      <c r="D994">
        <v>270</v>
      </c>
      <c r="E994">
        <v>100</v>
      </c>
      <c r="F994" s="2">
        <v>473.92</v>
      </c>
      <c r="G994" t="s">
        <v>32</v>
      </c>
      <c r="H994" s="1">
        <v>45347</v>
      </c>
      <c r="I994" s="1">
        <v>45377</v>
      </c>
      <c r="J994" t="s">
        <v>38</v>
      </c>
      <c r="K994" s="8">
        <f>Table2[[#This Row],[CurrentStock]]*Table2[[#This Row],[UnitPrice]]</f>
        <v>127958.40000000001</v>
      </c>
      <c r="L994" t="str">
        <f>IF(Table2[[#This Row],[CurrentStock]]&lt;=Table2[[#This Row],[ReorderLevel]], "Reorder Needed", "Okay")</f>
        <v>Okay</v>
      </c>
      <c r="M994" t="str">
        <f>IF(Table2[[#This Row],[CurrentStock]]-Table2[[#This Row],[ReorderLevel]]&lt;0,Table2[[#This Row],[CurrentStock]]-Table2[[#This Row],[ReorderLevel]],"")</f>
        <v/>
      </c>
      <c r="N994" t="str">
        <f>IF(Table2[[#This Row],[Stock Gap]]&lt;0, "Understock","Okay")</f>
        <v>Okay</v>
      </c>
      <c r="O994" s="13" t="str">
        <f>IF(Table2[[#This Row],[Stock Gap]]&lt;0, "Yes", "No")</f>
        <v>No</v>
      </c>
      <c r="P994" s="13" t="str">
        <f>IF(Table2[[#This Row],[CurrentStock]]&lt;Table2[[#This Row],[ReorderLevel]],"Reorder", "Okay")</f>
        <v>Okay</v>
      </c>
      <c r="Q994" s="13" t="str">
        <f>IF(Table2[[#This Row],[CurrentStock]]&gt;Table2[[#This Row],[ReorderLevel]]*3, "Overstock", "Okay")</f>
        <v>Okay</v>
      </c>
    </row>
    <row r="995" spans="1:17" x14ac:dyDescent="0.35">
      <c r="A995">
        <v>79918</v>
      </c>
      <c r="B995" t="s">
        <v>17</v>
      </c>
      <c r="C995" t="s">
        <v>27</v>
      </c>
      <c r="D995">
        <v>338</v>
      </c>
      <c r="E995">
        <v>100</v>
      </c>
      <c r="F995" s="2">
        <v>247.89</v>
      </c>
      <c r="G995" t="s">
        <v>33</v>
      </c>
      <c r="H995" s="1">
        <v>45514</v>
      </c>
      <c r="I995" s="1">
        <v>45525</v>
      </c>
      <c r="J995" t="s">
        <v>38</v>
      </c>
      <c r="K995" s="8">
        <f>Table2[[#This Row],[CurrentStock]]*Table2[[#This Row],[UnitPrice]]</f>
        <v>83786.819999999992</v>
      </c>
      <c r="L995" t="str">
        <f>IF(Table2[[#This Row],[CurrentStock]]&lt;=Table2[[#This Row],[ReorderLevel]], "Reorder Needed", "Okay")</f>
        <v>Okay</v>
      </c>
      <c r="M995" t="str">
        <f>IF(Table2[[#This Row],[CurrentStock]]-Table2[[#This Row],[ReorderLevel]]&lt;0,Table2[[#This Row],[CurrentStock]]-Table2[[#This Row],[ReorderLevel]],"")</f>
        <v/>
      </c>
      <c r="N995" t="str">
        <f>IF(Table2[[#This Row],[Stock Gap]]&lt;0, "Understock","Okay")</f>
        <v>Okay</v>
      </c>
      <c r="O995" s="13" t="str">
        <f>IF(Table2[[#This Row],[Stock Gap]]&lt;0, "Yes", "No")</f>
        <v>No</v>
      </c>
      <c r="P995" s="13" t="str">
        <f>IF(Table2[[#This Row],[CurrentStock]]&lt;Table2[[#This Row],[ReorderLevel]],"Reorder", "Okay")</f>
        <v>Okay</v>
      </c>
      <c r="Q995" s="13" t="str">
        <f>IF(Table2[[#This Row],[CurrentStock]]&gt;Table2[[#This Row],[ReorderLevel]]*3, "Overstock", "Okay")</f>
        <v>Overstock</v>
      </c>
    </row>
    <row r="996" spans="1:17" x14ac:dyDescent="0.35">
      <c r="A996">
        <v>63450</v>
      </c>
      <c r="B996" t="s">
        <v>23</v>
      </c>
      <c r="C996" t="s">
        <v>30</v>
      </c>
      <c r="D996">
        <v>22</v>
      </c>
      <c r="E996">
        <v>80</v>
      </c>
      <c r="F996" s="2">
        <v>257.01</v>
      </c>
      <c r="G996" t="s">
        <v>35</v>
      </c>
      <c r="H996" s="1">
        <v>45329</v>
      </c>
      <c r="I996" s="1">
        <v>45360</v>
      </c>
      <c r="J996" t="s">
        <v>36</v>
      </c>
      <c r="K996" s="8">
        <f>Table2[[#This Row],[CurrentStock]]*Table2[[#This Row],[UnitPrice]]</f>
        <v>5654.2199999999993</v>
      </c>
      <c r="L996" t="str">
        <f>IF(Table2[[#This Row],[CurrentStock]]&lt;=Table2[[#This Row],[ReorderLevel]], "Reorder Needed", "Okay")</f>
        <v>Reorder Needed</v>
      </c>
      <c r="M996" s="7">
        <f>IF(Table2[[#This Row],[CurrentStock]]-Table2[[#This Row],[ReorderLevel]]&lt;0,Table2[[#This Row],[CurrentStock]]-Table2[[#This Row],[ReorderLevel]],"")</f>
        <v>-58</v>
      </c>
      <c r="N996" t="str">
        <f>IF(Table2[[#This Row],[Stock Gap]]&lt;0, "Understock","Okay")</f>
        <v>Understock</v>
      </c>
      <c r="O996" s="13" t="str">
        <f>IF(Table2[[#This Row],[Stock Gap]]&lt;0, "Yes", "No")</f>
        <v>Yes</v>
      </c>
      <c r="P996" s="13" t="str">
        <f>IF(Table2[[#This Row],[CurrentStock]]&lt;Table2[[#This Row],[ReorderLevel]],"Reorder", "Okay")</f>
        <v>Reorder</v>
      </c>
      <c r="Q996" s="13" t="str">
        <f>IF(Table2[[#This Row],[CurrentStock]]&gt;Table2[[#This Row],[ReorderLevel]]*3, "Overstock", "Okay")</f>
        <v>Okay</v>
      </c>
    </row>
    <row r="997" spans="1:17" x14ac:dyDescent="0.35">
      <c r="A997">
        <v>27290</v>
      </c>
      <c r="B997" t="s">
        <v>18</v>
      </c>
      <c r="C997" t="s">
        <v>27</v>
      </c>
      <c r="D997">
        <v>474</v>
      </c>
      <c r="E997">
        <v>150</v>
      </c>
      <c r="F997" s="2">
        <v>473.31</v>
      </c>
      <c r="G997" t="s">
        <v>33</v>
      </c>
      <c r="H997" s="1">
        <v>45401</v>
      </c>
      <c r="I997" s="1">
        <v>45418</v>
      </c>
      <c r="J997" t="s">
        <v>36</v>
      </c>
      <c r="K997" s="8">
        <f>Table2[[#This Row],[CurrentStock]]*Table2[[#This Row],[UnitPrice]]</f>
        <v>224348.94</v>
      </c>
      <c r="L997" t="str">
        <f>IF(Table2[[#This Row],[CurrentStock]]&lt;=Table2[[#This Row],[ReorderLevel]], "Reorder Needed", "Okay")</f>
        <v>Okay</v>
      </c>
      <c r="M997" t="str">
        <f>IF(Table2[[#This Row],[CurrentStock]]-Table2[[#This Row],[ReorderLevel]]&lt;0,Table2[[#This Row],[CurrentStock]]-Table2[[#This Row],[ReorderLevel]],"")</f>
        <v/>
      </c>
      <c r="N997" t="str">
        <f>IF(Table2[[#This Row],[Stock Gap]]&lt;0, "Understock","Okay")</f>
        <v>Okay</v>
      </c>
      <c r="O997" s="13" t="str">
        <f>IF(Table2[[#This Row],[Stock Gap]]&lt;0, "Yes", "No")</f>
        <v>No</v>
      </c>
      <c r="P997" s="13" t="str">
        <f>IF(Table2[[#This Row],[CurrentStock]]&lt;Table2[[#This Row],[ReorderLevel]],"Reorder", "Okay")</f>
        <v>Okay</v>
      </c>
      <c r="Q997" s="13" t="str">
        <f>IF(Table2[[#This Row],[CurrentStock]]&gt;Table2[[#This Row],[ReorderLevel]]*3, "Overstock", "Okay")</f>
        <v>Overstock</v>
      </c>
    </row>
    <row r="998" spans="1:17" x14ac:dyDescent="0.35">
      <c r="A998">
        <v>20447</v>
      </c>
      <c r="B998" t="s">
        <v>20</v>
      </c>
      <c r="C998" t="s">
        <v>30</v>
      </c>
      <c r="D998">
        <v>347</v>
      </c>
      <c r="E998">
        <v>80</v>
      </c>
      <c r="F998" s="2">
        <v>430.37</v>
      </c>
      <c r="G998" t="s">
        <v>34</v>
      </c>
      <c r="H998" s="1">
        <v>45551</v>
      </c>
      <c r="I998" s="1">
        <v>45573</v>
      </c>
      <c r="J998" t="s">
        <v>36</v>
      </c>
      <c r="K998" s="8">
        <f>Table2[[#This Row],[CurrentStock]]*Table2[[#This Row],[UnitPrice]]</f>
        <v>149338.39000000001</v>
      </c>
      <c r="L998" t="str">
        <f>IF(Table2[[#This Row],[CurrentStock]]&lt;=Table2[[#This Row],[ReorderLevel]], "Reorder Needed", "Okay")</f>
        <v>Okay</v>
      </c>
      <c r="M998" t="str">
        <f>IF(Table2[[#This Row],[CurrentStock]]-Table2[[#This Row],[ReorderLevel]]&lt;0,Table2[[#This Row],[CurrentStock]]-Table2[[#This Row],[ReorderLevel]],"")</f>
        <v/>
      </c>
      <c r="N998" t="str">
        <f>IF(Table2[[#This Row],[Stock Gap]]&lt;0, "Understock","Okay")</f>
        <v>Okay</v>
      </c>
      <c r="O998" s="13" t="str">
        <f>IF(Table2[[#This Row],[Stock Gap]]&lt;0, "Yes", "No")</f>
        <v>No</v>
      </c>
      <c r="P998" s="13" t="str">
        <f>IF(Table2[[#This Row],[CurrentStock]]&lt;Table2[[#This Row],[ReorderLevel]],"Reorder", "Okay")</f>
        <v>Okay</v>
      </c>
      <c r="Q998" s="13" t="str">
        <f>IF(Table2[[#This Row],[CurrentStock]]&gt;Table2[[#This Row],[ReorderLevel]]*3, "Overstock", "Okay")</f>
        <v>Overstock</v>
      </c>
    </row>
    <row r="999" spans="1:17" x14ac:dyDescent="0.35">
      <c r="A999">
        <v>94853</v>
      </c>
      <c r="B999" t="s">
        <v>13</v>
      </c>
      <c r="C999" t="s">
        <v>26</v>
      </c>
      <c r="D999">
        <v>328</v>
      </c>
      <c r="E999">
        <v>40</v>
      </c>
      <c r="F999" s="2">
        <v>172.58</v>
      </c>
      <c r="G999" t="s">
        <v>32</v>
      </c>
      <c r="H999" s="1">
        <v>45351</v>
      </c>
      <c r="I999" s="1">
        <v>45358</v>
      </c>
      <c r="J999" t="s">
        <v>36</v>
      </c>
      <c r="K999" s="8">
        <f>Table2[[#This Row],[CurrentStock]]*Table2[[#This Row],[UnitPrice]]</f>
        <v>56606.240000000005</v>
      </c>
      <c r="L999" t="str">
        <f>IF(Table2[[#This Row],[CurrentStock]]&lt;=Table2[[#This Row],[ReorderLevel]], "Reorder Needed", "Okay")</f>
        <v>Okay</v>
      </c>
      <c r="M999" t="str">
        <f>IF(Table2[[#This Row],[CurrentStock]]-Table2[[#This Row],[ReorderLevel]]&lt;0,Table2[[#This Row],[CurrentStock]]-Table2[[#This Row],[ReorderLevel]],"")</f>
        <v/>
      </c>
      <c r="N999" t="str">
        <f>IF(Table2[[#This Row],[Stock Gap]]&lt;0, "Understock","Okay")</f>
        <v>Okay</v>
      </c>
      <c r="O999" s="13" t="str">
        <f>IF(Table2[[#This Row],[Stock Gap]]&lt;0, "Yes", "No")</f>
        <v>No</v>
      </c>
      <c r="P999" s="13" t="str">
        <f>IF(Table2[[#This Row],[CurrentStock]]&lt;Table2[[#This Row],[ReorderLevel]],"Reorder", "Okay")</f>
        <v>Okay</v>
      </c>
      <c r="Q999" s="13" t="str">
        <f>IF(Table2[[#This Row],[CurrentStock]]&gt;Table2[[#This Row],[ReorderLevel]]*3, "Overstock", "Okay")</f>
        <v>Overstock</v>
      </c>
    </row>
    <row r="1000" spans="1:17" x14ac:dyDescent="0.35">
      <c r="A1000">
        <v>91060</v>
      </c>
      <c r="B1000" t="s">
        <v>20</v>
      </c>
      <c r="C1000" t="s">
        <v>30</v>
      </c>
      <c r="D1000">
        <v>319</v>
      </c>
      <c r="E1000">
        <v>150</v>
      </c>
      <c r="F1000" s="2">
        <v>301.94</v>
      </c>
      <c r="G1000" t="s">
        <v>31</v>
      </c>
      <c r="H1000" s="1">
        <v>45571</v>
      </c>
      <c r="I1000" s="1">
        <v>45602</v>
      </c>
      <c r="J1000" t="s">
        <v>37</v>
      </c>
      <c r="K1000" s="8">
        <f>Table2[[#This Row],[CurrentStock]]*Table2[[#This Row],[UnitPrice]]</f>
        <v>96318.86</v>
      </c>
      <c r="L1000" t="str">
        <f>IF(Table2[[#This Row],[CurrentStock]]&lt;=Table2[[#This Row],[ReorderLevel]], "Reorder Needed", "Okay")</f>
        <v>Okay</v>
      </c>
      <c r="M1000" t="str">
        <f>IF(Table2[[#This Row],[CurrentStock]]-Table2[[#This Row],[ReorderLevel]]&lt;0,Table2[[#This Row],[CurrentStock]]-Table2[[#This Row],[ReorderLevel]],"")</f>
        <v/>
      </c>
      <c r="N1000" t="str">
        <f>IF(Table2[[#This Row],[Stock Gap]]&lt;0, "Understock","Okay")</f>
        <v>Okay</v>
      </c>
      <c r="O1000" s="13" t="str">
        <f>IF(Table2[[#This Row],[Stock Gap]]&lt;0, "Yes", "No")</f>
        <v>No</v>
      </c>
      <c r="P1000" s="13" t="str">
        <f>IF(Table2[[#This Row],[CurrentStock]]&lt;Table2[[#This Row],[ReorderLevel]],"Reorder", "Okay")</f>
        <v>Okay</v>
      </c>
      <c r="Q1000" s="13" t="str">
        <f>IF(Table2[[#This Row],[CurrentStock]]&gt;Table2[[#This Row],[ReorderLevel]]*3, "Overstock", "Okay")</f>
        <v>Okay</v>
      </c>
    </row>
    <row r="1001" spans="1:17" x14ac:dyDescent="0.35">
      <c r="A1001">
        <v>30874</v>
      </c>
      <c r="B1001" t="s">
        <v>23</v>
      </c>
      <c r="C1001" t="s">
        <v>30</v>
      </c>
      <c r="D1001">
        <v>375</v>
      </c>
      <c r="E1001">
        <v>50</v>
      </c>
      <c r="F1001" s="2">
        <v>427.43</v>
      </c>
      <c r="G1001" t="s">
        <v>32</v>
      </c>
      <c r="H1001" s="1">
        <v>45548</v>
      </c>
      <c r="I1001" s="1">
        <v>45574</v>
      </c>
      <c r="J1001" t="s">
        <v>37</v>
      </c>
      <c r="K1001" s="8">
        <f>Table2[[#This Row],[CurrentStock]]*Table2[[#This Row],[UnitPrice]]</f>
        <v>160286.25</v>
      </c>
      <c r="L1001" t="str">
        <f>IF(Table2[[#This Row],[CurrentStock]]&lt;=Table2[[#This Row],[ReorderLevel]], "Reorder Needed", "Okay")</f>
        <v>Okay</v>
      </c>
      <c r="M1001" t="str">
        <f>IF(Table2[[#This Row],[CurrentStock]]-Table2[[#This Row],[ReorderLevel]]&lt;0,Table2[[#This Row],[CurrentStock]]-Table2[[#This Row],[ReorderLevel]],"")</f>
        <v/>
      </c>
      <c r="N1001" t="str">
        <f>IF(Table2[[#This Row],[Stock Gap]]&lt;0, "Understock","Okay")</f>
        <v>Okay</v>
      </c>
      <c r="O1001" s="13" t="str">
        <f>IF(Table2[[#This Row],[Stock Gap]]&lt;0, "Yes", "No")</f>
        <v>No</v>
      </c>
      <c r="P1001" s="13" t="str">
        <f>IF(Table2[[#This Row],[CurrentStock]]&lt;Table2[[#This Row],[ReorderLevel]],"Reorder", "Okay")</f>
        <v>Okay</v>
      </c>
      <c r="Q1001" s="13" t="str">
        <f>IF(Table2[[#This Row],[CurrentStock]]&gt;Table2[[#This Row],[ReorderLevel]]*3, "Overstock", "Okay")</f>
        <v>Overstock</v>
      </c>
    </row>
    <row r="1002" spans="1:17" x14ac:dyDescent="0.35">
      <c r="A1002">
        <v>71509</v>
      </c>
      <c r="B1002" t="s">
        <v>18</v>
      </c>
      <c r="C1002" t="s">
        <v>27</v>
      </c>
      <c r="D1002">
        <v>217</v>
      </c>
      <c r="E1002">
        <v>80</v>
      </c>
      <c r="F1002" s="2">
        <v>225.02</v>
      </c>
      <c r="G1002" t="s">
        <v>34</v>
      </c>
      <c r="H1002" s="1">
        <v>45430</v>
      </c>
      <c r="I1002" s="1">
        <v>45445</v>
      </c>
      <c r="J1002" t="s">
        <v>38</v>
      </c>
      <c r="K1002" s="8">
        <f>Table2[[#This Row],[CurrentStock]]*Table2[[#This Row],[UnitPrice]]</f>
        <v>48829.340000000004</v>
      </c>
      <c r="L1002" t="str">
        <f>IF(Table2[[#This Row],[CurrentStock]]&lt;=Table2[[#This Row],[ReorderLevel]], "Reorder Needed", "Okay")</f>
        <v>Okay</v>
      </c>
      <c r="M1002" t="str">
        <f>IF(Table2[[#This Row],[CurrentStock]]-Table2[[#This Row],[ReorderLevel]]&lt;0,Table2[[#This Row],[CurrentStock]]-Table2[[#This Row],[ReorderLevel]],"")</f>
        <v/>
      </c>
      <c r="N1002" t="str">
        <f>IF(Table2[[#This Row],[Stock Gap]]&lt;0, "Understock","Okay")</f>
        <v>Okay</v>
      </c>
      <c r="O1002" s="13" t="str">
        <f>IF(Table2[[#This Row],[Stock Gap]]&lt;0, "Yes", "No")</f>
        <v>No</v>
      </c>
      <c r="P1002" s="13" t="str">
        <f>IF(Table2[[#This Row],[CurrentStock]]&lt;Table2[[#This Row],[ReorderLevel]],"Reorder", "Okay")</f>
        <v>Okay</v>
      </c>
      <c r="Q1002" s="13" t="str">
        <f>IF(Table2[[#This Row],[CurrentStock]]&gt;Table2[[#This Row],[ReorderLevel]]*3, "Overstock", "Okay")</f>
        <v>Okay</v>
      </c>
    </row>
    <row r="1003" spans="1:17" x14ac:dyDescent="0.35">
      <c r="A1003">
        <v>35457</v>
      </c>
      <c r="B1003" t="s">
        <v>22</v>
      </c>
      <c r="C1003" t="s">
        <v>29</v>
      </c>
      <c r="D1003">
        <v>55</v>
      </c>
      <c r="E1003">
        <v>150</v>
      </c>
      <c r="F1003" s="2">
        <v>44.23</v>
      </c>
      <c r="G1003" t="s">
        <v>33</v>
      </c>
      <c r="H1003" s="1">
        <v>45466</v>
      </c>
      <c r="I1003" s="1">
        <v>45497</v>
      </c>
      <c r="J1003" t="s">
        <v>38</v>
      </c>
      <c r="K1003" s="8">
        <f>Table2[[#This Row],[CurrentStock]]*Table2[[#This Row],[UnitPrice]]</f>
        <v>2432.6499999999996</v>
      </c>
      <c r="L1003" t="str">
        <f>IF(Table2[[#This Row],[CurrentStock]]&lt;=Table2[[#This Row],[ReorderLevel]], "Reorder Needed", "Okay")</f>
        <v>Reorder Needed</v>
      </c>
      <c r="M1003" s="7">
        <f>IF(Table2[[#This Row],[CurrentStock]]-Table2[[#This Row],[ReorderLevel]]&lt;0,Table2[[#This Row],[CurrentStock]]-Table2[[#This Row],[ReorderLevel]],"")</f>
        <v>-95</v>
      </c>
      <c r="N1003" t="str">
        <f>IF(Table2[[#This Row],[Stock Gap]]&lt;0, "Understock","Okay")</f>
        <v>Understock</v>
      </c>
      <c r="O1003" s="13" t="str">
        <f>IF(Table2[[#This Row],[Stock Gap]]&lt;0, "Yes", "No")</f>
        <v>Yes</v>
      </c>
      <c r="P1003" s="13" t="str">
        <f>IF(Table2[[#This Row],[CurrentStock]]&lt;Table2[[#This Row],[ReorderLevel]],"Reorder", "Okay")</f>
        <v>Reorder</v>
      </c>
      <c r="Q1003" s="13" t="str">
        <f>IF(Table2[[#This Row],[CurrentStock]]&gt;Table2[[#This Row],[ReorderLevel]]*3, "Overstock", "Okay")</f>
        <v>Okay</v>
      </c>
    </row>
    <row r="1004" spans="1:17" x14ac:dyDescent="0.35">
      <c r="A1004">
        <v>62137</v>
      </c>
      <c r="B1004" t="s">
        <v>23</v>
      </c>
      <c r="C1004" t="s">
        <v>30</v>
      </c>
      <c r="D1004">
        <v>441</v>
      </c>
      <c r="E1004">
        <v>50</v>
      </c>
      <c r="F1004" s="2">
        <v>66.03</v>
      </c>
      <c r="G1004" t="s">
        <v>32</v>
      </c>
      <c r="H1004" s="1">
        <v>45355</v>
      </c>
      <c r="I1004" s="1">
        <v>45366</v>
      </c>
      <c r="J1004" t="s">
        <v>38</v>
      </c>
      <c r="K1004" s="8">
        <f>Table2[[#This Row],[CurrentStock]]*Table2[[#This Row],[UnitPrice]]</f>
        <v>29119.23</v>
      </c>
      <c r="L1004" t="str">
        <f>IF(Table2[[#This Row],[CurrentStock]]&lt;=Table2[[#This Row],[ReorderLevel]], "Reorder Needed", "Okay")</f>
        <v>Okay</v>
      </c>
      <c r="M1004" t="str">
        <f>IF(Table2[[#This Row],[CurrentStock]]-Table2[[#This Row],[ReorderLevel]]&lt;0,Table2[[#This Row],[CurrentStock]]-Table2[[#This Row],[ReorderLevel]],"")</f>
        <v/>
      </c>
      <c r="N1004" t="str">
        <f>IF(Table2[[#This Row],[Stock Gap]]&lt;0, "Understock","Okay")</f>
        <v>Okay</v>
      </c>
      <c r="O1004" s="13" t="str">
        <f>IF(Table2[[#This Row],[Stock Gap]]&lt;0, "Yes", "No")</f>
        <v>No</v>
      </c>
      <c r="P1004" s="13" t="str">
        <f>IF(Table2[[#This Row],[CurrentStock]]&lt;Table2[[#This Row],[ReorderLevel]],"Reorder", "Okay")</f>
        <v>Okay</v>
      </c>
      <c r="Q1004" s="13" t="str">
        <f>IF(Table2[[#This Row],[CurrentStock]]&gt;Table2[[#This Row],[ReorderLevel]]*3, "Overstock", "Okay")</f>
        <v>Overstock</v>
      </c>
    </row>
    <row r="1005" spans="1:17" x14ac:dyDescent="0.35">
      <c r="A1005">
        <v>10037</v>
      </c>
      <c r="B1005" t="s">
        <v>11</v>
      </c>
      <c r="C1005" t="s">
        <v>27</v>
      </c>
      <c r="D1005">
        <v>404</v>
      </c>
      <c r="E1005">
        <v>50</v>
      </c>
      <c r="F1005" s="2">
        <v>382.98</v>
      </c>
      <c r="G1005" t="s">
        <v>34</v>
      </c>
      <c r="H1005" s="1">
        <v>45356</v>
      </c>
      <c r="I1005" s="1">
        <v>45393</v>
      </c>
      <c r="J1005" t="s">
        <v>38</v>
      </c>
      <c r="K1005" s="8">
        <f>Table2[[#This Row],[CurrentStock]]*Table2[[#This Row],[UnitPrice]]</f>
        <v>154723.92000000001</v>
      </c>
      <c r="L1005" t="str">
        <f>IF(Table2[[#This Row],[CurrentStock]]&lt;=Table2[[#This Row],[ReorderLevel]], "Reorder Needed", "Okay")</f>
        <v>Okay</v>
      </c>
      <c r="M1005" t="str">
        <f>IF(Table2[[#This Row],[CurrentStock]]-Table2[[#This Row],[ReorderLevel]]&lt;0,Table2[[#This Row],[CurrentStock]]-Table2[[#This Row],[ReorderLevel]],"")</f>
        <v/>
      </c>
      <c r="N1005" t="str">
        <f>IF(Table2[[#This Row],[Stock Gap]]&lt;0, "Understock","Okay")</f>
        <v>Okay</v>
      </c>
      <c r="O1005" s="13" t="str">
        <f>IF(Table2[[#This Row],[Stock Gap]]&lt;0, "Yes", "No")</f>
        <v>No</v>
      </c>
      <c r="P1005" s="13" t="str">
        <f>IF(Table2[[#This Row],[CurrentStock]]&lt;Table2[[#This Row],[ReorderLevel]],"Reorder", "Okay")</f>
        <v>Okay</v>
      </c>
      <c r="Q1005" s="13" t="str">
        <f>IF(Table2[[#This Row],[CurrentStock]]&gt;Table2[[#This Row],[ReorderLevel]]*3, "Overstock", "Okay")</f>
        <v>Overstock</v>
      </c>
    </row>
    <row r="1006" spans="1:17" x14ac:dyDescent="0.35">
      <c r="A1006">
        <v>72008</v>
      </c>
      <c r="B1006" t="s">
        <v>15</v>
      </c>
      <c r="C1006" t="s">
        <v>29</v>
      </c>
      <c r="D1006">
        <v>475</v>
      </c>
      <c r="E1006">
        <v>20</v>
      </c>
      <c r="F1006" s="2">
        <v>266.11</v>
      </c>
      <c r="G1006" t="s">
        <v>34</v>
      </c>
      <c r="H1006" s="1">
        <v>45588</v>
      </c>
      <c r="I1006" s="1">
        <v>45622</v>
      </c>
      <c r="J1006" t="s">
        <v>36</v>
      </c>
      <c r="K1006" s="8">
        <f>Table2[[#This Row],[CurrentStock]]*Table2[[#This Row],[UnitPrice]]</f>
        <v>126402.25</v>
      </c>
      <c r="L1006" t="str">
        <f>IF(Table2[[#This Row],[CurrentStock]]&lt;=Table2[[#This Row],[ReorderLevel]], "Reorder Needed", "Okay")</f>
        <v>Okay</v>
      </c>
      <c r="M1006" t="str">
        <f>IF(Table2[[#This Row],[CurrentStock]]-Table2[[#This Row],[ReorderLevel]]&lt;0,Table2[[#This Row],[CurrentStock]]-Table2[[#This Row],[ReorderLevel]],"")</f>
        <v/>
      </c>
      <c r="N1006" t="str">
        <f>IF(Table2[[#This Row],[Stock Gap]]&lt;0, "Understock","Okay")</f>
        <v>Okay</v>
      </c>
      <c r="O1006" s="13" t="str">
        <f>IF(Table2[[#This Row],[Stock Gap]]&lt;0, "Yes", "No")</f>
        <v>No</v>
      </c>
      <c r="P1006" s="13" t="str">
        <f>IF(Table2[[#This Row],[CurrentStock]]&lt;Table2[[#This Row],[ReorderLevel]],"Reorder", "Okay")</f>
        <v>Okay</v>
      </c>
      <c r="Q1006" s="13" t="str">
        <f>IF(Table2[[#This Row],[CurrentStock]]&gt;Table2[[#This Row],[ReorderLevel]]*3, "Overstock", "Okay")</f>
        <v>Overstock</v>
      </c>
    </row>
    <row r="1007" spans="1:17" x14ac:dyDescent="0.35">
      <c r="A1007">
        <v>43439</v>
      </c>
      <c r="B1007" t="s">
        <v>17</v>
      </c>
      <c r="C1007" t="s">
        <v>27</v>
      </c>
      <c r="D1007">
        <v>215</v>
      </c>
      <c r="E1007">
        <v>100</v>
      </c>
      <c r="F1007" s="2">
        <v>57.53</v>
      </c>
      <c r="G1007" t="s">
        <v>32</v>
      </c>
      <c r="H1007" s="1">
        <v>45572</v>
      </c>
      <c r="I1007" s="1">
        <v>45577</v>
      </c>
      <c r="J1007" t="s">
        <v>38</v>
      </c>
      <c r="K1007" s="8">
        <f>Table2[[#This Row],[CurrentStock]]*Table2[[#This Row],[UnitPrice]]</f>
        <v>12368.95</v>
      </c>
      <c r="L1007" t="str">
        <f>IF(Table2[[#This Row],[CurrentStock]]&lt;=Table2[[#This Row],[ReorderLevel]], "Reorder Needed", "Okay")</f>
        <v>Okay</v>
      </c>
      <c r="M1007" t="str">
        <f>IF(Table2[[#This Row],[CurrentStock]]-Table2[[#This Row],[ReorderLevel]]&lt;0,Table2[[#This Row],[CurrentStock]]-Table2[[#This Row],[ReorderLevel]],"")</f>
        <v/>
      </c>
      <c r="N1007" t="str">
        <f>IF(Table2[[#This Row],[Stock Gap]]&lt;0, "Understock","Okay")</f>
        <v>Okay</v>
      </c>
      <c r="O1007" s="13" t="str">
        <f>IF(Table2[[#This Row],[Stock Gap]]&lt;0, "Yes", "No")</f>
        <v>No</v>
      </c>
      <c r="P1007" s="13" t="str">
        <f>IF(Table2[[#This Row],[CurrentStock]]&lt;Table2[[#This Row],[ReorderLevel]],"Reorder", "Okay")</f>
        <v>Okay</v>
      </c>
      <c r="Q1007" s="13" t="str">
        <f>IF(Table2[[#This Row],[CurrentStock]]&gt;Table2[[#This Row],[ReorderLevel]]*3, "Overstock", "Okay")</f>
        <v>Okay</v>
      </c>
    </row>
    <row r="1008" spans="1:17" x14ac:dyDescent="0.35">
      <c r="A1008">
        <v>44743</v>
      </c>
      <c r="B1008" t="s">
        <v>19</v>
      </c>
      <c r="C1008" t="s">
        <v>28</v>
      </c>
      <c r="D1008">
        <v>146</v>
      </c>
      <c r="E1008">
        <v>50</v>
      </c>
      <c r="F1008" s="2">
        <v>177.78</v>
      </c>
      <c r="G1008" t="s">
        <v>34</v>
      </c>
      <c r="H1008" s="1">
        <v>45293</v>
      </c>
      <c r="I1008" s="1">
        <v>45306</v>
      </c>
      <c r="J1008" t="s">
        <v>38</v>
      </c>
      <c r="K1008" s="8">
        <f>Table2[[#This Row],[CurrentStock]]*Table2[[#This Row],[UnitPrice]]</f>
        <v>25955.88</v>
      </c>
      <c r="L1008" t="str">
        <f>IF(Table2[[#This Row],[CurrentStock]]&lt;=Table2[[#This Row],[ReorderLevel]], "Reorder Needed", "Okay")</f>
        <v>Okay</v>
      </c>
      <c r="M1008" t="str">
        <f>IF(Table2[[#This Row],[CurrentStock]]-Table2[[#This Row],[ReorderLevel]]&lt;0,Table2[[#This Row],[CurrentStock]]-Table2[[#This Row],[ReorderLevel]],"")</f>
        <v/>
      </c>
      <c r="N1008" t="str">
        <f>IF(Table2[[#This Row],[Stock Gap]]&lt;0, "Understock","Okay")</f>
        <v>Okay</v>
      </c>
      <c r="O1008" s="13" t="str">
        <f>IF(Table2[[#This Row],[Stock Gap]]&lt;0, "Yes", "No")</f>
        <v>No</v>
      </c>
      <c r="P1008" s="13" t="str">
        <f>IF(Table2[[#This Row],[CurrentStock]]&lt;Table2[[#This Row],[ReorderLevel]],"Reorder", "Okay")</f>
        <v>Okay</v>
      </c>
      <c r="Q1008" s="13" t="str">
        <f>IF(Table2[[#This Row],[CurrentStock]]&gt;Table2[[#This Row],[ReorderLevel]]*3, "Overstock", "Okay")</f>
        <v>Okay</v>
      </c>
    </row>
    <row r="1009" spans="1:17" x14ac:dyDescent="0.35">
      <c r="A1009">
        <v>92896</v>
      </c>
      <c r="B1009" t="s">
        <v>9</v>
      </c>
      <c r="C1009" t="s">
        <v>26</v>
      </c>
      <c r="D1009">
        <v>272</v>
      </c>
      <c r="E1009">
        <v>20</v>
      </c>
      <c r="F1009" s="2">
        <v>25.09</v>
      </c>
      <c r="G1009" t="s">
        <v>32</v>
      </c>
      <c r="H1009" s="1">
        <v>45422</v>
      </c>
      <c r="I1009" s="1">
        <v>45430</v>
      </c>
      <c r="J1009" t="s">
        <v>36</v>
      </c>
      <c r="K1009" s="8">
        <f>Table2[[#This Row],[CurrentStock]]*Table2[[#This Row],[UnitPrice]]</f>
        <v>6824.48</v>
      </c>
      <c r="L1009" t="str">
        <f>IF(Table2[[#This Row],[CurrentStock]]&lt;=Table2[[#This Row],[ReorderLevel]], "Reorder Needed", "Okay")</f>
        <v>Okay</v>
      </c>
      <c r="M1009" t="str">
        <f>IF(Table2[[#This Row],[CurrentStock]]-Table2[[#This Row],[ReorderLevel]]&lt;0,Table2[[#This Row],[CurrentStock]]-Table2[[#This Row],[ReorderLevel]],"")</f>
        <v/>
      </c>
      <c r="N1009" t="str">
        <f>IF(Table2[[#This Row],[Stock Gap]]&lt;0, "Understock","Okay")</f>
        <v>Okay</v>
      </c>
      <c r="O1009" s="13" t="str">
        <f>IF(Table2[[#This Row],[Stock Gap]]&lt;0, "Yes", "No")</f>
        <v>No</v>
      </c>
      <c r="P1009" s="13" t="str">
        <f>IF(Table2[[#This Row],[CurrentStock]]&lt;Table2[[#This Row],[ReorderLevel]],"Reorder", "Okay")</f>
        <v>Okay</v>
      </c>
      <c r="Q1009" s="13" t="str">
        <f>IF(Table2[[#This Row],[CurrentStock]]&gt;Table2[[#This Row],[ReorderLevel]]*3, "Overstock", "Okay")</f>
        <v>Overstock</v>
      </c>
    </row>
    <row r="1010" spans="1:17" x14ac:dyDescent="0.35">
      <c r="A1010">
        <v>10636</v>
      </c>
      <c r="B1010" t="s">
        <v>24</v>
      </c>
      <c r="C1010" t="s">
        <v>30</v>
      </c>
      <c r="D1010">
        <v>416</v>
      </c>
      <c r="E1010">
        <v>40</v>
      </c>
      <c r="F1010" s="2">
        <v>184.48</v>
      </c>
      <c r="G1010" t="s">
        <v>32</v>
      </c>
      <c r="H1010" s="1">
        <v>45521</v>
      </c>
      <c r="I1010" s="1">
        <v>45549</v>
      </c>
      <c r="J1010" t="s">
        <v>36</v>
      </c>
      <c r="K1010" s="8">
        <f>Table2[[#This Row],[CurrentStock]]*Table2[[#This Row],[UnitPrice]]</f>
        <v>76743.679999999993</v>
      </c>
      <c r="L1010" t="str">
        <f>IF(Table2[[#This Row],[CurrentStock]]&lt;=Table2[[#This Row],[ReorderLevel]], "Reorder Needed", "Okay")</f>
        <v>Okay</v>
      </c>
      <c r="M1010" t="str">
        <f>IF(Table2[[#This Row],[CurrentStock]]-Table2[[#This Row],[ReorderLevel]]&lt;0,Table2[[#This Row],[CurrentStock]]-Table2[[#This Row],[ReorderLevel]],"")</f>
        <v/>
      </c>
      <c r="N1010" t="str">
        <f>IF(Table2[[#This Row],[Stock Gap]]&lt;0, "Understock","Okay")</f>
        <v>Okay</v>
      </c>
      <c r="O1010" s="13" t="str">
        <f>IF(Table2[[#This Row],[Stock Gap]]&lt;0, "Yes", "No")</f>
        <v>No</v>
      </c>
      <c r="P1010" s="13" t="str">
        <f>IF(Table2[[#This Row],[CurrentStock]]&lt;Table2[[#This Row],[ReorderLevel]],"Reorder", "Okay")</f>
        <v>Okay</v>
      </c>
      <c r="Q1010" s="13" t="str">
        <f>IF(Table2[[#This Row],[CurrentStock]]&gt;Table2[[#This Row],[ReorderLevel]]*3, "Overstock", "Okay")</f>
        <v>Overstock</v>
      </c>
    </row>
    <row r="1011" spans="1:17" x14ac:dyDescent="0.35">
      <c r="A1011">
        <v>83309</v>
      </c>
      <c r="B1011" t="s">
        <v>11</v>
      </c>
      <c r="C1011" t="s">
        <v>27</v>
      </c>
      <c r="D1011">
        <v>203</v>
      </c>
      <c r="E1011">
        <v>20</v>
      </c>
      <c r="F1011" s="2">
        <v>305.81</v>
      </c>
      <c r="G1011" t="s">
        <v>31</v>
      </c>
      <c r="H1011" s="1">
        <v>45352</v>
      </c>
      <c r="I1011" s="1">
        <v>45371</v>
      </c>
      <c r="J1011" t="s">
        <v>37</v>
      </c>
      <c r="K1011" s="8">
        <f>Table2[[#This Row],[CurrentStock]]*Table2[[#This Row],[UnitPrice]]</f>
        <v>62079.43</v>
      </c>
      <c r="L1011" t="str">
        <f>IF(Table2[[#This Row],[CurrentStock]]&lt;=Table2[[#This Row],[ReorderLevel]], "Reorder Needed", "Okay")</f>
        <v>Okay</v>
      </c>
      <c r="M1011" t="str">
        <f>IF(Table2[[#This Row],[CurrentStock]]-Table2[[#This Row],[ReorderLevel]]&lt;0,Table2[[#This Row],[CurrentStock]]-Table2[[#This Row],[ReorderLevel]],"")</f>
        <v/>
      </c>
      <c r="N1011" t="str">
        <f>IF(Table2[[#This Row],[Stock Gap]]&lt;0, "Understock","Okay")</f>
        <v>Okay</v>
      </c>
      <c r="O1011" s="13" t="str">
        <f>IF(Table2[[#This Row],[Stock Gap]]&lt;0, "Yes", "No")</f>
        <v>No</v>
      </c>
      <c r="P1011" s="13" t="str">
        <f>IF(Table2[[#This Row],[CurrentStock]]&lt;Table2[[#This Row],[ReorderLevel]],"Reorder", "Okay")</f>
        <v>Okay</v>
      </c>
      <c r="Q1011" s="13" t="str">
        <f>IF(Table2[[#This Row],[CurrentStock]]&gt;Table2[[#This Row],[ReorderLevel]]*3, "Overstock", "Okay")</f>
        <v>Overstock</v>
      </c>
    </row>
    <row r="1012" spans="1:17" x14ac:dyDescent="0.35">
      <c r="A1012">
        <v>24367</v>
      </c>
      <c r="B1012" t="s">
        <v>23</v>
      </c>
      <c r="C1012" t="s">
        <v>30</v>
      </c>
      <c r="D1012">
        <v>185</v>
      </c>
      <c r="E1012">
        <v>150</v>
      </c>
      <c r="F1012" s="2">
        <v>98.62</v>
      </c>
      <c r="G1012" t="s">
        <v>34</v>
      </c>
      <c r="H1012" s="1">
        <v>45593</v>
      </c>
      <c r="I1012" s="1">
        <v>45628</v>
      </c>
      <c r="J1012" t="s">
        <v>37</v>
      </c>
      <c r="K1012" s="8">
        <f>Table2[[#This Row],[CurrentStock]]*Table2[[#This Row],[UnitPrice]]</f>
        <v>18244.7</v>
      </c>
      <c r="L1012" t="str">
        <f>IF(Table2[[#This Row],[CurrentStock]]&lt;=Table2[[#This Row],[ReorderLevel]], "Reorder Needed", "Okay")</f>
        <v>Okay</v>
      </c>
      <c r="M1012" t="str">
        <f>IF(Table2[[#This Row],[CurrentStock]]-Table2[[#This Row],[ReorderLevel]]&lt;0,Table2[[#This Row],[CurrentStock]]-Table2[[#This Row],[ReorderLevel]],"")</f>
        <v/>
      </c>
      <c r="N1012" t="str">
        <f>IF(Table2[[#This Row],[Stock Gap]]&lt;0, "Understock","Okay")</f>
        <v>Okay</v>
      </c>
      <c r="O1012" s="13" t="str">
        <f>IF(Table2[[#This Row],[Stock Gap]]&lt;0, "Yes", "No")</f>
        <v>No</v>
      </c>
      <c r="P1012" s="13" t="str">
        <f>IF(Table2[[#This Row],[CurrentStock]]&lt;Table2[[#This Row],[ReorderLevel]],"Reorder", "Okay")</f>
        <v>Okay</v>
      </c>
      <c r="Q1012" s="13" t="str">
        <f>IF(Table2[[#This Row],[CurrentStock]]&gt;Table2[[#This Row],[ReorderLevel]]*3, "Overstock", "Okay")</f>
        <v>Okay</v>
      </c>
    </row>
    <row r="1013" spans="1:17" x14ac:dyDescent="0.35">
      <c r="A1013">
        <v>99859</v>
      </c>
      <c r="B1013" t="s">
        <v>15</v>
      </c>
      <c r="C1013" t="s">
        <v>29</v>
      </c>
      <c r="D1013">
        <v>180</v>
      </c>
      <c r="E1013">
        <v>80</v>
      </c>
      <c r="F1013" s="2">
        <v>179.39</v>
      </c>
      <c r="G1013" t="s">
        <v>31</v>
      </c>
      <c r="H1013" s="1">
        <v>45371</v>
      </c>
      <c r="I1013" s="1">
        <v>45382</v>
      </c>
      <c r="J1013" t="s">
        <v>37</v>
      </c>
      <c r="K1013" s="8">
        <f>Table2[[#This Row],[CurrentStock]]*Table2[[#This Row],[UnitPrice]]</f>
        <v>32290.199999999997</v>
      </c>
      <c r="L1013" t="str">
        <f>IF(Table2[[#This Row],[CurrentStock]]&lt;=Table2[[#This Row],[ReorderLevel]], "Reorder Needed", "Okay")</f>
        <v>Okay</v>
      </c>
      <c r="M1013" t="str">
        <f>IF(Table2[[#This Row],[CurrentStock]]-Table2[[#This Row],[ReorderLevel]]&lt;0,Table2[[#This Row],[CurrentStock]]-Table2[[#This Row],[ReorderLevel]],"")</f>
        <v/>
      </c>
      <c r="N1013" t="str">
        <f>IF(Table2[[#This Row],[Stock Gap]]&lt;0, "Understock","Okay")</f>
        <v>Okay</v>
      </c>
      <c r="O1013" s="13" t="str">
        <f>IF(Table2[[#This Row],[Stock Gap]]&lt;0, "Yes", "No")</f>
        <v>No</v>
      </c>
      <c r="P1013" s="13" t="str">
        <f>IF(Table2[[#This Row],[CurrentStock]]&lt;Table2[[#This Row],[ReorderLevel]],"Reorder", "Okay")</f>
        <v>Okay</v>
      </c>
      <c r="Q1013" s="13" t="str">
        <f>IF(Table2[[#This Row],[CurrentStock]]&gt;Table2[[#This Row],[ReorderLevel]]*3, "Overstock", "Okay")</f>
        <v>Okay</v>
      </c>
    </row>
    <row r="1014" spans="1:17" x14ac:dyDescent="0.35">
      <c r="A1014">
        <v>22780</v>
      </c>
      <c r="B1014" t="s">
        <v>18</v>
      </c>
      <c r="C1014" t="s">
        <v>27</v>
      </c>
      <c r="D1014">
        <v>202</v>
      </c>
      <c r="E1014">
        <v>50</v>
      </c>
      <c r="F1014" s="2">
        <v>201.16</v>
      </c>
      <c r="G1014" t="s">
        <v>31</v>
      </c>
      <c r="H1014" s="1">
        <v>45601</v>
      </c>
      <c r="I1014" s="1">
        <v>45622</v>
      </c>
      <c r="J1014" t="s">
        <v>38</v>
      </c>
      <c r="K1014" s="8">
        <f>Table2[[#This Row],[CurrentStock]]*Table2[[#This Row],[UnitPrice]]</f>
        <v>40634.32</v>
      </c>
      <c r="L1014" t="str">
        <f>IF(Table2[[#This Row],[CurrentStock]]&lt;=Table2[[#This Row],[ReorderLevel]], "Reorder Needed", "Okay")</f>
        <v>Okay</v>
      </c>
      <c r="M1014" t="str">
        <f>IF(Table2[[#This Row],[CurrentStock]]-Table2[[#This Row],[ReorderLevel]]&lt;0,Table2[[#This Row],[CurrentStock]]-Table2[[#This Row],[ReorderLevel]],"")</f>
        <v/>
      </c>
      <c r="N1014" t="str">
        <f>IF(Table2[[#This Row],[Stock Gap]]&lt;0, "Understock","Okay")</f>
        <v>Okay</v>
      </c>
      <c r="O1014" s="13" t="str">
        <f>IF(Table2[[#This Row],[Stock Gap]]&lt;0, "Yes", "No")</f>
        <v>No</v>
      </c>
      <c r="P1014" s="13" t="str">
        <f>IF(Table2[[#This Row],[CurrentStock]]&lt;Table2[[#This Row],[ReorderLevel]],"Reorder", "Okay")</f>
        <v>Okay</v>
      </c>
      <c r="Q1014" s="13" t="str">
        <f>IF(Table2[[#This Row],[CurrentStock]]&gt;Table2[[#This Row],[ReorderLevel]]*3, "Overstock", "Okay")</f>
        <v>Overstock</v>
      </c>
    </row>
    <row r="1015" spans="1:17" x14ac:dyDescent="0.35">
      <c r="A1015">
        <v>36148</v>
      </c>
      <c r="B1015" t="s">
        <v>19</v>
      </c>
      <c r="C1015" t="s">
        <v>28</v>
      </c>
      <c r="D1015">
        <v>485</v>
      </c>
      <c r="E1015">
        <v>100</v>
      </c>
      <c r="F1015" s="2">
        <v>339.39</v>
      </c>
      <c r="G1015" t="s">
        <v>34</v>
      </c>
      <c r="H1015" s="1">
        <v>45406</v>
      </c>
      <c r="I1015" s="1">
        <v>45437</v>
      </c>
      <c r="J1015" t="s">
        <v>37</v>
      </c>
      <c r="K1015" s="8">
        <f>Table2[[#This Row],[CurrentStock]]*Table2[[#This Row],[UnitPrice]]</f>
        <v>164604.15</v>
      </c>
      <c r="L1015" t="str">
        <f>IF(Table2[[#This Row],[CurrentStock]]&lt;=Table2[[#This Row],[ReorderLevel]], "Reorder Needed", "Okay")</f>
        <v>Okay</v>
      </c>
      <c r="M1015" t="str">
        <f>IF(Table2[[#This Row],[CurrentStock]]-Table2[[#This Row],[ReorderLevel]]&lt;0,Table2[[#This Row],[CurrentStock]]-Table2[[#This Row],[ReorderLevel]],"")</f>
        <v/>
      </c>
      <c r="N1015" t="str">
        <f>IF(Table2[[#This Row],[Stock Gap]]&lt;0, "Understock","Okay")</f>
        <v>Okay</v>
      </c>
      <c r="O1015" s="13" t="str">
        <f>IF(Table2[[#This Row],[Stock Gap]]&lt;0, "Yes", "No")</f>
        <v>No</v>
      </c>
      <c r="P1015" s="13" t="str">
        <f>IF(Table2[[#This Row],[CurrentStock]]&lt;Table2[[#This Row],[ReorderLevel]],"Reorder", "Okay")</f>
        <v>Okay</v>
      </c>
      <c r="Q1015" s="13" t="str">
        <f>IF(Table2[[#This Row],[CurrentStock]]&gt;Table2[[#This Row],[ReorderLevel]]*3, "Overstock", "Okay")</f>
        <v>Overstock</v>
      </c>
    </row>
    <row r="1016" spans="1:17" x14ac:dyDescent="0.35">
      <c r="A1016">
        <v>30601</v>
      </c>
      <c r="B1016" t="s">
        <v>10</v>
      </c>
      <c r="C1016" t="s">
        <v>26</v>
      </c>
      <c r="D1016">
        <v>335</v>
      </c>
      <c r="E1016">
        <v>80</v>
      </c>
      <c r="F1016" s="2">
        <v>88.38</v>
      </c>
      <c r="G1016" t="s">
        <v>34</v>
      </c>
      <c r="H1016" s="1">
        <v>45519</v>
      </c>
      <c r="I1016" s="1">
        <v>45542</v>
      </c>
      <c r="J1016" t="s">
        <v>36</v>
      </c>
      <c r="K1016" s="8">
        <f>Table2[[#This Row],[CurrentStock]]*Table2[[#This Row],[UnitPrice]]</f>
        <v>29607.3</v>
      </c>
      <c r="L1016" t="str">
        <f>IF(Table2[[#This Row],[CurrentStock]]&lt;=Table2[[#This Row],[ReorderLevel]], "Reorder Needed", "Okay")</f>
        <v>Okay</v>
      </c>
      <c r="M1016" t="str">
        <f>IF(Table2[[#This Row],[CurrentStock]]-Table2[[#This Row],[ReorderLevel]]&lt;0,Table2[[#This Row],[CurrentStock]]-Table2[[#This Row],[ReorderLevel]],"")</f>
        <v/>
      </c>
      <c r="N1016" t="str">
        <f>IF(Table2[[#This Row],[Stock Gap]]&lt;0, "Understock","Okay")</f>
        <v>Okay</v>
      </c>
      <c r="O1016" s="13" t="str">
        <f>IF(Table2[[#This Row],[Stock Gap]]&lt;0, "Yes", "No")</f>
        <v>No</v>
      </c>
      <c r="P1016" s="13" t="str">
        <f>IF(Table2[[#This Row],[CurrentStock]]&lt;Table2[[#This Row],[ReorderLevel]],"Reorder", "Okay")</f>
        <v>Okay</v>
      </c>
      <c r="Q1016" s="13" t="str">
        <f>IF(Table2[[#This Row],[CurrentStock]]&gt;Table2[[#This Row],[ReorderLevel]]*3, "Overstock", "Okay")</f>
        <v>Overstock</v>
      </c>
    </row>
    <row r="1017" spans="1:17" x14ac:dyDescent="0.35">
      <c r="A1017">
        <v>79035</v>
      </c>
      <c r="B1017" t="s">
        <v>20</v>
      </c>
      <c r="C1017" t="s">
        <v>30</v>
      </c>
      <c r="D1017">
        <v>374</v>
      </c>
      <c r="E1017">
        <v>30</v>
      </c>
      <c r="F1017" s="2">
        <v>120.93</v>
      </c>
      <c r="G1017" t="s">
        <v>33</v>
      </c>
      <c r="H1017" s="1">
        <v>45447</v>
      </c>
      <c r="I1017" s="1">
        <v>45452</v>
      </c>
      <c r="J1017" t="s">
        <v>37</v>
      </c>
      <c r="K1017" s="8">
        <f>Table2[[#This Row],[CurrentStock]]*Table2[[#This Row],[UnitPrice]]</f>
        <v>45227.82</v>
      </c>
      <c r="L1017" t="str">
        <f>IF(Table2[[#This Row],[CurrentStock]]&lt;=Table2[[#This Row],[ReorderLevel]], "Reorder Needed", "Okay")</f>
        <v>Okay</v>
      </c>
      <c r="M1017" t="str">
        <f>IF(Table2[[#This Row],[CurrentStock]]-Table2[[#This Row],[ReorderLevel]]&lt;0,Table2[[#This Row],[CurrentStock]]-Table2[[#This Row],[ReorderLevel]],"")</f>
        <v/>
      </c>
      <c r="N1017" t="str">
        <f>IF(Table2[[#This Row],[Stock Gap]]&lt;0, "Understock","Okay")</f>
        <v>Okay</v>
      </c>
      <c r="O1017" s="13" t="str">
        <f>IF(Table2[[#This Row],[Stock Gap]]&lt;0, "Yes", "No")</f>
        <v>No</v>
      </c>
      <c r="P1017" s="13" t="str">
        <f>IF(Table2[[#This Row],[CurrentStock]]&lt;Table2[[#This Row],[ReorderLevel]],"Reorder", "Okay")</f>
        <v>Okay</v>
      </c>
      <c r="Q1017" s="13" t="str">
        <f>IF(Table2[[#This Row],[CurrentStock]]&gt;Table2[[#This Row],[ReorderLevel]]*3, "Overstock", "Okay")</f>
        <v>Overstock</v>
      </c>
    </row>
    <row r="1018" spans="1:17" x14ac:dyDescent="0.35">
      <c r="A1018">
        <v>88287</v>
      </c>
      <c r="B1018" t="s">
        <v>22</v>
      </c>
      <c r="C1018" t="s">
        <v>29</v>
      </c>
      <c r="D1018">
        <v>400</v>
      </c>
      <c r="E1018">
        <v>100</v>
      </c>
      <c r="F1018" s="2">
        <v>81.3</v>
      </c>
      <c r="G1018" t="s">
        <v>31</v>
      </c>
      <c r="H1018" s="1">
        <v>45428</v>
      </c>
      <c r="I1018" s="1">
        <v>45445</v>
      </c>
      <c r="J1018" t="s">
        <v>38</v>
      </c>
      <c r="K1018" s="8">
        <f>Table2[[#This Row],[CurrentStock]]*Table2[[#This Row],[UnitPrice]]</f>
        <v>32520</v>
      </c>
      <c r="L1018" t="str">
        <f>IF(Table2[[#This Row],[CurrentStock]]&lt;=Table2[[#This Row],[ReorderLevel]], "Reorder Needed", "Okay")</f>
        <v>Okay</v>
      </c>
      <c r="M1018" t="str">
        <f>IF(Table2[[#This Row],[CurrentStock]]-Table2[[#This Row],[ReorderLevel]]&lt;0,Table2[[#This Row],[CurrentStock]]-Table2[[#This Row],[ReorderLevel]],"")</f>
        <v/>
      </c>
      <c r="N1018" t="str">
        <f>IF(Table2[[#This Row],[Stock Gap]]&lt;0, "Understock","Okay")</f>
        <v>Okay</v>
      </c>
      <c r="O1018" s="13" t="str">
        <f>IF(Table2[[#This Row],[Stock Gap]]&lt;0, "Yes", "No")</f>
        <v>No</v>
      </c>
      <c r="P1018" s="13" t="str">
        <f>IF(Table2[[#This Row],[CurrentStock]]&lt;Table2[[#This Row],[ReorderLevel]],"Reorder", "Okay")</f>
        <v>Okay</v>
      </c>
      <c r="Q1018" s="13" t="str">
        <f>IF(Table2[[#This Row],[CurrentStock]]&gt;Table2[[#This Row],[ReorderLevel]]*3, "Overstock", "Okay")</f>
        <v>Overstock</v>
      </c>
    </row>
    <row r="1019" spans="1:17" x14ac:dyDescent="0.35">
      <c r="A1019">
        <v>30125</v>
      </c>
      <c r="B1019" t="s">
        <v>24</v>
      </c>
      <c r="C1019" t="s">
        <v>30</v>
      </c>
      <c r="D1019">
        <v>125</v>
      </c>
      <c r="E1019">
        <v>30</v>
      </c>
      <c r="F1019" s="2">
        <v>152.68</v>
      </c>
      <c r="G1019" t="s">
        <v>33</v>
      </c>
      <c r="H1019" s="1">
        <v>45628</v>
      </c>
      <c r="I1019" s="1">
        <v>45656</v>
      </c>
      <c r="J1019" t="s">
        <v>36</v>
      </c>
      <c r="K1019" s="8">
        <f>Table2[[#This Row],[CurrentStock]]*Table2[[#This Row],[UnitPrice]]</f>
        <v>19085</v>
      </c>
      <c r="L1019" t="str">
        <f>IF(Table2[[#This Row],[CurrentStock]]&lt;=Table2[[#This Row],[ReorderLevel]], "Reorder Needed", "Okay")</f>
        <v>Okay</v>
      </c>
      <c r="M1019" t="str">
        <f>IF(Table2[[#This Row],[CurrentStock]]-Table2[[#This Row],[ReorderLevel]]&lt;0,Table2[[#This Row],[CurrentStock]]-Table2[[#This Row],[ReorderLevel]],"")</f>
        <v/>
      </c>
      <c r="N1019" t="str">
        <f>IF(Table2[[#This Row],[Stock Gap]]&lt;0, "Understock","Okay")</f>
        <v>Okay</v>
      </c>
      <c r="O1019" s="13" t="str">
        <f>IF(Table2[[#This Row],[Stock Gap]]&lt;0, "Yes", "No")</f>
        <v>No</v>
      </c>
      <c r="P1019" s="13" t="str">
        <f>IF(Table2[[#This Row],[CurrentStock]]&lt;Table2[[#This Row],[ReorderLevel]],"Reorder", "Okay")</f>
        <v>Okay</v>
      </c>
      <c r="Q1019" s="13" t="str">
        <f>IF(Table2[[#This Row],[CurrentStock]]&gt;Table2[[#This Row],[ReorderLevel]]*3, "Overstock", "Okay")</f>
        <v>Overstock</v>
      </c>
    </row>
    <row r="1020" spans="1:17" x14ac:dyDescent="0.35">
      <c r="A1020">
        <v>48737</v>
      </c>
      <c r="B1020" t="s">
        <v>12</v>
      </c>
      <c r="C1020" t="s">
        <v>28</v>
      </c>
      <c r="D1020">
        <v>392</v>
      </c>
      <c r="E1020">
        <v>40</v>
      </c>
      <c r="F1020" s="2">
        <v>218.34</v>
      </c>
      <c r="G1020" t="s">
        <v>35</v>
      </c>
      <c r="H1020" s="1">
        <v>45395</v>
      </c>
      <c r="I1020" s="1">
        <v>45421</v>
      </c>
      <c r="J1020" t="s">
        <v>37</v>
      </c>
      <c r="K1020" s="8">
        <f>Table2[[#This Row],[CurrentStock]]*Table2[[#This Row],[UnitPrice]]</f>
        <v>85589.28</v>
      </c>
      <c r="L1020" t="str">
        <f>IF(Table2[[#This Row],[CurrentStock]]&lt;=Table2[[#This Row],[ReorderLevel]], "Reorder Needed", "Okay")</f>
        <v>Okay</v>
      </c>
      <c r="M1020" t="str">
        <f>IF(Table2[[#This Row],[CurrentStock]]-Table2[[#This Row],[ReorderLevel]]&lt;0,Table2[[#This Row],[CurrentStock]]-Table2[[#This Row],[ReorderLevel]],"")</f>
        <v/>
      </c>
      <c r="N1020" t="str">
        <f>IF(Table2[[#This Row],[Stock Gap]]&lt;0, "Understock","Okay")</f>
        <v>Okay</v>
      </c>
      <c r="O1020" s="13" t="str">
        <f>IF(Table2[[#This Row],[Stock Gap]]&lt;0, "Yes", "No")</f>
        <v>No</v>
      </c>
      <c r="P1020" s="13" t="str">
        <f>IF(Table2[[#This Row],[CurrentStock]]&lt;Table2[[#This Row],[ReorderLevel]],"Reorder", "Okay")</f>
        <v>Okay</v>
      </c>
      <c r="Q1020" s="13" t="str">
        <f>IF(Table2[[#This Row],[CurrentStock]]&gt;Table2[[#This Row],[ReorderLevel]]*3, "Overstock", "Okay")</f>
        <v>Overstock</v>
      </c>
    </row>
    <row r="1021" spans="1:17" x14ac:dyDescent="0.35">
      <c r="A1021">
        <v>27824</v>
      </c>
      <c r="B1021" t="s">
        <v>20</v>
      </c>
      <c r="C1021" t="s">
        <v>30</v>
      </c>
      <c r="D1021">
        <v>241</v>
      </c>
      <c r="E1021">
        <v>40</v>
      </c>
      <c r="F1021" s="2">
        <v>145.03</v>
      </c>
      <c r="G1021" t="s">
        <v>35</v>
      </c>
      <c r="H1021" s="1">
        <v>45371</v>
      </c>
      <c r="I1021" s="1">
        <v>45386</v>
      </c>
      <c r="J1021" t="s">
        <v>38</v>
      </c>
      <c r="K1021" s="8">
        <f>Table2[[#This Row],[CurrentStock]]*Table2[[#This Row],[UnitPrice]]</f>
        <v>34952.230000000003</v>
      </c>
      <c r="L1021" t="str">
        <f>IF(Table2[[#This Row],[CurrentStock]]&lt;=Table2[[#This Row],[ReorderLevel]], "Reorder Needed", "Okay")</f>
        <v>Okay</v>
      </c>
      <c r="M1021" t="str">
        <f>IF(Table2[[#This Row],[CurrentStock]]-Table2[[#This Row],[ReorderLevel]]&lt;0,Table2[[#This Row],[CurrentStock]]-Table2[[#This Row],[ReorderLevel]],"")</f>
        <v/>
      </c>
      <c r="N1021" t="str">
        <f>IF(Table2[[#This Row],[Stock Gap]]&lt;0, "Understock","Okay")</f>
        <v>Okay</v>
      </c>
      <c r="O1021" s="13" t="str">
        <f>IF(Table2[[#This Row],[Stock Gap]]&lt;0, "Yes", "No")</f>
        <v>No</v>
      </c>
      <c r="P1021" s="13" t="str">
        <f>IF(Table2[[#This Row],[CurrentStock]]&lt;Table2[[#This Row],[ReorderLevel]],"Reorder", "Okay")</f>
        <v>Okay</v>
      </c>
      <c r="Q1021" s="13" t="str">
        <f>IF(Table2[[#This Row],[CurrentStock]]&gt;Table2[[#This Row],[ReorderLevel]]*3, "Overstock", "Okay")</f>
        <v>Overstock</v>
      </c>
    </row>
    <row r="1022" spans="1:17" x14ac:dyDescent="0.35">
      <c r="A1022">
        <v>89409</v>
      </c>
      <c r="B1022" t="s">
        <v>9</v>
      </c>
      <c r="C1022" t="s">
        <v>26</v>
      </c>
      <c r="D1022">
        <v>106</v>
      </c>
      <c r="E1022">
        <v>40</v>
      </c>
      <c r="F1022" s="2">
        <v>68.650000000000006</v>
      </c>
      <c r="G1022" t="s">
        <v>34</v>
      </c>
      <c r="H1022" s="1">
        <v>45425</v>
      </c>
      <c r="I1022" s="1">
        <v>45438</v>
      </c>
      <c r="J1022" t="s">
        <v>37</v>
      </c>
      <c r="K1022" s="8">
        <f>Table2[[#This Row],[CurrentStock]]*Table2[[#This Row],[UnitPrice]]</f>
        <v>7276.9000000000005</v>
      </c>
      <c r="L1022" t="str">
        <f>IF(Table2[[#This Row],[CurrentStock]]&lt;=Table2[[#This Row],[ReorderLevel]], "Reorder Needed", "Okay")</f>
        <v>Okay</v>
      </c>
      <c r="M1022" t="str">
        <f>IF(Table2[[#This Row],[CurrentStock]]-Table2[[#This Row],[ReorderLevel]]&lt;0,Table2[[#This Row],[CurrentStock]]-Table2[[#This Row],[ReorderLevel]],"")</f>
        <v/>
      </c>
      <c r="N1022" t="str">
        <f>IF(Table2[[#This Row],[Stock Gap]]&lt;0, "Understock","Okay")</f>
        <v>Okay</v>
      </c>
      <c r="O1022" s="13" t="str">
        <f>IF(Table2[[#This Row],[Stock Gap]]&lt;0, "Yes", "No")</f>
        <v>No</v>
      </c>
      <c r="P1022" s="13" t="str">
        <f>IF(Table2[[#This Row],[CurrentStock]]&lt;Table2[[#This Row],[ReorderLevel]],"Reorder", "Okay")</f>
        <v>Okay</v>
      </c>
      <c r="Q1022" s="13" t="str">
        <f>IF(Table2[[#This Row],[CurrentStock]]&gt;Table2[[#This Row],[ReorderLevel]]*3, "Overstock", "Okay")</f>
        <v>Okay</v>
      </c>
    </row>
    <row r="1023" spans="1:17" x14ac:dyDescent="0.35">
      <c r="A1023">
        <v>14311</v>
      </c>
      <c r="B1023" t="s">
        <v>21</v>
      </c>
      <c r="C1023" t="s">
        <v>26</v>
      </c>
      <c r="D1023">
        <v>53</v>
      </c>
      <c r="E1023">
        <v>100</v>
      </c>
      <c r="F1023" s="2">
        <v>254.69</v>
      </c>
      <c r="G1023" t="s">
        <v>34</v>
      </c>
      <c r="H1023" s="1">
        <v>45526</v>
      </c>
      <c r="I1023" s="1">
        <v>45533</v>
      </c>
      <c r="J1023" t="s">
        <v>36</v>
      </c>
      <c r="K1023" s="8">
        <f>Table2[[#This Row],[CurrentStock]]*Table2[[#This Row],[UnitPrice]]</f>
        <v>13498.57</v>
      </c>
      <c r="L1023" t="str">
        <f>IF(Table2[[#This Row],[CurrentStock]]&lt;=Table2[[#This Row],[ReorderLevel]], "Reorder Needed", "Okay")</f>
        <v>Reorder Needed</v>
      </c>
      <c r="M1023" s="7">
        <f>IF(Table2[[#This Row],[CurrentStock]]-Table2[[#This Row],[ReorderLevel]]&lt;0,Table2[[#This Row],[CurrentStock]]-Table2[[#This Row],[ReorderLevel]],"")</f>
        <v>-47</v>
      </c>
      <c r="N1023" t="str">
        <f>IF(Table2[[#This Row],[Stock Gap]]&lt;0, "Understock","Okay")</f>
        <v>Understock</v>
      </c>
      <c r="O1023" s="13" t="str">
        <f>IF(Table2[[#This Row],[Stock Gap]]&lt;0, "Yes", "No")</f>
        <v>Yes</v>
      </c>
      <c r="P1023" s="13" t="str">
        <f>IF(Table2[[#This Row],[CurrentStock]]&lt;Table2[[#This Row],[ReorderLevel]],"Reorder", "Okay")</f>
        <v>Reorder</v>
      </c>
      <c r="Q1023" s="13" t="str">
        <f>IF(Table2[[#This Row],[CurrentStock]]&gt;Table2[[#This Row],[ReorderLevel]]*3, "Overstock", "Okay")</f>
        <v>Okay</v>
      </c>
    </row>
    <row r="1024" spans="1:17" x14ac:dyDescent="0.35">
      <c r="A1024">
        <v>19386</v>
      </c>
      <c r="B1024" t="s">
        <v>24</v>
      </c>
      <c r="C1024" t="s">
        <v>30</v>
      </c>
      <c r="D1024">
        <v>44</v>
      </c>
      <c r="E1024">
        <v>50</v>
      </c>
      <c r="F1024" s="2">
        <v>260.49</v>
      </c>
      <c r="G1024" t="s">
        <v>33</v>
      </c>
      <c r="H1024" s="1">
        <v>45312</v>
      </c>
      <c r="I1024" s="1">
        <v>45334</v>
      </c>
      <c r="J1024" t="s">
        <v>37</v>
      </c>
      <c r="K1024" s="8">
        <f>Table2[[#This Row],[CurrentStock]]*Table2[[#This Row],[UnitPrice]]</f>
        <v>11461.560000000001</v>
      </c>
      <c r="L1024" t="str">
        <f>IF(Table2[[#This Row],[CurrentStock]]&lt;=Table2[[#This Row],[ReorderLevel]], "Reorder Needed", "Okay")</f>
        <v>Reorder Needed</v>
      </c>
      <c r="M1024" s="7">
        <f>IF(Table2[[#This Row],[CurrentStock]]-Table2[[#This Row],[ReorderLevel]]&lt;0,Table2[[#This Row],[CurrentStock]]-Table2[[#This Row],[ReorderLevel]],"")</f>
        <v>-6</v>
      </c>
      <c r="N1024" t="str">
        <f>IF(Table2[[#This Row],[Stock Gap]]&lt;0, "Understock","Okay")</f>
        <v>Understock</v>
      </c>
      <c r="O1024" s="13" t="str">
        <f>IF(Table2[[#This Row],[Stock Gap]]&lt;0, "Yes", "No")</f>
        <v>Yes</v>
      </c>
      <c r="P1024" s="13" t="str">
        <f>IF(Table2[[#This Row],[CurrentStock]]&lt;Table2[[#This Row],[ReorderLevel]],"Reorder", "Okay")</f>
        <v>Reorder</v>
      </c>
      <c r="Q1024" s="13" t="str">
        <f>IF(Table2[[#This Row],[CurrentStock]]&gt;Table2[[#This Row],[ReorderLevel]]*3, "Overstock", "Okay")</f>
        <v>Okay</v>
      </c>
    </row>
    <row r="1025" spans="1:17" x14ac:dyDescent="0.35">
      <c r="A1025">
        <v>24260</v>
      </c>
      <c r="B1025" t="s">
        <v>25</v>
      </c>
      <c r="C1025" t="s">
        <v>29</v>
      </c>
      <c r="D1025">
        <v>299</v>
      </c>
      <c r="E1025">
        <v>30</v>
      </c>
      <c r="F1025" s="2">
        <v>310.05</v>
      </c>
      <c r="G1025" t="s">
        <v>33</v>
      </c>
      <c r="H1025" s="1">
        <v>45616</v>
      </c>
      <c r="I1025" s="1">
        <v>45624</v>
      </c>
      <c r="J1025" t="s">
        <v>37</v>
      </c>
      <c r="K1025" s="8">
        <f>Table2[[#This Row],[CurrentStock]]*Table2[[#This Row],[UnitPrice]]</f>
        <v>92704.95</v>
      </c>
      <c r="L1025" t="str">
        <f>IF(Table2[[#This Row],[CurrentStock]]&lt;=Table2[[#This Row],[ReorderLevel]], "Reorder Needed", "Okay")</f>
        <v>Okay</v>
      </c>
      <c r="M1025" t="str">
        <f>IF(Table2[[#This Row],[CurrentStock]]-Table2[[#This Row],[ReorderLevel]]&lt;0,Table2[[#This Row],[CurrentStock]]-Table2[[#This Row],[ReorderLevel]],"")</f>
        <v/>
      </c>
      <c r="N1025" t="str">
        <f>IF(Table2[[#This Row],[Stock Gap]]&lt;0, "Understock","Okay")</f>
        <v>Okay</v>
      </c>
      <c r="O1025" s="13" t="str">
        <f>IF(Table2[[#This Row],[Stock Gap]]&lt;0, "Yes", "No")</f>
        <v>No</v>
      </c>
      <c r="P1025" s="13" t="str">
        <f>IF(Table2[[#This Row],[CurrentStock]]&lt;Table2[[#This Row],[ReorderLevel]],"Reorder", "Okay")</f>
        <v>Okay</v>
      </c>
      <c r="Q1025" s="13" t="str">
        <f>IF(Table2[[#This Row],[CurrentStock]]&gt;Table2[[#This Row],[ReorderLevel]]*3, "Overstock", "Okay")</f>
        <v>Overstock</v>
      </c>
    </row>
    <row r="1026" spans="1:17" x14ac:dyDescent="0.35">
      <c r="A1026">
        <v>12176</v>
      </c>
      <c r="B1026" t="s">
        <v>16</v>
      </c>
      <c r="C1026" t="s">
        <v>29</v>
      </c>
      <c r="D1026">
        <v>78</v>
      </c>
      <c r="E1026">
        <v>20</v>
      </c>
      <c r="F1026" s="2">
        <v>368.44</v>
      </c>
      <c r="G1026" t="s">
        <v>31</v>
      </c>
      <c r="H1026" s="1">
        <v>45365</v>
      </c>
      <c r="I1026" s="1">
        <v>45392</v>
      </c>
      <c r="J1026" t="s">
        <v>36</v>
      </c>
      <c r="K1026" s="8">
        <f>Table2[[#This Row],[CurrentStock]]*Table2[[#This Row],[UnitPrice]]</f>
        <v>28738.32</v>
      </c>
      <c r="L1026" t="str">
        <f>IF(Table2[[#This Row],[CurrentStock]]&lt;=Table2[[#This Row],[ReorderLevel]], "Reorder Needed", "Okay")</f>
        <v>Okay</v>
      </c>
      <c r="M1026" t="str">
        <f>IF(Table2[[#This Row],[CurrentStock]]-Table2[[#This Row],[ReorderLevel]]&lt;0,Table2[[#This Row],[CurrentStock]]-Table2[[#This Row],[ReorderLevel]],"")</f>
        <v/>
      </c>
      <c r="N1026" t="str">
        <f>IF(Table2[[#This Row],[Stock Gap]]&lt;0, "Understock","Okay")</f>
        <v>Okay</v>
      </c>
      <c r="O1026" s="13" t="str">
        <f>IF(Table2[[#This Row],[Stock Gap]]&lt;0, "Yes", "No")</f>
        <v>No</v>
      </c>
      <c r="P1026" s="13" t="str">
        <f>IF(Table2[[#This Row],[CurrentStock]]&lt;Table2[[#This Row],[ReorderLevel]],"Reorder", "Okay")</f>
        <v>Okay</v>
      </c>
      <c r="Q1026" s="13" t="str">
        <f>IF(Table2[[#This Row],[CurrentStock]]&gt;Table2[[#This Row],[ReorderLevel]]*3, "Overstock", "Okay")</f>
        <v>Overstock</v>
      </c>
    </row>
    <row r="1027" spans="1:17" x14ac:dyDescent="0.35">
      <c r="A1027">
        <v>59752</v>
      </c>
      <c r="B1027" t="s">
        <v>24</v>
      </c>
      <c r="C1027" t="s">
        <v>30</v>
      </c>
      <c r="D1027">
        <v>58</v>
      </c>
      <c r="E1027">
        <v>50</v>
      </c>
      <c r="F1027" s="2">
        <v>422.26</v>
      </c>
      <c r="G1027" t="s">
        <v>34</v>
      </c>
      <c r="H1027" s="1">
        <v>45358</v>
      </c>
      <c r="I1027" s="1">
        <v>45381</v>
      </c>
      <c r="J1027" t="s">
        <v>36</v>
      </c>
      <c r="K1027" s="8">
        <f>Table2[[#This Row],[CurrentStock]]*Table2[[#This Row],[UnitPrice]]</f>
        <v>24491.079999999998</v>
      </c>
      <c r="L1027" t="str">
        <f>IF(Table2[[#This Row],[CurrentStock]]&lt;=Table2[[#This Row],[ReorderLevel]], "Reorder Needed", "Okay")</f>
        <v>Okay</v>
      </c>
      <c r="M1027" t="str">
        <f>IF(Table2[[#This Row],[CurrentStock]]-Table2[[#This Row],[ReorderLevel]]&lt;0,Table2[[#This Row],[CurrentStock]]-Table2[[#This Row],[ReorderLevel]],"")</f>
        <v/>
      </c>
      <c r="N1027" t="str">
        <f>IF(Table2[[#This Row],[Stock Gap]]&lt;0, "Understock","Okay")</f>
        <v>Okay</v>
      </c>
      <c r="O1027" s="13" t="str">
        <f>IF(Table2[[#This Row],[Stock Gap]]&lt;0, "Yes", "No")</f>
        <v>No</v>
      </c>
      <c r="P1027" s="13" t="str">
        <f>IF(Table2[[#This Row],[CurrentStock]]&lt;Table2[[#This Row],[ReorderLevel]],"Reorder", "Okay")</f>
        <v>Okay</v>
      </c>
      <c r="Q1027" s="13" t="str">
        <f>IF(Table2[[#This Row],[CurrentStock]]&gt;Table2[[#This Row],[ReorderLevel]]*3, "Overstock", "Okay")</f>
        <v>Okay</v>
      </c>
    </row>
    <row r="1028" spans="1:17" x14ac:dyDescent="0.35">
      <c r="A1028">
        <v>14482</v>
      </c>
      <c r="B1028" t="s">
        <v>22</v>
      </c>
      <c r="C1028" t="s">
        <v>29</v>
      </c>
      <c r="D1028">
        <v>345</v>
      </c>
      <c r="E1028">
        <v>50</v>
      </c>
      <c r="F1028" s="2">
        <v>228.1</v>
      </c>
      <c r="G1028" t="s">
        <v>35</v>
      </c>
      <c r="H1028" s="1">
        <v>45510</v>
      </c>
      <c r="I1028" s="1">
        <v>45547</v>
      </c>
      <c r="J1028" t="s">
        <v>36</v>
      </c>
      <c r="K1028" s="8">
        <f>Table2[[#This Row],[CurrentStock]]*Table2[[#This Row],[UnitPrice]]</f>
        <v>78694.5</v>
      </c>
      <c r="L1028" t="str">
        <f>IF(Table2[[#This Row],[CurrentStock]]&lt;=Table2[[#This Row],[ReorderLevel]], "Reorder Needed", "Okay")</f>
        <v>Okay</v>
      </c>
      <c r="M1028" t="str">
        <f>IF(Table2[[#This Row],[CurrentStock]]-Table2[[#This Row],[ReorderLevel]]&lt;0,Table2[[#This Row],[CurrentStock]]-Table2[[#This Row],[ReorderLevel]],"")</f>
        <v/>
      </c>
      <c r="N1028" t="str">
        <f>IF(Table2[[#This Row],[Stock Gap]]&lt;0, "Understock","Okay")</f>
        <v>Okay</v>
      </c>
      <c r="O1028" s="13" t="str">
        <f>IF(Table2[[#This Row],[Stock Gap]]&lt;0, "Yes", "No")</f>
        <v>No</v>
      </c>
      <c r="P1028" s="13" t="str">
        <f>IF(Table2[[#This Row],[CurrentStock]]&lt;Table2[[#This Row],[ReorderLevel]],"Reorder", "Okay")</f>
        <v>Okay</v>
      </c>
      <c r="Q1028" s="13" t="str">
        <f>IF(Table2[[#This Row],[CurrentStock]]&gt;Table2[[#This Row],[ReorderLevel]]*3, "Overstock", "Okay")</f>
        <v>Overstock</v>
      </c>
    </row>
    <row r="1029" spans="1:17" x14ac:dyDescent="0.35">
      <c r="A1029">
        <v>32821</v>
      </c>
      <c r="B1029" t="s">
        <v>9</v>
      </c>
      <c r="C1029" t="s">
        <v>26</v>
      </c>
      <c r="D1029">
        <v>228</v>
      </c>
      <c r="E1029">
        <v>40</v>
      </c>
      <c r="F1029" s="2">
        <v>101.58</v>
      </c>
      <c r="G1029" t="s">
        <v>31</v>
      </c>
      <c r="H1029" s="1">
        <v>45573</v>
      </c>
      <c r="I1029" s="1">
        <v>45612</v>
      </c>
      <c r="J1029" t="s">
        <v>36</v>
      </c>
      <c r="K1029" s="8">
        <f>Table2[[#This Row],[CurrentStock]]*Table2[[#This Row],[UnitPrice]]</f>
        <v>23160.239999999998</v>
      </c>
      <c r="L1029" t="str">
        <f>IF(Table2[[#This Row],[CurrentStock]]&lt;=Table2[[#This Row],[ReorderLevel]], "Reorder Needed", "Okay")</f>
        <v>Okay</v>
      </c>
      <c r="M1029" t="str">
        <f>IF(Table2[[#This Row],[CurrentStock]]-Table2[[#This Row],[ReorderLevel]]&lt;0,Table2[[#This Row],[CurrentStock]]-Table2[[#This Row],[ReorderLevel]],"")</f>
        <v/>
      </c>
      <c r="N1029" t="str">
        <f>IF(Table2[[#This Row],[Stock Gap]]&lt;0, "Understock","Okay")</f>
        <v>Okay</v>
      </c>
      <c r="O1029" s="13" t="str">
        <f>IF(Table2[[#This Row],[Stock Gap]]&lt;0, "Yes", "No")</f>
        <v>No</v>
      </c>
      <c r="P1029" s="13" t="str">
        <f>IF(Table2[[#This Row],[CurrentStock]]&lt;Table2[[#This Row],[ReorderLevel]],"Reorder", "Okay")</f>
        <v>Okay</v>
      </c>
      <c r="Q1029" s="13" t="str">
        <f>IF(Table2[[#This Row],[CurrentStock]]&gt;Table2[[#This Row],[ReorderLevel]]*3, "Overstock", "Okay")</f>
        <v>Overstock</v>
      </c>
    </row>
    <row r="1030" spans="1:17" x14ac:dyDescent="0.35">
      <c r="A1030">
        <v>95677</v>
      </c>
      <c r="B1030" t="s">
        <v>15</v>
      </c>
      <c r="C1030" t="s">
        <v>29</v>
      </c>
      <c r="D1030">
        <v>246</v>
      </c>
      <c r="E1030">
        <v>50</v>
      </c>
      <c r="F1030" s="2">
        <v>491.95</v>
      </c>
      <c r="G1030" t="s">
        <v>34</v>
      </c>
      <c r="H1030" s="1">
        <v>45535</v>
      </c>
      <c r="I1030" s="1">
        <v>45558</v>
      </c>
      <c r="J1030" t="s">
        <v>38</v>
      </c>
      <c r="K1030" s="8">
        <f>Table2[[#This Row],[CurrentStock]]*Table2[[#This Row],[UnitPrice]]</f>
        <v>121019.7</v>
      </c>
      <c r="L1030" t="str">
        <f>IF(Table2[[#This Row],[CurrentStock]]&lt;=Table2[[#This Row],[ReorderLevel]], "Reorder Needed", "Okay")</f>
        <v>Okay</v>
      </c>
      <c r="M1030" t="str">
        <f>IF(Table2[[#This Row],[CurrentStock]]-Table2[[#This Row],[ReorderLevel]]&lt;0,Table2[[#This Row],[CurrentStock]]-Table2[[#This Row],[ReorderLevel]],"")</f>
        <v/>
      </c>
      <c r="N1030" t="str">
        <f>IF(Table2[[#This Row],[Stock Gap]]&lt;0, "Understock","Okay")</f>
        <v>Okay</v>
      </c>
      <c r="O1030" s="13" t="str">
        <f>IF(Table2[[#This Row],[Stock Gap]]&lt;0, "Yes", "No")</f>
        <v>No</v>
      </c>
      <c r="P1030" s="13" t="str">
        <f>IF(Table2[[#This Row],[CurrentStock]]&lt;Table2[[#This Row],[ReorderLevel]],"Reorder", "Okay")</f>
        <v>Okay</v>
      </c>
      <c r="Q1030" s="13" t="str">
        <f>IF(Table2[[#This Row],[CurrentStock]]&gt;Table2[[#This Row],[ReorderLevel]]*3, "Overstock", "Okay")</f>
        <v>Overstock</v>
      </c>
    </row>
    <row r="1031" spans="1:17" x14ac:dyDescent="0.35">
      <c r="A1031">
        <v>39669</v>
      </c>
      <c r="B1031" t="s">
        <v>17</v>
      </c>
      <c r="C1031" t="s">
        <v>27</v>
      </c>
      <c r="D1031">
        <v>378</v>
      </c>
      <c r="E1031">
        <v>100</v>
      </c>
      <c r="F1031" s="2">
        <v>451.22</v>
      </c>
      <c r="G1031" t="s">
        <v>34</v>
      </c>
      <c r="H1031" s="1">
        <v>45644</v>
      </c>
      <c r="I1031" s="1">
        <v>45661</v>
      </c>
      <c r="J1031" t="s">
        <v>37</v>
      </c>
      <c r="K1031" s="8">
        <f>Table2[[#This Row],[CurrentStock]]*Table2[[#This Row],[UnitPrice]]</f>
        <v>170561.16</v>
      </c>
      <c r="L1031" t="str">
        <f>IF(Table2[[#This Row],[CurrentStock]]&lt;=Table2[[#This Row],[ReorderLevel]], "Reorder Needed", "Okay")</f>
        <v>Okay</v>
      </c>
      <c r="M1031" t="str">
        <f>IF(Table2[[#This Row],[CurrentStock]]-Table2[[#This Row],[ReorderLevel]]&lt;0,Table2[[#This Row],[CurrentStock]]-Table2[[#This Row],[ReorderLevel]],"")</f>
        <v/>
      </c>
      <c r="N1031" t="str">
        <f>IF(Table2[[#This Row],[Stock Gap]]&lt;0, "Understock","Okay")</f>
        <v>Okay</v>
      </c>
      <c r="O1031" s="13" t="str">
        <f>IF(Table2[[#This Row],[Stock Gap]]&lt;0, "Yes", "No")</f>
        <v>No</v>
      </c>
      <c r="P1031" s="13" t="str">
        <f>IF(Table2[[#This Row],[CurrentStock]]&lt;Table2[[#This Row],[ReorderLevel]],"Reorder", "Okay")</f>
        <v>Okay</v>
      </c>
      <c r="Q1031" s="13" t="str">
        <f>IF(Table2[[#This Row],[CurrentStock]]&gt;Table2[[#This Row],[ReorderLevel]]*3, "Overstock", "Okay")</f>
        <v>Overstock</v>
      </c>
    </row>
    <row r="1032" spans="1:17" x14ac:dyDescent="0.35">
      <c r="A1032">
        <v>46943</v>
      </c>
      <c r="B1032" t="s">
        <v>14</v>
      </c>
      <c r="C1032" t="s">
        <v>28</v>
      </c>
      <c r="D1032">
        <v>422</v>
      </c>
      <c r="E1032">
        <v>20</v>
      </c>
      <c r="F1032" s="2">
        <v>149.25</v>
      </c>
      <c r="G1032" t="s">
        <v>34</v>
      </c>
      <c r="H1032" s="1">
        <v>45616</v>
      </c>
      <c r="I1032" s="1">
        <v>45626</v>
      </c>
      <c r="J1032" t="s">
        <v>38</v>
      </c>
      <c r="K1032" s="8">
        <f>Table2[[#This Row],[CurrentStock]]*Table2[[#This Row],[UnitPrice]]</f>
        <v>62983.5</v>
      </c>
      <c r="L1032" t="str">
        <f>IF(Table2[[#This Row],[CurrentStock]]&lt;=Table2[[#This Row],[ReorderLevel]], "Reorder Needed", "Okay")</f>
        <v>Okay</v>
      </c>
      <c r="M1032" t="str">
        <f>IF(Table2[[#This Row],[CurrentStock]]-Table2[[#This Row],[ReorderLevel]]&lt;0,Table2[[#This Row],[CurrentStock]]-Table2[[#This Row],[ReorderLevel]],"")</f>
        <v/>
      </c>
      <c r="N1032" t="str">
        <f>IF(Table2[[#This Row],[Stock Gap]]&lt;0, "Understock","Okay")</f>
        <v>Okay</v>
      </c>
      <c r="O1032" s="13" t="str">
        <f>IF(Table2[[#This Row],[Stock Gap]]&lt;0, "Yes", "No")</f>
        <v>No</v>
      </c>
      <c r="P1032" s="13" t="str">
        <f>IF(Table2[[#This Row],[CurrentStock]]&lt;Table2[[#This Row],[ReorderLevel]],"Reorder", "Okay")</f>
        <v>Okay</v>
      </c>
      <c r="Q1032" s="13" t="str">
        <f>IF(Table2[[#This Row],[CurrentStock]]&gt;Table2[[#This Row],[ReorderLevel]]*3, "Overstock", "Okay")</f>
        <v>Overstock</v>
      </c>
    </row>
    <row r="1033" spans="1:17" x14ac:dyDescent="0.35">
      <c r="A1033">
        <v>63836</v>
      </c>
      <c r="B1033" t="s">
        <v>17</v>
      </c>
      <c r="C1033" t="s">
        <v>27</v>
      </c>
      <c r="D1033">
        <v>51</v>
      </c>
      <c r="E1033">
        <v>30</v>
      </c>
      <c r="F1033" s="2">
        <v>74.38</v>
      </c>
      <c r="G1033" t="s">
        <v>31</v>
      </c>
      <c r="H1033" s="1">
        <v>45332</v>
      </c>
      <c r="I1033" s="1">
        <v>45367</v>
      </c>
      <c r="J1033" t="s">
        <v>37</v>
      </c>
      <c r="K1033" s="8">
        <f>Table2[[#This Row],[CurrentStock]]*Table2[[#This Row],[UnitPrice]]</f>
        <v>3793.3799999999997</v>
      </c>
      <c r="L1033" t="str">
        <f>IF(Table2[[#This Row],[CurrentStock]]&lt;=Table2[[#This Row],[ReorderLevel]], "Reorder Needed", "Okay")</f>
        <v>Okay</v>
      </c>
      <c r="M1033" t="str">
        <f>IF(Table2[[#This Row],[CurrentStock]]-Table2[[#This Row],[ReorderLevel]]&lt;0,Table2[[#This Row],[CurrentStock]]-Table2[[#This Row],[ReorderLevel]],"")</f>
        <v/>
      </c>
      <c r="N1033" t="str">
        <f>IF(Table2[[#This Row],[Stock Gap]]&lt;0, "Understock","Okay")</f>
        <v>Okay</v>
      </c>
      <c r="O1033" s="13" t="str">
        <f>IF(Table2[[#This Row],[Stock Gap]]&lt;0, "Yes", "No")</f>
        <v>No</v>
      </c>
      <c r="P1033" s="13" t="str">
        <f>IF(Table2[[#This Row],[CurrentStock]]&lt;Table2[[#This Row],[ReorderLevel]],"Reorder", "Okay")</f>
        <v>Okay</v>
      </c>
      <c r="Q1033" s="13" t="str">
        <f>IF(Table2[[#This Row],[CurrentStock]]&gt;Table2[[#This Row],[ReorderLevel]]*3, "Overstock", "Okay")</f>
        <v>Okay</v>
      </c>
    </row>
    <row r="1034" spans="1:17" x14ac:dyDescent="0.35">
      <c r="A1034">
        <v>53744</v>
      </c>
      <c r="B1034" t="s">
        <v>20</v>
      </c>
      <c r="C1034" t="s">
        <v>30</v>
      </c>
      <c r="D1034">
        <v>432</v>
      </c>
      <c r="E1034">
        <v>50</v>
      </c>
      <c r="F1034" s="2">
        <v>45.12</v>
      </c>
      <c r="G1034" t="s">
        <v>32</v>
      </c>
      <c r="H1034" s="1">
        <v>45400</v>
      </c>
      <c r="I1034" s="1">
        <v>45436</v>
      </c>
      <c r="J1034" t="s">
        <v>36</v>
      </c>
      <c r="K1034" s="8">
        <f>Table2[[#This Row],[CurrentStock]]*Table2[[#This Row],[UnitPrice]]</f>
        <v>19491.84</v>
      </c>
      <c r="L1034" t="str">
        <f>IF(Table2[[#This Row],[CurrentStock]]&lt;=Table2[[#This Row],[ReorderLevel]], "Reorder Needed", "Okay")</f>
        <v>Okay</v>
      </c>
      <c r="M1034" t="str">
        <f>IF(Table2[[#This Row],[CurrentStock]]-Table2[[#This Row],[ReorderLevel]]&lt;0,Table2[[#This Row],[CurrentStock]]-Table2[[#This Row],[ReorderLevel]],"")</f>
        <v/>
      </c>
      <c r="N1034" t="str">
        <f>IF(Table2[[#This Row],[Stock Gap]]&lt;0, "Understock","Okay")</f>
        <v>Okay</v>
      </c>
      <c r="O1034" s="13" t="str">
        <f>IF(Table2[[#This Row],[Stock Gap]]&lt;0, "Yes", "No")</f>
        <v>No</v>
      </c>
      <c r="P1034" s="13" t="str">
        <f>IF(Table2[[#This Row],[CurrentStock]]&lt;Table2[[#This Row],[ReorderLevel]],"Reorder", "Okay")</f>
        <v>Okay</v>
      </c>
      <c r="Q1034" s="13" t="str">
        <f>IF(Table2[[#This Row],[CurrentStock]]&gt;Table2[[#This Row],[ReorderLevel]]*3, "Overstock", "Okay")</f>
        <v>Overstock</v>
      </c>
    </row>
    <row r="1035" spans="1:17" x14ac:dyDescent="0.35">
      <c r="A1035">
        <v>16806</v>
      </c>
      <c r="B1035" t="s">
        <v>16</v>
      </c>
      <c r="C1035" t="s">
        <v>29</v>
      </c>
      <c r="D1035">
        <v>66</v>
      </c>
      <c r="E1035">
        <v>80</v>
      </c>
      <c r="F1035" s="2">
        <v>404.7</v>
      </c>
      <c r="G1035" t="s">
        <v>33</v>
      </c>
      <c r="H1035" s="1">
        <v>45482</v>
      </c>
      <c r="I1035" s="1">
        <v>45508</v>
      </c>
      <c r="J1035" t="s">
        <v>38</v>
      </c>
      <c r="K1035" s="8">
        <f>Table2[[#This Row],[CurrentStock]]*Table2[[#This Row],[UnitPrice]]</f>
        <v>26710.2</v>
      </c>
      <c r="L1035" t="str">
        <f>IF(Table2[[#This Row],[CurrentStock]]&lt;=Table2[[#This Row],[ReorderLevel]], "Reorder Needed", "Okay")</f>
        <v>Reorder Needed</v>
      </c>
      <c r="M1035" s="7">
        <f>IF(Table2[[#This Row],[CurrentStock]]-Table2[[#This Row],[ReorderLevel]]&lt;0,Table2[[#This Row],[CurrentStock]]-Table2[[#This Row],[ReorderLevel]],"")</f>
        <v>-14</v>
      </c>
      <c r="N1035" t="str">
        <f>IF(Table2[[#This Row],[Stock Gap]]&lt;0, "Understock","Okay")</f>
        <v>Understock</v>
      </c>
      <c r="O1035" s="13" t="str">
        <f>IF(Table2[[#This Row],[Stock Gap]]&lt;0, "Yes", "No")</f>
        <v>Yes</v>
      </c>
      <c r="P1035" s="13" t="str">
        <f>IF(Table2[[#This Row],[CurrentStock]]&lt;Table2[[#This Row],[ReorderLevel]],"Reorder", "Okay")</f>
        <v>Reorder</v>
      </c>
      <c r="Q1035" s="13" t="str">
        <f>IF(Table2[[#This Row],[CurrentStock]]&gt;Table2[[#This Row],[ReorderLevel]]*3, "Overstock", "Okay")</f>
        <v>Okay</v>
      </c>
    </row>
    <row r="1036" spans="1:17" x14ac:dyDescent="0.35">
      <c r="A1036">
        <v>68830</v>
      </c>
      <c r="B1036" t="s">
        <v>15</v>
      </c>
      <c r="C1036" t="s">
        <v>29</v>
      </c>
      <c r="D1036">
        <v>96</v>
      </c>
      <c r="E1036">
        <v>80</v>
      </c>
      <c r="F1036" s="2">
        <v>434.2</v>
      </c>
      <c r="G1036" t="s">
        <v>33</v>
      </c>
      <c r="H1036" s="1">
        <v>45416</v>
      </c>
      <c r="I1036" s="1">
        <v>45428</v>
      </c>
      <c r="J1036" t="s">
        <v>38</v>
      </c>
      <c r="K1036" s="8">
        <f>Table2[[#This Row],[CurrentStock]]*Table2[[#This Row],[UnitPrice]]</f>
        <v>41683.199999999997</v>
      </c>
      <c r="L1036" t="str">
        <f>IF(Table2[[#This Row],[CurrentStock]]&lt;=Table2[[#This Row],[ReorderLevel]], "Reorder Needed", "Okay")</f>
        <v>Okay</v>
      </c>
      <c r="M1036" t="str">
        <f>IF(Table2[[#This Row],[CurrentStock]]-Table2[[#This Row],[ReorderLevel]]&lt;0,Table2[[#This Row],[CurrentStock]]-Table2[[#This Row],[ReorderLevel]],"")</f>
        <v/>
      </c>
      <c r="N1036" t="str">
        <f>IF(Table2[[#This Row],[Stock Gap]]&lt;0, "Understock","Okay")</f>
        <v>Okay</v>
      </c>
      <c r="O1036" s="13" t="str">
        <f>IF(Table2[[#This Row],[Stock Gap]]&lt;0, "Yes", "No")</f>
        <v>No</v>
      </c>
      <c r="P1036" s="13" t="str">
        <f>IF(Table2[[#This Row],[CurrentStock]]&lt;Table2[[#This Row],[ReorderLevel]],"Reorder", "Okay")</f>
        <v>Okay</v>
      </c>
      <c r="Q1036" s="13" t="str">
        <f>IF(Table2[[#This Row],[CurrentStock]]&gt;Table2[[#This Row],[ReorderLevel]]*3, "Overstock", "Okay")</f>
        <v>Okay</v>
      </c>
    </row>
    <row r="1037" spans="1:17" x14ac:dyDescent="0.35">
      <c r="A1037">
        <v>21136</v>
      </c>
      <c r="B1037" t="s">
        <v>25</v>
      </c>
      <c r="C1037" t="s">
        <v>29</v>
      </c>
      <c r="D1037">
        <v>120</v>
      </c>
      <c r="E1037">
        <v>80</v>
      </c>
      <c r="F1037" s="2">
        <v>397.23</v>
      </c>
      <c r="G1037" t="s">
        <v>33</v>
      </c>
      <c r="H1037" s="1">
        <v>45413</v>
      </c>
      <c r="I1037" s="1">
        <v>45443</v>
      </c>
      <c r="J1037" t="s">
        <v>37</v>
      </c>
      <c r="K1037" s="8">
        <f>Table2[[#This Row],[CurrentStock]]*Table2[[#This Row],[UnitPrice]]</f>
        <v>47667.600000000006</v>
      </c>
      <c r="L1037" t="str">
        <f>IF(Table2[[#This Row],[CurrentStock]]&lt;=Table2[[#This Row],[ReorderLevel]], "Reorder Needed", "Okay")</f>
        <v>Okay</v>
      </c>
      <c r="M1037" t="str">
        <f>IF(Table2[[#This Row],[CurrentStock]]-Table2[[#This Row],[ReorderLevel]]&lt;0,Table2[[#This Row],[CurrentStock]]-Table2[[#This Row],[ReorderLevel]],"")</f>
        <v/>
      </c>
      <c r="N1037" t="str">
        <f>IF(Table2[[#This Row],[Stock Gap]]&lt;0, "Understock","Okay")</f>
        <v>Okay</v>
      </c>
      <c r="O1037" s="13" t="str">
        <f>IF(Table2[[#This Row],[Stock Gap]]&lt;0, "Yes", "No")</f>
        <v>No</v>
      </c>
      <c r="P1037" s="13" t="str">
        <f>IF(Table2[[#This Row],[CurrentStock]]&lt;Table2[[#This Row],[ReorderLevel]],"Reorder", "Okay")</f>
        <v>Okay</v>
      </c>
      <c r="Q1037" s="13" t="str">
        <f>IF(Table2[[#This Row],[CurrentStock]]&gt;Table2[[#This Row],[ReorderLevel]]*3, "Overstock", "Okay")</f>
        <v>Okay</v>
      </c>
    </row>
    <row r="1038" spans="1:17" x14ac:dyDescent="0.35">
      <c r="A1038">
        <v>15206</v>
      </c>
      <c r="B1038" t="s">
        <v>23</v>
      </c>
      <c r="C1038" t="s">
        <v>30</v>
      </c>
      <c r="D1038">
        <v>288</v>
      </c>
      <c r="E1038">
        <v>50</v>
      </c>
      <c r="F1038" s="2">
        <v>116.06</v>
      </c>
      <c r="G1038" t="s">
        <v>32</v>
      </c>
      <c r="H1038" s="1">
        <v>45464</v>
      </c>
      <c r="I1038" s="1">
        <v>45494</v>
      </c>
      <c r="J1038" t="s">
        <v>38</v>
      </c>
      <c r="K1038" s="8">
        <f>Table2[[#This Row],[CurrentStock]]*Table2[[#This Row],[UnitPrice]]</f>
        <v>33425.279999999999</v>
      </c>
      <c r="L1038" t="str">
        <f>IF(Table2[[#This Row],[CurrentStock]]&lt;=Table2[[#This Row],[ReorderLevel]], "Reorder Needed", "Okay")</f>
        <v>Okay</v>
      </c>
      <c r="M1038" t="str">
        <f>IF(Table2[[#This Row],[CurrentStock]]-Table2[[#This Row],[ReorderLevel]]&lt;0,Table2[[#This Row],[CurrentStock]]-Table2[[#This Row],[ReorderLevel]],"")</f>
        <v/>
      </c>
      <c r="N1038" t="str">
        <f>IF(Table2[[#This Row],[Stock Gap]]&lt;0, "Understock","Okay")</f>
        <v>Okay</v>
      </c>
      <c r="O1038" s="13" t="str">
        <f>IF(Table2[[#This Row],[Stock Gap]]&lt;0, "Yes", "No")</f>
        <v>No</v>
      </c>
      <c r="P1038" s="13" t="str">
        <f>IF(Table2[[#This Row],[CurrentStock]]&lt;Table2[[#This Row],[ReorderLevel]],"Reorder", "Okay")</f>
        <v>Okay</v>
      </c>
      <c r="Q1038" s="13" t="str">
        <f>IF(Table2[[#This Row],[CurrentStock]]&gt;Table2[[#This Row],[ReorderLevel]]*3, "Overstock", "Okay")</f>
        <v>Overstock</v>
      </c>
    </row>
    <row r="1039" spans="1:17" x14ac:dyDescent="0.35">
      <c r="A1039">
        <v>56728</v>
      </c>
      <c r="B1039" t="s">
        <v>13</v>
      </c>
      <c r="C1039" t="s">
        <v>26</v>
      </c>
      <c r="D1039">
        <v>11</v>
      </c>
      <c r="E1039">
        <v>20</v>
      </c>
      <c r="F1039" s="2">
        <v>394.55</v>
      </c>
      <c r="G1039" t="s">
        <v>32</v>
      </c>
      <c r="H1039" s="1">
        <v>45422</v>
      </c>
      <c r="I1039" s="1">
        <v>45452</v>
      </c>
      <c r="J1039" t="s">
        <v>37</v>
      </c>
      <c r="K1039" s="8">
        <f>Table2[[#This Row],[CurrentStock]]*Table2[[#This Row],[UnitPrice]]</f>
        <v>4340.05</v>
      </c>
      <c r="L1039" t="str">
        <f>IF(Table2[[#This Row],[CurrentStock]]&lt;=Table2[[#This Row],[ReorderLevel]], "Reorder Needed", "Okay")</f>
        <v>Reorder Needed</v>
      </c>
      <c r="M1039" s="7">
        <f>IF(Table2[[#This Row],[CurrentStock]]-Table2[[#This Row],[ReorderLevel]]&lt;0,Table2[[#This Row],[CurrentStock]]-Table2[[#This Row],[ReorderLevel]],"")</f>
        <v>-9</v>
      </c>
      <c r="N1039" t="str">
        <f>IF(Table2[[#This Row],[Stock Gap]]&lt;0, "Understock","Okay")</f>
        <v>Understock</v>
      </c>
      <c r="O1039" s="13" t="str">
        <f>IF(Table2[[#This Row],[Stock Gap]]&lt;0, "Yes", "No")</f>
        <v>Yes</v>
      </c>
      <c r="P1039" s="13" t="str">
        <f>IF(Table2[[#This Row],[CurrentStock]]&lt;Table2[[#This Row],[ReorderLevel]],"Reorder", "Okay")</f>
        <v>Reorder</v>
      </c>
      <c r="Q1039" s="13" t="str">
        <f>IF(Table2[[#This Row],[CurrentStock]]&gt;Table2[[#This Row],[ReorderLevel]]*3, "Overstock", "Okay")</f>
        <v>Okay</v>
      </c>
    </row>
    <row r="1040" spans="1:17" x14ac:dyDescent="0.35">
      <c r="A1040">
        <v>87256</v>
      </c>
      <c r="B1040" t="s">
        <v>20</v>
      </c>
      <c r="C1040" t="s">
        <v>30</v>
      </c>
      <c r="D1040">
        <v>380</v>
      </c>
      <c r="E1040">
        <v>40</v>
      </c>
      <c r="F1040" s="2">
        <v>363.08</v>
      </c>
      <c r="G1040" t="s">
        <v>35</v>
      </c>
      <c r="H1040" s="1">
        <v>45533</v>
      </c>
      <c r="I1040" s="1">
        <v>45561</v>
      </c>
      <c r="J1040" t="s">
        <v>38</v>
      </c>
      <c r="K1040" s="8">
        <f>Table2[[#This Row],[CurrentStock]]*Table2[[#This Row],[UnitPrice]]</f>
        <v>137970.4</v>
      </c>
      <c r="L1040" t="str">
        <f>IF(Table2[[#This Row],[CurrentStock]]&lt;=Table2[[#This Row],[ReorderLevel]], "Reorder Needed", "Okay")</f>
        <v>Okay</v>
      </c>
      <c r="M1040" t="str">
        <f>IF(Table2[[#This Row],[CurrentStock]]-Table2[[#This Row],[ReorderLevel]]&lt;0,Table2[[#This Row],[CurrentStock]]-Table2[[#This Row],[ReorderLevel]],"")</f>
        <v/>
      </c>
      <c r="N1040" t="str">
        <f>IF(Table2[[#This Row],[Stock Gap]]&lt;0, "Understock","Okay")</f>
        <v>Okay</v>
      </c>
      <c r="O1040" s="13" t="str">
        <f>IF(Table2[[#This Row],[Stock Gap]]&lt;0, "Yes", "No")</f>
        <v>No</v>
      </c>
      <c r="P1040" s="13" t="str">
        <f>IF(Table2[[#This Row],[CurrentStock]]&lt;Table2[[#This Row],[ReorderLevel]],"Reorder", "Okay")</f>
        <v>Okay</v>
      </c>
      <c r="Q1040" s="13" t="str">
        <f>IF(Table2[[#This Row],[CurrentStock]]&gt;Table2[[#This Row],[ReorderLevel]]*3, "Overstock", "Okay")</f>
        <v>Overstock</v>
      </c>
    </row>
    <row r="1041" spans="1:17" x14ac:dyDescent="0.35">
      <c r="A1041">
        <v>86772</v>
      </c>
      <c r="B1041" t="s">
        <v>15</v>
      </c>
      <c r="C1041" t="s">
        <v>29</v>
      </c>
      <c r="D1041">
        <v>88</v>
      </c>
      <c r="E1041">
        <v>150</v>
      </c>
      <c r="F1041" s="2">
        <v>78.569999999999993</v>
      </c>
      <c r="G1041" t="s">
        <v>34</v>
      </c>
      <c r="H1041" s="1">
        <v>45376</v>
      </c>
      <c r="I1041" s="1">
        <v>45400</v>
      </c>
      <c r="J1041" t="s">
        <v>36</v>
      </c>
      <c r="K1041" s="8">
        <f>Table2[[#This Row],[CurrentStock]]*Table2[[#This Row],[UnitPrice]]</f>
        <v>6914.16</v>
      </c>
      <c r="L1041" t="str">
        <f>IF(Table2[[#This Row],[CurrentStock]]&lt;=Table2[[#This Row],[ReorderLevel]], "Reorder Needed", "Okay")</f>
        <v>Reorder Needed</v>
      </c>
      <c r="M1041" s="7">
        <f>IF(Table2[[#This Row],[CurrentStock]]-Table2[[#This Row],[ReorderLevel]]&lt;0,Table2[[#This Row],[CurrentStock]]-Table2[[#This Row],[ReorderLevel]],"")</f>
        <v>-62</v>
      </c>
      <c r="N1041" t="str">
        <f>IF(Table2[[#This Row],[Stock Gap]]&lt;0, "Understock","Okay")</f>
        <v>Understock</v>
      </c>
      <c r="O1041" s="13" t="str">
        <f>IF(Table2[[#This Row],[Stock Gap]]&lt;0, "Yes", "No")</f>
        <v>Yes</v>
      </c>
      <c r="P1041" s="13" t="str">
        <f>IF(Table2[[#This Row],[CurrentStock]]&lt;Table2[[#This Row],[ReorderLevel]],"Reorder", "Okay")</f>
        <v>Reorder</v>
      </c>
      <c r="Q1041" s="13" t="str">
        <f>IF(Table2[[#This Row],[CurrentStock]]&gt;Table2[[#This Row],[ReorderLevel]]*3, "Overstock", "Okay")</f>
        <v>Okay</v>
      </c>
    </row>
    <row r="1042" spans="1:17" x14ac:dyDescent="0.35">
      <c r="A1042">
        <v>78112</v>
      </c>
      <c r="B1042" t="s">
        <v>17</v>
      </c>
      <c r="C1042" t="s">
        <v>27</v>
      </c>
      <c r="D1042">
        <v>257</v>
      </c>
      <c r="E1042">
        <v>40</v>
      </c>
      <c r="F1042" s="2">
        <v>297.5</v>
      </c>
      <c r="G1042" t="s">
        <v>33</v>
      </c>
      <c r="H1042" s="1">
        <v>45524</v>
      </c>
      <c r="I1042" s="1">
        <v>45557</v>
      </c>
      <c r="J1042" t="s">
        <v>36</v>
      </c>
      <c r="K1042" s="8">
        <f>Table2[[#This Row],[CurrentStock]]*Table2[[#This Row],[UnitPrice]]</f>
        <v>76457.5</v>
      </c>
      <c r="L1042" t="str">
        <f>IF(Table2[[#This Row],[CurrentStock]]&lt;=Table2[[#This Row],[ReorderLevel]], "Reorder Needed", "Okay")</f>
        <v>Okay</v>
      </c>
      <c r="M1042" t="str">
        <f>IF(Table2[[#This Row],[CurrentStock]]-Table2[[#This Row],[ReorderLevel]]&lt;0,Table2[[#This Row],[CurrentStock]]-Table2[[#This Row],[ReorderLevel]],"")</f>
        <v/>
      </c>
      <c r="N1042" t="str">
        <f>IF(Table2[[#This Row],[Stock Gap]]&lt;0, "Understock","Okay")</f>
        <v>Okay</v>
      </c>
      <c r="O1042" s="13" t="str">
        <f>IF(Table2[[#This Row],[Stock Gap]]&lt;0, "Yes", "No")</f>
        <v>No</v>
      </c>
      <c r="P1042" s="13" t="str">
        <f>IF(Table2[[#This Row],[CurrentStock]]&lt;Table2[[#This Row],[ReorderLevel]],"Reorder", "Okay")</f>
        <v>Okay</v>
      </c>
      <c r="Q1042" s="13" t="str">
        <f>IF(Table2[[#This Row],[CurrentStock]]&gt;Table2[[#This Row],[ReorderLevel]]*3, "Overstock", "Okay")</f>
        <v>Overstock</v>
      </c>
    </row>
    <row r="1043" spans="1:17" x14ac:dyDescent="0.35">
      <c r="A1043">
        <v>14535</v>
      </c>
      <c r="B1043" t="s">
        <v>13</v>
      </c>
      <c r="C1043" t="s">
        <v>26</v>
      </c>
      <c r="D1043">
        <v>83</v>
      </c>
      <c r="E1043">
        <v>40</v>
      </c>
      <c r="F1043" s="2">
        <v>57.11</v>
      </c>
      <c r="G1043" t="s">
        <v>33</v>
      </c>
      <c r="H1043" s="1">
        <v>45629</v>
      </c>
      <c r="I1043" s="1">
        <v>45659</v>
      </c>
      <c r="J1043" t="s">
        <v>36</v>
      </c>
      <c r="K1043" s="8">
        <f>Table2[[#This Row],[CurrentStock]]*Table2[[#This Row],[UnitPrice]]</f>
        <v>4740.13</v>
      </c>
      <c r="L1043" t="str">
        <f>IF(Table2[[#This Row],[CurrentStock]]&lt;=Table2[[#This Row],[ReorderLevel]], "Reorder Needed", "Okay")</f>
        <v>Okay</v>
      </c>
      <c r="M1043" t="str">
        <f>IF(Table2[[#This Row],[CurrentStock]]-Table2[[#This Row],[ReorderLevel]]&lt;0,Table2[[#This Row],[CurrentStock]]-Table2[[#This Row],[ReorderLevel]],"")</f>
        <v/>
      </c>
      <c r="N1043" t="str">
        <f>IF(Table2[[#This Row],[Stock Gap]]&lt;0, "Understock","Okay")</f>
        <v>Okay</v>
      </c>
      <c r="O1043" s="13" t="str">
        <f>IF(Table2[[#This Row],[Stock Gap]]&lt;0, "Yes", "No")</f>
        <v>No</v>
      </c>
      <c r="P1043" s="13" t="str">
        <f>IF(Table2[[#This Row],[CurrentStock]]&lt;Table2[[#This Row],[ReorderLevel]],"Reorder", "Okay")</f>
        <v>Okay</v>
      </c>
      <c r="Q1043" s="13" t="str">
        <f>IF(Table2[[#This Row],[CurrentStock]]&gt;Table2[[#This Row],[ReorderLevel]]*3, "Overstock", "Okay")</f>
        <v>Okay</v>
      </c>
    </row>
    <row r="1044" spans="1:17" x14ac:dyDescent="0.35">
      <c r="A1044">
        <v>93583</v>
      </c>
      <c r="B1044" t="s">
        <v>25</v>
      </c>
      <c r="C1044" t="s">
        <v>29</v>
      </c>
      <c r="D1044">
        <v>120</v>
      </c>
      <c r="E1044">
        <v>20</v>
      </c>
      <c r="F1044" s="2">
        <v>273.57</v>
      </c>
      <c r="G1044" t="s">
        <v>32</v>
      </c>
      <c r="H1044" s="1">
        <v>45295</v>
      </c>
      <c r="I1044" s="1">
        <v>45321</v>
      </c>
      <c r="J1044" t="s">
        <v>38</v>
      </c>
      <c r="K1044" s="8">
        <f>Table2[[#This Row],[CurrentStock]]*Table2[[#This Row],[UnitPrice]]</f>
        <v>32828.400000000001</v>
      </c>
      <c r="L1044" t="str">
        <f>IF(Table2[[#This Row],[CurrentStock]]&lt;=Table2[[#This Row],[ReorderLevel]], "Reorder Needed", "Okay")</f>
        <v>Okay</v>
      </c>
      <c r="M1044" t="str">
        <f>IF(Table2[[#This Row],[CurrentStock]]-Table2[[#This Row],[ReorderLevel]]&lt;0,Table2[[#This Row],[CurrentStock]]-Table2[[#This Row],[ReorderLevel]],"")</f>
        <v/>
      </c>
      <c r="N1044" t="str">
        <f>IF(Table2[[#This Row],[Stock Gap]]&lt;0, "Understock","Okay")</f>
        <v>Okay</v>
      </c>
      <c r="O1044" s="13" t="str">
        <f>IF(Table2[[#This Row],[Stock Gap]]&lt;0, "Yes", "No")</f>
        <v>No</v>
      </c>
      <c r="P1044" s="13" t="str">
        <f>IF(Table2[[#This Row],[CurrentStock]]&lt;Table2[[#This Row],[ReorderLevel]],"Reorder", "Okay")</f>
        <v>Okay</v>
      </c>
      <c r="Q1044" s="13" t="str">
        <f>IF(Table2[[#This Row],[CurrentStock]]&gt;Table2[[#This Row],[ReorderLevel]]*3, "Overstock", "Okay")</f>
        <v>Overstock</v>
      </c>
    </row>
    <row r="1045" spans="1:17" x14ac:dyDescent="0.35">
      <c r="A1045">
        <v>53351</v>
      </c>
      <c r="B1045" t="s">
        <v>19</v>
      </c>
      <c r="C1045" t="s">
        <v>28</v>
      </c>
      <c r="D1045">
        <v>479</v>
      </c>
      <c r="E1045">
        <v>150</v>
      </c>
      <c r="F1045" s="2">
        <v>361.71</v>
      </c>
      <c r="G1045" t="s">
        <v>34</v>
      </c>
      <c r="H1045" s="1">
        <v>45559</v>
      </c>
      <c r="I1045" s="1">
        <v>45574</v>
      </c>
      <c r="J1045" t="s">
        <v>38</v>
      </c>
      <c r="K1045" s="8">
        <f>Table2[[#This Row],[CurrentStock]]*Table2[[#This Row],[UnitPrice]]</f>
        <v>173259.09</v>
      </c>
      <c r="L1045" t="str">
        <f>IF(Table2[[#This Row],[CurrentStock]]&lt;=Table2[[#This Row],[ReorderLevel]], "Reorder Needed", "Okay")</f>
        <v>Okay</v>
      </c>
      <c r="M1045" t="str">
        <f>IF(Table2[[#This Row],[CurrentStock]]-Table2[[#This Row],[ReorderLevel]]&lt;0,Table2[[#This Row],[CurrentStock]]-Table2[[#This Row],[ReorderLevel]],"")</f>
        <v/>
      </c>
      <c r="N1045" t="str">
        <f>IF(Table2[[#This Row],[Stock Gap]]&lt;0, "Understock","Okay")</f>
        <v>Okay</v>
      </c>
      <c r="O1045" s="13" t="str">
        <f>IF(Table2[[#This Row],[Stock Gap]]&lt;0, "Yes", "No")</f>
        <v>No</v>
      </c>
      <c r="P1045" s="13" t="str">
        <f>IF(Table2[[#This Row],[CurrentStock]]&lt;Table2[[#This Row],[ReorderLevel]],"Reorder", "Okay")</f>
        <v>Okay</v>
      </c>
      <c r="Q1045" s="13" t="str">
        <f>IF(Table2[[#This Row],[CurrentStock]]&gt;Table2[[#This Row],[ReorderLevel]]*3, "Overstock", "Okay")</f>
        <v>Overstock</v>
      </c>
    </row>
    <row r="1046" spans="1:17" x14ac:dyDescent="0.35">
      <c r="A1046">
        <v>37657</v>
      </c>
      <c r="B1046" t="s">
        <v>13</v>
      </c>
      <c r="C1046" t="s">
        <v>26</v>
      </c>
      <c r="D1046">
        <v>481</v>
      </c>
      <c r="E1046">
        <v>40</v>
      </c>
      <c r="F1046" s="2">
        <v>475.94</v>
      </c>
      <c r="G1046" t="s">
        <v>33</v>
      </c>
      <c r="H1046" s="1">
        <v>45475</v>
      </c>
      <c r="I1046" s="1">
        <v>45493</v>
      </c>
      <c r="J1046" t="s">
        <v>37</v>
      </c>
      <c r="K1046" s="8">
        <f>Table2[[#This Row],[CurrentStock]]*Table2[[#This Row],[UnitPrice]]</f>
        <v>228927.13999999998</v>
      </c>
      <c r="L1046" t="str">
        <f>IF(Table2[[#This Row],[CurrentStock]]&lt;=Table2[[#This Row],[ReorderLevel]], "Reorder Needed", "Okay")</f>
        <v>Okay</v>
      </c>
      <c r="M1046" t="str">
        <f>IF(Table2[[#This Row],[CurrentStock]]-Table2[[#This Row],[ReorderLevel]]&lt;0,Table2[[#This Row],[CurrentStock]]-Table2[[#This Row],[ReorderLevel]],"")</f>
        <v/>
      </c>
      <c r="N1046" t="str">
        <f>IF(Table2[[#This Row],[Stock Gap]]&lt;0, "Understock","Okay")</f>
        <v>Okay</v>
      </c>
      <c r="O1046" s="13" t="str">
        <f>IF(Table2[[#This Row],[Stock Gap]]&lt;0, "Yes", "No")</f>
        <v>No</v>
      </c>
      <c r="P1046" s="13" t="str">
        <f>IF(Table2[[#This Row],[CurrentStock]]&lt;Table2[[#This Row],[ReorderLevel]],"Reorder", "Okay")</f>
        <v>Okay</v>
      </c>
      <c r="Q1046" s="13" t="str">
        <f>IF(Table2[[#This Row],[CurrentStock]]&gt;Table2[[#This Row],[ReorderLevel]]*3, "Overstock", "Okay")</f>
        <v>Overstock</v>
      </c>
    </row>
    <row r="1047" spans="1:17" x14ac:dyDescent="0.35">
      <c r="A1047">
        <v>48165</v>
      </c>
      <c r="B1047" t="s">
        <v>9</v>
      </c>
      <c r="C1047" t="s">
        <v>26</v>
      </c>
      <c r="D1047">
        <v>426</v>
      </c>
      <c r="E1047">
        <v>40</v>
      </c>
      <c r="F1047" s="2">
        <v>354.22</v>
      </c>
      <c r="G1047" t="s">
        <v>34</v>
      </c>
      <c r="H1047" s="1">
        <v>45566</v>
      </c>
      <c r="I1047" s="1">
        <v>45591</v>
      </c>
      <c r="J1047" t="s">
        <v>36</v>
      </c>
      <c r="K1047" s="8">
        <f>Table2[[#This Row],[CurrentStock]]*Table2[[#This Row],[UnitPrice]]</f>
        <v>150897.72</v>
      </c>
      <c r="L1047" t="str">
        <f>IF(Table2[[#This Row],[CurrentStock]]&lt;=Table2[[#This Row],[ReorderLevel]], "Reorder Needed", "Okay")</f>
        <v>Okay</v>
      </c>
      <c r="M1047" t="str">
        <f>IF(Table2[[#This Row],[CurrentStock]]-Table2[[#This Row],[ReorderLevel]]&lt;0,Table2[[#This Row],[CurrentStock]]-Table2[[#This Row],[ReorderLevel]],"")</f>
        <v/>
      </c>
      <c r="N1047" t="str">
        <f>IF(Table2[[#This Row],[Stock Gap]]&lt;0, "Understock","Okay")</f>
        <v>Okay</v>
      </c>
      <c r="O1047" s="13" t="str">
        <f>IF(Table2[[#This Row],[Stock Gap]]&lt;0, "Yes", "No")</f>
        <v>No</v>
      </c>
      <c r="P1047" s="13" t="str">
        <f>IF(Table2[[#This Row],[CurrentStock]]&lt;Table2[[#This Row],[ReorderLevel]],"Reorder", "Okay")</f>
        <v>Okay</v>
      </c>
      <c r="Q1047" s="13" t="str">
        <f>IF(Table2[[#This Row],[CurrentStock]]&gt;Table2[[#This Row],[ReorderLevel]]*3, "Overstock", "Okay")</f>
        <v>Overstock</v>
      </c>
    </row>
    <row r="1048" spans="1:17" x14ac:dyDescent="0.35">
      <c r="A1048">
        <v>56716</v>
      </c>
      <c r="B1048" t="s">
        <v>18</v>
      </c>
      <c r="C1048" t="s">
        <v>27</v>
      </c>
      <c r="D1048">
        <v>272</v>
      </c>
      <c r="E1048">
        <v>50</v>
      </c>
      <c r="F1048" s="2">
        <v>339.19</v>
      </c>
      <c r="G1048" t="s">
        <v>31</v>
      </c>
      <c r="H1048" s="1">
        <v>45299</v>
      </c>
      <c r="I1048" s="1">
        <v>45319</v>
      </c>
      <c r="J1048" t="s">
        <v>36</v>
      </c>
      <c r="K1048" s="8">
        <f>Table2[[#This Row],[CurrentStock]]*Table2[[#This Row],[UnitPrice]]</f>
        <v>92259.68</v>
      </c>
      <c r="L1048" t="str">
        <f>IF(Table2[[#This Row],[CurrentStock]]&lt;=Table2[[#This Row],[ReorderLevel]], "Reorder Needed", "Okay")</f>
        <v>Okay</v>
      </c>
      <c r="M1048" t="str">
        <f>IF(Table2[[#This Row],[CurrentStock]]-Table2[[#This Row],[ReorderLevel]]&lt;0,Table2[[#This Row],[CurrentStock]]-Table2[[#This Row],[ReorderLevel]],"")</f>
        <v/>
      </c>
      <c r="N1048" t="str">
        <f>IF(Table2[[#This Row],[Stock Gap]]&lt;0, "Understock","Okay")</f>
        <v>Okay</v>
      </c>
      <c r="O1048" s="13" t="str">
        <f>IF(Table2[[#This Row],[Stock Gap]]&lt;0, "Yes", "No")</f>
        <v>No</v>
      </c>
      <c r="P1048" s="13" t="str">
        <f>IF(Table2[[#This Row],[CurrentStock]]&lt;Table2[[#This Row],[ReorderLevel]],"Reorder", "Okay")</f>
        <v>Okay</v>
      </c>
      <c r="Q1048" s="13" t="str">
        <f>IF(Table2[[#This Row],[CurrentStock]]&gt;Table2[[#This Row],[ReorderLevel]]*3, "Overstock", "Okay")</f>
        <v>Overstock</v>
      </c>
    </row>
    <row r="1049" spans="1:17" x14ac:dyDescent="0.35">
      <c r="A1049">
        <v>25185</v>
      </c>
      <c r="B1049" t="s">
        <v>11</v>
      </c>
      <c r="C1049" t="s">
        <v>27</v>
      </c>
      <c r="D1049">
        <v>296</v>
      </c>
      <c r="E1049">
        <v>150</v>
      </c>
      <c r="F1049" s="2">
        <v>28.68</v>
      </c>
      <c r="G1049" t="s">
        <v>34</v>
      </c>
      <c r="H1049" s="1">
        <v>45371</v>
      </c>
      <c r="I1049" s="1">
        <v>45393</v>
      </c>
      <c r="J1049" t="s">
        <v>37</v>
      </c>
      <c r="K1049" s="8">
        <f>Table2[[#This Row],[CurrentStock]]*Table2[[#This Row],[UnitPrice]]</f>
        <v>8489.2800000000007</v>
      </c>
      <c r="L1049" t="str">
        <f>IF(Table2[[#This Row],[CurrentStock]]&lt;=Table2[[#This Row],[ReorderLevel]], "Reorder Needed", "Okay")</f>
        <v>Okay</v>
      </c>
      <c r="M1049" t="str">
        <f>IF(Table2[[#This Row],[CurrentStock]]-Table2[[#This Row],[ReorderLevel]]&lt;0,Table2[[#This Row],[CurrentStock]]-Table2[[#This Row],[ReorderLevel]],"")</f>
        <v/>
      </c>
      <c r="N1049" t="str">
        <f>IF(Table2[[#This Row],[Stock Gap]]&lt;0, "Understock","Okay")</f>
        <v>Okay</v>
      </c>
      <c r="O1049" s="13" t="str">
        <f>IF(Table2[[#This Row],[Stock Gap]]&lt;0, "Yes", "No")</f>
        <v>No</v>
      </c>
      <c r="P1049" s="13" t="str">
        <f>IF(Table2[[#This Row],[CurrentStock]]&lt;Table2[[#This Row],[ReorderLevel]],"Reorder", "Okay")</f>
        <v>Okay</v>
      </c>
      <c r="Q1049" s="13" t="str">
        <f>IF(Table2[[#This Row],[CurrentStock]]&gt;Table2[[#This Row],[ReorderLevel]]*3, "Overstock", "Okay")</f>
        <v>Okay</v>
      </c>
    </row>
    <row r="1050" spans="1:17" x14ac:dyDescent="0.35">
      <c r="A1050">
        <v>78945</v>
      </c>
      <c r="B1050" t="s">
        <v>16</v>
      </c>
      <c r="C1050" t="s">
        <v>29</v>
      </c>
      <c r="D1050">
        <v>386</v>
      </c>
      <c r="E1050">
        <v>30</v>
      </c>
      <c r="F1050" s="2">
        <v>498.72</v>
      </c>
      <c r="G1050" t="s">
        <v>32</v>
      </c>
      <c r="H1050" s="1">
        <v>45616</v>
      </c>
      <c r="I1050" s="1">
        <v>45639</v>
      </c>
      <c r="J1050" t="s">
        <v>36</v>
      </c>
      <c r="K1050" s="8">
        <f>Table2[[#This Row],[CurrentStock]]*Table2[[#This Row],[UnitPrice]]</f>
        <v>192505.92</v>
      </c>
      <c r="L1050" t="str">
        <f>IF(Table2[[#This Row],[CurrentStock]]&lt;=Table2[[#This Row],[ReorderLevel]], "Reorder Needed", "Okay")</f>
        <v>Okay</v>
      </c>
      <c r="M1050" t="str">
        <f>IF(Table2[[#This Row],[CurrentStock]]-Table2[[#This Row],[ReorderLevel]]&lt;0,Table2[[#This Row],[CurrentStock]]-Table2[[#This Row],[ReorderLevel]],"")</f>
        <v/>
      </c>
      <c r="N1050" t="str">
        <f>IF(Table2[[#This Row],[Stock Gap]]&lt;0, "Understock","Okay")</f>
        <v>Okay</v>
      </c>
      <c r="O1050" s="13" t="str">
        <f>IF(Table2[[#This Row],[Stock Gap]]&lt;0, "Yes", "No")</f>
        <v>No</v>
      </c>
      <c r="P1050" s="13" t="str">
        <f>IF(Table2[[#This Row],[CurrentStock]]&lt;Table2[[#This Row],[ReorderLevel]],"Reorder", "Okay")</f>
        <v>Okay</v>
      </c>
      <c r="Q1050" s="13" t="str">
        <f>IF(Table2[[#This Row],[CurrentStock]]&gt;Table2[[#This Row],[ReorderLevel]]*3, "Overstock", "Okay")</f>
        <v>Overstock</v>
      </c>
    </row>
    <row r="1051" spans="1:17" x14ac:dyDescent="0.35">
      <c r="A1051">
        <v>22109</v>
      </c>
      <c r="B1051" t="s">
        <v>18</v>
      </c>
      <c r="C1051" t="s">
        <v>27</v>
      </c>
      <c r="D1051">
        <v>145</v>
      </c>
      <c r="E1051">
        <v>80</v>
      </c>
      <c r="F1051" s="2">
        <v>336.78</v>
      </c>
      <c r="G1051" t="s">
        <v>31</v>
      </c>
      <c r="H1051" s="1">
        <v>45563</v>
      </c>
      <c r="I1051" s="1">
        <v>45583</v>
      </c>
      <c r="J1051" t="s">
        <v>36</v>
      </c>
      <c r="K1051" s="8">
        <f>Table2[[#This Row],[CurrentStock]]*Table2[[#This Row],[UnitPrice]]</f>
        <v>48833.1</v>
      </c>
      <c r="L1051" t="str">
        <f>IF(Table2[[#This Row],[CurrentStock]]&lt;=Table2[[#This Row],[ReorderLevel]], "Reorder Needed", "Okay")</f>
        <v>Okay</v>
      </c>
      <c r="M1051" t="str">
        <f>IF(Table2[[#This Row],[CurrentStock]]-Table2[[#This Row],[ReorderLevel]]&lt;0,Table2[[#This Row],[CurrentStock]]-Table2[[#This Row],[ReorderLevel]],"")</f>
        <v/>
      </c>
      <c r="N1051" t="str">
        <f>IF(Table2[[#This Row],[Stock Gap]]&lt;0, "Understock","Okay")</f>
        <v>Okay</v>
      </c>
      <c r="O1051" s="13" t="str">
        <f>IF(Table2[[#This Row],[Stock Gap]]&lt;0, "Yes", "No")</f>
        <v>No</v>
      </c>
      <c r="P1051" s="13" t="str">
        <f>IF(Table2[[#This Row],[CurrentStock]]&lt;Table2[[#This Row],[ReorderLevel]],"Reorder", "Okay")</f>
        <v>Okay</v>
      </c>
      <c r="Q1051" s="13" t="str">
        <f>IF(Table2[[#This Row],[CurrentStock]]&gt;Table2[[#This Row],[ReorderLevel]]*3, "Overstock", "Okay")</f>
        <v>Okay</v>
      </c>
    </row>
    <row r="1052" spans="1:17" x14ac:dyDescent="0.35">
      <c r="A1052">
        <v>27040</v>
      </c>
      <c r="B1052" t="s">
        <v>11</v>
      </c>
      <c r="C1052" t="s">
        <v>27</v>
      </c>
      <c r="D1052">
        <v>149</v>
      </c>
      <c r="E1052">
        <v>40</v>
      </c>
      <c r="F1052" s="2">
        <v>24.34</v>
      </c>
      <c r="G1052" t="s">
        <v>35</v>
      </c>
      <c r="H1052" s="1">
        <v>45320</v>
      </c>
      <c r="I1052" s="1">
        <v>45340</v>
      </c>
      <c r="J1052" t="s">
        <v>37</v>
      </c>
      <c r="K1052" s="8">
        <f>Table2[[#This Row],[CurrentStock]]*Table2[[#This Row],[UnitPrice]]</f>
        <v>3626.66</v>
      </c>
      <c r="L1052" t="str">
        <f>IF(Table2[[#This Row],[CurrentStock]]&lt;=Table2[[#This Row],[ReorderLevel]], "Reorder Needed", "Okay")</f>
        <v>Okay</v>
      </c>
      <c r="M1052" t="str">
        <f>IF(Table2[[#This Row],[CurrentStock]]-Table2[[#This Row],[ReorderLevel]]&lt;0,Table2[[#This Row],[CurrentStock]]-Table2[[#This Row],[ReorderLevel]],"")</f>
        <v/>
      </c>
      <c r="N1052" t="str">
        <f>IF(Table2[[#This Row],[Stock Gap]]&lt;0, "Understock","Okay")</f>
        <v>Okay</v>
      </c>
      <c r="O1052" s="13" t="str">
        <f>IF(Table2[[#This Row],[Stock Gap]]&lt;0, "Yes", "No")</f>
        <v>No</v>
      </c>
      <c r="P1052" s="13" t="str">
        <f>IF(Table2[[#This Row],[CurrentStock]]&lt;Table2[[#This Row],[ReorderLevel]],"Reorder", "Okay")</f>
        <v>Okay</v>
      </c>
      <c r="Q1052" s="13" t="str">
        <f>IF(Table2[[#This Row],[CurrentStock]]&gt;Table2[[#This Row],[ReorderLevel]]*3, "Overstock", "Okay")</f>
        <v>Overstock</v>
      </c>
    </row>
    <row r="1053" spans="1:17" x14ac:dyDescent="0.35">
      <c r="A1053">
        <v>39048</v>
      </c>
      <c r="B1053" t="s">
        <v>17</v>
      </c>
      <c r="C1053" t="s">
        <v>27</v>
      </c>
      <c r="D1053">
        <v>327</v>
      </c>
      <c r="E1053">
        <v>80</v>
      </c>
      <c r="F1053" s="2">
        <v>50.67</v>
      </c>
      <c r="G1053" t="s">
        <v>32</v>
      </c>
      <c r="H1053" s="1">
        <v>45550</v>
      </c>
      <c r="I1053" s="1">
        <v>45589</v>
      </c>
      <c r="J1053" t="s">
        <v>36</v>
      </c>
      <c r="K1053" s="8">
        <f>Table2[[#This Row],[CurrentStock]]*Table2[[#This Row],[UnitPrice]]</f>
        <v>16569.09</v>
      </c>
      <c r="L1053" t="str">
        <f>IF(Table2[[#This Row],[CurrentStock]]&lt;=Table2[[#This Row],[ReorderLevel]], "Reorder Needed", "Okay")</f>
        <v>Okay</v>
      </c>
      <c r="M1053" t="str">
        <f>IF(Table2[[#This Row],[CurrentStock]]-Table2[[#This Row],[ReorderLevel]]&lt;0,Table2[[#This Row],[CurrentStock]]-Table2[[#This Row],[ReorderLevel]],"")</f>
        <v/>
      </c>
      <c r="N1053" t="str">
        <f>IF(Table2[[#This Row],[Stock Gap]]&lt;0, "Understock","Okay")</f>
        <v>Okay</v>
      </c>
      <c r="O1053" s="13" t="str">
        <f>IF(Table2[[#This Row],[Stock Gap]]&lt;0, "Yes", "No")</f>
        <v>No</v>
      </c>
      <c r="P1053" s="13" t="str">
        <f>IF(Table2[[#This Row],[CurrentStock]]&lt;Table2[[#This Row],[ReorderLevel]],"Reorder", "Okay")</f>
        <v>Okay</v>
      </c>
      <c r="Q1053" s="13" t="str">
        <f>IF(Table2[[#This Row],[CurrentStock]]&gt;Table2[[#This Row],[ReorderLevel]]*3, "Overstock", "Okay")</f>
        <v>Overstock</v>
      </c>
    </row>
    <row r="1054" spans="1:17" x14ac:dyDescent="0.35">
      <c r="A1054">
        <v>37703</v>
      </c>
      <c r="B1054" t="s">
        <v>11</v>
      </c>
      <c r="C1054" t="s">
        <v>27</v>
      </c>
      <c r="D1054">
        <v>433</v>
      </c>
      <c r="E1054">
        <v>80</v>
      </c>
      <c r="F1054" s="2">
        <v>376.58</v>
      </c>
      <c r="G1054" t="s">
        <v>32</v>
      </c>
      <c r="H1054" s="1">
        <v>45391</v>
      </c>
      <c r="I1054" s="1">
        <v>45412</v>
      </c>
      <c r="J1054" t="s">
        <v>38</v>
      </c>
      <c r="K1054" s="8">
        <f>Table2[[#This Row],[CurrentStock]]*Table2[[#This Row],[UnitPrice]]</f>
        <v>163059.13999999998</v>
      </c>
      <c r="L1054" t="str">
        <f>IF(Table2[[#This Row],[CurrentStock]]&lt;=Table2[[#This Row],[ReorderLevel]], "Reorder Needed", "Okay")</f>
        <v>Okay</v>
      </c>
      <c r="M1054" t="str">
        <f>IF(Table2[[#This Row],[CurrentStock]]-Table2[[#This Row],[ReorderLevel]]&lt;0,Table2[[#This Row],[CurrentStock]]-Table2[[#This Row],[ReorderLevel]],"")</f>
        <v/>
      </c>
      <c r="N1054" t="str">
        <f>IF(Table2[[#This Row],[Stock Gap]]&lt;0, "Understock","Okay")</f>
        <v>Okay</v>
      </c>
      <c r="O1054" s="13" t="str">
        <f>IF(Table2[[#This Row],[Stock Gap]]&lt;0, "Yes", "No")</f>
        <v>No</v>
      </c>
      <c r="P1054" s="13" t="str">
        <f>IF(Table2[[#This Row],[CurrentStock]]&lt;Table2[[#This Row],[ReorderLevel]],"Reorder", "Okay")</f>
        <v>Okay</v>
      </c>
      <c r="Q1054" s="13" t="str">
        <f>IF(Table2[[#This Row],[CurrentStock]]&gt;Table2[[#This Row],[ReorderLevel]]*3, "Overstock", "Okay")</f>
        <v>Overstock</v>
      </c>
    </row>
    <row r="1055" spans="1:17" x14ac:dyDescent="0.35">
      <c r="A1055">
        <v>93509</v>
      </c>
      <c r="B1055" t="s">
        <v>19</v>
      </c>
      <c r="C1055" t="s">
        <v>28</v>
      </c>
      <c r="D1055">
        <v>141</v>
      </c>
      <c r="E1055">
        <v>40</v>
      </c>
      <c r="F1055" s="2">
        <v>26.7</v>
      </c>
      <c r="G1055" t="s">
        <v>32</v>
      </c>
      <c r="H1055" s="1">
        <v>45385</v>
      </c>
      <c r="I1055" s="1">
        <v>45412</v>
      </c>
      <c r="J1055" t="s">
        <v>36</v>
      </c>
      <c r="K1055" s="8">
        <f>Table2[[#This Row],[CurrentStock]]*Table2[[#This Row],[UnitPrice]]</f>
        <v>3764.7</v>
      </c>
      <c r="L1055" t="str">
        <f>IF(Table2[[#This Row],[CurrentStock]]&lt;=Table2[[#This Row],[ReorderLevel]], "Reorder Needed", "Okay")</f>
        <v>Okay</v>
      </c>
      <c r="M1055" t="str">
        <f>IF(Table2[[#This Row],[CurrentStock]]-Table2[[#This Row],[ReorderLevel]]&lt;0,Table2[[#This Row],[CurrentStock]]-Table2[[#This Row],[ReorderLevel]],"")</f>
        <v/>
      </c>
      <c r="N1055" t="str">
        <f>IF(Table2[[#This Row],[Stock Gap]]&lt;0, "Understock","Okay")</f>
        <v>Okay</v>
      </c>
      <c r="O1055" s="13" t="str">
        <f>IF(Table2[[#This Row],[Stock Gap]]&lt;0, "Yes", "No")</f>
        <v>No</v>
      </c>
      <c r="P1055" s="13" t="str">
        <f>IF(Table2[[#This Row],[CurrentStock]]&lt;Table2[[#This Row],[ReorderLevel]],"Reorder", "Okay")</f>
        <v>Okay</v>
      </c>
      <c r="Q1055" s="13" t="str">
        <f>IF(Table2[[#This Row],[CurrentStock]]&gt;Table2[[#This Row],[ReorderLevel]]*3, "Overstock", "Okay")</f>
        <v>Overstock</v>
      </c>
    </row>
    <row r="1056" spans="1:17" x14ac:dyDescent="0.35">
      <c r="A1056">
        <v>71142</v>
      </c>
      <c r="B1056" t="s">
        <v>16</v>
      </c>
      <c r="C1056" t="s">
        <v>29</v>
      </c>
      <c r="D1056">
        <v>40</v>
      </c>
      <c r="E1056">
        <v>30</v>
      </c>
      <c r="F1056" s="2">
        <v>181.11</v>
      </c>
      <c r="G1056" t="s">
        <v>33</v>
      </c>
      <c r="H1056" s="1">
        <v>45520</v>
      </c>
      <c r="I1056" s="1">
        <v>45546</v>
      </c>
      <c r="J1056" t="s">
        <v>36</v>
      </c>
      <c r="K1056" s="8">
        <f>Table2[[#This Row],[CurrentStock]]*Table2[[#This Row],[UnitPrice]]</f>
        <v>7244.4000000000005</v>
      </c>
      <c r="L1056" t="str">
        <f>IF(Table2[[#This Row],[CurrentStock]]&lt;=Table2[[#This Row],[ReorderLevel]], "Reorder Needed", "Okay")</f>
        <v>Okay</v>
      </c>
      <c r="M1056" t="str">
        <f>IF(Table2[[#This Row],[CurrentStock]]-Table2[[#This Row],[ReorderLevel]]&lt;0,Table2[[#This Row],[CurrentStock]]-Table2[[#This Row],[ReorderLevel]],"")</f>
        <v/>
      </c>
      <c r="N1056" t="str">
        <f>IF(Table2[[#This Row],[Stock Gap]]&lt;0, "Understock","Okay")</f>
        <v>Okay</v>
      </c>
      <c r="O1056" s="13" t="str">
        <f>IF(Table2[[#This Row],[Stock Gap]]&lt;0, "Yes", "No")</f>
        <v>No</v>
      </c>
      <c r="P1056" s="13" t="str">
        <f>IF(Table2[[#This Row],[CurrentStock]]&lt;Table2[[#This Row],[ReorderLevel]],"Reorder", "Okay")</f>
        <v>Okay</v>
      </c>
      <c r="Q1056" s="13" t="str">
        <f>IF(Table2[[#This Row],[CurrentStock]]&gt;Table2[[#This Row],[ReorderLevel]]*3, "Overstock", "Okay")</f>
        <v>Okay</v>
      </c>
    </row>
    <row r="1057" spans="1:17" x14ac:dyDescent="0.35">
      <c r="A1057">
        <v>93591</v>
      </c>
      <c r="B1057" t="s">
        <v>11</v>
      </c>
      <c r="C1057" t="s">
        <v>27</v>
      </c>
      <c r="D1057">
        <v>479</v>
      </c>
      <c r="E1057">
        <v>30</v>
      </c>
      <c r="F1057" s="2">
        <v>77.989999999999995</v>
      </c>
      <c r="G1057" t="s">
        <v>31</v>
      </c>
      <c r="H1057" s="1">
        <v>45633</v>
      </c>
      <c r="I1057" s="1">
        <v>45650</v>
      </c>
      <c r="J1057" t="s">
        <v>36</v>
      </c>
      <c r="K1057" s="8">
        <f>Table2[[#This Row],[CurrentStock]]*Table2[[#This Row],[UnitPrice]]</f>
        <v>37357.21</v>
      </c>
      <c r="L1057" t="str">
        <f>IF(Table2[[#This Row],[CurrentStock]]&lt;=Table2[[#This Row],[ReorderLevel]], "Reorder Needed", "Okay")</f>
        <v>Okay</v>
      </c>
      <c r="M1057" t="str">
        <f>IF(Table2[[#This Row],[CurrentStock]]-Table2[[#This Row],[ReorderLevel]]&lt;0,Table2[[#This Row],[CurrentStock]]-Table2[[#This Row],[ReorderLevel]],"")</f>
        <v/>
      </c>
      <c r="N1057" t="str">
        <f>IF(Table2[[#This Row],[Stock Gap]]&lt;0, "Understock","Okay")</f>
        <v>Okay</v>
      </c>
      <c r="O1057" s="13" t="str">
        <f>IF(Table2[[#This Row],[Stock Gap]]&lt;0, "Yes", "No")</f>
        <v>No</v>
      </c>
      <c r="P1057" s="13" t="str">
        <f>IF(Table2[[#This Row],[CurrentStock]]&lt;Table2[[#This Row],[ReorderLevel]],"Reorder", "Okay")</f>
        <v>Okay</v>
      </c>
      <c r="Q1057" s="13" t="str">
        <f>IF(Table2[[#This Row],[CurrentStock]]&gt;Table2[[#This Row],[ReorderLevel]]*3, "Overstock", "Okay")</f>
        <v>Overstock</v>
      </c>
    </row>
    <row r="1058" spans="1:17" x14ac:dyDescent="0.35">
      <c r="A1058">
        <v>29159</v>
      </c>
      <c r="B1058" t="s">
        <v>17</v>
      </c>
      <c r="C1058" t="s">
        <v>27</v>
      </c>
      <c r="D1058">
        <v>460</v>
      </c>
      <c r="E1058">
        <v>150</v>
      </c>
      <c r="F1058" s="2">
        <v>241.11</v>
      </c>
      <c r="G1058" t="s">
        <v>35</v>
      </c>
      <c r="H1058" s="1">
        <v>45545</v>
      </c>
      <c r="I1058" s="1">
        <v>45556</v>
      </c>
      <c r="J1058" t="s">
        <v>36</v>
      </c>
      <c r="K1058" s="8">
        <f>Table2[[#This Row],[CurrentStock]]*Table2[[#This Row],[UnitPrice]]</f>
        <v>110910.6</v>
      </c>
      <c r="L1058" t="str">
        <f>IF(Table2[[#This Row],[CurrentStock]]&lt;=Table2[[#This Row],[ReorderLevel]], "Reorder Needed", "Okay")</f>
        <v>Okay</v>
      </c>
      <c r="M1058" t="str">
        <f>IF(Table2[[#This Row],[CurrentStock]]-Table2[[#This Row],[ReorderLevel]]&lt;0,Table2[[#This Row],[CurrentStock]]-Table2[[#This Row],[ReorderLevel]],"")</f>
        <v/>
      </c>
      <c r="N1058" t="str">
        <f>IF(Table2[[#This Row],[Stock Gap]]&lt;0, "Understock","Okay")</f>
        <v>Okay</v>
      </c>
      <c r="O1058" s="13" t="str">
        <f>IF(Table2[[#This Row],[Stock Gap]]&lt;0, "Yes", "No")</f>
        <v>No</v>
      </c>
      <c r="P1058" s="13" t="str">
        <f>IF(Table2[[#This Row],[CurrentStock]]&lt;Table2[[#This Row],[ReorderLevel]],"Reorder", "Okay")</f>
        <v>Okay</v>
      </c>
      <c r="Q1058" s="13" t="str">
        <f>IF(Table2[[#This Row],[CurrentStock]]&gt;Table2[[#This Row],[ReorderLevel]]*3, "Overstock", "Okay")</f>
        <v>Overstock</v>
      </c>
    </row>
    <row r="1059" spans="1:17" x14ac:dyDescent="0.35">
      <c r="A1059">
        <v>20532</v>
      </c>
      <c r="B1059" t="s">
        <v>11</v>
      </c>
      <c r="C1059" t="s">
        <v>27</v>
      </c>
      <c r="D1059">
        <v>72</v>
      </c>
      <c r="E1059">
        <v>100</v>
      </c>
      <c r="F1059" s="2">
        <v>142.33000000000001</v>
      </c>
      <c r="G1059" t="s">
        <v>35</v>
      </c>
      <c r="H1059" s="1">
        <v>45499</v>
      </c>
      <c r="I1059" s="1">
        <v>45524</v>
      </c>
      <c r="J1059" t="s">
        <v>36</v>
      </c>
      <c r="K1059" s="8">
        <f>Table2[[#This Row],[CurrentStock]]*Table2[[#This Row],[UnitPrice]]</f>
        <v>10247.76</v>
      </c>
      <c r="L1059" t="str">
        <f>IF(Table2[[#This Row],[CurrentStock]]&lt;=Table2[[#This Row],[ReorderLevel]], "Reorder Needed", "Okay")</f>
        <v>Reorder Needed</v>
      </c>
      <c r="M1059" s="7">
        <f>IF(Table2[[#This Row],[CurrentStock]]-Table2[[#This Row],[ReorderLevel]]&lt;0,Table2[[#This Row],[CurrentStock]]-Table2[[#This Row],[ReorderLevel]],"")</f>
        <v>-28</v>
      </c>
      <c r="N1059" t="str">
        <f>IF(Table2[[#This Row],[Stock Gap]]&lt;0, "Understock","Okay")</f>
        <v>Understock</v>
      </c>
      <c r="O1059" s="13" t="str">
        <f>IF(Table2[[#This Row],[Stock Gap]]&lt;0, "Yes", "No")</f>
        <v>Yes</v>
      </c>
      <c r="P1059" s="13" t="str">
        <f>IF(Table2[[#This Row],[CurrentStock]]&lt;Table2[[#This Row],[ReorderLevel]],"Reorder", "Okay")</f>
        <v>Reorder</v>
      </c>
      <c r="Q1059" s="13" t="str">
        <f>IF(Table2[[#This Row],[CurrentStock]]&gt;Table2[[#This Row],[ReorderLevel]]*3, "Overstock", "Okay")</f>
        <v>Okay</v>
      </c>
    </row>
    <row r="1060" spans="1:17" x14ac:dyDescent="0.35">
      <c r="A1060">
        <v>84142</v>
      </c>
      <c r="B1060" t="s">
        <v>15</v>
      </c>
      <c r="C1060" t="s">
        <v>29</v>
      </c>
      <c r="D1060">
        <v>109</v>
      </c>
      <c r="E1060">
        <v>40</v>
      </c>
      <c r="F1060" s="2">
        <v>493.23</v>
      </c>
      <c r="G1060" t="s">
        <v>34</v>
      </c>
      <c r="H1060" s="1">
        <v>45445</v>
      </c>
      <c r="I1060" s="1">
        <v>45459</v>
      </c>
      <c r="J1060" t="s">
        <v>36</v>
      </c>
      <c r="K1060" s="8">
        <f>Table2[[#This Row],[CurrentStock]]*Table2[[#This Row],[UnitPrice]]</f>
        <v>53762.07</v>
      </c>
      <c r="L1060" t="str">
        <f>IF(Table2[[#This Row],[CurrentStock]]&lt;=Table2[[#This Row],[ReorderLevel]], "Reorder Needed", "Okay")</f>
        <v>Okay</v>
      </c>
      <c r="M1060" t="str">
        <f>IF(Table2[[#This Row],[CurrentStock]]-Table2[[#This Row],[ReorderLevel]]&lt;0,Table2[[#This Row],[CurrentStock]]-Table2[[#This Row],[ReorderLevel]],"")</f>
        <v/>
      </c>
      <c r="N1060" t="str">
        <f>IF(Table2[[#This Row],[Stock Gap]]&lt;0, "Understock","Okay")</f>
        <v>Okay</v>
      </c>
      <c r="O1060" s="13" t="str">
        <f>IF(Table2[[#This Row],[Stock Gap]]&lt;0, "Yes", "No")</f>
        <v>No</v>
      </c>
      <c r="P1060" s="13" t="str">
        <f>IF(Table2[[#This Row],[CurrentStock]]&lt;Table2[[#This Row],[ReorderLevel]],"Reorder", "Okay")</f>
        <v>Okay</v>
      </c>
      <c r="Q1060" s="13" t="str">
        <f>IF(Table2[[#This Row],[CurrentStock]]&gt;Table2[[#This Row],[ReorderLevel]]*3, "Overstock", "Okay")</f>
        <v>Okay</v>
      </c>
    </row>
    <row r="1061" spans="1:17" x14ac:dyDescent="0.35">
      <c r="A1061">
        <v>61939</v>
      </c>
      <c r="B1061" t="s">
        <v>25</v>
      </c>
      <c r="C1061" t="s">
        <v>29</v>
      </c>
      <c r="D1061">
        <v>256</v>
      </c>
      <c r="E1061">
        <v>150</v>
      </c>
      <c r="F1061" s="2">
        <v>465.11</v>
      </c>
      <c r="G1061" t="s">
        <v>31</v>
      </c>
      <c r="H1061" s="1">
        <v>45358</v>
      </c>
      <c r="I1061" s="1">
        <v>45369</v>
      </c>
      <c r="J1061" t="s">
        <v>37</v>
      </c>
      <c r="K1061" s="8">
        <f>Table2[[#This Row],[CurrentStock]]*Table2[[#This Row],[UnitPrice]]</f>
        <v>119068.16</v>
      </c>
      <c r="L1061" t="str">
        <f>IF(Table2[[#This Row],[CurrentStock]]&lt;=Table2[[#This Row],[ReorderLevel]], "Reorder Needed", "Okay")</f>
        <v>Okay</v>
      </c>
      <c r="M1061" t="str">
        <f>IF(Table2[[#This Row],[CurrentStock]]-Table2[[#This Row],[ReorderLevel]]&lt;0,Table2[[#This Row],[CurrentStock]]-Table2[[#This Row],[ReorderLevel]],"")</f>
        <v/>
      </c>
      <c r="N1061" t="str">
        <f>IF(Table2[[#This Row],[Stock Gap]]&lt;0, "Understock","Okay")</f>
        <v>Okay</v>
      </c>
      <c r="O1061" s="13" t="str">
        <f>IF(Table2[[#This Row],[Stock Gap]]&lt;0, "Yes", "No")</f>
        <v>No</v>
      </c>
      <c r="P1061" s="13" t="str">
        <f>IF(Table2[[#This Row],[CurrentStock]]&lt;Table2[[#This Row],[ReorderLevel]],"Reorder", "Okay")</f>
        <v>Okay</v>
      </c>
      <c r="Q1061" s="13" t="str">
        <f>IF(Table2[[#This Row],[CurrentStock]]&gt;Table2[[#This Row],[ReorderLevel]]*3, "Overstock", "Okay")</f>
        <v>Okay</v>
      </c>
    </row>
    <row r="1062" spans="1:17" x14ac:dyDescent="0.35">
      <c r="A1062">
        <v>19628</v>
      </c>
      <c r="B1062" t="s">
        <v>19</v>
      </c>
      <c r="C1062" t="s">
        <v>28</v>
      </c>
      <c r="D1062">
        <v>29</v>
      </c>
      <c r="E1062">
        <v>150</v>
      </c>
      <c r="F1062" s="2">
        <v>139.78</v>
      </c>
      <c r="G1062" t="s">
        <v>32</v>
      </c>
      <c r="H1062" s="1">
        <v>45607</v>
      </c>
      <c r="I1062" s="1">
        <v>45612</v>
      </c>
      <c r="J1062" t="s">
        <v>36</v>
      </c>
      <c r="K1062" s="8">
        <f>Table2[[#This Row],[CurrentStock]]*Table2[[#This Row],[UnitPrice]]</f>
        <v>4053.62</v>
      </c>
      <c r="L1062" t="str">
        <f>IF(Table2[[#This Row],[CurrentStock]]&lt;=Table2[[#This Row],[ReorderLevel]], "Reorder Needed", "Okay")</f>
        <v>Reorder Needed</v>
      </c>
      <c r="M1062" s="7">
        <f>IF(Table2[[#This Row],[CurrentStock]]-Table2[[#This Row],[ReorderLevel]]&lt;0,Table2[[#This Row],[CurrentStock]]-Table2[[#This Row],[ReorderLevel]],"")</f>
        <v>-121</v>
      </c>
      <c r="N1062" t="str">
        <f>IF(Table2[[#This Row],[Stock Gap]]&lt;0, "Understock","Okay")</f>
        <v>Understock</v>
      </c>
      <c r="O1062" s="13" t="str">
        <f>IF(Table2[[#This Row],[Stock Gap]]&lt;0, "Yes", "No")</f>
        <v>Yes</v>
      </c>
      <c r="P1062" s="13" t="str">
        <f>IF(Table2[[#This Row],[CurrentStock]]&lt;Table2[[#This Row],[ReorderLevel]],"Reorder", "Okay")</f>
        <v>Reorder</v>
      </c>
      <c r="Q1062" s="13" t="str">
        <f>IF(Table2[[#This Row],[CurrentStock]]&gt;Table2[[#This Row],[ReorderLevel]]*3, "Overstock", "Okay")</f>
        <v>Okay</v>
      </c>
    </row>
    <row r="1063" spans="1:17" x14ac:dyDescent="0.35">
      <c r="A1063">
        <v>51679</v>
      </c>
      <c r="B1063" t="s">
        <v>12</v>
      </c>
      <c r="C1063" t="s">
        <v>28</v>
      </c>
      <c r="D1063">
        <v>291</v>
      </c>
      <c r="E1063">
        <v>40</v>
      </c>
      <c r="F1063" s="2">
        <v>468.32</v>
      </c>
      <c r="G1063" t="s">
        <v>33</v>
      </c>
      <c r="H1063" s="1">
        <v>45526</v>
      </c>
      <c r="I1063" s="1">
        <v>45556</v>
      </c>
      <c r="J1063" t="s">
        <v>36</v>
      </c>
      <c r="K1063" s="8">
        <f>Table2[[#This Row],[CurrentStock]]*Table2[[#This Row],[UnitPrice]]</f>
        <v>136281.12</v>
      </c>
      <c r="L1063" t="str">
        <f>IF(Table2[[#This Row],[CurrentStock]]&lt;=Table2[[#This Row],[ReorderLevel]], "Reorder Needed", "Okay")</f>
        <v>Okay</v>
      </c>
      <c r="M1063" t="str">
        <f>IF(Table2[[#This Row],[CurrentStock]]-Table2[[#This Row],[ReorderLevel]]&lt;0,Table2[[#This Row],[CurrentStock]]-Table2[[#This Row],[ReorderLevel]],"")</f>
        <v/>
      </c>
      <c r="N1063" t="str">
        <f>IF(Table2[[#This Row],[Stock Gap]]&lt;0, "Understock","Okay")</f>
        <v>Okay</v>
      </c>
      <c r="O1063" s="13" t="str">
        <f>IF(Table2[[#This Row],[Stock Gap]]&lt;0, "Yes", "No")</f>
        <v>No</v>
      </c>
      <c r="P1063" s="13" t="str">
        <f>IF(Table2[[#This Row],[CurrentStock]]&lt;Table2[[#This Row],[ReorderLevel]],"Reorder", "Okay")</f>
        <v>Okay</v>
      </c>
      <c r="Q1063" s="13" t="str">
        <f>IF(Table2[[#This Row],[CurrentStock]]&gt;Table2[[#This Row],[ReorderLevel]]*3, "Overstock", "Okay")</f>
        <v>Overstock</v>
      </c>
    </row>
    <row r="1064" spans="1:17" x14ac:dyDescent="0.35">
      <c r="A1064">
        <v>27165</v>
      </c>
      <c r="B1064" t="s">
        <v>9</v>
      </c>
      <c r="C1064" t="s">
        <v>26</v>
      </c>
      <c r="D1064">
        <v>160</v>
      </c>
      <c r="E1064">
        <v>80</v>
      </c>
      <c r="F1064" s="2">
        <v>376.64</v>
      </c>
      <c r="G1064" t="s">
        <v>33</v>
      </c>
      <c r="H1064" s="1">
        <v>45382</v>
      </c>
      <c r="I1064" s="1">
        <v>45409</v>
      </c>
      <c r="J1064" t="s">
        <v>37</v>
      </c>
      <c r="K1064" s="8">
        <f>Table2[[#This Row],[CurrentStock]]*Table2[[#This Row],[UnitPrice]]</f>
        <v>60262.399999999994</v>
      </c>
      <c r="L1064" t="str">
        <f>IF(Table2[[#This Row],[CurrentStock]]&lt;=Table2[[#This Row],[ReorderLevel]], "Reorder Needed", "Okay")</f>
        <v>Okay</v>
      </c>
      <c r="M1064" t="str">
        <f>IF(Table2[[#This Row],[CurrentStock]]-Table2[[#This Row],[ReorderLevel]]&lt;0,Table2[[#This Row],[CurrentStock]]-Table2[[#This Row],[ReorderLevel]],"")</f>
        <v/>
      </c>
      <c r="N1064" t="str">
        <f>IF(Table2[[#This Row],[Stock Gap]]&lt;0, "Understock","Okay")</f>
        <v>Okay</v>
      </c>
      <c r="O1064" s="13" t="str">
        <f>IF(Table2[[#This Row],[Stock Gap]]&lt;0, "Yes", "No")</f>
        <v>No</v>
      </c>
      <c r="P1064" s="13" t="str">
        <f>IF(Table2[[#This Row],[CurrentStock]]&lt;Table2[[#This Row],[ReorderLevel]],"Reorder", "Okay")</f>
        <v>Okay</v>
      </c>
      <c r="Q1064" s="13" t="str">
        <f>IF(Table2[[#This Row],[CurrentStock]]&gt;Table2[[#This Row],[ReorderLevel]]*3, "Overstock", "Okay")</f>
        <v>Okay</v>
      </c>
    </row>
    <row r="1065" spans="1:17" x14ac:dyDescent="0.35">
      <c r="A1065">
        <v>29464</v>
      </c>
      <c r="B1065" t="s">
        <v>21</v>
      </c>
      <c r="C1065" t="s">
        <v>26</v>
      </c>
      <c r="D1065">
        <v>174</v>
      </c>
      <c r="E1065">
        <v>100</v>
      </c>
      <c r="F1065" s="2">
        <v>382.21</v>
      </c>
      <c r="G1065" t="s">
        <v>35</v>
      </c>
      <c r="H1065" s="1">
        <v>45502</v>
      </c>
      <c r="I1065" s="1">
        <v>45537</v>
      </c>
      <c r="J1065" t="s">
        <v>36</v>
      </c>
      <c r="K1065" s="8">
        <f>Table2[[#This Row],[CurrentStock]]*Table2[[#This Row],[UnitPrice]]</f>
        <v>66504.539999999994</v>
      </c>
      <c r="L1065" t="str">
        <f>IF(Table2[[#This Row],[CurrentStock]]&lt;=Table2[[#This Row],[ReorderLevel]], "Reorder Needed", "Okay")</f>
        <v>Okay</v>
      </c>
      <c r="M1065" t="str">
        <f>IF(Table2[[#This Row],[CurrentStock]]-Table2[[#This Row],[ReorderLevel]]&lt;0,Table2[[#This Row],[CurrentStock]]-Table2[[#This Row],[ReorderLevel]],"")</f>
        <v/>
      </c>
      <c r="N1065" t="str">
        <f>IF(Table2[[#This Row],[Stock Gap]]&lt;0, "Understock","Okay")</f>
        <v>Okay</v>
      </c>
      <c r="O1065" s="13" t="str">
        <f>IF(Table2[[#This Row],[Stock Gap]]&lt;0, "Yes", "No")</f>
        <v>No</v>
      </c>
      <c r="P1065" s="13" t="str">
        <f>IF(Table2[[#This Row],[CurrentStock]]&lt;Table2[[#This Row],[ReorderLevel]],"Reorder", "Okay")</f>
        <v>Okay</v>
      </c>
      <c r="Q1065" s="13" t="str">
        <f>IF(Table2[[#This Row],[CurrentStock]]&gt;Table2[[#This Row],[ReorderLevel]]*3, "Overstock", "Okay")</f>
        <v>Okay</v>
      </c>
    </row>
    <row r="1066" spans="1:17" x14ac:dyDescent="0.35">
      <c r="A1066">
        <v>92970</v>
      </c>
      <c r="B1066" t="s">
        <v>13</v>
      </c>
      <c r="C1066" t="s">
        <v>26</v>
      </c>
      <c r="D1066">
        <v>309</v>
      </c>
      <c r="E1066">
        <v>30</v>
      </c>
      <c r="F1066" s="2">
        <v>40.83</v>
      </c>
      <c r="G1066" t="s">
        <v>32</v>
      </c>
      <c r="H1066" s="1">
        <v>45456</v>
      </c>
      <c r="I1066" s="1">
        <v>45483</v>
      </c>
      <c r="J1066" t="s">
        <v>38</v>
      </c>
      <c r="K1066" s="8">
        <f>Table2[[#This Row],[CurrentStock]]*Table2[[#This Row],[UnitPrice]]</f>
        <v>12616.47</v>
      </c>
      <c r="L1066" t="str">
        <f>IF(Table2[[#This Row],[CurrentStock]]&lt;=Table2[[#This Row],[ReorderLevel]], "Reorder Needed", "Okay")</f>
        <v>Okay</v>
      </c>
      <c r="M1066" t="str">
        <f>IF(Table2[[#This Row],[CurrentStock]]-Table2[[#This Row],[ReorderLevel]]&lt;0,Table2[[#This Row],[CurrentStock]]-Table2[[#This Row],[ReorderLevel]],"")</f>
        <v/>
      </c>
      <c r="N1066" t="str">
        <f>IF(Table2[[#This Row],[Stock Gap]]&lt;0, "Understock","Okay")</f>
        <v>Okay</v>
      </c>
      <c r="O1066" s="13" t="str">
        <f>IF(Table2[[#This Row],[Stock Gap]]&lt;0, "Yes", "No")</f>
        <v>No</v>
      </c>
      <c r="P1066" s="13" t="str">
        <f>IF(Table2[[#This Row],[CurrentStock]]&lt;Table2[[#This Row],[ReorderLevel]],"Reorder", "Okay")</f>
        <v>Okay</v>
      </c>
      <c r="Q1066" s="13" t="str">
        <f>IF(Table2[[#This Row],[CurrentStock]]&gt;Table2[[#This Row],[ReorderLevel]]*3, "Overstock", "Okay")</f>
        <v>Overstock</v>
      </c>
    </row>
    <row r="1067" spans="1:17" x14ac:dyDescent="0.35">
      <c r="A1067">
        <v>46135</v>
      </c>
      <c r="B1067" t="s">
        <v>25</v>
      </c>
      <c r="C1067" t="s">
        <v>29</v>
      </c>
      <c r="D1067">
        <v>332</v>
      </c>
      <c r="E1067">
        <v>40</v>
      </c>
      <c r="F1067" s="2">
        <v>279.26</v>
      </c>
      <c r="G1067" t="s">
        <v>35</v>
      </c>
      <c r="H1067" s="1">
        <v>45310</v>
      </c>
      <c r="I1067" s="1">
        <v>45315</v>
      </c>
      <c r="J1067" t="s">
        <v>38</v>
      </c>
      <c r="K1067" s="8">
        <f>Table2[[#This Row],[CurrentStock]]*Table2[[#This Row],[UnitPrice]]</f>
        <v>92714.319999999992</v>
      </c>
      <c r="L1067" t="str">
        <f>IF(Table2[[#This Row],[CurrentStock]]&lt;=Table2[[#This Row],[ReorderLevel]], "Reorder Needed", "Okay")</f>
        <v>Okay</v>
      </c>
      <c r="M1067" t="str">
        <f>IF(Table2[[#This Row],[CurrentStock]]-Table2[[#This Row],[ReorderLevel]]&lt;0,Table2[[#This Row],[CurrentStock]]-Table2[[#This Row],[ReorderLevel]],"")</f>
        <v/>
      </c>
      <c r="N1067" t="str">
        <f>IF(Table2[[#This Row],[Stock Gap]]&lt;0, "Understock","Okay")</f>
        <v>Okay</v>
      </c>
      <c r="O1067" s="13" t="str">
        <f>IF(Table2[[#This Row],[Stock Gap]]&lt;0, "Yes", "No")</f>
        <v>No</v>
      </c>
      <c r="P1067" s="13" t="str">
        <f>IF(Table2[[#This Row],[CurrentStock]]&lt;Table2[[#This Row],[ReorderLevel]],"Reorder", "Okay")</f>
        <v>Okay</v>
      </c>
      <c r="Q1067" s="13" t="str">
        <f>IF(Table2[[#This Row],[CurrentStock]]&gt;Table2[[#This Row],[ReorderLevel]]*3, "Overstock", "Okay")</f>
        <v>Overstock</v>
      </c>
    </row>
    <row r="1068" spans="1:17" x14ac:dyDescent="0.35">
      <c r="A1068">
        <v>65107</v>
      </c>
      <c r="B1068" t="s">
        <v>19</v>
      </c>
      <c r="C1068" t="s">
        <v>28</v>
      </c>
      <c r="D1068">
        <v>182</v>
      </c>
      <c r="E1068">
        <v>40</v>
      </c>
      <c r="F1068" s="2">
        <v>273.48</v>
      </c>
      <c r="G1068" t="s">
        <v>31</v>
      </c>
      <c r="H1068" s="1">
        <v>45555</v>
      </c>
      <c r="I1068" s="1">
        <v>45581</v>
      </c>
      <c r="J1068" t="s">
        <v>36</v>
      </c>
      <c r="K1068" s="8">
        <f>Table2[[#This Row],[CurrentStock]]*Table2[[#This Row],[UnitPrice]]</f>
        <v>49773.36</v>
      </c>
      <c r="L1068" t="str">
        <f>IF(Table2[[#This Row],[CurrentStock]]&lt;=Table2[[#This Row],[ReorderLevel]], "Reorder Needed", "Okay")</f>
        <v>Okay</v>
      </c>
      <c r="M1068" t="str">
        <f>IF(Table2[[#This Row],[CurrentStock]]-Table2[[#This Row],[ReorderLevel]]&lt;0,Table2[[#This Row],[CurrentStock]]-Table2[[#This Row],[ReorderLevel]],"")</f>
        <v/>
      </c>
      <c r="N1068" t="str">
        <f>IF(Table2[[#This Row],[Stock Gap]]&lt;0, "Understock","Okay")</f>
        <v>Okay</v>
      </c>
      <c r="O1068" s="13" t="str">
        <f>IF(Table2[[#This Row],[Stock Gap]]&lt;0, "Yes", "No")</f>
        <v>No</v>
      </c>
      <c r="P1068" s="13" t="str">
        <f>IF(Table2[[#This Row],[CurrentStock]]&lt;Table2[[#This Row],[ReorderLevel]],"Reorder", "Okay")</f>
        <v>Okay</v>
      </c>
      <c r="Q1068" s="13" t="str">
        <f>IF(Table2[[#This Row],[CurrentStock]]&gt;Table2[[#This Row],[ReorderLevel]]*3, "Overstock", "Okay")</f>
        <v>Overstock</v>
      </c>
    </row>
    <row r="1069" spans="1:17" x14ac:dyDescent="0.35">
      <c r="A1069">
        <v>96555</v>
      </c>
      <c r="B1069" t="s">
        <v>20</v>
      </c>
      <c r="C1069" t="s">
        <v>30</v>
      </c>
      <c r="D1069">
        <v>335</v>
      </c>
      <c r="E1069">
        <v>150</v>
      </c>
      <c r="F1069" s="2">
        <v>318.76</v>
      </c>
      <c r="G1069" t="s">
        <v>33</v>
      </c>
      <c r="H1069" s="1">
        <v>45381</v>
      </c>
      <c r="I1069" s="1">
        <v>45404</v>
      </c>
      <c r="J1069" t="s">
        <v>36</v>
      </c>
      <c r="K1069" s="8">
        <f>Table2[[#This Row],[CurrentStock]]*Table2[[#This Row],[UnitPrice]]</f>
        <v>106784.59999999999</v>
      </c>
      <c r="L1069" t="str">
        <f>IF(Table2[[#This Row],[CurrentStock]]&lt;=Table2[[#This Row],[ReorderLevel]], "Reorder Needed", "Okay")</f>
        <v>Okay</v>
      </c>
      <c r="M1069" t="str">
        <f>IF(Table2[[#This Row],[CurrentStock]]-Table2[[#This Row],[ReorderLevel]]&lt;0,Table2[[#This Row],[CurrentStock]]-Table2[[#This Row],[ReorderLevel]],"")</f>
        <v/>
      </c>
      <c r="N1069" t="str">
        <f>IF(Table2[[#This Row],[Stock Gap]]&lt;0, "Understock","Okay")</f>
        <v>Okay</v>
      </c>
      <c r="O1069" s="13" t="str">
        <f>IF(Table2[[#This Row],[Stock Gap]]&lt;0, "Yes", "No")</f>
        <v>No</v>
      </c>
      <c r="P1069" s="13" t="str">
        <f>IF(Table2[[#This Row],[CurrentStock]]&lt;Table2[[#This Row],[ReorderLevel]],"Reorder", "Okay")</f>
        <v>Okay</v>
      </c>
      <c r="Q1069" s="13" t="str">
        <f>IF(Table2[[#This Row],[CurrentStock]]&gt;Table2[[#This Row],[ReorderLevel]]*3, "Overstock", "Okay")</f>
        <v>Okay</v>
      </c>
    </row>
    <row r="1070" spans="1:17" x14ac:dyDescent="0.35">
      <c r="A1070">
        <v>19001</v>
      </c>
      <c r="B1070" t="s">
        <v>24</v>
      </c>
      <c r="C1070" t="s">
        <v>30</v>
      </c>
      <c r="D1070">
        <v>119</v>
      </c>
      <c r="E1070">
        <v>40</v>
      </c>
      <c r="F1070" s="2">
        <v>234.38</v>
      </c>
      <c r="G1070" t="s">
        <v>34</v>
      </c>
      <c r="H1070" s="1">
        <v>45572</v>
      </c>
      <c r="I1070" s="1">
        <v>45578</v>
      </c>
      <c r="J1070" t="s">
        <v>36</v>
      </c>
      <c r="K1070" s="8">
        <f>Table2[[#This Row],[CurrentStock]]*Table2[[#This Row],[UnitPrice]]</f>
        <v>27891.22</v>
      </c>
      <c r="L1070" t="str">
        <f>IF(Table2[[#This Row],[CurrentStock]]&lt;=Table2[[#This Row],[ReorderLevel]], "Reorder Needed", "Okay")</f>
        <v>Okay</v>
      </c>
      <c r="M1070" t="str">
        <f>IF(Table2[[#This Row],[CurrentStock]]-Table2[[#This Row],[ReorderLevel]]&lt;0,Table2[[#This Row],[CurrentStock]]-Table2[[#This Row],[ReorderLevel]],"")</f>
        <v/>
      </c>
      <c r="N1070" t="str">
        <f>IF(Table2[[#This Row],[Stock Gap]]&lt;0, "Understock","Okay")</f>
        <v>Okay</v>
      </c>
      <c r="O1070" s="13" t="str">
        <f>IF(Table2[[#This Row],[Stock Gap]]&lt;0, "Yes", "No")</f>
        <v>No</v>
      </c>
      <c r="P1070" s="13" t="str">
        <f>IF(Table2[[#This Row],[CurrentStock]]&lt;Table2[[#This Row],[ReorderLevel]],"Reorder", "Okay")</f>
        <v>Okay</v>
      </c>
      <c r="Q1070" s="13" t="str">
        <f>IF(Table2[[#This Row],[CurrentStock]]&gt;Table2[[#This Row],[ReorderLevel]]*3, "Overstock", "Okay")</f>
        <v>Okay</v>
      </c>
    </row>
    <row r="1071" spans="1:17" x14ac:dyDescent="0.35">
      <c r="A1071">
        <v>36797</v>
      </c>
      <c r="B1071" t="s">
        <v>9</v>
      </c>
      <c r="C1071" t="s">
        <v>26</v>
      </c>
      <c r="D1071">
        <v>163</v>
      </c>
      <c r="E1071">
        <v>20</v>
      </c>
      <c r="F1071" s="2">
        <v>445.21</v>
      </c>
      <c r="G1071" t="s">
        <v>34</v>
      </c>
      <c r="H1071" s="1">
        <v>45585</v>
      </c>
      <c r="I1071" s="1">
        <v>45622</v>
      </c>
      <c r="J1071" t="s">
        <v>36</v>
      </c>
      <c r="K1071" s="8">
        <f>Table2[[#This Row],[CurrentStock]]*Table2[[#This Row],[UnitPrice]]</f>
        <v>72569.23</v>
      </c>
      <c r="L1071" t="str">
        <f>IF(Table2[[#This Row],[CurrentStock]]&lt;=Table2[[#This Row],[ReorderLevel]], "Reorder Needed", "Okay")</f>
        <v>Okay</v>
      </c>
      <c r="M1071" t="str">
        <f>IF(Table2[[#This Row],[CurrentStock]]-Table2[[#This Row],[ReorderLevel]]&lt;0,Table2[[#This Row],[CurrentStock]]-Table2[[#This Row],[ReorderLevel]],"")</f>
        <v/>
      </c>
      <c r="N1071" t="str">
        <f>IF(Table2[[#This Row],[Stock Gap]]&lt;0, "Understock","Okay")</f>
        <v>Okay</v>
      </c>
      <c r="O1071" s="13" t="str">
        <f>IF(Table2[[#This Row],[Stock Gap]]&lt;0, "Yes", "No")</f>
        <v>No</v>
      </c>
      <c r="P1071" s="13" t="str">
        <f>IF(Table2[[#This Row],[CurrentStock]]&lt;Table2[[#This Row],[ReorderLevel]],"Reorder", "Okay")</f>
        <v>Okay</v>
      </c>
      <c r="Q1071" s="13" t="str">
        <f>IF(Table2[[#This Row],[CurrentStock]]&gt;Table2[[#This Row],[ReorderLevel]]*3, "Overstock", "Okay")</f>
        <v>Overstock</v>
      </c>
    </row>
    <row r="1072" spans="1:17" x14ac:dyDescent="0.35">
      <c r="A1072">
        <v>26571</v>
      </c>
      <c r="B1072" t="s">
        <v>20</v>
      </c>
      <c r="C1072" t="s">
        <v>30</v>
      </c>
      <c r="D1072">
        <v>337</v>
      </c>
      <c r="E1072">
        <v>50</v>
      </c>
      <c r="F1072" s="2">
        <v>12.19</v>
      </c>
      <c r="G1072" t="s">
        <v>35</v>
      </c>
      <c r="H1072" s="1">
        <v>45467</v>
      </c>
      <c r="I1072" s="1">
        <v>45479</v>
      </c>
      <c r="J1072" t="s">
        <v>36</v>
      </c>
      <c r="K1072" s="8">
        <f>Table2[[#This Row],[CurrentStock]]*Table2[[#This Row],[UnitPrice]]</f>
        <v>4108.03</v>
      </c>
      <c r="L1072" t="str">
        <f>IF(Table2[[#This Row],[CurrentStock]]&lt;=Table2[[#This Row],[ReorderLevel]], "Reorder Needed", "Okay")</f>
        <v>Okay</v>
      </c>
      <c r="M1072" t="str">
        <f>IF(Table2[[#This Row],[CurrentStock]]-Table2[[#This Row],[ReorderLevel]]&lt;0,Table2[[#This Row],[CurrentStock]]-Table2[[#This Row],[ReorderLevel]],"")</f>
        <v/>
      </c>
      <c r="N1072" t="str">
        <f>IF(Table2[[#This Row],[Stock Gap]]&lt;0, "Understock","Okay")</f>
        <v>Okay</v>
      </c>
      <c r="O1072" s="13" t="str">
        <f>IF(Table2[[#This Row],[Stock Gap]]&lt;0, "Yes", "No")</f>
        <v>No</v>
      </c>
      <c r="P1072" s="13" t="str">
        <f>IF(Table2[[#This Row],[CurrentStock]]&lt;Table2[[#This Row],[ReorderLevel]],"Reorder", "Okay")</f>
        <v>Okay</v>
      </c>
      <c r="Q1072" s="13" t="str">
        <f>IF(Table2[[#This Row],[CurrentStock]]&gt;Table2[[#This Row],[ReorderLevel]]*3, "Overstock", "Okay")</f>
        <v>Overstock</v>
      </c>
    </row>
    <row r="1073" spans="1:17" x14ac:dyDescent="0.35">
      <c r="A1073">
        <v>66125</v>
      </c>
      <c r="B1073" t="s">
        <v>11</v>
      </c>
      <c r="C1073" t="s">
        <v>27</v>
      </c>
      <c r="D1073">
        <v>287</v>
      </c>
      <c r="E1073">
        <v>100</v>
      </c>
      <c r="F1073" s="2">
        <v>192.12</v>
      </c>
      <c r="G1073" t="s">
        <v>35</v>
      </c>
      <c r="H1073" s="1">
        <v>45560</v>
      </c>
      <c r="I1073" s="1">
        <v>45587</v>
      </c>
      <c r="J1073" t="s">
        <v>38</v>
      </c>
      <c r="K1073" s="8">
        <f>Table2[[#This Row],[CurrentStock]]*Table2[[#This Row],[UnitPrice]]</f>
        <v>55138.44</v>
      </c>
      <c r="L1073" t="str">
        <f>IF(Table2[[#This Row],[CurrentStock]]&lt;=Table2[[#This Row],[ReorderLevel]], "Reorder Needed", "Okay")</f>
        <v>Okay</v>
      </c>
      <c r="M1073" t="str">
        <f>IF(Table2[[#This Row],[CurrentStock]]-Table2[[#This Row],[ReorderLevel]]&lt;0,Table2[[#This Row],[CurrentStock]]-Table2[[#This Row],[ReorderLevel]],"")</f>
        <v/>
      </c>
      <c r="N1073" t="str">
        <f>IF(Table2[[#This Row],[Stock Gap]]&lt;0, "Understock","Okay")</f>
        <v>Okay</v>
      </c>
      <c r="O1073" s="13" t="str">
        <f>IF(Table2[[#This Row],[Stock Gap]]&lt;0, "Yes", "No")</f>
        <v>No</v>
      </c>
      <c r="P1073" s="13" t="str">
        <f>IF(Table2[[#This Row],[CurrentStock]]&lt;Table2[[#This Row],[ReorderLevel]],"Reorder", "Okay")</f>
        <v>Okay</v>
      </c>
      <c r="Q1073" s="13" t="str">
        <f>IF(Table2[[#This Row],[CurrentStock]]&gt;Table2[[#This Row],[ReorderLevel]]*3, "Overstock", "Okay")</f>
        <v>Okay</v>
      </c>
    </row>
    <row r="1074" spans="1:17" x14ac:dyDescent="0.35">
      <c r="A1074">
        <v>31604</v>
      </c>
      <c r="B1074" t="s">
        <v>17</v>
      </c>
      <c r="C1074" t="s">
        <v>27</v>
      </c>
      <c r="D1074">
        <v>47</v>
      </c>
      <c r="E1074">
        <v>80</v>
      </c>
      <c r="F1074" s="2">
        <v>170.44</v>
      </c>
      <c r="G1074" t="s">
        <v>31</v>
      </c>
      <c r="H1074" s="1">
        <v>45493</v>
      </c>
      <c r="I1074" s="1">
        <v>45516</v>
      </c>
      <c r="J1074" t="s">
        <v>36</v>
      </c>
      <c r="K1074" s="8">
        <f>Table2[[#This Row],[CurrentStock]]*Table2[[#This Row],[UnitPrice]]</f>
        <v>8010.68</v>
      </c>
      <c r="L1074" t="str">
        <f>IF(Table2[[#This Row],[CurrentStock]]&lt;=Table2[[#This Row],[ReorderLevel]], "Reorder Needed", "Okay")</f>
        <v>Reorder Needed</v>
      </c>
      <c r="M1074" s="7">
        <f>IF(Table2[[#This Row],[CurrentStock]]-Table2[[#This Row],[ReorderLevel]]&lt;0,Table2[[#This Row],[CurrentStock]]-Table2[[#This Row],[ReorderLevel]],"")</f>
        <v>-33</v>
      </c>
      <c r="N1074" t="str">
        <f>IF(Table2[[#This Row],[Stock Gap]]&lt;0, "Understock","Okay")</f>
        <v>Understock</v>
      </c>
      <c r="O1074" s="13" t="str">
        <f>IF(Table2[[#This Row],[Stock Gap]]&lt;0, "Yes", "No")</f>
        <v>Yes</v>
      </c>
      <c r="P1074" s="13" t="str">
        <f>IF(Table2[[#This Row],[CurrentStock]]&lt;Table2[[#This Row],[ReorderLevel]],"Reorder", "Okay")</f>
        <v>Reorder</v>
      </c>
      <c r="Q1074" s="13" t="str">
        <f>IF(Table2[[#This Row],[CurrentStock]]&gt;Table2[[#This Row],[ReorderLevel]]*3, "Overstock", "Okay")</f>
        <v>Okay</v>
      </c>
    </row>
    <row r="1075" spans="1:17" x14ac:dyDescent="0.35">
      <c r="A1075">
        <v>93629</v>
      </c>
      <c r="B1075" t="s">
        <v>22</v>
      </c>
      <c r="C1075" t="s">
        <v>29</v>
      </c>
      <c r="D1075">
        <v>65</v>
      </c>
      <c r="E1075">
        <v>100</v>
      </c>
      <c r="F1075" s="2">
        <v>20.260000000000002</v>
      </c>
      <c r="G1075" t="s">
        <v>31</v>
      </c>
      <c r="H1075" s="1">
        <v>45572</v>
      </c>
      <c r="I1075" s="1">
        <v>45583</v>
      </c>
      <c r="J1075" t="s">
        <v>38</v>
      </c>
      <c r="K1075" s="8">
        <f>Table2[[#This Row],[CurrentStock]]*Table2[[#This Row],[UnitPrice]]</f>
        <v>1316.9</v>
      </c>
      <c r="L1075" t="str">
        <f>IF(Table2[[#This Row],[CurrentStock]]&lt;=Table2[[#This Row],[ReorderLevel]], "Reorder Needed", "Okay")</f>
        <v>Reorder Needed</v>
      </c>
      <c r="M1075" s="7">
        <f>IF(Table2[[#This Row],[CurrentStock]]-Table2[[#This Row],[ReorderLevel]]&lt;0,Table2[[#This Row],[CurrentStock]]-Table2[[#This Row],[ReorderLevel]],"")</f>
        <v>-35</v>
      </c>
      <c r="N1075" t="str">
        <f>IF(Table2[[#This Row],[Stock Gap]]&lt;0, "Understock","Okay")</f>
        <v>Understock</v>
      </c>
      <c r="O1075" s="13" t="str">
        <f>IF(Table2[[#This Row],[Stock Gap]]&lt;0, "Yes", "No")</f>
        <v>Yes</v>
      </c>
      <c r="P1075" s="13" t="str">
        <f>IF(Table2[[#This Row],[CurrentStock]]&lt;Table2[[#This Row],[ReorderLevel]],"Reorder", "Okay")</f>
        <v>Reorder</v>
      </c>
      <c r="Q1075" s="13" t="str">
        <f>IF(Table2[[#This Row],[CurrentStock]]&gt;Table2[[#This Row],[ReorderLevel]]*3, "Overstock", "Okay")</f>
        <v>Okay</v>
      </c>
    </row>
    <row r="1076" spans="1:17" x14ac:dyDescent="0.35">
      <c r="A1076">
        <v>29689</v>
      </c>
      <c r="B1076" t="s">
        <v>25</v>
      </c>
      <c r="C1076" t="s">
        <v>29</v>
      </c>
      <c r="D1076">
        <v>20</v>
      </c>
      <c r="E1076">
        <v>20</v>
      </c>
      <c r="F1076" s="2">
        <v>199.02</v>
      </c>
      <c r="G1076" t="s">
        <v>31</v>
      </c>
      <c r="H1076" s="1">
        <v>45324</v>
      </c>
      <c r="I1076" s="1">
        <v>45332</v>
      </c>
      <c r="J1076" t="s">
        <v>37</v>
      </c>
      <c r="K1076" s="8">
        <f>Table2[[#This Row],[CurrentStock]]*Table2[[#This Row],[UnitPrice]]</f>
        <v>3980.4</v>
      </c>
      <c r="L1076" t="str">
        <f>IF(Table2[[#This Row],[CurrentStock]]&lt;=Table2[[#This Row],[ReorderLevel]], "Reorder Needed", "Okay")</f>
        <v>Reorder Needed</v>
      </c>
      <c r="M1076" s="7" t="str">
        <f>IF(Table2[[#This Row],[CurrentStock]]-Table2[[#This Row],[ReorderLevel]]&lt;0,Table2[[#This Row],[CurrentStock]]-Table2[[#This Row],[ReorderLevel]],"")</f>
        <v/>
      </c>
      <c r="N1076" t="str">
        <f>IF(Table2[[#This Row],[Stock Gap]]&lt;0, "Understock","Okay")</f>
        <v>Okay</v>
      </c>
      <c r="O1076" s="13" t="str">
        <f>IF(Table2[[#This Row],[Stock Gap]]&lt;0, "Yes", "No")</f>
        <v>No</v>
      </c>
      <c r="P1076" s="13" t="str">
        <f>IF(Table2[[#This Row],[CurrentStock]]&lt;Table2[[#This Row],[ReorderLevel]],"Reorder", "Okay")</f>
        <v>Okay</v>
      </c>
      <c r="Q1076" s="13" t="str">
        <f>IF(Table2[[#This Row],[CurrentStock]]&gt;Table2[[#This Row],[ReorderLevel]]*3, "Overstock", "Okay")</f>
        <v>Okay</v>
      </c>
    </row>
    <row r="1077" spans="1:17" x14ac:dyDescent="0.35">
      <c r="A1077">
        <v>75277</v>
      </c>
      <c r="B1077" t="s">
        <v>9</v>
      </c>
      <c r="C1077" t="s">
        <v>26</v>
      </c>
      <c r="D1077">
        <v>226</v>
      </c>
      <c r="E1077">
        <v>50</v>
      </c>
      <c r="F1077" s="2">
        <v>468.74</v>
      </c>
      <c r="G1077" t="s">
        <v>34</v>
      </c>
      <c r="H1077" s="1">
        <v>45604</v>
      </c>
      <c r="I1077" s="1">
        <v>45631</v>
      </c>
      <c r="J1077" t="s">
        <v>37</v>
      </c>
      <c r="K1077" s="8">
        <f>Table2[[#This Row],[CurrentStock]]*Table2[[#This Row],[UnitPrice]]</f>
        <v>105935.24</v>
      </c>
      <c r="L1077" t="str">
        <f>IF(Table2[[#This Row],[CurrentStock]]&lt;=Table2[[#This Row],[ReorderLevel]], "Reorder Needed", "Okay")</f>
        <v>Okay</v>
      </c>
      <c r="M1077" t="str">
        <f>IF(Table2[[#This Row],[CurrentStock]]-Table2[[#This Row],[ReorderLevel]]&lt;0,Table2[[#This Row],[CurrentStock]]-Table2[[#This Row],[ReorderLevel]],"")</f>
        <v/>
      </c>
      <c r="N1077" t="str">
        <f>IF(Table2[[#This Row],[Stock Gap]]&lt;0, "Understock","Okay")</f>
        <v>Okay</v>
      </c>
      <c r="O1077" s="13" t="str">
        <f>IF(Table2[[#This Row],[Stock Gap]]&lt;0, "Yes", "No")</f>
        <v>No</v>
      </c>
      <c r="P1077" s="13" t="str">
        <f>IF(Table2[[#This Row],[CurrentStock]]&lt;Table2[[#This Row],[ReorderLevel]],"Reorder", "Okay")</f>
        <v>Okay</v>
      </c>
      <c r="Q1077" s="13" t="str">
        <f>IF(Table2[[#This Row],[CurrentStock]]&gt;Table2[[#This Row],[ReorderLevel]]*3, "Overstock", "Okay")</f>
        <v>Overstock</v>
      </c>
    </row>
    <row r="1078" spans="1:17" x14ac:dyDescent="0.35">
      <c r="A1078">
        <v>44651</v>
      </c>
      <c r="B1078" t="s">
        <v>25</v>
      </c>
      <c r="C1078" t="s">
        <v>29</v>
      </c>
      <c r="D1078">
        <v>233</v>
      </c>
      <c r="E1078">
        <v>80</v>
      </c>
      <c r="F1078" s="2">
        <v>162.58000000000001</v>
      </c>
      <c r="G1078" t="s">
        <v>33</v>
      </c>
      <c r="H1078" s="1">
        <v>45616</v>
      </c>
      <c r="I1078" s="1">
        <v>45651</v>
      </c>
      <c r="J1078" t="s">
        <v>38</v>
      </c>
      <c r="K1078" s="8">
        <f>Table2[[#This Row],[CurrentStock]]*Table2[[#This Row],[UnitPrice]]</f>
        <v>37881.14</v>
      </c>
      <c r="L1078" t="str">
        <f>IF(Table2[[#This Row],[CurrentStock]]&lt;=Table2[[#This Row],[ReorderLevel]], "Reorder Needed", "Okay")</f>
        <v>Okay</v>
      </c>
      <c r="M1078" t="str">
        <f>IF(Table2[[#This Row],[CurrentStock]]-Table2[[#This Row],[ReorderLevel]]&lt;0,Table2[[#This Row],[CurrentStock]]-Table2[[#This Row],[ReorderLevel]],"")</f>
        <v/>
      </c>
      <c r="N1078" t="str">
        <f>IF(Table2[[#This Row],[Stock Gap]]&lt;0, "Understock","Okay")</f>
        <v>Okay</v>
      </c>
      <c r="O1078" s="13" t="str">
        <f>IF(Table2[[#This Row],[Stock Gap]]&lt;0, "Yes", "No")</f>
        <v>No</v>
      </c>
      <c r="P1078" s="13" t="str">
        <f>IF(Table2[[#This Row],[CurrentStock]]&lt;Table2[[#This Row],[ReorderLevel]],"Reorder", "Okay")</f>
        <v>Okay</v>
      </c>
      <c r="Q1078" s="13" t="str">
        <f>IF(Table2[[#This Row],[CurrentStock]]&gt;Table2[[#This Row],[ReorderLevel]]*3, "Overstock", "Okay")</f>
        <v>Okay</v>
      </c>
    </row>
    <row r="1079" spans="1:17" x14ac:dyDescent="0.35">
      <c r="A1079">
        <v>96240</v>
      </c>
      <c r="B1079" t="s">
        <v>24</v>
      </c>
      <c r="C1079" t="s">
        <v>30</v>
      </c>
      <c r="D1079">
        <v>354</v>
      </c>
      <c r="E1079">
        <v>30</v>
      </c>
      <c r="F1079" s="2">
        <v>115.43</v>
      </c>
      <c r="G1079" t="s">
        <v>34</v>
      </c>
      <c r="H1079" s="1">
        <v>45607</v>
      </c>
      <c r="I1079" s="1">
        <v>45629</v>
      </c>
      <c r="J1079" t="s">
        <v>37</v>
      </c>
      <c r="K1079" s="8">
        <f>Table2[[#This Row],[CurrentStock]]*Table2[[#This Row],[UnitPrice]]</f>
        <v>40862.22</v>
      </c>
      <c r="L1079" t="str">
        <f>IF(Table2[[#This Row],[CurrentStock]]&lt;=Table2[[#This Row],[ReorderLevel]], "Reorder Needed", "Okay")</f>
        <v>Okay</v>
      </c>
      <c r="M1079" t="str">
        <f>IF(Table2[[#This Row],[CurrentStock]]-Table2[[#This Row],[ReorderLevel]]&lt;0,Table2[[#This Row],[CurrentStock]]-Table2[[#This Row],[ReorderLevel]],"")</f>
        <v/>
      </c>
      <c r="N1079" t="str">
        <f>IF(Table2[[#This Row],[Stock Gap]]&lt;0, "Understock","Okay")</f>
        <v>Okay</v>
      </c>
      <c r="O1079" s="13" t="str">
        <f>IF(Table2[[#This Row],[Stock Gap]]&lt;0, "Yes", "No")</f>
        <v>No</v>
      </c>
      <c r="P1079" s="13" t="str">
        <f>IF(Table2[[#This Row],[CurrentStock]]&lt;Table2[[#This Row],[ReorderLevel]],"Reorder", "Okay")</f>
        <v>Okay</v>
      </c>
      <c r="Q1079" s="13" t="str">
        <f>IF(Table2[[#This Row],[CurrentStock]]&gt;Table2[[#This Row],[ReorderLevel]]*3, "Overstock", "Okay")</f>
        <v>Overstock</v>
      </c>
    </row>
    <row r="1080" spans="1:17" x14ac:dyDescent="0.35">
      <c r="A1080">
        <v>98593</v>
      </c>
      <c r="B1080" t="s">
        <v>15</v>
      </c>
      <c r="C1080" t="s">
        <v>29</v>
      </c>
      <c r="D1080">
        <v>379</v>
      </c>
      <c r="E1080">
        <v>30</v>
      </c>
      <c r="F1080" s="2">
        <v>470.57</v>
      </c>
      <c r="G1080" t="s">
        <v>34</v>
      </c>
      <c r="H1080" s="1">
        <v>45526</v>
      </c>
      <c r="I1080" s="1">
        <v>45562</v>
      </c>
      <c r="J1080" t="s">
        <v>38</v>
      </c>
      <c r="K1080" s="8">
        <f>Table2[[#This Row],[CurrentStock]]*Table2[[#This Row],[UnitPrice]]</f>
        <v>178346.03</v>
      </c>
      <c r="L1080" t="str">
        <f>IF(Table2[[#This Row],[CurrentStock]]&lt;=Table2[[#This Row],[ReorderLevel]], "Reorder Needed", "Okay")</f>
        <v>Okay</v>
      </c>
      <c r="M1080" t="str">
        <f>IF(Table2[[#This Row],[CurrentStock]]-Table2[[#This Row],[ReorderLevel]]&lt;0,Table2[[#This Row],[CurrentStock]]-Table2[[#This Row],[ReorderLevel]],"")</f>
        <v/>
      </c>
      <c r="N1080" t="str">
        <f>IF(Table2[[#This Row],[Stock Gap]]&lt;0, "Understock","Okay")</f>
        <v>Okay</v>
      </c>
      <c r="O1080" s="13" t="str">
        <f>IF(Table2[[#This Row],[Stock Gap]]&lt;0, "Yes", "No")</f>
        <v>No</v>
      </c>
      <c r="P1080" s="13" t="str">
        <f>IF(Table2[[#This Row],[CurrentStock]]&lt;Table2[[#This Row],[ReorderLevel]],"Reorder", "Okay")</f>
        <v>Okay</v>
      </c>
      <c r="Q1080" s="13" t="str">
        <f>IF(Table2[[#This Row],[CurrentStock]]&gt;Table2[[#This Row],[ReorderLevel]]*3, "Overstock", "Okay")</f>
        <v>Overstock</v>
      </c>
    </row>
    <row r="1081" spans="1:17" x14ac:dyDescent="0.35">
      <c r="A1081">
        <v>47180</v>
      </c>
      <c r="B1081" t="s">
        <v>20</v>
      </c>
      <c r="C1081" t="s">
        <v>30</v>
      </c>
      <c r="D1081">
        <v>244</v>
      </c>
      <c r="E1081">
        <v>40</v>
      </c>
      <c r="F1081" s="2">
        <v>429.08</v>
      </c>
      <c r="G1081" t="s">
        <v>33</v>
      </c>
      <c r="H1081" s="1">
        <v>45326</v>
      </c>
      <c r="I1081" s="1">
        <v>45341</v>
      </c>
      <c r="J1081" t="s">
        <v>36</v>
      </c>
      <c r="K1081" s="8">
        <f>Table2[[#This Row],[CurrentStock]]*Table2[[#This Row],[UnitPrice]]</f>
        <v>104695.51999999999</v>
      </c>
      <c r="L1081" t="str">
        <f>IF(Table2[[#This Row],[CurrentStock]]&lt;=Table2[[#This Row],[ReorderLevel]], "Reorder Needed", "Okay")</f>
        <v>Okay</v>
      </c>
      <c r="M1081" t="str">
        <f>IF(Table2[[#This Row],[CurrentStock]]-Table2[[#This Row],[ReorderLevel]]&lt;0,Table2[[#This Row],[CurrentStock]]-Table2[[#This Row],[ReorderLevel]],"")</f>
        <v/>
      </c>
      <c r="N1081" t="str">
        <f>IF(Table2[[#This Row],[Stock Gap]]&lt;0, "Understock","Okay")</f>
        <v>Okay</v>
      </c>
      <c r="O1081" s="13" t="str">
        <f>IF(Table2[[#This Row],[Stock Gap]]&lt;0, "Yes", "No")</f>
        <v>No</v>
      </c>
      <c r="P1081" s="13" t="str">
        <f>IF(Table2[[#This Row],[CurrentStock]]&lt;Table2[[#This Row],[ReorderLevel]],"Reorder", "Okay")</f>
        <v>Okay</v>
      </c>
      <c r="Q1081" s="13" t="str">
        <f>IF(Table2[[#This Row],[CurrentStock]]&gt;Table2[[#This Row],[ReorderLevel]]*3, "Overstock", "Okay")</f>
        <v>Overstock</v>
      </c>
    </row>
    <row r="1082" spans="1:17" x14ac:dyDescent="0.35">
      <c r="A1082">
        <v>56978</v>
      </c>
      <c r="B1082" t="s">
        <v>9</v>
      </c>
      <c r="C1082" t="s">
        <v>26</v>
      </c>
      <c r="D1082">
        <v>431</v>
      </c>
      <c r="E1082">
        <v>50</v>
      </c>
      <c r="F1082" s="2">
        <v>209.67</v>
      </c>
      <c r="G1082" t="s">
        <v>35</v>
      </c>
      <c r="H1082" s="1">
        <v>45457</v>
      </c>
      <c r="I1082" s="1">
        <v>45462</v>
      </c>
      <c r="J1082" t="s">
        <v>38</v>
      </c>
      <c r="K1082" s="8">
        <f>Table2[[#This Row],[CurrentStock]]*Table2[[#This Row],[UnitPrice]]</f>
        <v>90367.76999999999</v>
      </c>
      <c r="L1082" t="str">
        <f>IF(Table2[[#This Row],[CurrentStock]]&lt;=Table2[[#This Row],[ReorderLevel]], "Reorder Needed", "Okay")</f>
        <v>Okay</v>
      </c>
      <c r="M1082" t="str">
        <f>IF(Table2[[#This Row],[CurrentStock]]-Table2[[#This Row],[ReorderLevel]]&lt;0,Table2[[#This Row],[CurrentStock]]-Table2[[#This Row],[ReorderLevel]],"")</f>
        <v/>
      </c>
      <c r="N1082" t="str">
        <f>IF(Table2[[#This Row],[Stock Gap]]&lt;0, "Understock","Okay")</f>
        <v>Okay</v>
      </c>
      <c r="O1082" s="13" t="str">
        <f>IF(Table2[[#This Row],[Stock Gap]]&lt;0, "Yes", "No")</f>
        <v>No</v>
      </c>
      <c r="P1082" s="13" t="str">
        <f>IF(Table2[[#This Row],[CurrentStock]]&lt;Table2[[#This Row],[ReorderLevel]],"Reorder", "Okay")</f>
        <v>Okay</v>
      </c>
      <c r="Q1082" s="13" t="str">
        <f>IF(Table2[[#This Row],[CurrentStock]]&gt;Table2[[#This Row],[ReorderLevel]]*3, "Overstock", "Okay")</f>
        <v>Overstock</v>
      </c>
    </row>
    <row r="1083" spans="1:17" x14ac:dyDescent="0.35">
      <c r="A1083">
        <v>54706</v>
      </c>
      <c r="B1083" t="s">
        <v>11</v>
      </c>
      <c r="C1083" t="s">
        <v>27</v>
      </c>
      <c r="D1083">
        <v>205</v>
      </c>
      <c r="E1083">
        <v>20</v>
      </c>
      <c r="F1083" s="2">
        <v>286.32</v>
      </c>
      <c r="G1083" t="s">
        <v>31</v>
      </c>
      <c r="H1083" s="1">
        <v>45541</v>
      </c>
      <c r="I1083" s="1">
        <v>45558</v>
      </c>
      <c r="J1083" t="s">
        <v>38</v>
      </c>
      <c r="K1083" s="8">
        <f>Table2[[#This Row],[CurrentStock]]*Table2[[#This Row],[UnitPrice]]</f>
        <v>58695.6</v>
      </c>
      <c r="L1083" t="str">
        <f>IF(Table2[[#This Row],[CurrentStock]]&lt;=Table2[[#This Row],[ReorderLevel]], "Reorder Needed", "Okay")</f>
        <v>Okay</v>
      </c>
      <c r="M1083" t="str">
        <f>IF(Table2[[#This Row],[CurrentStock]]-Table2[[#This Row],[ReorderLevel]]&lt;0,Table2[[#This Row],[CurrentStock]]-Table2[[#This Row],[ReorderLevel]],"")</f>
        <v/>
      </c>
      <c r="N1083" t="str">
        <f>IF(Table2[[#This Row],[Stock Gap]]&lt;0, "Understock","Okay")</f>
        <v>Okay</v>
      </c>
      <c r="O1083" s="13" t="str">
        <f>IF(Table2[[#This Row],[Stock Gap]]&lt;0, "Yes", "No")</f>
        <v>No</v>
      </c>
      <c r="P1083" s="13" t="str">
        <f>IF(Table2[[#This Row],[CurrentStock]]&lt;Table2[[#This Row],[ReorderLevel]],"Reorder", "Okay")</f>
        <v>Okay</v>
      </c>
      <c r="Q1083" s="13" t="str">
        <f>IF(Table2[[#This Row],[CurrentStock]]&gt;Table2[[#This Row],[ReorderLevel]]*3, "Overstock", "Okay")</f>
        <v>Overstock</v>
      </c>
    </row>
    <row r="1084" spans="1:17" x14ac:dyDescent="0.35">
      <c r="A1084">
        <v>38460</v>
      </c>
      <c r="B1084" t="s">
        <v>16</v>
      </c>
      <c r="C1084" t="s">
        <v>29</v>
      </c>
      <c r="D1084">
        <v>255</v>
      </c>
      <c r="E1084">
        <v>40</v>
      </c>
      <c r="F1084" s="2">
        <v>433.88</v>
      </c>
      <c r="G1084" t="s">
        <v>33</v>
      </c>
      <c r="H1084" s="1">
        <v>45437</v>
      </c>
      <c r="I1084" s="1">
        <v>45448</v>
      </c>
      <c r="J1084" t="s">
        <v>36</v>
      </c>
      <c r="K1084" s="8">
        <f>Table2[[#This Row],[CurrentStock]]*Table2[[#This Row],[UnitPrice]]</f>
        <v>110639.4</v>
      </c>
      <c r="L1084" t="str">
        <f>IF(Table2[[#This Row],[CurrentStock]]&lt;=Table2[[#This Row],[ReorderLevel]], "Reorder Needed", "Okay")</f>
        <v>Okay</v>
      </c>
      <c r="M1084" t="str">
        <f>IF(Table2[[#This Row],[CurrentStock]]-Table2[[#This Row],[ReorderLevel]]&lt;0,Table2[[#This Row],[CurrentStock]]-Table2[[#This Row],[ReorderLevel]],"")</f>
        <v/>
      </c>
      <c r="N1084" t="str">
        <f>IF(Table2[[#This Row],[Stock Gap]]&lt;0, "Understock","Okay")</f>
        <v>Okay</v>
      </c>
      <c r="O1084" s="13" t="str">
        <f>IF(Table2[[#This Row],[Stock Gap]]&lt;0, "Yes", "No")</f>
        <v>No</v>
      </c>
      <c r="P1084" s="13" t="str">
        <f>IF(Table2[[#This Row],[CurrentStock]]&lt;Table2[[#This Row],[ReorderLevel]],"Reorder", "Okay")</f>
        <v>Okay</v>
      </c>
      <c r="Q1084" s="13" t="str">
        <f>IF(Table2[[#This Row],[CurrentStock]]&gt;Table2[[#This Row],[ReorderLevel]]*3, "Overstock", "Okay")</f>
        <v>Overstock</v>
      </c>
    </row>
    <row r="1085" spans="1:17" x14ac:dyDescent="0.35">
      <c r="A1085">
        <v>43001</v>
      </c>
      <c r="B1085" t="s">
        <v>23</v>
      </c>
      <c r="C1085" t="s">
        <v>30</v>
      </c>
      <c r="D1085">
        <v>390</v>
      </c>
      <c r="E1085">
        <v>150</v>
      </c>
      <c r="F1085" s="2">
        <v>419.09</v>
      </c>
      <c r="G1085" t="s">
        <v>35</v>
      </c>
      <c r="H1085" s="1">
        <v>45526</v>
      </c>
      <c r="I1085" s="1">
        <v>45532</v>
      </c>
      <c r="J1085" t="s">
        <v>36</v>
      </c>
      <c r="K1085" s="8">
        <f>Table2[[#This Row],[CurrentStock]]*Table2[[#This Row],[UnitPrice]]</f>
        <v>163445.09999999998</v>
      </c>
      <c r="L1085" t="str">
        <f>IF(Table2[[#This Row],[CurrentStock]]&lt;=Table2[[#This Row],[ReorderLevel]], "Reorder Needed", "Okay")</f>
        <v>Okay</v>
      </c>
      <c r="M1085" t="str">
        <f>IF(Table2[[#This Row],[CurrentStock]]-Table2[[#This Row],[ReorderLevel]]&lt;0,Table2[[#This Row],[CurrentStock]]-Table2[[#This Row],[ReorderLevel]],"")</f>
        <v/>
      </c>
      <c r="N1085" t="str">
        <f>IF(Table2[[#This Row],[Stock Gap]]&lt;0, "Understock","Okay")</f>
        <v>Okay</v>
      </c>
      <c r="O1085" s="13" t="str">
        <f>IF(Table2[[#This Row],[Stock Gap]]&lt;0, "Yes", "No")</f>
        <v>No</v>
      </c>
      <c r="P1085" s="13" t="str">
        <f>IF(Table2[[#This Row],[CurrentStock]]&lt;Table2[[#This Row],[ReorderLevel]],"Reorder", "Okay")</f>
        <v>Okay</v>
      </c>
      <c r="Q1085" s="13" t="str">
        <f>IF(Table2[[#This Row],[CurrentStock]]&gt;Table2[[#This Row],[ReorderLevel]]*3, "Overstock", "Okay")</f>
        <v>Okay</v>
      </c>
    </row>
    <row r="1086" spans="1:17" x14ac:dyDescent="0.35">
      <c r="A1086">
        <v>76267</v>
      </c>
      <c r="B1086" t="s">
        <v>12</v>
      </c>
      <c r="C1086" t="s">
        <v>28</v>
      </c>
      <c r="D1086">
        <v>377</v>
      </c>
      <c r="E1086">
        <v>150</v>
      </c>
      <c r="F1086" s="2">
        <v>103.07</v>
      </c>
      <c r="G1086" t="s">
        <v>33</v>
      </c>
      <c r="H1086" s="1">
        <v>45475</v>
      </c>
      <c r="I1086" s="1">
        <v>45485</v>
      </c>
      <c r="J1086" t="s">
        <v>38</v>
      </c>
      <c r="K1086" s="8">
        <f>Table2[[#This Row],[CurrentStock]]*Table2[[#This Row],[UnitPrice]]</f>
        <v>38857.39</v>
      </c>
      <c r="L1086" t="str">
        <f>IF(Table2[[#This Row],[CurrentStock]]&lt;=Table2[[#This Row],[ReorderLevel]], "Reorder Needed", "Okay")</f>
        <v>Okay</v>
      </c>
      <c r="M1086" t="str">
        <f>IF(Table2[[#This Row],[CurrentStock]]-Table2[[#This Row],[ReorderLevel]]&lt;0,Table2[[#This Row],[CurrentStock]]-Table2[[#This Row],[ReorderLevel]],"")</f>
        <v/>
      </c>
      <c r="N1086" t="str">
        <f>IF(Table2[[#This Row],[Stock Gap]]&lt;0, "Understock","Okay")</f>
        <v>Okay</v>
      </c>
      <c r="O1086" s="13" t="str">
        <f>IF(Table2[[#This Row],[Stock Gap]]&lt;0, "Yes", "No")</f>
        <v>No</v>
      </c>
      <c r="P1086" s="13" t="str">
        <f>IF(Table2[[#This Row],[CurrentStock]]&lt;Table2[[#This Row],[ReorderLevel]],"Reorder", "Okay")</f>
        <v>Okay</v>
      </c>
      <c r="Q1086" s="13" t="str">
        <f>IF(Table2[[#This Row],[CurrentStock]]&gt;Table2[[#This Row],[ReorderLevel]]*3, "Overstock", "Okay")</f>
        <v>Okay</v>
      </c>
    </row>
    <row r="1087" spans="1:17" x14ac:dyDescent="0.35">
      <c r="A1087">
        <v>61690</v>
      </c>
      <c r="B1087" t="s">
        <v>20</v>
      </c>
      <c r="C1087" t="s">
        <v>30</v>
      </c>
      <c r="D1087">
        <v>323</v>
      </c>
      <c r="E1087">
        <v>150</v>
      </c>
      <c r="F1087" s="2">
        <v>152.38999999999999</v>
      </c>
      <c r="G1087" t="s">
        <v>34</v>
      </c>
      <c r="H1087" s="1">
        <v>45405</v>
      </c>
      <c r="I1087" s="1">
        <v>45417</v>
      </c>
      <c r="J1087" t="s">
        <v>37</v>
      </c>
      <c r="K1087" s="8">
        <f>Table2[[#This Row],[CurrentStock]]*Table2[[#This Row],[UnitPrice]]</f>
        <v>49221.969999999994</v>
      </c>
      <c r="L1087" t="str">
        <f>IF(Table2[[#This Row],[CurrentStock]]&lt;=Table2[[#This Row],[ReorderLevel]], "Reorder Needed", "Okay")</f>
        <v>Okay</v>
      </c>
      <c r="M1087" t="str">
        <f>IF(Table2[[#This Row],[CurrentStock]]-Table2[[#This Row],[ReorderLevel]]&lt;0,Table2[[#This Row],[CurrentStock]]-Table2[[#This Row],[ReorderLevel]],"")</f>
        <v/>
      </c>
      <c r="N1087" t="str">
        <f>IF(Table2[[#This Row],[Stock Gap]]&lt;0, "Understock","Okay")</f>
        <v>Okay</v>
      </c>
      <c r="O1087" s="13" t="str">
        <f>IF(Table2[[#This Row],[Stock Gap]]&lt;0, "Yes", "No")</f>
        <v>No</v>
      </c>
      <c r="P1087" s="13" t="str">
        <f>IF(Table2[[#This Row],[CurrentStock]]&lt;Table2[[#This Row],[ReorderLevel]],"Reorder", "Okay")</f>
        <v>Okay</v>
      </c>
      <c r="Q1087" s="13" t="str">
        <f>IF(Table2[[#This Row],[CurrentStock]]&gt;Table2[[#This Row],[ReorderLevel]]*3, "Overstock", "Okay")</f>
        <v>Okay</v>
      </c>
    </row>
    <row r="1088" spans="1:17" x14ac:dyDescent="0.35">
      <c r="A1088">
        <v>14261</v>
      </c>
      <c r="B1088" t="s">
        <v>11</v>
      </c>
      <c r="C1088" t="s">
        <v>27</v>
      </c>
      <c r="D1088">
        <v>462</v>
      </c>
      <c r="E1088">
        <v>100</v>
      </c>
      <c r="F1088" s="2">
        <v>12.65</v>
      </c>
      <c r="G1088" t="s">
        <v>32</v>
      </c>
      <c r="H1088" s="1">
        <v>45295</v>
      </c>
      <c r="I1088" s="1">
        <v>45305</v>
      </c>
      <c r="J1088" t="s">
        <v>37</v>
      </c>
      <c r="K1088" s="8">
        <f>Table2[[#This Row],[CurrentStock]]*Table2[[#This Row],[UnitPrice]]</f>
        <v>5844.3</v>
      </c>
      <c r="L1088" t="str">
        <f>IF(Table2[[#This Row],[CurrentStock]]&lt;=Table2[[#This Row],[ReorderLevel]], "Reorder Needed", "Okay")</f>
        <v>Okay</v>
      </c>
      <c r="M1088" t="str">
        <f>IF(Table2[[#This Row],[CurrentStock]]-Table2[[#This Row],[ReorderLevel]]&lt;0,Table2[[#This Row],[CurrentStock]]-Table2[[#This Row],[ReorderLevel]],"")</f>
        <v/>
      </c>
      <c r="N1088" t="str">
        <f>IF(Table2[[#This Row],[Stock Gap]]&lt;0, "Understock","Okay")</f>
        <v>Okay</v>
      </c>
      <c r="O1088" s="13" t="str">
        <f>IF(Table2[[#This Row],[Stock Gap]]&lt;0, "Yes", "No")</f>
        <v>No</v>
      </c>
      <c r="P1088" s="13" t="str">
        <f>IF(Table2[[#This Row],[CurrentStock]]&lt;Table2[[#This Row],[ReorderLevel]],"Reorder", "Okay")</f>
        <v>Okay</v>
      </c>
      <c r="Q1088" s="13" t="str">
        <f>IF(Table2[[#This Row],[CurrentStock]]&gt;Table2[[#This Row],[ReorderLevel]]*3, "Overstock", "Okay")</f>
        <v>Overstock</v>
      </c>
    </row>
    <row r="1089" spans="1:17" x14ac:dyDescent="0.35">
      <c r="A1089">
        <v>19422</v>
      </c>
      <c r="B1089" t="s">
        <v>23</v>
      </c>
      <c r="C1089" t="s">
        <v>30</v>
      </c>
      <c r="D1089">
        <v>215</v>
      </c>
      <c r="E1089">
        <v>50</v>
      </c>
      <c r="F1089" s="2">
        <v>284.27999999999997</v>
      </c>
      <c r="G1089" t="s">
        <v>31</v>
      </c>
      <c r="H1089" s="1">
        <v>45496</v>
      </c>
      <c r="I1089" s="1">
        <v>45535</v>
      </c>
      <c r="J1089" t="s">
        <v>38</v>
      </c>
      <c r="K1089" s="8">
        <f>Table2[[#This Row],[CurrentStock]]*Table2[[#This Row],[UnitPrice]]</f>
        <v>61120.2</v>
      </c>
      <c r="L1089" t="str">
        <f>IF(Table2[[#This Row],[CurrentStock]]&lt;=Table2[[#This Row],[ReorderLevel]], "Reorder Needed", "Okay")</f>
        <v>Okay</v>
      </c>
      <c r="M1089" t="str">
        <f>IF(Table2[[#This Row],[CurrentStock]]-Table2[[#This Row],[ReorderLevel]]&lt;0,Table2[[#This Row],[CurrentStock]]-Table2[[#This Row],[ReorderLevel]],"")</f>
        <v/>
      </c>
      <c r="N1089" t="str">
        <f>IF(Table2[[#This Row],[Stock Gap]]&lt;0, "Understock","Okay")</f>
        <v>Okay</v>
      </c>
      <c r="O1089" s="13" t="str">
        <f>IF(Table2[[#This Row],[Stock Gap]]&lt;0, "Yes", "No")</f>
        <v>No</v>
      </c>
      <c r="P1089" s="13" t="str">
        <f>IF(Table2[[#This Row],[CurrentStock]]&lt;Table2[[#This Row],[ReorderLevel]],"Reorder", "Okay")</f>
        <v>Okay</v>
      </c>
      <c r="Q1089" s="13" t="str">
        <f>IF(Table2[[#This Row],[CurrentStock]]&gt;Table2[[#This Row],[ReorderLevel]]*3, "Overstock", "Okay")</f>
        <v>Overstock</v>
      </c>
    </row>
    <row r="1090" spans="1:17" x14ac:dyDescent="0.35">
      <c r="A1090">
        <v>34435</v>
      </c>
      <c r="B1090" t="s">
        <v>16</v>
      </c>
      <c r="C1090" t="s">
        <v>29</v>
      </c>
      <c r="D1090">
        <v>317</v>
      </c>
      <c r="E1090">
        <v>20</v>
      </c>
      <c r="F1090" s="2">
        <v>254.27</v>
      </c>
      <c r="G1090" t="s">
        <v>35</v>
      </c>
      <c r="H1090" s="1">
        <v>45538</v>
      </c>
      <c r="I1090" s="1">
        <v>45577</v>
      </c>
      <c r="J1090" t="s">
        <v>38</v>
      </c>
      <c r="K1090" s="8">
        <f>Table2[[#This Row],[CurrentStock]]*Table2[[#This Row],[UnitPrice]]</f>
        <v>80603.59</v>
      </c>
      <c r="L1090" t="str">
        <f>IF(Table2[[#This Row],[CurrentStock]]&lt;=Table2[[#This Row],[ReorderLevel]], "Reorder Needed", "Okay")</f>
        <v>Okay</v>
      </c>
      <c r="M1090" t="str">
        <f>IF(Table2[[#This Row],[CurrentStock]]-Table2[[#This Row],[ReorderLevel]]&lt;0,Table2[[#This Row],[CurrentStock]]-Table2[[#This Row],[ReorderLevel]],"")</f>
        <v/>
      </c>
      <c r="N1090" t="str">
        <f>IF(Table2[[#This Row],[Stock Gap]]&lt;0, "Understock","Okay")</f>
        <v>Okay</v>
      </c>
      <c r="O1090" s="13" t="str">
        <f>IF(Table2[[#This Row],[Stock Gap]]&lt;0, "Yes", "No")</f>
        <v>No</v>
      </c>
      <c r="P1090" s="13" t="str">
        <f>IF(Table2[[#This Row],[CurrentStock]]&lt;Table2[[#This Row],[ReorderLevel]],"Reorder", "Okay")</f>
        <v>Okay</v>
      </c>
      <c r="Q1090" s="13" t="str">
        <f>IF(Table2[[#This Row],[CurrentStock]]&gt;Table2[[#This Row],[ReorderLevel]]*3, "Overstock", "Okay")</f>
        <v>Overstock</v>
      </c>
    </row>
    <row r="1091" spans="1:17" x14ac:dyDescent="0.35">
      <c r="A1091">
        <v>84034</v>
      </c>
      <c r="B1091" t="s">
        <v>12</v>
      </c>
      <c r="C1091" t="s">
        <v>28</v>
      </c>
      <c r="D1091">
        <v>380</v>
      </c>
      <c r="E1091">
        <v>100</v>
      </c>
      <c r="F1091" s="2">
        <v>247.77</v>
      </c>
      <c r="G1091" t="s">
        <v>31</v>
      </c>
      <c r="H1091" s="1">
        <v>45312</v>
      </c>
      <c r="I1091" s="1">
        <v>45351</v>
      </c>
      <c r="J1091" t="s">
        <v>37</v>
      </c>
      <c r="K1091" s="8">
        <f>Table2[[#This Row],[CurrentStock]]*Table2[[#This Row],[UnitPrice]]</f>
        <v>94152.6</v>
      </c>
      <c r="L1091" t="str">
        <f>IF(Table2[[#This Row],[CurrentStock]]&lt;=Table2[[#This Row],[ReorderLevel]], "Reorder Needed", "Okay")</f>
        <v>Okay</v>
      </c>
      <c r="M1091" t="str">
        <f>IF(Table2[[#This Row],[CurrentStock]]-Table2[[#This Row],[ReorderLevel]]&lt;0,Table2[[#This Row],[CurrentStock]]-Table2[[#This Row],[ReorderLevel]],"")</f>
        <v/>
      </c>
      <c r="N1091" t="str">
        <f>IF(Table2[[#This Row],[Stock Gap]]&lt;0, "Understock","Okay")</f>
        <v>Okay</v>
      </c>
      <c r="O1091" s="13" t="str">
        <f>IF(Table2[[#This Row],[Stock Gap]]&lt;0, "Yes", "No")</f>
        <v>No</v>
      </c>
      <c r="P1091" s="13" t="str">
        <f>IF(Table2[[#This Row],[CurrentStock]]&lt;Table2[[#This Row],[ReorderLevel]],"Reorder", "Okay")</f>
        <v>Okay</v>
      </c>
      <c r="Q1091" s="13" t="str">
        <f>IF(Table2[[#This Row],[CurrentStock]]&gt;Table2[[#This Row],[ReorderLevel]]*3, "Overstock", "Okay")</f>
        <v>Overstock</v>
      </c>
    </row>
    <row r="1092" spans="1:17" x14ac:dyDescent="0.35">
      <c r="A1092">
        <v>85160</v>
      </c>
      <c r="B1092" t="s">
        <v>15</v>
      </c>
      <c r="C1092" t="s">
        <v>29</v>
      </c>
      <c r="D1092">
        <v>427</v>
      </c>
      <c r="E1092">
        <v>20</v>
      </c>
      <c r="F1092" s="2">
        <v>496.09</v>
      </c>
      <c r="G1092" t="s">
        <v>33</v>
      </c>
      <c r="H1092" s="1">
        <v>45379</v>
      </c>
      <c r="I1092" s="1">
        <v>45399</v>
      </c>
      <c r="J1092" t="s">
        <v>37</v>
      </c>
      <c r="K1092" s="8">
        <f>Table2[[#This Row],[CurrentStock]]*Table2[[#This Row],[UnitPrice]]</f>
        <v>211830.43</v>
      </c>
      <c r="L1092" t="str">
        <f>IF(Table2[[#This Row],[CurrentStock]]&lt;=Table2[[#This Row],[ReorderLevel]], "Reorder Needed", "Okay")</f>
        <v>Okay</v>
      </c>
      <c r="M1092" t="str">
        <f>IF(Table2[[#This Row],[CurrentStock]]-Table2[[#This Row],[ReorderLevel]]&lt;0,Table2[[#This Row],[CurrentStock]]-Table2[[#This Row],[ReorderLevel]],"")</f>
        <v/>
      </c>
      <c r="N1092" t="str">
        <f>IF(Table2[[#This Row],[Stock Gap]]&lt;0, "Understock","Okay")</f>
        <v>Okay</v>
      </c>
      <c r="O1092" s="13" t="str">
        <f>IF(Table2[[#This Row],[Stock Gap]]&lt;0, "Yes", "No")</f>
        <v>No</v>
      </c>
      <c r="P1092" s="13" t="str">
        <f>IF(Table2[[#This Row],[CurrentStock]]&lt;Table2[[#This Row],[ReorderLevel]],"Reorder", "Okay")</f>
        <v>Okay</v>
      </c>
      <c r="Q1092" s="13" t="str">
        <f>IF(Table2[[#This Row],[CurrentStock]]&gt;Table2[[#This Row],[ReorderLevel]]*3, "Overstock", "Okay")</f>
        <v>Overstock</v>
      </c>
    </row>
    <row r="1093" spans="1:17" x14ac:dyDescent="0.35">
      <c r="A1093">
        <v>96576</v>
      </c>
      <c r="B1093" t="s">
        <v>14</v>
      </c>
      <c r="C1093" t="s">
        <v>28</v>
      </c>
      <c r="D1093">
        <v>138</v>
      </c>
      <c r="E1093">
        <v>40</v>
      </c>
      <c r="F1093" s="2">
        <v>218.95</v>
      </c>
      <c r="G1093" t="s">
        <v>34</v>
      </c>
      <c r="H1093" s="1">
        <v>45426</v>
      </c>
      <c r="I1093" s="1">
        <v>45431</v>
      </c>
      <c r="J1093" t="s">
        <v>36</v>
      </c>
      <c r="K1093" s="8">
        <f>Table2[[#This Row],[CurrentStock]]*Table2[[#This Row],[UnitPrice]]</f>
        <v>30215.1</v>
      </c>
      <c r="L1093" t="str">
        <f>IF(Table2[[#This Row],[CurrentStock]]&lt;=Table2[[#This Row],[ReorderLevel]], "Reorder Needed", "Okay")</f>
        <v>Okay</v>
      </c>
      <c r="M1093" t="str">
        <f>IF(Table2[[#This Row],[CurrentStock]]-Table2[[#This Row],[ReorderLevel]]&lt;0,Table2[[#This Row],[CurrentStock]]-Table2[[#This Row],[ReorderLevel]],"")</f>
        <v/>
      </c>
      <c r="N1093" t="str">
        <f>IF(Table2[[#This Row],[Stock Gap]]&lt;0, "Understock","Okay")</f>
        <v>Okay</v>
      </c>
      <c r="O1093" s="13" t="str">
        <f>IF(Table2[[#This Row],[Stock Gap]]&lt;0, "Yes", "No")</f>
        <v>No</v>
      </c>
      <c r="P1093" s="13" t="str">
        <f>IF(Table2[[#This Row],[CurrentStock]]&lt;Table2[[#This Row],[ReorderLevel]],"Reorder", "Okay")</f>
        <v>Okay</v>
      </c>
      <c r="Q1093" s="13" t="str">
        <f>IF(Table2[[#This Row],[CurrentStock]]&gt;Table2[[#This Row],[ReorderLevel]]*3, "Overstock", "Okay")</f>
        <v>Overstock</v>
      </c>
    </row>
    <row r="1094" spans="1:17" x14ac:dyDescent="0.35">
      <c r="A1094">
        <v>32923</v>
      </c>
      <c r="B1094" t="s">
        <v>24</v>
      </c>
      <c r="C1094" t="s">
        <v>30</v>
      </c>
      <c r="D1094">
        <v>428</v>
      </c>
      <c r="E1094">
        <v>40</v>
      </c>
      <c r="F1094" s="2">
        <v>323.57</v>
      </c>
      <c r="G1094" t="s">
        <v>33</v>
      </c>
      <c r="H1094" s="1">
        <v>45649</v>
      </c>
      <c r="I1094" s="1">
        <v>45686</v>
      </c>
      <c r="J1094" t="s">
        <v>37</v>
      </c>
      <c r="K1094" s="8">
        <f>Table2[[#This Row],[CurrentStock]]*Table2[[#This Row],[UnitPrice]]</f>
        <v>138487.96</v>
      </c>
      <c r="L1094" t="str">
        <f>IF(Table2[[#This Row],[CurrentStock]]&lt;=Table2[[#This Row],[ReorderLevel]], "Reorder Needed", "Okay")</f>
        <v>Okay</v>
      </c>
      <c r="M1094" t="str">
        <f>IF(Table2[[#This Row],[CurrentStock]]-Table2[[#This Row],[ReorderLevel]]&lt;0,Table2[[#This Row],[CurrentStock]]-Table2[[#This Row],[ReorderLevel]],"")</f>
        <v/>
      </c>
      <c r="N1094" t="str">
        <f>IF(Table2[[#This Row],[Stock Gap]]&lt;0, "Understock","Okay")</f>
        <v>Okay</v>
      </c>
      <c r="O1094" s="13" t="str">
        <f>IF(Table2[[#This Row],[Stock Gap]]&lt;0, "Yes", "No")</f>
        <v>No</v>
      </c>
      <c r="P1094" s="13" t="str">
        <f>IF(Table2[[#This Row],[CurrentStock]]&lt;Table2[[#This Row],[ReorderLevel]],"Reorder", "Okay")</f>
        <v>Okay</v>
      </c>
      <c r="Q1094" s="13" t="str">
        <f>IF(Table2[[#This Row],[CurrentStock]]&gt;Table2[[#This Row],[ReorderLevel]]*3, "Overstock", "Okay")</f>
        <v>Overstock</v>
      </c>
    </row>
    <row r="1095" spans="1:17" x14ac:dyDescent="0.35">
      <c r="A1095">
        <v>67811</v>
      </c>
      <c r="B1095" t="s">
        <v>19</v>
      </c>
      <c r="C1095" t="s">
        <v>28</v>
      </c>
      <c r="D1095">
        <v>35</v>
      </c>
      <c r="E1095">
        <v>40</v>
      </c>
      <c r="F1095" s="2">
        <v>427.41</v>
      </c>
      <c r="G1095" t="s">
        <v>33</v>
      </c>
      <c r="H1095" s="1">
        <v>45446</v>
      </c>
      <c r="I1095" s="1">
        <v>45483</v>
      </c>
      <c r="J1095" t="s">
        <v>36</v>
      </c>
      <c r="K1095" s="8">
        <f>Table2[[#This Row],[CurrentStock]]*Table2[[#This Row],[UnitPrice]]</f>
        <v>14959.35</v>
      </c>
      <c r="L1095" t="str">
        <f>IF(Table2[[#This Row],[CurrentStock]]&lt;=Table2[[#This Row],[ReorderLevel]], "Reorder Needed", "Okay")</f>
        <v>Reorder Needed</v>
      </c>
      <c r="M1095" s="7">
        <f>IF(Table2[[#This Row],[CurrentStock]]-Table2[[#This Row],[ReorderLevel]]&lt;0,Table2[[#This Row],[CurrentStock]]-Table2[[#This Row],[ReorderLevel]],"")</f>
        <v>-5</v>
      </c>
      <c r="N1095" t="str">
        <f>IF(Table2[[#This Row],[Stock Gap]]&lt;0, "Understock","Okay")</f>
        <v>Understock</v>
      </c>
      <c r="O1095" s="13" t="str">
        <f>IF(Table2[[#This Row],[Stock Gap]]&lt;0, "Yes", "No")</f>
        <v>Yes</v>
      </c>
      <c r="P1095" s="13" t="str">
        <f>IF(Table2[[#This Row],[CurrentStock]]&lt;Table2[[#This Row],[ReorderLevel]],"Reorder", "Okay")</f>
        <v>Reorder</v>
      </c>
      <c r="Q1095" s="13" t="str">
        <f>IF(Table2[[#This Row],[CurrentStock]]&gt;Table2[[#This Row],[ReorderLevel]]*3, "Overstock", "Okay")</f>
        <v>Okay</v>
      </c>
    </row>
    <row r="1096" spans="1:17" x14ac:dyDescent="0.35">
      <c r="A1096">
        <v>87518</v>
      </c>
      <c r="B1096" t="s">
        <v>16</v>
      </c>
      <c r="C1096" t="s">
        <v>29</v>
      </c>
      <c r="D1096">
        <v>375</v>
      </c>
      <c r="E1096">
        <v>150</v>
      </c>
      <c r="F1096" s="2">
        <v>134.94</v>
      </c>
      <c r="G1096" t="s">
        <v>32</v>
      </c>
      <c r="H1096" s="1">
        <v>45310</v>
      </c>
      <c r="I1096" s="1">
        <v>45327</v>
      </c>
      <c r="J1096" t="s">
        <v>38</v>
      </c>
      <c r="K1096" s="8">
        <f>Table2[[#This Row],[CurrentStock]]*Table2[[#This Row],[UnitPrice]]</f>
        <v>50602.5</v>
      </c>
      <c r="L1096" t="str">
        <f>IF(Table2[[#This Row],[CurrentStock]]&lt;=Table2[[#This Row],[ReorderLevel]], "Reorder Needed", "Okay")</f>
        <v>Okay</v>
      </c>
      <c r="M1096" t="str">
        <f>IF(Table2[[#This Row],[CurrentStock]]-Table2[[#This Row],[ReorderLevel]]&lt;0,Table2[[#This Row],[CurrentStock]]-Table2[[#This Row],[ReorderLevel]],"")</f>
        <v/>
      </c>
      <c r="N1096" t="str">
        <f>IF(Table2[[#This Row],[Stock Gap]]&lt;0, "Understock","Okay")</f>
        <v>Okay</v>
      </c>
      <c r="O1096" s="13" t="str">
        <f>IF(Table2[[#This Row],[Stock Gap]]&lt;0, "Yes", "No")</f>
        <v>No</v>
      </c>
      <c r="P1096" s="13" t="str">
        <f>IF(Table2[[#This Row],[CurrentStock]]&lt;Table2[[#This Row],[ReorderLevel]],"Reorder", "Okay")</f>
        <v>Okay</v>
      </c>
      <c r="Q1096" s="13" t="str">
        <f>IF(Table2[[#This Row],[CurrentStock]]&gt;Table2[[#This Row],[ReorderLevel]]*3, "Overstock", "Okay")</f>
        <v>Okay</v>
      </c>
    </row>
    <row r="1097" spans="1:17" x14ac:dyDescent="0.35">
      <c r="A1097">
        <v>55227</v>
      </c>
      <c r="B1097" t="s">
        <v>17</v>
      </c>
      <c r="C1097" t="s">
        <v>27</v>
      </c>
      <c r="D1097">
        <v>432</v>
      </c>
      <c r="E1097">
        <v>20</v>
      </c>
      <c r="F1097" s="2">
        <v>193.8</v>
      </c>
      <c r="G1097" t="s">
        <v>32</v>
      </c>
      <c r="H1097" s="1">
        <v>45527</v>
      </c>
      <c r="I1097" s="1">
        <v>45561</v>
      </c>
      <c r="J1097" t="s">
        <v>37</v>
      </c>
      <c r="K1097" s="8">
        <f>Table2[[#This Row],[CurrentStock]]*Table2[[#This Row],[UnitPrice]]</f>
        <v>83721.600000000006</v>
      </c>
      <c r="L1097" t="str">
        <f>IF(Table2[[#This Row],[CurrentStock]]&lt;=Table2[[#This Row],[ReorderLevel]], "Reorder Needed", "Okay")</f>
        <v>Okay</v>
      </c>
      <c r="M1097" t="str">
        <f>IF(Table2[[#This Row],[CurrentStock]]-Table2[[#This Row],[ReorderLevel]]&lt;0,Table2[[#This Row],[CurrentStock]]-Table2[[#This Row],[ReorderLevel]],"")</f>
        <v/>
      </c>
      <c r="N1097" t="str">
        <f>IF(Table2[[#This Row],[Stock Gap]]&lt;0, "Understock","Okay")</f>
        <v>Okay</v>
      </c>
      <c r="O1097" s="13" t="str">
        <f>IF(Table2[[#This Row],[Stock Gap]]&lt;0, "Yes", "No")</f>
        <v>No</v>
      </c>
      <c r="P1097" s="13" t="str">
        <f>IF(Table2[[#This Row],[CurrentStock]]&lt;Table2[[#This Row],[ReorderLevel]],"Reorder", "Okay")</f>
        <v>Okay</v>
      </c>
      <c r="Q1097" s="13" t="str">
        <f>IF(Table2[[#This Row],[CurrentStock]]&gt;Table2[[#This Row],[ReorderLevel]]*3, "Overstock", "Okay")</f>
        <v>Overstock</v>
      </c>
    </row>
    <row r="1098" spans="1:17" x14ac:dyDescent="0.35">
      <c r="A1098">
        <v>26375</v>
      </c>
      <c r="B1098" t="s">
        <v>19</v>
      </c>
      <c r="C1098" t="s">
        <v>28</v>
      </c>
      <c r="D1098">
        <v>257</v>
      </c>
      <c r="E1098">
        <v>50</v>
      </c>
      <c r="F1098" s="2">
        <v>89.84</v>
      </c>
      <c r="G1098" t="s">
        <v>31</v>
      </c>
      <c r="H1098" s="1">
        <v>45445</v>
      </c>
      <c r="I1098" s="1">
        <v>45464</v>
      </c>
      <c r="J1098" t="s">
        <v>38</v>
      </c>
      <c r="K1098" s="8">
        <f>Table2[[#This Row],[CurrentStock]]*Table2[[#This Row],[UnitPrice]]</f>
        <v>23088.880000000001</v>
      </c>
      <c r="L1098" t="str">
        <f>IF(Table2[[#This Row],[CurrentStock]]&lt;=Table2[[#This Row],[ReorderLevel]], "Reorder Needed", "Okay")</f>
        <v>Okay</v>
      </c>
      <c r="M1098" t="str">
        <f>IF(Table2[[#This Row],[CurrentStock]]-Table2[[#This Row],[ReorderLevel]]&lt;0,Table2[[#This Row],[CurrentStock]]-Table2[[#This Row],[ReorderLevel]],"")</f>
        <v/>
      </c>
      <c r="N1098" t="str">
        <f>IF(Table2[[#This Row],[Stock Gap]]&lt;0, "Understock","Okay")</f>
        <v>Okay</v>
      </c>
      <c r="O1098" s="13" t="str">
        <f>IF(Table2[[#This Row],[Stock Gap]]&lt;0, "Yes", "No")</f>
        <v>No</v>
      </c>
      <c r="P1098" s="13" t="str">
        <f>IF(Table2[[#This Row],[CurrentStock]]&lt;Table2[[#This Row],[ReorderLevel]],"Reorder", "Okay")</f>
        <v>Okay</v>
      </c>
      <c r="Q1098" s="13" t="str">
        <f>IF(Table2[[#This Row],[CurrentStock]]&gt;Table2[[#This Row],[ReorderLevel]]*3, "Overstock", "Okay")</f>
        <v>Overstock</v>
      </c>
    </row>
    <row r="1099" spans="1:17" x14ac:dyDescent="0.35">
      <c r="A1099">
        <v>23795</v>
      </c>
      <c r="B1099" t="s">
        <v>24</v>
      </c>
      <c r="C1099" t="s">
        <v>30</v>
      </c>
      <c r="D1099">
        <v>347</v>
      </c>
      <c r="E1099">
        <v>150</v>
      </c>
      <c r="F1099" s="2">
        <v>79.400000000000006</v>
      </c>
      <c r="G1099" t="s">
        <v>35</v>
      </c>
      <c r="H1099" s="1">
        <v>45541</v>
      </c>
      <c r="I1099" s="1">
        <v>45552</v>
      </c>
      <c r="J1099" t="s">
        <v>37</v>
      </c>
      <c r="K1099" s="8">
        <f>Table2[[#This Row],[CurrentStock]]*Table2[[#This Row],[UnitPrice]]</f>
        <v>27551.800000000003</v>
      </c>
      <c r="L1099" t="str">
        <f>IF(Table2[[#This Row],[CurrentStock]]&lt;=Table2[[#This Row],[ReorderLevel]], "Reorder Needed", "Okay")</f>
        <v>Okay</v>
      </c>
      <c r="M1099" t="str">
        <f>IF(Table2[[#This Row],[CurrentStock]]-Table2[[#This Row],[ReorderLevel]]&lt;0,Table2[[#This Row],[CurrentStock]]-Table2[[#This Row],[ReorderLevel]],"")</f>
        <v/>
      </c>
      <c r="N1099" t="str">
        <f>IF(Table2[[#This Row],[Stock Gap]]&lt;0, "Understock","Okay")</f>
        <v>Okay</v>
      </c>
      <c r="O1099" s="13" t="str">
        <f>IF(Table2[[#This Row],[Stock Gap]]&lt;0, "Yes", "No")</f>
        <v>No</v>
      </c>
      <c r="P1099" s="13" t="str">
        <f>IF(Table2[[#This Row],[CurrentStock]]&lt;Table2[[#This Row],[ReorderLevel]],"Reorder", "Okay")</f>
        <v>Okay</v>
      </c>
      <c r="Q1099" s="13" t="str">
        <f>IF(Table2[[#This Row],[CurrentStock]]&gt;Table2[[#This Row],[ReorderLevel]]*3, "Overstock", "Okay")</f>
        <v>Okay</v>
      </c>
    </row>
    <row r="1100" spans="1:17" x14ac:dyDescent="0.35">
      <c r="A1100">
        <v>82089</v>
      </c>
      <c r="B1100" t="s">
        <v>10</v>
      </c>
      <c r="C1100" t="s">
        <v>26</v>
      </c>
      <c r="D1100">
        <v>92</v>
      </c>
      <c r="E1100">
        <v>50</v>
      </c>
      <c r="F1100" s="2">
        <v>20.329999999999998</v>
      </c>
      <c r="G1100" t="s">
        <v>31</v>
      </c>
      <c r="H1100" s="1">
        <v>45449</v>
      </c>
      <c r="I1100" s="1">
        <v>45482</v>
      </c>
      <c r="J1100" t="s">
        <v>38</v>
      </c>
      <c r="K1100" s="8">
        <f>Table2[[#This Row],[CurrentStock]]*Table2[[#This Row],[UnitPrice]]</f>
        <v>1870.36</v>
      </c>
      <c r="L1100" t="str">
        <f>IF(Table2[[#This Row],[CurrentStock]]&lt;=Table2[[#This Row],[ReorderLevel]], "Reorder Needed", "Okay")</f>
        <v>Okay</v>
      </c>
      <c r="M1100" t="str">
        <f>IF(Table2[[#This Row],[CurrentStock]]-Table2[[#This Row],[ReorderLevel]]&lt;0,Table2[[#This Row],[CurrentStock]]-Table2[[#This Row],[ReorderLevel]],"")</f>
        <v/>
      </c>
      <c r="N1100" t="str">
        <f>IF(Table2[[#This Row],[Stock Gap]]&lt;0, "Understock","Okay")</f>
        <v>Okay</v>
      </c>
      <c r="O1100" s="13" t="str">
        <f>IF(Table2[[#This Row],[Stock Gap]]&lt;0, "Yes", "No")</f>
        <v>No</v>
      </c>
      <c r="P1100" s="13" t="str">
        <f>IF(Table2[[#This Row],[CurrentStock]]&lt;Table2[[#This Row],[ReorderLevel]],"Reorder", "Okay")</f>
        <v>Okay</v>
      </c>
      <c r="Q1100" s="13" t="str">
        <f>IF(Table2[[#This Row],[CurrentStock]]&gt;Table2[[#This Row],[ReorderLevel]]*3, "Overstock", "Okay")</f>
        <v>Okay</v>
      </c>
    </row>
    <row r="1101" spans="1:17" x14ac:dyDescent="0.35">
      <c r="A1101">
        <v>17548</v>
      </c>
      <c r="B1101" t="s">
        <v>15</v>
      </c>
      <c r="C1101" t="s">
        <v>29</v>
      </c>
      <c r="D1101">
        <v>221</v>
      </c>
      <c r="E1101">
        <v>40</v>
      </c>
      <c r="F1101" s="2">
        <v>133.31</v>
      </c>
      <c r="G1101" t="s">
        <v>34</v>
      </c>
      <c r="H1101" s="1">
        <v>45550</v>
      </c>
      <c r="I1101" s="1">
        <v>45561</v>
      </c>
      <c r="J1101" t="s">
        <v>36</v>
      </c>
      <c r="K1101" s="8">
        <f>Table2[[#This Row],[CurrentStock]]*Table2[[#This Row],[UnitPrice]]</f>
        <v>29461.510000000002</v>
      </c>
      <c r="L1101" t="str">
        <f>IF(Table2[[#This Row],[CurrentStock]]&lt;=Table2[[#This Row],[ReorderLevel]], "Reorder Needed", "Okay")</f>
        <v>Okay</v>
      </c>
      <c r="M1101" t="str">
        <f>IF(Table2[[#This Row],[CurrentStock]]-Table2[[#This Row],[ReorderLevel]]&lt;0,Table2[[#This Row],[CurrentStock]]-Table2[[#This Row],[ReorderLevel]],"")</f>
        <v/>
      </c>
      <c r="N1101" t="str">
        <f>IF(Table2[[#This Row],[Stock Gap]]&lt;0, "Understock","Okay")</f>
        <v>Okay</v>
      </c>
      <c r="O1101" s="13" t="str">
        <f>IF(Table2[[#This Row],[Stock Gap]]&lt;0, "Yes", "No")</f>
        <v>No</v>
      </c>
      <c r="P1101" s="13" t="str">
        <f>IF(Table2[[#This Row],[CurrentStock]]&lt;Table2[[#This Row],[ReorderLevel]],"Reorder", "Okay")</f>
        <v>Okay</v>
      </c>
      <c r="Q1101" s="13" t="str">
        <f>IF(Table2[[#This Row],[CurrentStock]]&gt;Table2[[#This Row],[ReorderLevel]]*3, "Overstock", "Okay")</f>
        <v>Overstock</v>
      </c>
    </row>
    <row r="1102" spans="1:17" x14ac:dyDescent="0.35">
      <c r="A1102">
        <v>45036</v>
      </c>
      <c r="B1102" t="s">
        <v>17</v>
      </c>
      <c r="C1102" t="s">
        <v>27</v>
      </c>
      <c r="D1102">
        <v>296</v>
      </c>
      <c r="E1102">
        <v>30</v>
      </c>
      <c r="F1102" s="2">
        <v>138.91</v>
      </c>
      <c r="G1102" t="s">
        <v>31</v>
      </c>
      <c r="H1102" s="1">
        <v>45418</v>
      </c>
      <c r="I1102" s="1">
        <v>45427</v>
      </c>
      <c r="J1102" t="s">
        <v>37</v>
      </c>
      <c r="K1102" s="8">
        <f>Table2[[#This Row],[CurrentStock]]*Table2[[#This Row],[UnitPrice]]</f>
        <v>41117.360000000001</v>
      </c>
      <c r="L1102" t="str">
        <f>IF(Table2[[#This Row],[CurrentStock]]&lt;=Table2[[#This Row],[ReorderLevel]], "Reorder Needed", "Okay")</f>
        <v>Okay</v>
      </c>
      <c r="M1102" t="str">
        <f>IF(Table2[[#This Row],[CurrentStock]]-Table2[[#This Row],[ReorderLevel]]&lt;0,Table2[[#This Row],[CurrentStock]]-Table2[[#This Row],[ReorderLevel]],"")</f>
        <v/>
      </c>
      <c r="N1102" t="str">
        <f>IF(Table2[[#This Row],[Stock Gap]]&lt;0, "Understock","Okay")</f>
        <v>Okay</v>
      </c>
      <c r="O1102" s="13" t="str">
        <f>IF(Table2[[#This Row],[Stock Gap]]&lt;0, "Yes", "No")</f>
        <v>No</v>
      </c>
      <c r="P1102" s="13" t="str">
        <f>IF(Table2[[#This Row],[CurrentStock]]&lt;Table2[[#This Row],[ReorderLevel]],"Reorder", "Okay")</f>
        <v>Okay</v>
      </c>
      <c r="Q1102" s="13" t="str">
        <f>IF(Table2[[#This Row],[CurrentStock]]&gt;Table2[[#This Row],[ReorderLevel]]*3, "Overstock", "Okay")</f>
        <v>Overstock</v>
      </c>
    </row>
    <row r="1103" spans="1:17" x14ac:dyDescent="0.35">
      <c r="A1103">
        <v>93038</v>
      </c>
      <c r="B1103" t="s">
        <v>14</v>
      </c>
      <c r="C1103" t="s">
        <v>28</v>
      </c>
      <c r="D1103">
        <v>268</v>
      </c>
      <c r="E1103">
        <v>150</v>
      </c>
      <c r="F1103" s="2">
        <v>420.29</v>
      </c>
      <c r="G1103" t="s">
        <v>34</v>
      </c>
      <c r="H1103" s="1">
        <v>45352</v>
      </c>
      <c r="I1103" s="1">
        <v>45364</v>
      </c>
      <c r="J1103" t="s">
        <v>38</v>
      </c>
      <c r="K1103" s="8">
        <f>Table2[[#This Row],[CurrentStock]]*Table2[[#This Row],[UnitPrice]]</f>
        <v>112637.72</v>
      </c>
      <c r="L1103" t="str">
        <f>IF(Table2[[#This Row],[CurrentStock]]&lt;=Table2[[#This Row],[ReorderLevel]], "Reorder Needed", "Okay")</f>
        <v>Okay</v>
      </c>
      <c r="M1103" t="str">
        <f>IF(Table2[[#This Row],[CurrentStock]]-Table2[[#This Row],[ReorderLevel]]&lt;0,Table2[[#This Row],[CurrentStock]]-Table2[[#This Row],[ReorderLevel]],"")</f>
        <v/>
      </c>
      <c r="N1103" t="str">
        <f>IF(Table2[[#This Row],[Stock Gap]]&lt;0, "Understock","Okay")</f>
        <v>Okay</v>
      </c>
      <c r="O1103" s="13" t="str">
        <f>IF(Table2[[#This Row],[Stock Gap]]&lt;0, "Yes", "No")</f>
        <v>No</v>
      </c>
      <c r="P1103" s="13" t="str">
        <f>IF(Table2[[#This Row],[CurrentStock]]&lt;Table2[[#This Row],[ReorderLevel]],"Reorder", "Okay")</f>
        <v>Okay</v>
      </c>
      <c r="Q1103" s="13" t="str">
        <f>IF(Table2[[#This Row],[CurrentStock]]&gt;Table2[[#This Row],[ReorderLevel]]*3, "Overstock", "Okay")</f>
        <v>Okay</v>
      </c>
    </row>
    <row r="1104" spans="1:17" x14ac:dyDescent="0.35">
      <c r="A1104">
        <v>79506</v>
      </c>
      <c r="B1104" t="s">
        <v>16</v>
      </c>
      <c r="C1104" t="s">
        <v>29</v>
      </c>
      <c r="D1104">
        <v>266</v>
      </c>
      <c r="E1104">
        <v>30</v>
      </c>
      <c r="F1104" s="2">
        <v>282.13</v>
      </c>
      <c r="G1104" t="s">
        <v>31</v>
      </c>
      <c r="H1104" s="1">
        <v>45485</v>
      </c>
      <c r="I1104" s="1">
        <v>45523</v>
      </c>
      <c r="J1104" t="s">
        <v>37</v>
      </c>
      <c r="K1104" s="8">
        <f>Table2[[#This Row],[CurrentStock]]*Table2[[#This Row],[UnitPrice]]</f>
        <v>75046.58</v>
      </c>
      <c r="L1104" t="str">
        <f>IF(Table2[[#This Row],[CurrentStock]]&lt;=Table2[[#This Row],[ReorderLevel]], "Reorder Needed", "Okay")</f>
        <v>Okay</v>
      </c>
      <c r="M1104" t="str">
        <f>IF(Table2[[#This Row],[CurrentStock]]-Table2[[#This Row],[ReorderLevel]]&lt;0,Table2[[#This Row],[CurrentStock]]-Table2[[#This Row],[ReorderLevel]],"")</f>
        <v/>
      </c>
      <c r="N1104" t="str">
        <f>IF(Table2[[#This Row],[Stock Gap]]&lt;0, "Understock","Okay")</f>
        <v>Okay</v>
      </c>
      <c r="O1104" s="13" t="str">
        <f>IF(Table2[[#This Row],[Stock Gap]]&lt;0, "Yes", "No")</f>
        <v>No</v>
      </c>
      <c r="P1104" s="13" t="str">
        <f>IF(Table2[[#This Row],[CurrentStock]]&lt;Table2[[#This Row],[ReorderLevel]],"Reorder", "Okay")</f>
        <v>Okay</v>
      </c>
      <c r="Q1104" s="13" t="str">
        <f>IF(Table2[[#This Row],[CurrentStock]]&gt;Table2[[#This Row],[ReorderLevel]]*3, "Overstock", "Okay")</f>
        <v>Overstock</v>
      </c>
    </row>
    <row r="1105" spans="1:17" x14ac:dyDescent="0.35">
      <c r="A1105">
        <v>98284</v>
      </c>
      <c r="B1105" t="s">
        <v>11</v>
      </c>
      <c r="C1105" t="s">
        <v>27</v>
      </c>
      <c r="D1105">
        <v>211</v>
      </c>
      <c r="E1105">
        <v>20</v>
      </c>
      <c r="F1105" s="2">
        <v>361.53</v>
      </c>
      <c r="G1105" t="s">
        <v>34</v>
      </c>
      <c r="H1105" s="1">
        <v>45653</v>
      </c>
      <c r="I1105" s="1">
        <v>45668</v>
      </c>
      <c r="J1105" t="s">
        <v>38</v>
      </c>
      <c r="K1105" s="8">
        <f>Table2[[#This Row],[CurrentStock]]*Table2[[#This Row],[UnitPrice]]</f>
        <v>76282.829999999987</v>
      </c>
      <c r="L1105" t="str">
        <f>IF(Table2[[#This Row],[CurrentStock]]&lt;=Table2[[#This Row],[ReorderLevel]], "Reorder Needed", "Okay")</f>
        <v>Okay</v>
      </c>
      <c r="M1105" t="str">
        <f>IF(Table2[[#This Row],[CurrentStock]]-Table2[[#This Row],[ReorderLevel]]&lt;0,Table2[[#This Row],[CurrentStock]]-Table2[[#This Row],[ReorderLevel]],"")</f>
        <v/>
      </c>
      <c r="N1105" t="str">
        <f>IF(Table2[[#This Row],[Stock Gap]]&lt;0, "Understock","Okay")</f>
        <v>Okay</v>
      </c>
      <c r="O1105" s="13" t="str">
        <f>IF(Table2[[#This Row],[Stock Gap]]&lt;0, "Yes", "No")</f>
        <v>No</v>
      </c>
      <c r="P1105" s="13" t="str">
        <f>IF(Table2[[#This Row],[CurrentStock]]&lt;Table2[[#This Row],[ReorderLevel]],"Reorder", "Okay")</f>
        <v>Okay</v>
      </c>
      <c r="Q1105" s="13" t="str">
        <f>IF(Table2[[#This Row],[CurrentStock]]&gt;Table2[[#This Row],[ReorderLevel]]*3, "Overstock", "Okay")</f>
        <v>Overstock</v>
      </c>
    </row>
    <row r="1106" spans="1:17" x14ac:dyDescent="0.35">
      <c r="A1106">
        <v>43690</v>
      </c>
      <c r="B1106" t="s">
        <v>18</v>
      </c>
      <c r="C1106" t="s">
        <v>27</v>
      </c>
      <c r="D1106">
        <v>439</v>
      </c>
      <c r="E1106">
        <v>50</v>
      </c>
      <c r="F1106" s="2">
        <v>379.49</v>
      </c>
      <c r="G1106" t="s">
        <v>32</v>
      </c>
      <c r="H1106" s="1">
        <v>45293</v>
      </c>
      <c r="I1106" s="1">
        <v>45321</v>
      </c>
      <c r="J1106" t="s">
        <v>36</v>
      </c>
      <c r="K1106" s="8">
        <f>Table2[[#This Row],[CurrentStock]]*Table2[[#This Row],[UnitPrice]]</f>
        <v>166596.11000000002</v>
      </c>
      <c r="L1106" t="str">
        <f>IF(Table2[[#This Row],[CurrentStock]]&lt;=Table2[[#This Row],[ReorderLevel]], "Reorder Needed", "Okay")</f>
        <v>Okay</v>
      </c>
      <c r="M1106" t="str">
        <f>IF(Table2[[#This Row],[CurrentStock]]-Table2[[#This Row],[ReorderLevel]]&lt;0,Table2[[#This Row],[CurrentStock]]-Table2[[#This Row],[ReorderLevel]],"")</f>
        <v/>
      </c>
      <c r="N1106" t="str">
        <f>IF(Table2[[#This Row],[Stock Gap]]&lt;0, "Understock","Okay")</f>
        <v>Okay</v>
      </c>
      <c r="O1106" s="13" t="str">
        <f>IF(Table2[[#This Row],[Stock Gap]]&lt;0, "Yes", "No")</f>
        <v>No</v>
      </c>
      <c r="P1106" s="13" t="str">
        <f>IF(Table2[[#This Row],[CurrentStock]]&lt;Table2[[#This Row],[ReorderLevel]],"Reorder", "Okay")</f>
        <v>Okay</v>
      </c>
      <c r="Q1106" s="13" t="str">
        <f>IF(Table2[[#This Row],[CurrentStock]]&gt;Table2[[#This Row],[ReorderLevel]]*3, "Overstock", "Okay")</f>
        <v>Overstock</v>
      </c>
    </row>
    <row r="1107" spans="1:17" x14ac:dyDescent="0.35">
      <c r="A1107">
        <v>42705</v>
      </c>
      <c r="B1107" t="s">
        <v>9</v>
      </c>
      <c r="C1107" t="s">
        <v>26</v>
      </c>
      <c r="D1107">
        <v>140</v>
      </c>
      <c r="E1107">
        <v>50</v>
      </c>
      <c r="F1107" s="2">
        <v>114.51</v>
      </c>
      <c r="G1107" t="s">
        <v>32</v>
      </c>
      <c r="H1107" s="1">
        <v>45419</v>
      </c>
      <c r="I1107" s="1">
        <v>45431</v>
      </c>
      <c r="J1107" t="s">
        <v>36</v>
      </c>
      <c r="K1107" s="8">
        <f>Table2[[#This Row],[CurrentStock]]*Table2[[#This Row],[UnitPrice]]</f>
        <v>16031.400000000001</v>
      </c>
      <c r="L1107" t="str">
        <f>IF(Table2[[#This Row],[CurrentStock]]&lt;=Table2[[#This Row],[ReorderLevel]], "Reorder Needed", "Okay")</f>
        <v>Okay</v>
      </c>
      <c r="M1107" t="str">
        <f>IF(Table2[[#This Row],[CurrentStock]]-Table2[[#This Row],[ReorderLevel]]&lt;0,Table2[[#This Row],[CurrentStock]]-Table2[[#This Row],[ReorderLevel]],"")</f>
        <v/>
      </c>
      <c r="N1107" t="str">
        <f>IF(Table2[[#This Row],[Stock Gap]]&lt;0, "Understock","Okay")</f>
        <v>Okay</v>
      </c>
      <c r="O1107" s="13" t="str">
        <f>IF(Table2[[#This Row],[Stock Gap]]&lt;0, "Yes", "No")</f>
        <v>No</v>
      </c>
      <c r="P1107" s="13" t="str">
        <f>IF(Table2[[#This Row],[CurrentStock]]&lt;Table2[[#This Row],[ReorderLevel]],"Reorder", "Okay")</f>
        <v>Okay</v>
      </c>
      <c r="Q1107" s="13" t="str">
        <f>IF(Table2[[#This Row],[CurrentStock]]&gt;Table2[[#This Row],[ReorderLevel]]*3, "Overstock", "Okay")</f>
        <v>Okay</v>
      </c>
    </row>
    <row r="1108" spans="1:17" x14ac:dyDescent="0.35">
      <c r="A1108">
        <v>74356</v>
      </c>
      <c r="B1108" t="s">
        <v>20</v>
      </c>
      <c r="C1108" t="s">
        <v>30</v>
      </c>
      <c r="D1108">
        <v>278</v>
      </c>
      <c r="E1108">
        <v>40</v>
      </c>
      <c r="F1108" s="2">
        <v>171.55</v>
      </c>
      <c r="G1108" t="s">
        <v>33</v>
      </c>
      <c r="H1108" s="1">
        <v>45320</v>
      </c>
      <c r="I1108" s="1">
        <v>45358</v>
      </c>
      <c r="J1108" t="s">
        <v>36</v>
      </c>
      <c r="K1108" s="8">
        <f>Table2[[#This Row],[CurrentStock]]*Table2[[#This Row],[UnitPrice]]</f>
        <v>47690.9</v>
      </c>
      <c r="L1108" t="str">
        <f>IF(Table2[[#This Row],[CurrentStock]]&lt;=Table2[[#This Row],[ReorderLevel]], "Reorder Needed", "Okay")</f>
        <v>Okay</v>
      </c>
      <c r="M1108" t="str">
        <f>IF(Table2[[#This Row],[CurrentStock]]-Table2[[#This Row],[ReorderLevel]]&lt;0,Table2[[#This Row],[CurrentStock]]-Table2[[#This Row],[ReorderLevel]],"")</f>
        <v/>
      </c>
      <c r="N1108" t="str">
        <f>IF(Table2[[#This Row],[Stock Gap]]&lt;0, "Understock","Okay")</f>
        <v>Okay</v>
      </c>
      <c r="O1108" s="13" t="str">
        <f>IF(Table2[[#This Row],[Stock Gap]]&lt;0, "Yes", "No")</f>
        <v>No</v>
      </c>
      <c r="P1108" s="13" t="str">
        <f>IF(Table2[[#This Row],[CurrentStock]]&lt;Table2[[#This Row],[ReorderLevel]],"Reorder", "Okay")</f>
        <v>Okay</v>
      </c>
      <c r="Q1108" s="13" t="str">
        <f>IF(Table2[[#This Row],[CurrentStock]]&gt;Table2[[#This Row],[ReorderLevel]]*3, "Overstock", "Okay")</f>
        <v>Overstock</v>
      </c>
    </row>
    <row r="1109" spans="1:17" x14ac:dyDescent="0.35">
      <c r="A1109">
        <v>20482</v>
      </c>
      <c r="B1109" t="s">
        <v>16</v>
      </c>
      <c r="C1109" t="s">
        <v>29</v>
      </c>
      <c r="D1109">
        <v>70</v>
      </c>
      <c r="E1109">
        <v>100</v>
      </c>
      <c r="F1109" s="2">
        <v>34.44</v>
      </c>
      <c r="G1109" t="s">
        <v>32</v>
      </c>
      <c r="H1109" s="1">
        <v>45655</v>
      </c>
      <c r="I1109" s="1">
        <v>45677</v>
      </c>
      <c r="J1109" t="s">
        <v>36</v>
      </c>
      <c r="K1109" s="8">
        <f>Table2[[#This Row],[CurrentStock]]*Table2[[#This Row],[UnitPrice]]</f>
        <v>2410.7999999999997</v>
      </c>
      <c r="L1109" t="str">
        <f>IF(Table2[[#This Row],[CurrentStock]]&lt;=Table2[[#This Row],[ReorderLevel]], "Reorder Needed", "Okay")</f>
        <v>Reorder Needed</v>
      </c>
      <c r="M1109" s="7">
        <f>IF(Table2[[#This Row],[CurrentStock]]-Table2[[#This Row],[ReorderLevel]]&lt;0,Table2[[#This Row],[CurrentStock]]-Table2[[#This Row],[ReorderLevel]],"")</f>
        <v>-30</v>
      </c>
      <c r="N1109" t="str">
        <f>IF(Table2[[#This Row],[Stock Gap]]&lt;0, "Understock","Okay")</f>
        <v>Understock</v>
      </c>
      <c r="O1109" s="13" t="str">
        <f>IF(Table2[[#This Row],[Stock Gap]]&lt;0, "Yes", "No")</f>
        <v>Yes</v>
      </c>
      <c r="P1109" s="13" t="str">
        <f>IF(Table2[[#This Row],[CurrentStock]]&lt;Table2[[#This Row],[ReorderLevel]],"Reorder", "Okay")</f>
        <v>Reorder</v>
      </c>
      <c r="Q1109" s="13" t="str">
        <f>IF(Table2[[#This Row],[CurrentStock]]&gt;Table2[[#This Row],[ReorderLevel]]*3, "Overstock", "Okay")</f>
        <v>Okay</v>
      </c>
    </row>
    <row r="1110" spans="1:17" x14ac:dyDescent="0.35">
      <c r="A1110">
        <v>39550</v>
      </c>
      <c r="B1110" t="s">
        <v>25</v>
      </c>
      <c r="C1110" t="s">
        <v>29</v>
      </c>
      <c r="D1110">
        <v>446</v>
      </c>
      <c r="E1110">
        <v>80</v>
      </c>
      <c r="F1110" s="2">
        <v>53.99</v>
      </c>
      <c r="G1110" t="s">
        <v>32</v>
      </c>
      <c r="H1110" s="1">
        <v>45373</v>
      </c>
      <c r="I1110" s="1">
        <v>45401</v>
      </c>
      <c r="J1110" t="s">
        <v>37</v>
      </c>
      <c r="K1110" s="8">
        <f>Table2[[#This Row],[CurrentStock]]*Table2[[#This Row],[UnitPrice]]</f>
        <v>24079.54</v>
      </c>
      <c r="L1110" t="str">
        <f>IF(Table2[[#This Row],[CurrentStock]]&lt;=Table2[[#This Row],[ReorderLevel]], "Reorder Needed", "Okay")</f>
        <v>Okay</v>
      </c>
      <c r="M1110" t="str">
        <f>IF(Table2[[#This Row],[CurrentStock]]-Table2[[#This Row],[ReorderLevel]]&lt;0,Table2[[#This Row],[CurrentStock]]-Table2[[#This Row],[ReorderLevel]],"")</f>
        <v/>
      </c>
      <c r="N1110" t="str">
        <f>IF(Table2[[#This Row],[Stock Gap]]&lt;0, "Understock","Okay")</f>
        <v>Okay</v>
      </c>
      <c r="O1110" s="13" t="str">
        <f>IF(Table2[[#This Row],[Stock Gap]]&lt;0, "Yes", "No")</f>
        <v>No</v>
      </c>
      <c r="P1110" s="13" t="str">
        <f>IF(Table2[[#This Row],[CurrentStock]]&lt;Table2[[#This Row],[ReorderLevel]],"Reorder", "Okay")</f>
        <v>Okay</v>
      </c>
      <c r="Q1110" s="13" t="str">
        <f>IF(Table2[[#This Row],[CurrentStock]]&gt;Table2[[#This Row],[ReorderLevel]]*3, "Overstock", "Okay")</f>
        <v>Overstock</v>
      </c>
    </row>
    <row r="1111" spans="1:17" x14ac:dyDescent="0.35">
      <c r="A1111">
        <v>77342</v>
      </c>
      <c r="B1111" t="s">
        <v>21</v>
      </c>
      <c r="C1111" t="s">
        <v>26</v>
      </c>
      <c r="D1111">
        <v>144</v>
      </c>
      <c r="E1111">
        <v>20</v>
      </c>
      <c r="F1111" s="2">
        <v>137.80000000000001</v>
      </c>
      <c r="G1111" t="s">
        <v>31</v>
      </c>
      <c r="H1111" s="1">
        <v>45405</v>
      </c>
      <c r="I1111" s="1">
        <v>45435</v>
      </c>
      <c r="J1111" t="s">
        <v>36</v>
      </c>
      <c r="K1111" s="8">
        <f>Table2[[#This Row],[CurrentStock]]*Table2[[#This Row],[UnitPrice]]</f>
        <v>19843.2</v>
      </c>
      <c r="L1111" t="str">
        <f>IF(Table2[[#This Row],[CurrentStock]]&lt;=Table2[[#This Row],[ReorderLevel]], "Reorder Needed", "Okay")</f>
        <v>Okay</v>
      </c>
      <c r="M1111" t="str">
        <f>IF(Table2[[#This Row],[CurrentStock]]-Table2[[#This Row],[ReorderLevel]]&lt;0,Table2[[#This Row],[CurrentStock]]-Table2[[#This Row],[ReorderLevel]],"")</f>
        <v/>
      </c>
      <c r="N1111" t="str">
        <f>IF(Table2[[#This Row],[Stock Gap]]&lt;0, "Understock","Okay")</f>
        <v>Okay</v>
      </c>
      <c r="O1111" s="13" t="str">
        <f>IF(Table2[[#This Row],[Stock Gap]]&lt;0, "Yes", "No")</f>
        <v>No</v>
      </c>
      <c r="P1111" s="13" t="str">
        <f>IF(Table2[[#This Row],[CurrentStock]]&lt;Table2[[#This Row],[ReorderLevel]],"Reorder", "Okay")</f>
        <v>Okay</v>
      </c>
      <c r="Q1111" s="13" t="str">
        <f>IF(Table2[[#This Row],[CurrentStock]]&gt;Table2[[#This Row],[ReorderLevel]]*3, "Overstock", "Okay")</f>
        <v>Overstock</v>
      </c>
    </row>
    <row r="1112" spans="1:17" x14ac:dyDescent="0.35">
      <c r="A1112">
        <v>66344</v>
      </c>
      <c r="B1112" t="s">
        <v>15</v>
      </c>
      <c r="C1112" t="s">
        <v>29</v>
      </c>
      <c r="D1112">
        <v>94</v>
      </c>
      <c r="E1112">
        <v>40</v>
      </c>
      <c r="F1112" s="2">
        <v>238.45</v>
      </c>
      <c r="G1112" t="s">
        <v>34</v>
      </c>
      <c r="H1112" s="1">
        <v>45367</v>
      </c>
      <c r="I1112" s="1">
        <v>45390</v>
      </c>
      <c r="J1112" t="s">
        <v>37</v>
      </c>
      <c r="K1112" s="8">
        <f>Table2[[#This Row],[CurrentStock]]*Table2[[#This Row],[UnitPrice]]</f>
        <v>22414.3</v>
      </c>
      <c r="L1112" t="str">
        <f>IF(Table2[[#This Row],[CurrentStock]]&lt;=Table2[[#This Row],[ReorderLevel]], "Reorder Needed", "Okay")</f>
        <v>Okay</v>
      </c>
      <c r="M1112" t="str">
        <f>IF(Table2[[#This Row],[CurrentStock]]-Table2[[#This Row],[ReorderLevel]]&lt;0,Table2[[#This Row],[CurrentStock]]-Table2[[#This Row],[ReorderLevel]],"")</f>
        <v/>
      </c>
      <c r="N1112" t="str">
        <f>IF(Table2[[#This Row],[Stock Gap]]&lt;0, "Understock","Okay")</f>
        <v>Okay</v>
      </c>
      <c r="O1112" s="13" t="str">
        <f>IF(Table2[[#This Row],[Stock Gap]]&lt;0, "Yes", "No")</f>
        <v>No</v>
      </c>
      <c r="P1112" s="13" t="str">
        <f>IF(Table2[[#This Row],[CurrentStock]]&lt;Table2[[#This Row],[ReorderLevel]],"Reorder", "Okay")</f>
        <v>Okay</v>
      </c>
      <c r="Q1112" s="13" t="str">
        <f>IF(Table2[[#This Row],[CurrentStock]]&gt;Table2[[#This Row],[ReorderLevel]]*3, "Overstock", "Okay")</f>
        <v>Okay</v>
      </c>
    </row>
    <row r="1113" spans="1:17" x14ac:dyDescent="0.35">
      <c r="A1113">
        <v>84947</v>
      </c>
      <c r="B1113" t="s">
        <v>21</v>
      </c>
      <c r="C1113" t="s">
        <v>26</v>
      </c>
      <c r="D1113">
        <v>332</v>
      </c>
      <c r="E1113">
        <v>50</v>
      </c>
      <c r="F1113" s="2">
        <v>201.83</v>
      </c>
      <c r="G1113" t="s">
        <v>35</v>
      </c>
      <c r="H1113" s="1">
        <v>45617</v>
      </c>
      <c r="I1113" s="1">
        <v>45629</v>
      </c>
      <c r="J1113" t="s">
        <v>36</v>
      </c>
      <c r="K1113" s="8">
        <f>Table2[[#This Row],[CurrentStock]]*Table2[[#This Row],[UnitPrice]]</f>
        <v>67007.56</v>
      </c>
      <c r="L1113" t="str">
        <f>IF(Table2[[#This Row],[CurrentStock]]&lt;=Table2[[#This Row],[ReorderLevel]], "Reorder Needed", "Okay")</f>
        <v>Okay</v>
      </c>
      <c r="M1113" t="str">
        <f>IF(Table2[[#This Row],[CurrentStock]]-Table2[[#This Row],[ReorderLevel]]&lt;0,Table2[[#This Row],[CurrentStock]]-Table2[[#This Row],[ReorderLevel]],"")</f>
        <v/>
      </c>
      <c r="N1113" t="str">
        <f>IF(Table2[[#This Row],[Stock Gap]]&lt;0, "Understock","Okay")</f>
        <v>Okay</v>
      </c>
      <c r="O1113" s="13" t="str">
        <f>IF(Table2[[#This Row],[Stock Gap]]&lt;0, "Yes", "No")</f>
        <v>No</v>
      </c>
      <c r="P1113" s="13" t="str">
        <f>IF(Table2[[#This Row],[CurrentStock]]&lt;Table2[[#This Row],[ReorderLevel]],"Reorder", "Okay")</f>
        <v>Okay</v>
      </c>
      <c r="Q1113" s="13" t="str">
        <f>IF(Table2[[#This Row],[CurrentStock]]&gt;Table2[[#This Row],[ReorderLevel]]*3, "Overstock", "Okay")</f>
        <v>Overstock</v>
      </c>
    </row>
    <row r="1114" spans="1:17" x14ac:dyDescent="0.35">
      <c r="A1114">
        <v>78580</v>
      </c>
      <c r="B1114" t="s">
        <v>21</v>
      </c>
      <c r="C1114" t="s">
        <v>26</v>
      </c>
      <c r="D1114">
        <v>278</v>
      </c>
      <c r="E1114">
        <v>50</v>
      </c>
      <c r="F1114" s="2">
        <v>132.27000000000001</v>
      </c>
      <c r="G1114" t="s">
        <v>34</v>
      </c>
      <c r="H1114" s="1">
        <v>45417</v>
      </c>
      <c r="I1114" s="1">
        <v>45442</v>
      </c>
      <c r="J1114" t="s">
        <v>38</v>
      </c>
      <c r="K1114" s="8">
        <f>Table2[[#This Row],[CurrentStock]]*Table2[[#This Row],[UnitPrice]]</f>
        <v>36771.060000000005</v>
      </c>
      <c r="L1114" t="str">
        <f>IF(Table2[[#This Row],[CurrentStock]]&lt;=Table2[[#This Row],[ReorderLevel]], "Reorder Needed", "Okay")</f>
        <v>Okay</v>
      </c>
      <c r="M1114" t="str">
        <f>IF(Table2[[#This Row],[CurrentStock]]-Table2[[#This Row],[ReorderLevel]]&lt;0,Table2[[#This Row],[CurrentStock]]-Table2[[#This Row],[ReorderLevel]],"")</f>
        <v/>
      </c>
      <c r="N1114" t="str">
        <f>IF(Table2[[#This Row],[Stock Gap]]&lt;0, "Understock","Okay")</f>
        <v>Okay</v>
      </c>
      <c r="O1114" s="13" t="str">
        <f>IF(Table2[[#This Row],[Stock Gap]]&lt;0, "Yes", "No")</f>
        <v>No</v>
      </c>
      <c r="P1114" s="13" t="str">
        <f>IF(Table2[[#This Row],[CurrentStock]]&lt;Table2[[#This Row],[ReorderLevel]],"Reorder", "Okay")</f>
        <v>Okay</v>
      </c>
      <c r="Q1114" s="13" t="str">
        <f>IF(Table2[[#This Row],[CurrentStock]]&gt;Table2[[#This Row],[ReorderLevel]]*3, "Overstock", "Okay")</f>
        <v>Overstock</v>
      </c>
    </row>
    <row r="1115" spans="1:17" x14ac:dyDescent="0.35">
      <c r="A1115">
        <v>78682</v>
      </c>
      <c r="B1115" t="s">
        <v>12</v>
      </c>
      <c r="C1115" t="s">
        <v>28</v>
      </c>
      <c r="D1115">
        <v>48</v>
      </c>
      <c r="E1115">
        <v>20</v>
      </c>
      <c r="F1115" s="2">
        <v>108.61</v>
      </c>
      <c r="G1115" t="s">
        <v>32</v>
      </c>
      <c r="H1115" s="1">
        <v>45634</v>
      </c>
      <c r="I1115" s="1">
        <v>45672</v>
      </c>
      <c r="J1115" t="s">
        <v>36</v>
      </c>
      <c r="K1115" s="8">
        <f>Table2[[#This Row],[CurrentStock]]*Table2[[#This Row],[UnitPrice]]</f>
        <v>5213.28</v>
      </c>
      <c r="L1115" t="str">
        <f>IF(Table2[[#This Row],[CurrentStock]]&lt;=Table2[[#This Row],[ReorderLevel]], "Reorder Needed", "Okay")</f>
        <v>Okay</v>
      </c>
      <c r="M1115" t="str">
        <f>IF(Table2[[#This Row],[CurrentStock]]-Table2[[#This Row],[ReorderLevel]]&lt;0,Table2[[#This Row],[CurrentStock]]-Table2[[#This Row],[ReorderLevel]],"")</f>
        <v/>
      </c>
      <c r="N1115" t="str">
        <f>IF(Table2[[#This Row],[Stock Gap]]&lt;0, "Understock","Okay")</f>
        <v>Okay</v>
      </c>
      <c r="O1115" s="13" t="str">
        <f>IF(Table2[[#This Row],[Stock Gap]]&lt;0, "Yes", "No")</f>
        <v>No</v>
      </c>
      <c r="P1115" s="13" t="str">
        <f>IF(Table2[[#This Row],[CurrentStock]]&lt;Table2[[#This Row],[ReorderLevel]],"Reorder", "Okay")</f>
        <v>Okay</v>
      </c>
      <c r="Q1115" s="13" t="str">
        <f>IF(Table2[[#This Row],[CurrentStock]]&gt;Table2[[#This Row],[ReorderLevel]]*3, "Overstock", "Okay")</f>
        <v>Okay</v>
      </c>
    </row>
    <row r="1116" spans="1:17" x14ac:dyDescent="0.35">
      <c r="A1116">
        <v>46731</v>
      </c>
      <c r="B1116" t="s">
        <v>20</v>
      </c>
      <c r="C1116" t="s">
        <v>30</v>
      </c>
      <c r="D1116">
        <v>124</v>
      </c>
      <c r="E1116">
        <v>150</v>
      </c>
      <c r="F1116" s="2">
        <v>417.47</v>
      </c>
      <c r="G1116" t="s">
        <v>32</v>
      </c>
      <c r="H1116" s="1">
        <v>45477</v>
      </c>
      <c r="I1116" s="1">
        <v>45515</v>
      </c>
      <c r="J1116" t="s">
        <v>37</v>
      </c>
      <c r="K1116" s="8">
        <f>Table2[[#This Row],[CurrentStock]]*Table2[[#This Row],[UnitPrice]]</f>
        <v>51766.280000000006</v>
      </c>
      <c r="L1116" t="str">
        <f>IF(Table2[[#This Row],[CurrentStock]]&lt;=Table2[[#This Row],[ReorderLevel]], "Reorder Needed", "Okay")</f>
        <v>Reorder Needed</v>
      </c>
      <c r="M1116" s="7">
        <f>IF(Table2[[#This Row],[CurrentStock]]-Table2[[#This Row],[ReorderLevel]]&lt;0,Table2[[#This Row],[CurrentStock]]-Table2[[#This Row],[ReorderLevel]],"")</f>
        <v>-26</v>
      </c>
      <c r="N1116" t="str">
        <f>IF(Table2[[#This Row],[Stock Gap]]&lt;0, "Understock","Okay")</f>
        <v>Understock</v>
      </c>
      <c r="O1116" s="13" t="str">
        <f>IF(Table2[[#This Row],[Stock Gap]]&lt;0, "Yes", "No")</f>
        <v>Yes</v>
      </c>
      <c r="P1116" s="13" t="str">
        <f>IF(Table2[[#This Row],[CurrentStock]]&lt;Table2[[#This Row],[ReorderLevel]],"Reorder", "Okay")</f>
        <v>Reorder</v>
      </c>
      <c r="Q1116" s="13" t="str">
        <f>IF(Table2[[#This Row],[CurrentStock]]&gt;Table2[[#This Row],[ReorderLevel]]*3, "Overstock", "Okay")</f>
        <v>Okay</v>
      </c>
    </row>
    <row r="1117" spans="1:17" x14ac:dyDescent="0.35">
      <c r="A1117">
        <v>38451</v>
      </c>
      <c r="B1117" t="s">
        <v>23</v>
      </c>
      <c r="C1117" t="s">
        <v>30</v>
      </c>
      <c r="D1117">
        <v>184</v>
      </c>
      <c r="E1117">
        <v>150</v>
      </c>
      <c r="F1117" s="2">
        <v>183.93</v>
      </c>
      <c r="G1117" t="s">
        <v>31</v>
      </c>
      <c r="H1117" s="1">
        <v>45556</v>
      </c>
      <c r="I1117" s="1">
        <v>45569</v>
      </c>
      <c r="J1117" t="s">
        <v>36</v>
      </c>
      <c r="K1117" s="8">
        <f>Table2[[#This Row],[CurrentStock]]*Table2[[#This Row],[UnitPrice]]</f>
        <v>33843.120000000003</v>
      </c>
      <c r="L1117" t="str">
        <f>IF(Table2[[#This Row],[CurrentStock]]&lt;=Table2[[#This Row],[ReorderLevel]], "Reorder Needed", "Okay")</f>
        <v>Okay</v>
      </c>
      <c r="M1117" t="str">
        <f>IF(Table2[[#This Row],[CurrentStock]]-Table2[[#This Row],[ReorderLevel]]&lt;0,Table2[[#This Row],[CurrentStock]]-Table2[[#This Row],[ReorderLevel]],"")</f>
        <v/>
      </c>
      <c r="N1117" t="str">
        <f>IF(Table2[[#This Row],[Stock Gap]]&lt;0, "Understock","Okay")</f>
        <v>Okay</v>
      </c>
      <c r="O1117" s="13" t="str">
        <f>IF(Table2[[#This Row],[Stock Gap]]&lt;0, "Yes", "No")</f>
        <v>No</v>
      </c>
      <c r="P1117" s="13" t="str">
        <f>IF(Table2[[#This Row],[CurrentStock]]&lt;Table2[[#This Row],[ReorderLevel]],"Reorder", "Okay")</f>
        <v>Okay</v>
      </c>
      <c r="Q1117" s="13" t="str">
        <f>IF(Table2[[#This Row],[CurrentStock]]&gt;Table2[[#This Row],[ReorderLevel]]*3, "Overstock", "Okay")</f>
        <v>Okay</v>
      </c>
    </row>
    <row r="1118" spans="1:17" x14ac:dyDescent="0.35">
      <c r="A1118">
        <v>27669</v>
      </c>
      <c r="B1118" t="s">
        <v>20</v>
      </c>
      <c r="C1118" t="s">
        <v>30</v>
      </c>
      <c r="D1118">
        <v>405</v>
      </c>
      <c r="E1118">
        <v>80</v>
      </c>
      <c r="F1118" s="2">
        <v>224.44</v>
      </c>
      <c r="G1118" t="s">
        <v>32</v>
      </c>
      <c r="H1118" s="1">
        <v>45545</v>
      </c>
      <c r="I1118" s="1">
        <v>45578</v>
      </c>
      <c r="J1118" t="s">
        <v>37</v>
      </c>
      <c r="K1118" s="8">
        <f>Table2[[#This Row],[CurrentStock]]*Table2[[#This Row],[UnitPrice]]</f>
        <v>90898.2</v>
      </c>
      <c r="L1118" t="str">
        <f>IF(Table2[[#This Row],[CurrentStock]]&lt;=Table2[[#This Row],[ReorderLevel]], "Reorder Needed", "Okay")</f>
        <v>Okay</v>
      </c>
      <c r="M1118" t="str">
        <f>IF(Table2[[#This Row],[CurrentStock]]-Table2[[#This Row],[ReorderLevel]]&lt;0,Table2[[#This Row],[CurrentStock]]-Table2[[#This Row],[ReorderLevel]],"")</f>
        <v/>
      </c>
      <c r="N1118" t="str">
        <f>IF(Table2[[#This Row],[Stock Gap]]&lt;0, "Understock","Okay")</f>
        <v>Okay</v>
      </c>
      <c r="O1118" s="13" t="str">
        <f>IF(Table2[[#This Row],[Stock Gap]]&lt;0, "Yes", "No")</f>
        <v>No</v>
      </c>
      <c r="P1118" s="13" t="str">
        <f>IF(Table2[[#This Row],[CurrentStock]]&lt;Table2[[#This Row],[ReorderLevel]],"Reorder", "Okay")</f>
        <v>Okay</v>
      </c>
      <c r="Q1118" s="13" t="str">
        <f>IF(Table2[[#This Row],[CurrentStock]]&gt;Table2[[#This Row],[ReorderLevel]]*3, "Overstock", "Okay")</f>
        <v>Overstock</v>
      </c>
    </row>
    <row r="1119" spans="1:17" x14ac:dyDescent="0.35">
      <c r="A1119">
        <v>35395</v>
      </c>
      <c r="B1119" t="s">
        <v>15</v>
      </c>
      <c r="C1119" t="s">
        <v>29</v>
      </c>
      <c r="D1119">
        <v>307</v>
      </c>
      <c r="E1119">
        <v>30</v>
      </c>
      <c r="F1119" s="2">
        <v>99.57</v>
      </c>
      <c r="G1119" t="s">
        <v>31</v>
      </c>
      <c r="H1119" s="1">
        <v>45545</v>
      </c>
      <c r="I1119" s="1">
        <v>45550</v>
      </c>
      <c r="J1119" t="s">
        <v>38</v>
      </c>
      <c r="K1119" s="8">
        <f>Table2[[#This Row],[CurrentStock]]*Table2[[#This Row],[UnitPrice]]</f>
        <v>30567.989999999998</v>
      </c>
      <c r="L1119" t="str">
        <f>IF(Table2[[#This Row],[CurrentStock]]&lt;=Table2[[#This Row],[ReorderLevel]], "Reorder Needed", "Okay")</f>
        <v>Okay</v>
      </c>
      <c r="M1119" t="str">
        <f>IF(Table2[[#This Row],[CurrentStock]]-Table2[[#This Row],[ReorderLevel]]&lt;0,Table2[[#This Row],[CurrentStock]]-Table2[[#This Row],[ReorderLevel]],"")</f>
        <v/>
      </c>
      <c r="N1119" t="str">
        <f>IF(Table2[[#This Row],[Stock Gap]]&lt;0, "Understock","Okay")</f>
        <v>Okay</v>
      </c>
      <c r="O1119" s="13" t="str">
        <f>IF(Table2[[#This Row],[Stock Gap]]&lt;0, "Yes", "No")</f>
        <v>No</v>
      </c>
      <c r="P1119" s="13" t="str">
        <f>IF(Table2[[#This Row],[CurrentStock]]&lt;Table2[[#This Row],[ReorderLevel]],"Reorder", "Okay")</f>
        <v>Okay</v>
      </c>
      <c r="Q1119" s="13" t="str">
        <f>IF(Table2[[#This Row],[CurrentStock]]&gt;Table2[[#This Row],[ReorderLevel]]*3, "Overstock", "Okay")</f>
        <v>Overstock</v>
      </c>
    </row>
    <row r="1120" spans="1:17" x14ac:dyDescent="0.35">
      <c r="A1120">
        <v>55913</v>
      </c>
      <c r="B1120" t="s">
        <v>20</v>
      </c>
      <c r="C1120" t="s">
        <v>30</v>
      </c>
      <c r="D1120">
        <v>344</v>
      </c>
      <c r="E1120">
        <v>40</v>
      </c>
      <c r="F1120" s="2">
        <v>401.58</v>
      </c>
      <c r="G1120" t="s">
        <v>35</v>
      </c>
      <c r="H1120" s="1">
        <v>45406</v>
      </c>
      <c r="I1120" s="1">
        <v>45412</v>
      </c>
      <c r="J1120" t="s">
        <v>38</v>
      </c>
      <c r="K1120" s="8">
        <f>Table2[[#This Row],[CurrentStock]]*Table2[[#This Row],[UnitPrice]]</f>
        <v>138143.51999999999</v>
      </c>
      <c r="L1120" t="str">
        <f>IF(Table2[[#This Row],[CurrentStock]]&lt;=Table2[[#This Row],[ReorderLevel]], "Reorder Needed", "Okay")</f>
        <v>Okay</v>
      </c>
      <c r="M1120" t="str">
        <f>IF(Table2[[#This Row],[CurrentStock]]-Table2[[#This Row],[ReorderLevel]]&lt;0,Table2[[#This Row],[CurrentStock]]-Table2[[#This Row],[ReorderLevel]],"")</f>
        <v/>
      </c>
      <c r="N1120" t="str">
        <f>IF(Table2[[#This Row],[Stock Gap]]&lt;0, "Understock","Okay")</f>
        <v>Okay</v>
      </c>
      <c r="O1120" s="13" t="str">
        <f>IF(Table2[[#This Row],[Stock Gap]]&lt;0, "Yes", "No")</f>
        <v>No</v>
      </c>
      <c r="P1120" s="13" t="str">
        <f>IF(Table2[[#This Row],[CurrentStock]]&lt;Table2[[#This Row],[ReorderLevel]],"Reorder", "Okay")</f>
        <v>Okay</v>
      </c>
      <c r="Q1120" s="13" t="str">
        <f>IF(Table2[[#This Row],[CurrentStock]]&gt;Table2[[#This Row],[ReorderLevel]]*3, "Overstock", "Okay")</f>
        <v>Overstock</v>
      </c>
    </row>
    <row r="1121" spans="1:17" x14ac:dyDescent="0.35">
      <c r="A1121">
        <v>38690</v>
      </c>
      <c r="B1121" t="s">
        <v>20</v>
      </c>
      <c r="C1121" t="s">
        <v>30</v>
      </c>
      <c r="D1121">
        <v>426</v>
      </c>
      <c r="E1121">
        <v>30</v>
      </c>
      <c r="F1121" s="2">
        <v>333.36</v>
      </c>
      <c r="G1121" t="s">
        <v>32</v>
      </c>
      <c r="H1121" s="1">
        <v>45569</v>
      </c>
      <c r="I1121" s="1">
        <v>45577</v>
      </c>
      <c r="J1121" t="s">
        <v>37</v>
      </c>
      <c r="K1121" s="8">
        <f>Table2[[#This Row],[CurrentStock]]*Table2[[#This Row],[UnitPrice]]</f>
        <v>142011.36000000002</v>
      </c>
      <c r="L1121" t="str">
        <f>IF(Table2[[#This Row],[CurrentStock]]&lt;=Table2[[#This Row],[ReorderLevel]], "Reorder Needed", "Okay")</f>
        <v>Okay</v>
      </c>
      <c r="M1121" t="str">
        <f>IF(Table2[[#This Row],[CurrentStock]]-Table2[[#This Row],[ReorderLevel]]&lt;0,Table2[[#This Row],[CurrentStock]]-Table2[[#This Row],[ReorderLevel]],"")</f>
        <v/>
      </c>
      <c r="N1121" t="str">
        <f>IF(Table2[[#This Row],[Stock Gap]]&lt;0, "Understock","Okay")</f>
        <v>Okay</v>
      </c>
      <c r="O1121" s="13" t="str">
        <f>IF(Table2[[#This Row],[Stock Gap]]&lt;0, "Yes", "No")</f>
        <v>No</v>
      </c>
      <c r="P1121" s="13" t="str">
        <f>IF(Table2[[#This Row],[CurrentStock]]&lt;Table2[[#This Row],[ReorderLevel]],"Reorder", "Okay")</f>
        <v>Okay</v>
      </c>
      <c r="Q1121" s="13" t="str">
        <f>IF(Table2[[#This Row],[CurrentStock]]&gt;Table2[[#This Row],[ReorderLevel]]*3, "Overstock", "Okay")</f>
        <v>Overstock</v>
      </c>
    </row>
    <row r="1122" spans="1:17" x14ac:dyDescent="0.35">
      <c r="A1122">
        <v>96612</v>
      </c>
      <c r="B1122" t="s">
        <v>18</v>
      </c>
      <c r="C1122" t="s">
        <v>27</v>
      </c>
      <c r="D1122">
        <v>399</v>
      </c>
      <c r="E1122">
        <v>100</v>
      </c>
      <c r="F1122" s="2">
        <v>267.27</v>
      </c>
      <c r="G1122" t="s">
        <v>31</v>
      </c>
      <c r="H1122" s="1">
        <v>45565</v>
      </c>
      <c r="I1122" s="1">
        <v>45592</v>
      </c>
      <c r="J1122" t="s">
        <v>37</v>
      </c>
      <c r="K1122" s="8">
        <f>Table2[[#This Row],[CurrentStock]]*Table2[[#This Row],[UnitPrice]]</f>
        <v>106640.73</v>
      </c>
      <c r="L1122" t="str">
        <f>IF(Table2[[#This Row],[CurrentStock]]&lt;=Table2[[#This Row],[ReorderLevel]], "Reorder Needed", "Okay")</f>
        <v>Okay</v>
      </c>
      <c r="M1122" t="str">
        <f>IF(Table2[[#This Row],[CurrentStock]]-Table2[[#This Row],[ReorderLevel]]&lt;0,Table2[[#This Row],[CurrentStock]]-Table2[[#This Row],[ReorderLevel]],"")</f>
        <v/>
      </c>
      <c r="N1122" t="str">
        <f>IF(Table2[[#This Row],[Stock Gap]]&lt;0, "Understock","Okay")</f>
        <v>Okay</v>
      </c>
      <c r="O1122" s="13" t="str">
        <f>IF(Table2[[#This Row],[Stock Gap]]&lt;0, "Yes", "No")</f>
        <v>No</v>
      </c>
      <c r="P1122" s="13" t="str">
        <f>IF(Table2[[#This Row],[CurrentStock]]&lt;Table2[[#This Row],[ReorderLevel]],"Reorder", "Okay")</f>
        <v>Okay</v>
      </c>
      <c r="Q1122" s="13" t="str">
        <f>IF(Table2[[#This Row],[CurrentStock]]&gt;Table2[[#This Row],[ReorderLevel]]*3, "Overstock", "Okay")</f>
        <v>Overstock</v>
      </c>
    </row>
    <row r="1123" spans="1:17" x14ac:dyDescent="0.35">
      <c r="A1123">
        <v>98267</v>
      </c>
      <c r="B1123" t="s">
        <v>17</v>
      </c>
      <c r="C1123" t="s">
        <v>27</v>
      </c>
      <c r="D1123">
        <v>446</v>
      </c>
      <c r="E1123">
        <v>100</v>
      </c>
      <c r="F1123" s="2">
        <v>67.83</v>
      </c>
      <c r="G1123" t="s">
        <v>32</v>
      </c>
      <c r="H1123" s="1">
        <v>45509</v>
      </c>
      <c r="I1123" s="1">
        <v>45547</v>
      </c>
      <c r="J1123" t="s">
        <v>38</v>
      </c>
      <c r="K1123" s="8">
        <f>Table2[[#This Row],[CurrentStock]]*Table2[[#This Row],[UnitPrice]]</f>
        <v>30252.18</v>
      </c>
      <c r="L1123" t="str">
        <f>IF(Table2[[#This Row],[CurrentStock]]&lt;=Table2[[#This Row],[ReorderLevel]], "Reorder Needed", "Okay")</f>
        <v>Okay</v>
      </c>
      <c r="M1123" t="str">
        <f>IF(Table2[[#This Row],[CurrentStock]]-Table2[[#This Row],[ReorderLevel]]&lt;0,Table2[[#This Row],[CurrentStock]]-Table2[[#This Row],[ReorderLevel]],"")</f>
        <v/>
      </c>
      <c r="N1123" t="str">
        <f>IF(Table2[[#This Row],[Stock Gap]]&lt;0, "Understock","Okay")</f>
        <v>Okay</v>
      </c>
      <c r="O1123" s="13" t="str">
        <f>IF(Table2[[#This Row],[Stock Gap]]&lt;0, "Yes", "No")</f>
        <v>No</v>
      </c>
      <c r="P1123" s="13" t="str">
        <f>IF(Table2[[#This Row],[CurrentStock]]&lt;Table2[[#This Row],[ReorderLevel]],"Reorder", "Okay")</f>
        <v>Okay</v>
      </c>
      <c r="Q1123" s="13" t="str">
        <f>IF(Table2[[#This Row],[CurrentStock]]&gt;Table2[[#This Row],[ReorderLevel]]*3, "Overstock", "Okay")</f>
        <v>Overstock</v>
      </c>
    </row>
    <row r="1124" spans="1:17" x14ac:dyDescent="0.35">
      <c r="A1124">
        <v>24588</v>
      </c>
      <c r="B1124" t="s">
        <v>22</v>
      </c>
      <c r="C1124" t="s">
        <v>29</v>
      </c>
      <c r="D1124">
        <v>196</v>
      </c>
      <c r="E1124">
        <v>50</v>
      </c>
      <c r="F1124" s="2">
        <v>342.32</v>
      </c>
      <c r="G1124" t="s">
        <v>34</v>
      </c>
      <c r="H1124" s="1">
        <v>45424</v>
      </c>
      <c r="I1124" s="1">
        <v>45432</v>
      </c>
      <c r="J1124" t="s">
        <v>36</v>
      </c>
      <c r="K1124" s="8">
        <f>Table2[[#This Row],[CurrentStock]]*Table2[[#This Row],[UnitPrice]]</f>
        <v>67094.720000000001</v>
      </c>
      <c r="L1124" t="str">
        <f>IF(Table2[[#This Row],[CurrentStock]]&lt;=Table2[[#This Row],[ReorderLevel]], "Reorder Needed", "Okay")</f>
        <v>Okay</v>
      </c>
      <c r="M1124" t="str">
        <f>IF(Table2[[#This Row],[CurrentStock]]-Table2[[#This Row],[ReorderLevel]]&lt;0,Table2[[#This Row],[CurrentStock]]-Table2[[#This Row],[ReorderLevel]],"")</f>
        <v/>
      </c>
      <c r="N1124" t="str">
        <f>IF(Table2[[#This Row],[Stock Gap]]&lt;0, "Understock","Okay")</f>
        <v>Okay</v>
      </c>
      <c r="O1124" s="13" t="str">
        <f>IF(Table2[[#This Row],[Stock Gap]]&lt;0, "Yes", "No")</f>
        <v>No</v>
      </c>
      <c r="P1124" s="13" t="str">
        <f>IF(Table2[[#This Row],[CurrentStock]]&lt;Table2[[#This Row],[ReorderLevel]],"Reorder", "Okay")</f>
        <v>Okay</v>
      </c>
      <c r="Q1124" s="13" t="str">
        <f>IF(Table2[[#This Row],[CurrentStock]]&gt;Table2[[#This Row],[ReorderLevel]]*3, "Overstock", "Okay")</f>
        <v>Overstock</v>
      </c>
    </row>
    <row r="1125" spans="1:17" x14ac:dyDescent="0.35">
      <c r="A1125">
        <v>39317</v>
      </c>
      <c r="B1125" t="s">
        <v>14</v>
      </c>
      <c r="C1125" t="s">
        <v>28</v>
      </c>
      <c r="D1125">
        <v>207</v>
      </c>
      <c r="E1125">
        <v>30</v>
      </c>
      <c r="F1125" s="2">
        <v>210.67</v>
      </c>
      <c r="G1125" t="s">
        <v>34</v>
      </c>
      <c r="H1125" s="1">
        <v>45352</v>
      </c>
      <c r="I1125" s="1">
        <v>45366</v>
      </c>
      <c r="J1125" t="s">
        <v>36</v>
      </c>
      <c r="K1125" s="8">
        <f>Table2[[#This Row],[CurrentStock]]*Table2[[#This Row],[UnitPrice]]</f>
        <v>43608.689999999995</v>
      </c>
      <c r="L1125" t="str">
        <f>IF(Table2[[#This Row],[CurrentStock]]&lt;=Table2[[#This Row],[ReorderLevel]], "Reorder Needed", "Okay")</f>
        <v>Okay</v>
      </c>
      <c r="M1125" t="str">
        <f>IF(Table2[[#This Row],[CurrentStock]]-Table2[[#This Row],[ReorderLevel]]&lt;0,Table2[[#This Row],[CurrentStock]]-Table2[[#This Row],[ReorderLevel]],"")</f>
        <v/>
      </c>
      <c r="N1125" t="str">
        <f>IF(Table2[[#This Row],[Stock Gap]]&lt;0, "Understock","Okay")</f>
        <v>Okay</v>
      </c>
      <c r="O1125" s="13" t="str">
        <f>IF(Table2[[#This Row],[Stock Gap]]&lt;0, "Yes", "No")</f>
        <v>No</v>
      </c>
      <c r="P1125" s="13" t="str">
        <f>IF(Table2[[#This Row],[CurrentStock]]&lt;Table2[[#This Row],[ReorderLevel]],"Reorder", "Okay")</f>
        <v>Okay</v>
      </c>
      <c r="Q1125" s="13" t="str">
        <f>IF(Table2[[#This Row],[CurrentStock]]&gt;Table2[[#This Row],[ReorderLevel]]*3, "Overstock", "Okay")</f>
        <v>Overstock</v>
      </c>
    </row>
    <row r="1126" spans="1:17" x14ac:dyDescent="0.35">
      <c r="A1126">
        <v>53826</v>
      </c>
      <c r="B1126" t="s">
        <v>20</v>
      </c>
      <c r="C1126" t="s">
        <v>30</v>
      </c>
      <c r="D1126">
        <v>190</v>
      </c>
      <c r="E1126">
        <v>40</v>
      </c>
      <c r="F1126" s="2">
        <v>460.93</v>
      </c>
      <c r="G1126" t="s">
        <v>32</v>
      </c>
      <c r="H1126" s="1">
        <v>45610</v>
      </c>
      <c r="I1126" s="1">
        <v>45639</v>
      </c>
      <c r="J1126" t="s">
        <v>36</v>
      </c>
      <c r="K1126" s="8">
        <f>Table2[[#This Row],[CurrentStock]]*Table2[[#This Row],[UnitPrice]]</f>
        <v>87576.7</v>
      </c>
      <c r="L1126" t="str">
        <f>IF(Table2[[#This Row],[CurrentStock]]&lt;=Table2[[#This Row],[ReorderLevel]], "Reorder Needed", "Okay")</f>
        <v>Okay</v>
      </c>
      <c r="M1126" t="str">
        <f>IF(Table2[[#This Row],[CurrentStock]]-Table2[[#This Row],[ReorderLevel]]&lt;0,Table2[[#This Row],[CurrentStock]]-Table2[[#This Row],[ReorderLevel]],"")</f>
        <v/>
      </c>
      <c r="N1126" t="str">
        <f>IF(Table2[[#This Row],[Stock Gap]]&lt;0, "Understock","Okay")</f>
        <v>Okay</v>
      </c>
      <c r="O1126" s="13" t="str">
        <f>IF(Table2[[#This Row],[Stock Gap]]&lt;0, "Yes", "No")</f>
        <v>No</v>
      </c>
      <c r="P1126" s="13" t="str">
        <f>IF(Table2[[#This Row],[CurrentStock]]&lt;Table2[[#This Row],[ReorderLevel]],"Reorder", "Okay")</f>
        <v>Okay</v>
      </c>
      <c r="Q1126" s="13" t="str">
        <f>IF(Table2[[#This Row],[CurrentStock]]&gt;Table2[[#This Row],[ReorderLevel]]*3, "Overstock", "Okay")</f>
        <v>Overstock</v>
      </c>
    </row>
    <row r="1127" spans="1:17" x14ac:dyDescent="0.35">
      <c r="A1127">
        <v>52915</v>
      </c>
      <c r="B1127" t="s">
        <v>10</v>
      </c>
      <c r="C1127" t="s">
        <v>26</v>
      </c>
      <c r="D1127">
        <v>122</v>
      </c>
      <c r="E1127">
        <v>40</v>
      </c>
      <c r="F1127" s="2">
        <v>94.72</v>
      </c>
      <c r="G1127" t="s">
        <v>31</v>
      </c>
      <c r="H1127" s="1">
        <v>45621</v>
      </c>
      <c r="I1127" s="1">
        <v>45659</v>
      </c>
      <c r="J1127" t="s">
        <v>38</v>
      </c>
      <c r="K1127" s="8">
        <f>Table2[[#This Row],[CurrentStock]]*Table2[[#This Row],[UnitPrice]]</f>
        <v>11555.84</v>
      </c>
      <c r="L1127" t="str">
        <f>IF(Table2[[#This Row],[CurrentStock]]&lt;=Table2[[#This Row],[ReorderLevel]], "Reorder Needed", "Okay")</f>
        <v>Okay</v>
      </c>
      <c r="M1127" t="str">
        <f>IF(Table2[[#This Row],[CurrentStock]]-Table2[[#This Row],[ReorderLevel]]&lt;0,Table2[[#This Row],[CurrentStock]]-Table2[[#This Row],[ReorderLevel]],"")</f>
        <v/>
      </c>
      <c r="N1127" t="str">
        <f>IF(Table2[[#This Row],[Stock Gap]]&lt;0, "Understock","Okay")</f>
        <v>Okay</v>
      </c>
      <c r="O1127" s="13" t="str">
        <f>IF(Table2[[#This Row],[Stock Gap]]&lt;0, "Yes", "No")</f>
        <v>No</v>
      </c>
      <c r="P1127" s="13" t="str">
        <f>IF(Table2[[#This Row],[CurrentStock]]&lt;Table2[[#This Row],[ReorderLevel]],"Reorder", "Okay")</f>
        <v>Okay</v>
      </c>
      <c r="Q1127" s="13" t="str">
        <f>IF(Table2[[#This Row],[CurrentStock]]&gt;Table2[[#This Row],[ReorderLevel]]*3, "Overstock", "Okay")</f>
        <v>Overstock</v>
      </c>
    </row>
    <row r="1128" spans="1:17" x14ac:dyDescent="0.35">
      <c r="A1128">
        <v>27629</v>
      </c>
      <c r="B1128" t="s">
        <v>19</v>
      </c>
      <c r="C1128" t="s">
        <v>28</v>
      </c>
      <c r="D1128">
        <v>18</v>
      </c>
      <c r="E1128">
        <v>30</v>
      </c>
      <c r="F1128" s="2">
        <v>248.25</v>
      </c>
      <c r="G1128" t="s">
        <v>31</v>
      </c>
      <c r="H1128" s="1">
        <v>45588</v>
      </c>
      <c r="I1128" s="1">
        <v>45609</v>
      </c>
      <c r="J1128" t="s">
        <v>38</v>
      </c>
      <c r="K1128" s="8">
        <f>Table2[[#This Row],[CurrentStock]]*Table2[[#This Row],[UnitPrice]]</f>
        <v>4468.5</v>
      </c>
      <c r="L1128" t="str">
        <f>IF(Table2[[#This Row],[CurrentStock]]&lt;=Table2[[#This Row],[ReorderLevel]], "Reorder Needed", "Okay")</f>
        <v>Reorder Needed</v>
      </c>
      <c r="M1128" s="7">
        <f>IF(Table2[[#This Row],[CurrentStock]]-Table2[[#This Row],[ReorderLevel]]&lt;0,Table2[[#This Row],[CurrentStock]]-Table2[[#This Row],[ReorderLevel]],"")</f>
        <v>-12</v>
      </c>
      <c r="N1128" t="str">
        <f>IF(Table2[[#This Row],[Stock Gap]]&lt;0, "Understock","Okay")</f>
        <v>Understock</v>
      </c>
      <c r="O1128" s="13" t="str">
        <f>IF(Table2[[#This Row],[Stock Gap]]&lt;0, "Yes", "No")</f>
        <v>Yes</v>
      </c>
      <c r="P1128" s="13" t="str">
        <f>IF(Table2[[#This Row],[CurrentStock]]&lt;Table2[[#This Row],[ReorderLevel]],"Reorder", "Okay")</f>
        <v>Reorder</v>
      </c>
      <c r="Q1128" s="13" t="str">
        <f>IF(Table2[[#This Row],[CurrentStock]]&gt;Table2[[#This Row],[ReorderLevel]]*3, "Overstock", "Okay")</f>
        <v>Okay</v>
      </c>
    </row>
    <row r="1129" spans="1:17" x14ac:dyDescent="0.35">
      <c r="A1129">
        <v>20599</v>
      </c>
      <c r="B1129" t="s">
        <v>19</v>
      </c>
      <c r="C1129" t="s">
        <v>28</v>
      </c>
      <c r="D1129">
        <v>442</v>
      </c>
      <c r="E1129">
        <v>20</v>
      </c>
      <c r="F1129" s="2">
        <v>408.94</v>
      </c>
      <c r="G1129" t="s">
        <v>31</v>
      </c>
      <c r="H1129" s="1">
        <v>45565</v>
      </c>
      <c r="I1129" s="1">
        <v>45595</v>
      </c>
      <c r="J1129" t="s">
        <v>37</v>
      </c>
      <c r="K1129" s="8">
        <f>Table2[[#This Row],[CurrentStock]]*Table2[[#This Row],[UnitPrice]]</f>
        <v>180751.48</v>
      </c>
      <c r="L1129" t="str">
        <f>IF(Table2[[#This Row],[CurrentStock]]&lt;=Table2[[#This Row],[ReorderLevel]], "Reorder Needed", "Okay")</f>
        <v>Okay</v>
      </c>
      <c r="M1129" t="str">
        <f>IF(Table2[[#This Row],[CurrentStock]]-Table2[[#This Row],[ReorderLevel]]&lt;0,Table2[[#This Row],[CurrentStock]]-Table2[[#This Row],[ReorderLevel]],"")</f>
        <v/>
      </c>
      <c r="N1129" t="str">
        <f>IF(Table2[[#This Row],[Stock Gap]]&lt;0, "Understock","Okay")</f>
        <v>Okay</v>
      </c>
      <c r="O1129" s="13" t="str">
        <f>IF(Table2[[#This Row],[Stock Gap]]&lt;0, "Yes", "No")</f>
        <v>No</v>
      </c>
      <c r="P1129" s="13" t="str">
        <f>IF(Table2[[#This Row],[CurrentStock]]&lt;Table2[[#This Row],[ReorderLevel]],"Reorder", "Okay")</f>
        <v>Okay</v>
      </c>
      <c r="Q1129" s="13" t="str">
        <f>IF(Table2[[#This Row],[CurrentStock]]&gt;Table2[[#This Row],[ReorderLevel]]*3, "Overstock", "Okay")</f>
        <v>Overstock</v>
      </c>
    </row>
    <row r="1130" spans="1:17" x14ac:dyDescent="0.35">
      <c r="A1130">
        <v>30951</v>
      </c>
      <c r="B1130" t="s">
        <v>9</v>
      </c>
      <c r="C1130" t="s">
        <v>26</v>
      </c>
      <c r="D1130">
        <v>133</v>
      </c>
      <c r="E1130">
        <v>20</v>
      </c>
      <c r="F1130" s="2">
        <v>121.82</v>
      </c>
      <c r="G1130" t="s">
        <v>34</v>
      </c>
      <c r="H1130" s="1">
        <v>45342</v>
      </c>
      <c r="I1130" s="1">
        <v>45367</v>
      </c>
      <c r="J1130" t="s">
        <v>37</v>
      </c>
      <c r="K1130" s="8">
        <f>Table2[[#This Row],[CurrentStock]]*Table2[[#This Row],[UnitPrice]]</f>
        <v>16202.06</v>
      </c>
      <c r="L1130" t="str">
        <f>IF(Table2[[#This Row],[CurrentStock]]&lt;=Table2[[#This Row],[ReorderLevel]], "Reorder Needed", "Okay")</f>
        <v>Okay</v>
      </c>
      <c r="M1130" t="str">
        <f>IF(Table2[[#This Row],[CurrentStock]]-Table2[[#This Row],[ReorderLevel]]&lt;0,Table2[[#This Row],[CurrentStock]]-Table2[[#This Row],[ReorderLevel]],"")</f>
        <v/>
      </c>
      <c r="N1130" t="str">
        <f>IF(Table2[[#This Row],[Stock Gap]]&lt;0, "Understock","Okay")</f>
        <v>Okay</v>
      </c>
      <c r="O1130" s="13" t="str">
        <f>IF(Table2[[#This Row],[Stock Gap]]&lt;0, "Yes", "No")</f>
        <v>No</v>
      </c>
      <c r="P1130" s="13" t="str">
        <f>IF(Table2[[#This Row],[CurrentStock]]&lt;Table2[[#This Row],[ReorderLevel]],"Reorder", "Okay")</f>
        <v>Okay</v>
      </c>
      <c r="Q1130" s="13" t="str">
        <f>IF(Table2[[#This Row],[CurrentStock]]&gt;Table2[[#This Row],[ReorderLevel]]*3, "Overstock", "Okay")</f>
        <v>Overstock</v>
      </c>
    </row>
    <row r="1131" spans="1:17" x14ac:dyDescent="0.35">
      <c r="A1131">
        <v>38064</v>
      </c>
      <c r="B1131" t="s">
        <v>18</v>
      </c>
      <c r="C1131" t="s">
        <v>27</v>
      </c>
      <c r="D1131">
        <v>82</v>
      </c>
      <c r="E1131">
        <v>80</v>
      </c>
      <c r="F1131" s="2">
        <v>497.92</v>
      </c>
      <c r="G1131" t="s">
        <v>34</v>
      </c>
      <c r="H1131" s="1">
        <v>45603</v>
      </c>
      <c r="I1131" s="1">
        <v>45619</v>
      </c>
      <c r="J1131" t="s">
        <v>36</v>
      </c>
      <c r="K1131" s="8">
        <f>Table2[[#This Row],[CurrentStock]]*Table2[[#This Row],[UnitPrice]]</f>
        <v>40829.440000000002</v>
      </c>
      <c r="L1131" t="str">
        <f>IF(Table2[[#This Row],[CurrentStock]]&lt;=Table2[[#This Row],[ReorderLevel]], "Reorder Needed", "Okay")</f>
        <v>Okay</v>
      </c>
      <c r="M1131" t="str">
        <f>IF(Table2[[#This Row],[CurrentStock]]-Table2[[#This Row],[ReorderLevel]]&lt;0,Table2[[#This Row],[CurrentStock]]-Table2[[#This Row],[ReorderLevel]],"")</f>
        <v/>
      </c>
      <c r="N1131" t="str">
        <f>IF(Table2[[#This Row],[Stock Gap]]&lt;0, "Understock","Okay")</f>
        <v>Okay</v>
      </c>
      <c r="O1131" s="13" t="str">
        <f>IF(Table2[[#This Row],[Stock Gap]]&lt;0, "Yes", "No")</f>
        <v>No</v>
      </c>
      <c r="P1131" s="13" t="str">
        <f>IF(Table2[[#This Row],[CurrentStock]]&lt;Table2[[#This Row],[ReorderLevel]],"Reorder", "Okay")</f>
        <v>Okay</v>
      </c>
      <c r="Q1131" s="13" t="str">
        <f>IF(Table2[[#This Row],[CurrentStock]]&gt;Table2[[#This Row],[ReorderLevel]]*3, "Overstock", "Okay")</f>
        <v>Okay</v>
      </c>
    </row>
    <row r="1132" spans="1:17" x14ac:dyDescent="0.35">
      <c r="A1132">
        <v>35905</v>
      </c>
      <c r="B1132" t="s">
        <v>22</v>
      </c>
      <c r="C1132" t="s">
        <v>29</v>
      </c>
      <c r="D1132">
        <v>379</v>
      </c>
      <c r="E1132">
        <v>30</v>
      </c>
      <c r="F1132" s="2">
        <v>14.76</v>
      </c>
      <c r="G1132" t="s">
        <v>35</v>
      </c>
      <c r="H1132" s="1">
        <v>45617</v>
      </c>
      <c r="I1132" s="1">
        <v>45638</v>
      </c>
      <c r="J1132" t="s">
        <v>38</v>
      </c>
      <c r="K1132" s="8">
        <f>Table2[[#This Row],[CurrentStock]]*Table2[[#This Row],[UnitPrice]]</f>
        <v>5594.04</v>
      </c>
      <c r="L1132" t="str">
        <f>IF(Table2[[#This Row],[CurrentStock]]&lt;=Table2[[#This Row],[ReorderLevel]], "Reorder Needed", "Okay")</f>
        <v>Okay</v>
      </c>
      <c r="M1132" t="str">
        <f>IF(Table2[[#This Row],[CurrentStock]]-Table2[[#This Row],[ReorderLevel]]&lt;0,Table2[[#This Row],[CurrentStock]]-Table2[[#This Row],[ReorderLevel]],"")</f>
        <v/>
      </c>
      <c r="N1132" t="str">
        <f>IF(Table2[[#This Row],[Stock Gap]]&lt;0, "Understock","Okay")</f>
        <v>Okay</v>
      </c>
      <c r="O1132" s="13" t="str">
        <f>IF(Table2[[#This Row],[Stock Gap]]&lt;0, "Yes", "No")</f>
        <v>No</v>
      </c>
      <c r="P1132" s="13" t="str">
        <f>IF(Table2[[#This Row],[CurrentStock]]&lt;Table2[[#This Row],[ReorderLevel]],"Reorder", "Okay")</f>
        <v>Okay</v>
      </c>
      <c r="Q1132" s="13" t="str">
        <f>IF(Table2[[#This Row],[CurrentStock]]&gt;Table2[[#This Row],[ReorderLevel]]*3, "Overstock", "Okay")</f>
        <v>Overstock</v>
      </c>
    </row>
    <row r="1133" spans="1:17" x14ac:dyDescent="0.35">
      <c r="A1133">
        <v>30234</v>
      </c>
      <c r="B1133" t="s">
        <v>23</v>
      </c>
      <c r="C1133" t="s">
        <v>30</v>
      </c>
      <c r="D1133">
        <v>373</v>
      </c>
      <c r="E1133">
        <v>80</v>
      </c>
      <c r="F1133" s="2">
        <v>148.34</v>
      </c>
      <c r="G1133" t="s">
        <v>31</v>
      </c>
      <c r="H1133" s="1">
        <v>45507</v>
      </c>
      <c r="I1133" s="1">
        <v>45527</v>
      </c>
      <c r="J1133" t="s">
        <v>37</v>
      </c>
      <c r="K1133" s="8">
        <f>Table2[[#This Row],[CurrentStock]]*Table2[[#This Row],[UnitPrice]]</f>
        <v>55330.82</v>
      </c>
      <c r="L1133" t="str">
        <f>IF(Table2[[#This Row],[CurrentStock]]&lt;=Table2[[#This Row],[ReorderLevel]], "Reorder Needed", "Okay")</f>
        <v>Okay</v>
      </c>
      <c r="M1133" t="str">
        <f>IF(Table2[[#This Row],[CurrentStock]]-Table2[[#This Row],[ReorderLevel]]&lt;0,Table2[[#This Row],[CurrentStock]]-Table2[[#This Row],[ReorderLevel]],"")</f>
        <v/>
      </c>
      <c r="N1133" t="str">
        <f>IF(Table2[[#This Row],[Stock Gap]]&lt;0, "Understock","Okay")</f>
        <v>Okay</v>
      </c>
      <c r="O1133" s="13" t="str">
        <f>IF(Table2[[#This Row],[Stock Gap]]&lt;0, "Yes", "No")</f>
        <v>No</v>
      </c>
      <c r="P1133" s="13" t="str">
        <f>IF(Table2[[#This Row],[CurrentStock]]&lt;Table2[[#This Row],[ReorderLevel]],"Reorder", "Okay")</f>
        <v>Okay</v>
      </c>
      <c r="Q1133" s="13" t="str">
        <f>IF(Table2[[#This Row],[CurrentStock]]&gt;Table2[[#This Row],[ReorderLevel]]*3, "Overstock", "Okay")</f>
        <v>Overstock</v>
      </c>
    </row>
    <row r="1134" spans="1:17" x14ac:dyDescent="0.35">
      <c r="A1134">
        <v>93391</v>
      </c>
      <c r="B1134" t="s">
        <v>11</v>
      </c>
      <c r="C1134" t="s">
        <v>27</v>
      </c>
      <c r="D1134">
        <v>164</v>
      </c>
      <c r="E1134">
        <v>80</v>
      </c>
      <c r="F1134" s="2">
        <v>206.09</v>
      </c>
      <c r="G1134" t="s">
        <v>34</v>
      </c>
      <c r="H1134" s="1">
        <v>45637</v>
      </c>
      <c r="I1134" s="1">
        <v>45658</v>
      </c>
      <c r="J1134" t="s">
        <v>37</v>
      </c>
      <c r="K1134" s="8">
        <f>Table2[[#This Row],[CurrentStock]]*Table2[[#This Row],[UnitPrice]]</f>
        <v>33798.76</v>
      </c>
      <c r="L1134" t="str">
        <f>IF(Table2[[#This Row],[CurrentStock]]&lt;=Table2[[#This Row],[ReorderLevel]], "Reorder Needed", "Okay")</f>
        <v>Okay</v>
      </c>
      <c r="M1134" t="str">
        <f>IF(Table2[[#This Row],[CurrentStock]]-Table2[[#This Row],[ReorderLevel]]&lt;0,Table2[[#This Row],[CurrentStock]]-Table2[[#This Row],[ReorderLevel]],"")</f>
        <v/>
      </c>
      <c r="N1134" t="str">
        <f>IF(Table2[[#This Row],[Stock Gap]]&lt;0, "Understock","Okay")</f>
        <v>Okay</v>
      </c>
      <c r="O1134" s="13" t="str">
        <f>IF(Table2[[#This Row],[Stock Gap]]&lt;0, "Yes", "No")</f>
        <v>No</v>
      </c>
      <c r="P1134" s="13" t="str">
        <f>IF(Table2[[#This Row],[CurrentStock]]&lt;Table2[[#This Row],[ReorderLevel]],"Reorder", "Okay")</f>
        <v>Okay</v>
      </c>
      <c r="Q1134" s="13" t="str">
        <f>IF(Table2[[#This Row],[CurrentStock]]&gt;Table2[[#This Row],[ReorderLevel]]*3, "Overstock", "Okay")</f>
        <v>Okay</v>
      </c>
    </row>
    <row r="1135" spans="1:17" x14ac:dyDescent="0.35">
      <c r="A1135">
        <v>52235</v>
      </c>
      <c r="B1135" t="s">
        <v>11</v>
      </c>
      <c r="C1135" t="s">
        <v>27</v>
      </c>
      <c r="D1135">
        <v>358</v>
      </c>
      <c r="E1135">
        <v>30</v>
      </c>
      <c r="F1135" s="2">
        <v>406.36</v>
      </c>
      <c r="G1135" t="s">
        <v>33</v>
      </c>
      <c r="H1135" s="1">
        <v>45554</v>
      </c>
      <c r="I1135" s="1">
        <v>45574</v>
      </c>
      <c r="J1135" t="s">
        <v>36</v>
      </c>
      <c r="K1135" s="8">
        <f>Table2[[#This Row],[CurrentStock]]*Table2[[#This Row],[UnitPrice]]</f>
        <v>145476.88</v>
      </c>
      <c r="L1135" t="str">
        <f>IF(Table2[[#This Row],[CurrentStock]]&lt;=Table2[[#This Row],[ReorderLevel]], "Reorder Needed", "Okay")</f>
        <v>Okay</v>
      </c>
      <c r="M1135" t="str">
        <f>IF(Table2[[#This Row],[CurrentStock]]-Table2[[#This Row],[ReorderLevel]]&lt;0,Table2[[#This Row],[CurrentStock]]-Table2[[#This Row],[ReorderLevel]],"")</f>
        <v/>
      </c>
      <c r="N1135" t="str">
        <f>IF(Table2[[#This Row],[Stock Gap]]&lt;0, "Understock","Okay")</f>
        <v>Okay</v>
      </c>
      <c r="O1135" s="13" t="str">
        <f>IF(Table2[[#This Row],[Stock Gap]]&lt;0, "Yes", "No")</f>
        <v>No</v>
      </c>
      <c r="P1135" s="13" t="str">
        <f>IF(Table2[[#This Row],[CurrentStock]]&lt;Table2[[#This Row],[ReorderLevel]],"Reorder", "Okay")</f>
        <v>Okay</v>
      </c>
      <c r="Q1135" s="13" t="str">
        <f>IF(Table2[[#This Row],[CurrentStock]]&gt;Table2[[#This Row],[ReorderLevel]]*3, "Overstock", "Okay")</f>
        <v>Overstock</v>
      </c>
    </row>
    <row r="1136" spans="1:17" x14ac:dyDescent="0.35">
      <c r="A1136">
        <v>24633</v>
      </c>
      <c r="B1136" t="s">
        <v>13</v>
      </c>
      <c r="C1136" t="s">
        <v>26</v>
      </c>
      <c r="D1136">
        <v>111</v>
      </c>
      <c r="E1136">
        <v>40</v>
      </c>
      <c r="F1136" s="2">
        <v>160.12</v>
      </c>
      <c r="G1136" t="s">
        <v>35</v>
      </c>
      <c r="H1136" s="1">
        <v>45559</v>
      </c>
      <c r="I1136" s="1">
        <v>45584</v>
      </c>
      <c r="J1136" t="s">
        <v>38</v>
      </c>
      <c r="K1136" s="8">
        <f>Table2[[#This Row],[CurrentStock]]*Table2[[#This Row],[UnitPrice]]</f>
        <v>17773.32</v>
      </c>
      <c r="L1136" t="str">
        <f>IF(Table2[[#This Row],[CurrentStock]]&lt;=Table2[[#This Row],[ReorderLevel]], "Reorder Needed", "Okay")</f>
        <v>Okay</v>
      </c>
      <c r="M1136" t="str">
        <f>IF(Table2[[#This Row],[CurrentStock]]-Table2[[#This Row],[ReorderLevel]]&lt;0,Table2[[#This Row],[CurrentStock]]-Table2[[#This Row],[ReorderLevel]],"")</f>
        <v/>
      </c>
      <c r="N1136" t="str">
        <f>IF(Table2[[#This Row],[Stock Gap]]&lt;0, "Understock","Okay")</f>
        <v>Okay</v>
      </c>
      <c r="O1136" s="13" t="str">
        <f>IF(Table2[[#This Row],[Stock Gap]]&lt;0, "Yes", "No")</f>
        <v>No</v>
      </c>
      <c r="P1136" s="13" t="str">
        <f>IF(Table2[[#This Row],[CurrentStock]]&lt;Table2[[#This Row],[ReorderLevel]],"Reorder", "Okay")</f>
        <v>Okay</v>
      </c>
      <c r="Q1136" s="13" t="str">
        <f>IF(Table2[[#This Row],[CurrentStock]]&gt;Table2[[#This Row],[ReorderLevel]]*3, "Overstock", "Okay")</f>
        <v>Okay</v>
      </c>
    </row>
    <row r="1137" spans="1:17" x14ac:dyDescent="0.35">
      <c r="A1137">
        <v>83177</v>
      </c>
      <c r="B1137" t="s">
        <v>22</v>
      </c>
      <c r="C1137" t="s">
        <v>29</v>
      </c>
      <c r="D1137">
        <v>33</v>
      </c>
      <c r="E1137">
        <v>150</v>
      </c>
      <c r="F1137" s="2">
        <v>128.36000000000001</v>
      </c>
      <c r="G1137" t="s">
        <v>31</v>
      </c>
      <c r="H1137" s="1">
        <v>45562</v>
      </c>
      <c r="I1137" s="1">
        <v>45567</v>
      </c>
      <c r="J1137" t="s">
        <v>36</v>
      </c>
      <c r="K1137" s="8">
        <f>Table2[[#This Row],[CurrentStock]]*Table2[[#This Row],[UnitPrice]]</f>
        <v>4235.88</v>
      </c>
      <c r="L1137" t="str">
        <f>IF(Table2[[#This Row],[CurrentStock]]&lt;=Table2[[#This Row],[ReorderLevel]], "Reorder Needed", "Okay")</f>
        <v>Reorder Needed</v>
      </c>
      <c r="M1137" s="7">
        <f>IF(Table2[[#This Row],[CurrentStock]]-Table2[[#This Row],[ReorderLevel]]&lt;0,Table2[[#This Row],[CurrentStock]]-Table2[[#This Row],[ReorderLevel]],"")</f>
        <v>-117</v>
      </c>
      <c r="N1137" t="str">
        <f>IF(Table2[[#This Row],[Stock Gap]]&lt;0, "Understock","Okay")</f>
        <v>Understock</v>
      </c>
      <c r="O1137" s="13" t="str">
        <f>IF(Table2[[#This Row],[Stock Gap]]&lt;0, "Yes", "No")</f>
        <v>Yes</v>
      </c>
      <c r="P1137" s="13" t="str">
        <f>IF(Table2[[#This Row],[CurrentStock]]&lt;Table2[[#This Row],[ReorderLevel]],"Reorder", "Okay")</f>
        <v>Reorder</v>
      </c>
      <c r="Q1137" s="13" t="str">
        <f>IF(Table2[[#This Row],[CurrentStock]]&gt;Table2[[#This Row],[ReorderLevel]]*3, "Overstock", "Okay")</f>
        <v>Okay</v>
      </c>
    </row>
    <row r="1138" spans="1:17" x14ac:dyDescent="0.35">
      <c r="A1138">
        <v>66151</v>
      </c>
      <c r="B1138" t="s">
        <v>24</v>
      </c>
      <c r="C1138" t="s">
        <v>30</v>
      </c>
      <c r="D1138">
        <v>250</v>
      </c>
      <c r="E1138">
        <v>150</v>
      </c>
      <c r="F1138" s="2">
        <v>296.72000000000003</v>
      </c>
      <c r="G1138" t="s">
        <v>35</v>
      </c>
      <c r="H1138" s="1">
        <v>45471</v>
      </c>
      <c r="I1138" s="1">
        <v>45490</v>
      </c>
      <c r="J1138" t="s">
        <v>37</v>
      </c>
      <c r="K1138" s="8">
        <f>Table2[[#This Row],[CurrentStock]]*Table2[[#This Row],[UnitPrice]]</f>
        <v>74180</v>
      </c>
      <c r="L1138" t="str">
        <f>IF(Table2[[#This Row],[CurrentStock]]&lt;=Table2[[#This Row],[ReorderLevel]], "Reorder Needed", "Okay")</f>
        <v>Okay</v>
      </c>
      <c r="M1138" t="str">
        <f>IF(Table2[[#This Row],[CurrentStock]]-Table2[[#This Row],[ReorderLevel]]&lt;0,Table2[[#This Row],[CurrentStock]]-Table2[[#This Row],[ReorderLevel]],"")</f>
        <v/>
      </c>
      <c r="N1138" t="str">
        <f>IF(Table2[[#This Row],[Stock Gap]]&lt;0, "Understock","Okay")</f>
        <v>Okay</v>
      </c>
      <c r="O1138" s="13" t="str">
        <f>IF(Table2[[#This Row],[Stock Gap]]&lt;0, "Yes", "No")</f>
        <v>No</v>
      </c>
      <c r="P1138" s="13" t="str">
        <f>IF(Table2[[#This Row],[CurrentStock]]&lt;Table2[[#This Row],[ReorderLevel]],"Reorder", "Okay")</f>
        <v>Okay</v>
      </c>
      <c r="Q1138" s="13" t="str">
        <f>IF(Table2[[#This Row],[CurrentStock]]&gt;Table2[[#This Row],[ReorderLevel]]*3, "Overstock", "Okay")</f>
        <v>Okay</v>
      </c>
    </row>
    <row r="1139" spans="1:17" x14ac:dyDescent="0.35">
      <c r="A1139">
        <v>48333</v>
      </c>
      <c r="B1139" t="s">
        <v>17</v>
      </c>
      <c r="C1139" t="s">
        <v>27</v>
      </c>
      <c r="D1139">
        <v>92</v>
      </c>
      <c r="E1139">
        <v>100</v>
      </c>
      <c r="F1139" s="2">
        <v>224.17</v>
      </c>
      <c r="G1139" t="s">
        <v>33</v>
      </c>
      <c r="H1139" s="1">
        <v>45600</v>
      </c>
      <c r="I1139" s="1">
        <v>45609</v>
      </c>
      <c r="J1139" t="s">
        <v>38</v>
      </c>
      <c r="K1139" s="8">
        <f>Table2[[#This Row],[CurrentStock]]*Table2[[#This Row],[UnitPrice]]</f>
        <v>20623.64</v>
      </c>
      <c r="L1139" t="str">
        <f>IF(Table2[[#This Row],[CurrentStock]]&lt;=Table2[[#This Row],[ReorderLevel]], "Reorder Needed", "Okay")</f>
        <v>Reorder Needed</v>
      </c>
      <c r="M1139" s="7">
        <f>IF(Table2[[#This Row],[CurrentStock]]-Table2[[#This Row],[ReorderLevel]]&lt;0,Table2[[#This Row],[CurrentStock]]-Table2[[#This Row],[ReorderLevel]],"")</f>
        <v>-8</v>
      </c>
      <c r="N1139" t="str">
        <f>IF(Table2[[#This Row],[Stock Gap]]&lt;0, "Understock","Okay")</f>
        <v>Understock</v>
      </c>
      <c r="O1139" s="13" t="str">
        <f>IF(Table2[[#This Row],[Stock Gap]]&lt;0, "Yes", "No")</f>
        <v>Yes</v>
      </c>
      <c r="P1139" s="13" t="str">
        <f>IF(Table2[[#This Row],[CurrentStock]]&lt;Table2[[#This Row],[ReorderLevel]],"Reorder", "Okay")</f>
        <v>Reorder</v>
      </c>
      <c r="Q1139" s="13" t="str">
        <f>IF(Table2[[#This Row],[CurrentStock]]&gt;Table2[[#This Row],[ReorderLevel]]*3, "Overstock", "Okay")</f>
        <v>Okay</v>
      </c>
    </row>
    <row r="1140" spans="1:17" x14ac:dyDescent="0.35">
      <c r="A1140">
        <v>29340</v>
      </c>
      <c r="B1140" t="s">
        <v>24</v>
      </c>
      <c r="C1140" t="s">
        <v>30</v>
      </c>
      <c r="D1140">
        <v>80</v>
      </c>
      <c r="E1140">
        <v>30</v>
      </c>
      <c r="F1140" s="2">
        <v>340.28</v>
      </c>
      <c r="G1140" t="s">
        <v>35</v>
      </c>
      <c r="H1140" s="1">
        <v>45571</v>
      </c>
      <c r="I1140" s="1">
        <v>45577</v>
      </c>
      <c r="J1140" t="s">
        <v>37</v>
      </c>
      <c r="K1140" s="8">
        <f>Table2[[#This Row],[CurrentStock]]*Table2[[#This Row],[UnitPrice]]</f>
        <v>27222.399999999998</v>
      </c>
      <c r="L1140" t="str">
        <f>IF(Table2[[#This Row],[CurrentStock]]&lt;=Table2[[#This Row],[ReorderLevel]], "Reorder Needed", "Okay")</f>
        <v>Okay</v>
      </c>
      <c r="M1140" t="str">
        <f>IF(Table2[[#This Row],[CurrentStock]]-Table2[[#This Row],[ReorderLevel]]&lt;0,Table2[[#This Row],[CurrentStock]]-Table2[[#This Row],[ReorderLevel]],"")</f>
        <v/>
      </c>
      <c r="N1140" t="str">
        <f>IF(Table2[[#This Row],[Stock Gap]]&lt;0, "Understock","Okay")</f>
        <v>Okay</v>
      </c>
      <c r="O1140" s="13" t="str">
        <f>IF(Table2[[#This Row],[Stock Gap]]&lt;0, "Yes", "No")</f>
        <v>No</v>
      </c>
      <c r="P1140" s="13" t="str">
        <f>IF(Table2[[#This Row],[CurrentStock]]&lt;Table2[[#This Row],[ReorderLevel]],"Reorder", "Okay")</f>
        <v>Okay</v>
      </c>
      <c r="Q1140" s="13" t="str">
        <f>IF(Table2[[#This Row],[CurrentStock]]&gt;Table2[[#This Row],[ReorderLevel]]*3, "Overstock", "Okay")</f>
        <v>Okay</v>
      </c>
    </row>
    <row r="1141" spans="1:17" x14ac:dyDescent="0.35">
      <c r="A1141">
        <v>52875</v>
      </c>
      <c r="B1141" t="s">
        <v>25</v>
      </c>
      <c r="C1141" t="s">
        <v>29</v>
      </c>
      <c r="D1141">
        <v>484</v>
      </c>
      <c r="E1141">
        <v>40</v>
      </c>
      <c r="F1141" s="2">
        <v>457.04</v>
      </c>
      <c r="G1141" t="s">
        <v>33</v>
      </c>
      <c r="H1141" s="1">
        <v>45471</v>
      </c>
      <c r="I1141" s="1">
        <v>45498</v>
      </c>
      <c r="J1141" t="s">
        <v>38</v>
      </c>
      <c r="K1141" s="8">
        <f>Table2[[#This Row],[CurrentStock]]*Table2[[#This Row],[UnitPrice]]</f>
        <v>221207.36000000002</v>
      </c>
      <c r="L1141" t="str">
        <f>IF(Table2[[#This Row],[CurrentStock]]&lt;=Table2[[#This Row],[ReorderLevel]], "Reorder Needed", "Okay")</f>
        <v>Okay</v>
      </c>
      <c r="M1141" t="str">
        <f>IF(Table2[[#This Row],[CurrentStock]]-Table2[[#This Row],[ReorderLevel]]&lt;0,Table2[[#This Row],[CurrentStock]]-Table2[[#This Row],[ReorderLevel]],"")</f>
        <v/>
      </c>
      <c r="N1141" t="str">
        <f>IF(Table2[[#This Row],[Stock Gap]]&lt;0, "Understock","Okay")</f>
        <v>Okay</v>
      </c>
      <c r="O1141" s="13" t="str">
        <f>IF(Table2[[#This Row],[Stock Gap]]&lt;0, "Yes", "No")</f>
        <v>No</v>
      </c>
      <c r="P1141" s="13" t="str">
        <f>IF(Table2[[#This Row],[CurrentStock]]&lt;Table2[[#This Row],[ReorderLevel]],"Reorder", "Okay")</f>
        <v>Okay</v>
      </c>
      <c r="Q1141" s="13" t="str">
        <f>IF(Table2[[#This Row],[CurrentStock]]&gt;Table2[[#This Row],[ReorderLevel]]*3, "Overstock", "Okay")</f>
        <v>Overstock</v>
      </c>
    </row>
    <row r="1142" spans="1:17" x14ac:dyDescent="0.35">
      <c r="A1142">
        <v>59063</v>
      </c>
      <c r="B1142" t="s">
        <v>20</v>
      </c>
      <c r="C1142" t="s">
        <v>30</v>
      </c>
      <c r="D1142">
        <v>243</v>
      </c>
      <c r="E1142">
        <v>50</v>
      </c>
      <c r="F1142" s="2">
        <v>209.36</v>
      </c>
      <c r="G1142" t="s">
        <v>34</v>
      </c>
      <c r="H1142" s="1">
        <v>45445</v>
      </c>
      <c r="I1142" s="1">
        <v>45466</v>
      </c>
      <c r="J1142" t="s">
        <v>36</v>
      </c>
      <c r="K1142" s="8">
        <f>Table2[[#This Row],[CurrentStock]]*Table2[[#This Row],[UnitPrice]]</f>
        <v>50874.48</v>
      </c>
      <c r="L1142" t="str">
        <f>IF(Table2[[#This Row],[CurrentStock]]&lt;=Table2[[#This Row],[ReorderLevel]], "Reorder Needed", "Okay")</f>
        <v>Okay</v>
      </c>
      <c r="M1142" t="str">
        <f>IF(Table2[[#This Row],[CurrentStock]]-Table2[[#This Row],[ReorderLevel]]&lt;0,Table2[[#This Row],[CurrentStock]]-Table2[[#This Row],[ReorderLevel]],"")</f>
        <v/>
      </c>
      <c r="N1142" t="str">
        <f>IF(Table2[[#This Row],[Stock Gap]]&lt;0, "Understock","Okay")</f>
        <v>Okay</v>
      </c>
      <c r="O1142" s="13" t="str">
        <f>IF(Table2[[#This Row],[Stock Gap]]&lt;0, "Yes", "No")</f>
        <v>No</v>
      </c>
      <c r="P1142" s="13" t="str">
        <f>IF(Table2[[#This Row],[CurrentStock]]&lt;Table2[[#This Row],[ReorderLevel]],"Reorder", "Okay")</f>
        <v>Okay</v>
      </c>
      <c r="Q1142" s="13" t="str">
        <f>IF(Table2[[#This Row],[CurrentStock]]&gt;Table2[[#This Row],[ReorderLevel]]*3, "Overstock", "Okay")</f>
        <v>Overstock</v>
      </c>
    </row>
    <row r="1143" spans="1:17" x14ac:dyDescent="0.35">
      <c r="A1143">
        <v>62115</v>
      </c>
      <c r="B1143" t="s">
        <v>14</v>
      </c>
      <c r="C1143" t="s">
        <v>28</v>
      </c>
      <c r="D1143">
        <v>139</v>
      </c>
      <c r="E1143">
        <v>150</v>
      </c>
      <c r="F1143" s="2">
        <v>409.35</v>
      </c>
      <c r="G1143" t="s">
        <v>35</v>
      </c>
      <c r="H1143" s="1">
        <v>45365</v>
      </c>
      <c r="I1143" s="1">
        <v>45381</v>
      </c>
      <c r="J1143" t="s">
        <v>36</v>
      </c>
      <c r="K1143" s="8">
        <f>Table2[[#This Row],[CurrentStock]]*Table2[[#This Row],[UnitPrice]]</f>
        <v>56899.65</v>
      </c>
      <c r="L1143" t="str">
        <f>IF(Table2[[#This Row],[CurrentStock]]&lt;=Table2[[#This Row],[ReorderLevel]], "Reorder Needed", "Okay")</f>
        <v>Reorder Needed</v>
      </c>
      <c r="M1143" s="7">
        <f>IF(Table2[[#This Row],[CurrentStock]]-Table2[[#This Row],[ReorderLevel]]&lt;0,Table2[[#This Row],[CurrentStock]]-Table2[[#This Row],[ReorderLevel]],"")</f>
        <v>-11</v>
      </c>
      <c r="N1143" t="str">
        <f>IF(Table2[[#This Row],[Stock Gap]]&lt;0, "Understock","Okay")</f>
        <v>Understock</v>
      </c>
      <c r="O1143" s="13" t="str">
        <f>IF(Table2[[#This Row],[Stock Gap]]&lt;0, "Yes", "No")</f>
        <v>Yes</v>
      </c>
      <c r="P1143" s="13" t="str">
        <f>IF(Table2[[#This Row],[CurrentStock]]&lt;Table2[[#This Row],[ReorderLevel]],"Reorder", "Okay")</f>
        <v>Reorder</v>
      </c>
      <c r="Q1143" s="13" t="str">
        <f>IF(Table2[[#This Row],[CurrentStock]]&gt;Table2[[#This Row],[ReorderLevel]]*3, "Overstock", "Okay")</f>
        <v>Okay</v>
      </c>
    </row>
    <row r="1144" spans="1:17" x14ac:dyDescent="0.35">
      <c r="A1144">
        <v>99180</v>
      </c>
      <c r="B1144" t="s">
        <v>13</v>
      </c>
      <c r="C1144" t="s">
        <v>26</v>
      </c>
      <c r="D1144">
        <v>121</v>
      </c>
      <c r="E1144">
        <v>100</v>
      </c>
      <c r="F1144" s="2">
        <v>249.9</v>
      </c>
      <c r="G1144" t="s">
        <v>34</v>
      </c>
      <c r="H1144" s="1">
        <v>45320</v>
      </c>
      <c r="I1144" s="1">
        <v>45334</v>
      </c>
      <c r="J1144" t="s">
        <v>38</v>
      </c>
      <c r="K1144" s="8">
        <f>Table2[[#This Row],[CurrentStock]]*Table2[[#This Row],[UnitPrice]]</f>
        <v>30237.9</v>
      </c>
      <c r="L1144" t="str">
        <f>IF(Table2[[#This Row],[CurrentStock]]&lt;=Table2[[#This Row],[ReorderLevel]], "Reorder Needed", "Okay")</f>
        <v>Okay</v>
      </c>
      <c r="M1144" t="str">
        <f>IF(Table2[[#This Row],[CurrentStock]]-Table2[[#This Row],[ReorderLevel]]&lt;0,Table2[[#This Row],[CurrentStock]]-Table2[[#This Row],[ReorderLevel]],"")</f>
        <v/>
      </c>
      <c r="N1144" t="str">
        <f>IF(Table2[[#This Row],[Stock Gap]]&lt;0, "Understock","Okay")</f>
        <v>Okay</v>
      </c>
      <c r="O1144" s="13" t="str">
        <f>IF(Table2[[#This Row],[Stock Gap]]&lt;0, "Yes", "No")</f>
        <v>No</v>
      </c>
      <c r="P1144" s="13" t="str">
        <f>IF(Table2[[#This Row],[CurrentStock]]&lt;Table2[[#This Row],[ReorderLevel]],"Reorder", "Okay")</f>
        <v>Okay</v>
      </c>
      <c r="Q1144" s="13" t="str">
        <f>IF(Table2[[#This Row],[CurrentStock]]&gt;Table2[[#This Row],[ReorderLevel]]*3, "Overstock", "Okay")</f>
        <v>Okay</v>
      </c>
    </row>
    <row r="1145" spans="1:17" x14ac:dyDescent="0.35">
      <c r="A1145">
        <v>97695</v>
      </c>
      <c r="B1145" t="s">
        <v>12</v>
      </c>
      <c r="C1145" t="s">
        <v>28</v>
      </c>
      <c r="D1145">
        <v>272</v>
      </c>
      <c r="E1145">
        <v>20</v>
      </c>
      <c r="F1145" s="2">
        <v>306.35000000000002</v>
      </c>
      <c r="G1145" t="s">
        <v>31</v>
      </c>
      <c r="H1145" s="1">
        <v>45556</v>
      </c>
      <c r="I1145" s="1">
        <v>45567</v>
      </c>
      <c r="J1145" t="s">
        <v>37</v>
      </c>
      <c r="K1145" s="8">
        <f>Table2[[#This Row],[CurrentStock]]*Table2[[#This Row],[UnitPrice]]</f>
        <v>83327.200000000012</v>
      </c>
      <c r="L1145" t="str">
        <f>IF(Table2[[#This Row],[CurrentStock]]&lt;=Table2[[#This Row],[ReorderLevel]], "Reorder Needed", "Okay")</f>
        <v>Okay</v>
      </c>
      <c r="M1145" t="str">
        <f>IF(Table2[[#This Row],[CurrentStock]]-Table2[[#This Row],[ReorderLevel]]&lt;0,Table2[[#This Row],[CurrentStock]]-Table2[[#This Row],[ReorderLevel]],"")</f>
        <v/>
      </c>
      <c r="N1145" t="str">
        <f>IF(Table2[[#This Row],[Stock Gap]]&lt;0, "Understock","Okay")</f>
        <v>Okay</v>
      </c>
      <c r="O1145" s="13" t="str">
        <f>IF(Table2[[#This Row],[Stock Gap]]&lt;0, "Yes", "No")</f>
        <v>No</v>
      </c>
      <c r="P1145" s="13" t="str">
        <f>IF(Table2[[#This Row],[CurrentStock]]&lt;Table2[[#This Row],[ReorderLevel]],"Reorder", "Okay")</f>
        <v>Okay</v>
      </c>
      <c r="Q1145" s="13" t="str">
        <f>IF(Table2[[#This Row],[CurrentStock]]&gt;Table2[[#This Row],[ReorderLevel]]*3, "Overstock", "Okay")</f>
        <v>Overstock</v>
      </c>
    </row>
    <row r="1146" spans="1:17" x14ac:dyDescent="0.35">
      <c r="A1146">
        <v>38555</v>
      </c>
      <c r="B1146" t="s">
        <v>24</v>
      </c>
      <c r="C1146" t="s">
        <v>30</v>
      </c>
      <c r="D1146">
        <v>138</v>
      </c>
      <c r="E1146">
        <v>80</v>
      </c>
      <c r="F1146" s="2">
        <v>223.43</v>
      </c>
      <c r="G1146" t="s">
        <v>35</v>
      </c>
      <c r="H1146" s="1">
        <v>45541</v>
      </c>
      <c r="I1146" s="1">
        <v>45558</v>
      </c>
      <c r="J1146" t="s">
        <v>38</v>
      </c>
      <c r="K1146" s="8">
        <f>Table2[[#This Row],[CurrentStock]]*Table2[[#This Row],[UnitPrice]]</f>
        <v>30833.34</v>
      </c>
      <c r="L1146" t="str">
        <f>IF(Table2[[#This Row],[CurrentStock]]&lt;=Table2[[#This Row],[ReorderLevel]], "Reorder Needed", "Okay")</f>
        <v>Okay</v>
      </c>
      <c r="M1146" t="str">
        <f>IF(Table2[[#This Row],[CurrentStock]]-Table2[[#This Row],[ReorderLevel]]&lt;0,Table2[[#This Row],[CurrentStock]]-Table2[[#This Row],[ReorderLevel]],"")</f>
        <v/>
      </c>
      <c r="N1146" t="str">
        <f>IF(Table2[[#This Row],[Stock Gap]]&lt;0, "Understock","Okay")</f>
        <v>Okay</v>
      </c>
      <c r="O1146" s="13" t="str">
        <f>IF(Table2[[#This Row],[Stock Gap]]&lt;0, "Yes", "No")</f>
        <v>No</v>
      </c>
      <c r="P1146" s="13" t="str">
        <f>IF(Table2[[#This Row],[CurrentStock]]&lt;Table2[[#This Row],[ReorderLevel]],"Reorder", "Okay")</f>
        <v>Okay</v>
      </c>
      <c r="Q1146" s="13" t="str">
        <f>IF(Table2[[#This Row],[CurrentStock]]&gt;Table2[[#This Row],[ReorderLevel]]*3, "Overstock", "Okay")</f>
        <v>Okay</v>
      </c>
    </row>
    <row r="1147" spans="1:17" x14ac:dyDescent="0.35">
      <c r="A1147">
        <v>90738</v>
      </c>
      <c r="B1147" t="s">
        <v>13</v>
      </c>
      <c r="C1147" t="s">
        <v>26</v>
      </c>
      <c r="D1147">
        <v>163</v>
      </c>
      <c r="E1147">
        <v>50</v>
      </c>
      <c r="F1147" s="2">
        <v>51.18</v>
      </c>
      <c r="G1147" t="s">
        <v>35</v>
      </c>
      <c r="H1147" s="1">
        <v>45328</v>
      </c>
      <c r="I1147" s="1">
        <v>45344</v>
      </c>
      <c r="J1147" t="s">
        <v>38</v>
      </c>
      <c r="K1147" s="8">
        <f>Table2[[#This Row],[CurrentStock]]*Table2[[#This Row],[UnitPrice]]</f>
        <v>8342.34</v>
      </c>
      <c r="L1147" t="str">
        <f>IF(Table2[[#This Row],[CurrentStock]]&lt;=Table2[[#This Row],[ReorderLevel]], "Reorder Needed", "Okay")</f>
        <v>Okay</v>
      </c>
      <c r="M1147" t="str">
        <f>IF(Table2[[#This Row],[CurrentStock]]-Table2[[#This Row],[ReorderLevel]]&lt;0,Table2[[#This Row],[CurrentStock]]-Table2[[#This Row],[ReorderLevel]],"")</f>
        <v/>
      </c>
      <c r="N1147" t="str">
        <f>IF(Table2[[#This Row],[Stock Gap]]&lt;0, "Understock","Okay")</f>
        <v>Okay</v>
      </c>
      <c r="O1147" s="13" t="str">
        <f>IF(Table2[[#This Row],[Stock Gap]]&lt;0, "Yes", "No")</f>
        <v>No</v>
      </c>
      <c r="P1147" s="13" t="str">
        <f>IF(Table2[[#This Row],[CurrentStock]]&lt;Table2[[#This Row],[ReorderLevel]],"Reorder", "Okay")</f>
        <v>Okay</v>
      </c>
      <c r="Q1147" s="13" t="str">
        <f>IF(Table2[[#This Row],[CurrentStock]]&gt;Table2[[#This Row],[ReorderLevel]]*3, "Overstock", "Okay")</f>
        <v>Overstock</v>
      </c>
    </row>
    <row r="1148" spans="1:17" x14ac:dyDescent="0.35">
      <c r="A1148">
        <v>56638</v>
      </c>
      <c r="B1148" t="s">
        <v>20</v>
      </c>
      <c r="C1148" t="s">
        <v>30</v>
      </c>
      <c r="D1148">
        <v>296</v>
      </c>
      <c r="E1148">
        <v>80</v>
      </c>
      <c r="F1148" s="2">
        <v>395.2</v>
      </c>
      <c r="G1148" t="s">
        <v>35</v>
      </c>
      <c r="H1148" s="1">
        <v>45428</v>
      </c>
      <c r="I1148" s="1">
        <v>45454</v>
      </c>
      <c r="J1148" t="s">
        <v>36</v>
      </c>
      <c r="K1148" s="8">
        <f>Table2[[#This Row],[CurrentStock]]*Table2[[#This Row],[UnitPrice]]</f>
        <v>116979.2</v>
      </c>
      <c r="L1148" t="str">
        <f>IF(Table2[[#This Row],[CurrentStock]]&lt;=Table2[[#This Row],[ReorderLevel]], "Reorder Needed", "Okay")</f>
        <v>Okay</v>
      </c>
      <c r="M1148" t="str">
        <f>IF(Table2[[#This Row],[CurrentStock]]-Table2[[#This Row],[ReorderLevel]]&lt;0,Table2[[#This Row],[CurrentStock]]-Table2[[#This Row],[ReorderLevel]],"")</f>
        <v/>
      </c>
      <c r="N1148" t="str">
        <f>IF(Table2[[#This Row],[Stock Gap]]&lt;0, "Understock","Okay")</f>
        <v>Okay</v>
      </c>
      <c r="O1148" s="13" t="str">
        <f>IF(Table2[[#This Row],[Stock Gap]]&lt;0, "Yes", "No")</f>
        <v>No</v>
      </c>
      <c r="P1148" s="13" t="str">
        <f>IF(Table2[[#This Row],[CurrentStock]]&lt;Table2[[#This Row],[ReorderLevel]],"Reorder", "Okay")</f>
        <v>Okay</v>
      </c>
      <c r="Q1148" s="13" t="str">
        <f>IF(Table2[[#This Row],[CurrentStock]]&gt;Table2[[#This Row],[ReorderLevel]]*3, "Overstock", "Okay")</f>
        <v>Overstock</v>
      </c>
    </row>
    <row r="1149" spans="1:17" x14ac:dyDescent="0.35">
      <c r="A1149">
        <v>34918</v>
      </c>
      <c r="B1149" t="s">
        <v>13</v>
      </c>
      <c r="C1149" t="s">
        <v>26</v>
      </c>
      <c r="D1149">
        <v>293</v>
      </c>
      <c r="E1149">
        <v>40</v>
      </c>
      <c r="F1149" s="2">
        <v>172.19</v>
      </c>
      <c r="G1149" t="s">
        <v>32</v>
      </c>
      <c r="H1149" s="1">
        <v>45406</v>
      </c>
      <c r="I1149" s="1">
        <v>45413</v>
      </c>
      <c r="J1149" t="s">
        <v>37</v>
      </c>
      <c r="K1149" s="8">
        <f>Table2[[#This Row],[CurrentStock]]*Table2[[#This Row],[UnitPrice]]</f>
        <v>50451.67</v>
      </c>
      <c r="L1149" t="str">
        <f>IF(Table2[[#This Row],[CurrentStock]]&lt;=Table2[[#This Row],[ReorderLevel]], "Reorder Needed", "Okay")</f>
        <v>Okay</v>
      </c>
      <c r="M1149" t="str">
        <f>IF(Table2[[#This Row],[CurrentStock]]-Table2[[#This Row],[ReorderLevel]]&lt;0,Table2[[#This Row],[CurrentStock]]-Table2[[#This Row],[ReorderLevel]],"")</f>
        <v/>
      </c>
      <c r="N1149" t="str">
        <f>IF(Table2[[#This Row],[Stock Gap]]&lt;0, "Understock","Okay")</f>
        <v>Okay</v>
      </c>
      <c r="O1149" s="13" t="str">
        <f>IF(Table2[[#This Row],[Stock Gap]]&lt;0, "Yes", "No")</f>
        <v>No</v>
      </c>
      <c r="P1149" s="13" t="str">
        <f>IF(Table2[[#This Row],[CurrentStock]]&lt;Table2[[#This Row],[ReorderLevel]],"Reorder", "Okay")</f>
        <v>Okay</v>
      </c>
      <c r="Q1149" s="13" t="str">
        <f>IF(Table2[[#This Row],[CurrentStock]]&gt;Table2[[#This Row],[ReorderLevel]]*3, "Overstock", "Okay")</f>
        <v>Overstock</v>
      </c>
    </row>
    <row r="1150" spans="1:17" x14ac:dyDescent="0.35">
      <c r="A1150">
        <v>38546</v>
      </c>
      <c r="B1150" t="s">
        <v>20</v>
      </c>
      <c r="C1150" t="s">
        <v>30</v>
      </c>
      <c r="D1150">
        <v>140</v>
      </c>
      <c r="E1150">
        <v>30</v>
      </c>
      <c r="F1150" s="2">
        <v>304.52999999999997</v>
      </c>
      <c r="G1150" t="s">
        <v>34</v>
      </c>
      <c r="H1150" s="1">
        <v>45413</v>
      </c>
      <c r="I1150" s="1">
        <v>45440</v>
      </c>
      <c r="J1150" t="s">
        <v>37</v>
      </c>
      <c r="K1150" s="8">
        <f>Table2[[#This Row],[CurrentStock]]*Table2[[#This Row],[UnitPrice]]</f>
        <v>42634.2</v>
      </c>
      <c r="L1150" t="str">
        <f>IF(Table2[[#This Row],[CurrentStock]]&lt;=Table2[[#This Row],[ReorderLevel]], "Reorder Needed", "Okay")</f>
        <v>Okay</v>
      </c>
      <c r="M1150" t="str">
        <f>IF(Table2[[#This Row],[CurrentStock]]-Table2[[#This Row],[ReorderLevel]]&lt;0,Table2[[#This Row],[CurrentStock]]-Table2[[#This Row],[ReorderLevel]],"")</f>
        <v/>
      </c>
      <c r="N1150" t="str">
        <f>IF(Table2[[#This Row],[Stock Gap]]&lt;0, "Understock","Okay")</f>
        <v>Okay</v>
      </c>
      <c r="O1150" s="13" t="str">
        <f>IF(Table2[[#This Row],[Stock Gap]]&lt;0, "Yes", "No")</f>
        <v>No</v>
      </c>
      <c r="P1150" s="13" t="str">
        <f>IF(Table2[[#This Row],[CurrentStock]]&lt;Table2[[#This Row],[ReorderLevel]],"Reorder", "Okay")</f>
        <v>Okay</v>
      </c>
      <c r="Q1150" s="13" t="str">
        <f>IF(Table2[[#This Row],[CurrentStock]]&gt;Table2[[#This Row],[ReorderLevel]]*3, "Overstock", "Okay")</f>
        <v>Overstock</v>
      </c>
    </row>
    <row r="1151" spans="1:17" x14ac:dyDescent="0.35">
      <c r="A1151">
        <v>38013</v>
      </c>
      <c r="B1151" t="s">
        <v>24</v>
      </c>
      <c r="C1151" t="s">
        <v>30</v>
      </c>
      <c r="D1151">
        <v>346</v>
      </c>
      <c r="E1151">
        <v>50</v>
      </c>
      <c r="F1151" s="2">
        <v>69.81</v>
      </c>
      <c r="G1151" t="s">
        <v>35</v>
      </c>
      <c r="H1151" s="1">
        <v>45571</v>
      </c>
      <c r="I1151" s="1">
        <v>45583</v>
      </c>
      <c r="J1151" t="s">
        <v>38</v>
      </c>
      <c r="K1151" s="8">
        <f>Table2[[#This Row],[CurrentStock]]*Table2[[#This Row],[UnitPrice]]</f>
        <v>24154.260000000002</v>
      </c>
      <c r="L1151" t="str">
        <f>IF(Table2[[#This Row],[CurrentStock]]&lt;=Table2[[#This Row],[ReorderLevel]], "Reorder Needed", "Okay")</f>
        <v>Okay</v>
      </c>
      <c r="M1151" t="str">
        <f>IF(Table2[[#This Row],[CurrentStock]]-Table2[[#This Row],[ReorderLevel]]&lt;0,Table2[[#This Row],[CurrentStock]]-Table2[[#This Row],[ReorderLevel]],"")</f>
        <v/>
      </c>
      <c r="N1151" t="str">
        <f>IF(Table2[[#This Row],[Stock Gap]]&lt;0, "Understock","Okay")</f>
        <v>Okay</v>
      </c>
      <c r="O1151" s="13" t="str">
        <f>IF(Table2[[#This Row],[Stock Gap]]&lt;0, "Yes", "No")</f>
        <v>No</v>
      </c>
      <c r="P1151" s="13" t="str">
        <f>IF(Table2[[#This Row],[CurrentStock]]&lt;Table2[[#This Row],[ReorderLevel]],"Reorder", "Okay")</f>
        <v>Okay</v>
      </c>
      <c r="Q1151" s="13" t="str">
        <f>IF(Table2[[#This Row],[CurrentStock]]&gt;Table2[[#This Row],[ReorderLevel]]*3, "Overstock", "Okay")</f>
        <v>Overstock</v>
      </c>
    </row>
    <row r="1152" spans="1:17" x14ac:dyDescent="0.35">
      <c r="A1152">
        <v>74068</v>
      </c>
      <c r="B1152" t="s">
        <v>15</v>
      </c>
      <c r="C1152" t="s">
        <v>29</v>
      </c>
      <c r="D1152">
        <v>436</v>
      </c>
      <c r="E1152">
        <v>50</v>
      </c>
      <c r="F1152" s="2">
        <v>281.52</v>
      </c>
      <c r="G1152" t="s">
        <v>35</v>
      </c>
      <c r="H1152" s="1">
        <v>45331</v>
      </c>
      <c r="I1152" s="1">
        <v>45341</v>
      </c>
      <c r="J1152" t="s">
        <v>36</v>
      </c>
      <c r="K1152" s="8">
        <f>Table2[[#This Row],[CurrentStock]]*Table2[[#This Row],[UnitPrice]]</f>
        <v>122742.71999999999</v>
      </c>
      <c r="L1152" t="str">
        <f>IF(Table2[[#This Row],[CurrentStock]]&lt;=Table2[[#This Row],[ReorderLevel]], "Reorder Needed", "Okay")</f>
        <v>Okay</v>
      </c>
      <c r="M1152" t="str">
        <f>IF(Table2[[#This Row],[CurrentStock]]-Table2[[#This Row],[ReorderLevel]]&lt;0,Table2[[#This Row],[CurrentStock]]-Table2[[#This Row],[ReorderLevel]],"")</f>
        <v/>
      </c>
      <c r="N1152" t="str">
        <f>IF(Table2[[#This Row],[Stock Gap]]&lt;0, "Understock","Okay")</f>
        <v>Okay</v>
      </c>
      <c r="O1152" s="13" t="str">
        <f>IF(Table2[[#This Row],[Stock Gap]]&lt;0, "Yes", "No")</f>
        <v>No</v>
      </c>
      <c r="P1152" s="13" t="str">
        <f>IF(Table2[[#This Row],[CurrentStock]]&lt;Table2[[#This Row],[ReorderLevel]],"Reorder", "Okay")</f>
        <v>Okay</v>
      </c>
      <c r="Q1152" s="13" t="str">
        <f>IF(Table2[[#This Row],[CurrentStock]]&gt;Table2[[#This Row],[ReorderLevel]]*3, "Overstock", "Okay")</f>
        <v>Overstock</v>
      </c>
    </row>
    <row r="1153" spans="1:17" x14ac:dyDescent="0.35">
      <c r="A1153">
        <v>40776</v>
      </c>
      <c r="B1153" t="s">
        <v>20</v>
      </c>
      <c r="C1153" t="s">
        <v>30</v>
      </c>
      <c r="D1153">
        <v>188</v>
      </c>
      <c r="E1153">
        <v>150</v>
      </c>
      <c r="F1153" s="2">
        <v>145.87</v>
      </c>
      <c r="G1153" t="s">
        <v>32</v>
      </c>
      <c r="H1153" s="1">
        <v>45308</v>
      </c>
      <c r="I1153" s="1">
        <v>45333</v>
      </c>
      <c r="J1153" t="s">
        <v>37</v>
      </c>
      <c r="K1153" s="8">
        <f>Table2[[#This Row],[CurrentStock]]*Table2[[#This Row],[UnitPrice]]</f>
        <v>27423.56</v>
      </c>
      <c r="L1153" t="str">
        <f>IF(Table2[[#This Row],[CurrentStock]]&lt;=Table2[[#This Row],[ReorderLevel]], "Reorder Needed", "Okay")</f>
        <v>Okay</v>
      </c>
      <c r="M1153" t="str">
        <f>IF(Table2[[#This Row],[CurrentStock]]-Table2[[#This Row],[ReorderLevel]]&lt;0,Table2[[#This Row],[CurrentStock]]-Table2[[#This Row],[ReorderLevel]],"")</f>
        <v/>
      </c>
      <c r="N1153" t="str">
        <f>IF(Table2[[#This Row],[Stock Gap]]&lt;0, "Understock","Okay")</f>
        <v>Okay</v>
      </c>
      <c r="O1153" s="13" t="str">
        <f>IF(Table2[[#This Row],[Stock Gap]]&lt;0, "Yes", "No")</f>
        <v>No</v>
      </c>
      <c r="P1153" s="13" t="str">
        <f>IF(Table2[[#This Row],[CurrentStock]]&lt;Table2[[#This Row],[ReorderLevel]],"Reorder", "Okay")</f>
        <v>Okay</v>
      </c>
      <c r="Q1153" s="13" t="str">
        <f>IF(Table2[[#This Row],[CurrentStock]]&gt;Table2[[#This Row],[ReorderLevel]]*3, "Overstock", "Okay")</f>
        <v>Okay</v>
      </c>
    </row>
    <row r="1154" spans="1:17" x14ac:dyDescent="0.35">
      <c r="A1154">
        <v>92027</v>
      </c>
      <c r="B1154" t="s">
        <v>9</v>
      </c>
      <c r="C1154" t="s">
        <v>26</v>
      </c>
      <c r="D1154">
        <v>218</v>
      </c>
      <c r="E1154">
        <v>150</v>
      </c>
      <c r="F1154" s="2">
        <v>11.15</v>
      </c>
      <c r="G1154" t="s">
        <v>32</v>
      </c>
      <c r="H1154" s="1">
        <v>45322</v>
      </c>
      <c r="I1154" s="1">
        <v>45332</v>
      </c>
      <c r="J1154" t="s">
        <v>36</v>
      </c>
      <c r="K1154" s="8">
        <f>Table2[[#This Row],[CurrentStock]]*Table2[[#This Row],[UnitPrice]]</f>
        <v>2430.7000000000003</v>
      </c>
      <c r="L1154" t="str">
        <f>IF(Table2[[#This Row],[CurrentStock]]&lt;=Table2[[#This Row],[ReorderLevel]], "Reorder Needed", "Okay")</f>
        <v>Okay</v>
      </c>
      <c r="M1154" t="str">
        <f>IF(Table2[[#This Row],[CurrentStock]]-Table2[[#This Row],[ReorderLevel]]&lt;0,Table2[[#This Row],[CurrentStock]]-Table2[[#This Row],[ReorderLevel]],"")</f>
        <v/>
      </c>
      <c r="N1154" t="str">
        <f>IF(Table2[[#This Row],[Stock Gap]]&lt;0, "Understock","Okay")</f>
        <v>Okay</v>
      </c>
      <c r="O1154" s="13" t="str">
        <f>IF(Table2[[#This Row],[Stock Gap]]&lt;0, "Yes", "No")</f>
        <v>No</v>
      </c>
      <c r="P1154" s="13" t="str">
        <f>IF(Table2[[#This Row],[CurrentStock]]&lt;Table2[[#This Row],[ReorderLevel]],"Reorder", "Okay")</f>
        <v>Okay</v>
      </c>
      <c r="Q1154" s="13" t="str">
        <f>IF(Table2[[#This Row],[CurrentStock]]&gt;Table2[[#This Row],[ReorderLevel]]*3, "Overstock", "Okay")</f>
        <v>Okay</v>
      </c>
    </row>
    <row r="1155" spans="1:17" x14ac:dyDescent="0.35">
      <c r="A1155">
        <v>45050</v>
      </c>
      <c r="B1155" t="s">
        <v>19</v>
      </c>
      <c r="C1155" t="s">
        <v>28</v>
      </c>
      <c r="D1155">
        <v>73</v>
      </c>
      <c r="E1155">
        <v>20</v>
      </c>
      <c r="F1155" s="2">
        <v>102.67</v>
      </c>
      <c r="G1155" t="s">
        <v>34</v>
      </c>
      <c r="H1155" s="1">
        <v>45617</v>
      </c>
      <c r="I1155" s="1">
        <v>45640</v>
      </c>
      <c r="J1155" t="s">
        <v>36</v>
      </c>
      <c r="K1155" s="8">
        <f>Table2[[#This Row],[CurrentStock]]*Table2[[#This Row],[UnitPrice]]</f>
        <v>7494.91</v>
      </c>
      <c r="L1155" t="str">
        <f>IF(Table2[[#This Row],[CurrentStock]]&lt;=Table2[[#This Row],[ReorderLevel]], "Reorder Needed", "Okay")</f>
        <v>Okay</v>
      </c>
      <c r="M1155" t="str">
        <f>IF(Table2[[#This Row],[CurrentStock]]-Table2[[#This Row],[ReorderLevel]]&lt;0,Table2[[#This Row],[CurrentStock]]-Table2[[#This Row],[ReorderLevel]],"")</f>
        <v/>
      </c>
      <c r="N1155" t="str">
        <f>IF(Table2[[#This Row],[Stock Gap]]&lt;0, "Understock","Okay")</f>
        <v>Okay</v>
      </c>
      <c r="O1155" s="13" t="str">
        <f>IF(Table2[[#This Row],[Stock Gap]]&lt;0, "Yes", "No")</f>
        <v>No</v>
      </c>
      <c r="P1155" s="13" t="str">
        <f>IF(Table2[[#This Row],[CurrentStock]]&lt;Table2[[#This Row],[ReorderLevel]],"Reorder", "Okay")</f>
        <v>Okay</v>
      </c>
      <c r="Q1155" s="13" t="str">
        <f>IF(Table2[[#This Row],[CurrentStock]]&gt;Table2[[#This Row],[ReorderLevel]]*3, "Overstock", "Okay")</f>
        <v>Overstock</v>
      </c>
    </row>
    <row r="1156" spans="1:17" x14ac:dyDescent="0.35">
      <c r="A1156">
        <v>72863</v>
      </c>
      <c r="B1156" t="s">
        <v>22</v>
      </c>
      <c r="C1156" t="s">
        <v>29</v>
      </c>
      <c r="D1156">
        <v>58</v>
      </c>
      <c r="E1156">
        <v>20</v>
      </c>
      <c r="F1156" s="2">
        <v>499.86</v>
      </c>
      <c r="G1156" t="s">
        <v>33</v>
      </c>
      <c r="H1156" s="1">
        <v>45315</v>
      </c>
      <c r="I1156" s="1">
        <v>45344</v>
      </c>
      <c r="J1156" t="s">
        <v>38</v>
      </c>
      <c r="K1156" s="8">
        <f>Table2[[#This Row],[CurrentStock]]*Table2[[#This Row],[UnitPrice]]</f>
        <v>28991.88</v>
      </c>
      <c r="L1156" t="str">
        <f>IF(Table2[[#This Row],[CurrentStock]]&lt;=Table2[[#This Row],[ReorderLevel]], "Reorder Needed", "Okay")</f>
        <v>Okay</v>
      </c>
      <c r="M1156" t="str">
        <f>IF(Table2[[#This Row],[CurrentStock]]-Table2[[#This Row],[ReorderLevel]]&lt;0,Table2[[#This Row],[CurrentStock]]-Table2[[#This Row],[ReorderLevel]],"")</f>
        <v/>
      </c>
      <c r="N1156" t="str">
        <f>IF(Table2[[#This Row],[Stock Gap]]&lt;0, "Understock","Okay")</f>
        <v>Okay</v>
      </c>
      <c r="O1156" s="13" t="str">
        <f>IF(Table2[[#This Row],[Stock Gap]]&lt;0, "Yes", "No")</f>
        <v>No</v>
      </c>
      <c r="P1156" s="13" t="str">
        <f>IF(Table2[[#This Row],[CurrentStock]]&lt;Table2[[#This Row],[ReorderLevel]],"Reorder", "Okay")</f>
        <v>Okay</v>
      </c>
      <c r="Q1156" s="13" t="str">
        <f>IF(Table2[[#This Row],[CurrentStock]]&gt;Table2[[#This Row],[ReorderLevel]]*3, "Overstock", "Okay")</f>
        <v>Okay</v>
      </c>
    </row>
    <row r="1157" spans="1:17" x14ac:dyDescent="0.35">
      <c r="A1157">
        <v>51542</v>
      </c>
      <c r="B1157" t="s">
        <v>25</v>
      </c>
      <c r="C1157" t="s">
        <v>29</v>
      </c>
      <c r="D1157">
        <v>387</v>
      </c>
      <c r="E1157">
        <v>30</v>
      </c>
      <c r="F1157" s="2">
        <v>327.14999999999998</v>
      </c>
      <c r="G1157" t="s">
        <v>31</v>
      </c>
      <c r="H1157" s="1">
        <v>45639</v>
      </c>
      <c r="I1157" s="1">
        <v>45660</v>
      </c>
      <c r="J1157" t="s">
        <v>36</v>
      </c>
      <c r="K1157" s="8">
        <f>Table2[[#This Row],[CurrentStock]]*Table2[[#This Row],[UnitPrice]]</f>
        <v>126607.04999999999</v>
      </c>
      <c r="L1157" t="str">
        <f>IF(Table2[[#This Row],[CurrentStock]]&lt;=Table2[[#This Row],[ReorderLevel]], "Reorder Needed", "Okay")</f>
        <v>Okay</v>
      </c>
      <c r="M1157" t="str">
        <f>IF(Table2[[#This Row],[CurrentStock]]-Table2[[#This Row],[ReorderLevel]]&lt;0,Table2[[#This Row],[CurrentStock]]-Table2[[#This Row],[ReorderLevel]],"")</f>
        <v/>
      </c>
      <c r="N1157" t="str">
        <f>IF(Table2[[#This Row],[Stock Gap]]&lt;0, "Understock","Okay")</f>
        <v>Okay</v>
      </c>
      <c r="O1157" s="13" t="str">
        <f>IF(Table2[[#This Row],[Stock Gap]]&lt;0, "Yes", "No")</f>
        <v>No</v>
      </c>
      <c r="P1157" s="13" t="str">
        <f>IF(Table2[[#This Row],[CurrentStock]]&lt;Table2[[#This Row],[ReorderLevel]],"Reorder", "Okay")</f>
        <v>Okay</v>
      </c>
      <c r="Q1157" s="13" t="str">
        <f>IF(Table2[[#This Row],[CurrentStock]]&gt;Table2[[#This Row],[ReorderLevel]]*3, "Overstock", "Okay")</f>
        <v>Overstock</v>
      </c>
    </row>
    <row r="1158" spans="1:17" x14ac:dyDescent="0.35">
      <c r="A1158">
        <v>71993</v>
      </c>
      <c r="B1158" t="s">
        <v>16</v>
      </c>
      <c r="C1158" t="s">
        <v>29</v>
      </c>
      <c r="D1158">
        <v>478</v>
      </c>
      <c r="E1158">
        <v>100</v>
      </c>
      <c r="F1158" s="2">
        <v>305.82</v>
      </c>
      <c r="G1158" t="s">
        <v>31</v>
      </c>
      <c r="H1158" s="1">
        <v>45390</v>
      </c>
      <c r="I1158" s="1">
        <v>45424</v>
      </c>
      <c r="J1158" t="s">
        <v>37</v>
      </c>
      <c r="K1158" s="8">
        <f>Table2[[#This Row],[CurrentStock]]*Table2[[#This Row],[UnitPrice]]</f>
        <v>146181.96</v>
      </c>
      <c r="L1158" t="str">
        <f>IF(Table2[[#This Row],[CurrentStock]]&lt;=Table2[[#This Row],[ReorderLevel]], "Reorder Needed", "Okay")</f>
        <v>Okay</v>
      </c>
      <c r="M1158" t="str">
        <f>IF(Table2[[#This Row],[CurrentStock]]-Table2[[#This Row],[ReorderLevel]]&lt;0,Table2[[#This Row],[CurrentStock]]-Table2[[#This Row],[ReorderLevel]],"")</f>
        <v/>
      </c>
      <c r="N1158" t="str">
        <f>IF(Table2[[#This Row],[Stock Gap]]&lt;0, "Understock","Okay")</f>
        <v>Okay</v>
      </c>
      <c r="O1158" s="13" t="str">
        <f>IF(Table2[[#This Row],[Stock Gap]]&lt;0, "Yes", "No")</f>
        <v>No</v>
      </c>
      <c r="P1158" s="13" t="str">
        <f>IF(Table2[[#This Row],[CurrentStock]]&lt;Table2[[#This Row],[ReorderLevel]],"Reorder", "Okay")</f>
        <v>Okay</v>
      </c>
      <c r="Q1158" s="13" t="str">
        <f>IF(Table2[[#This Row],[CurrentStock]]&gt;Table2[[#This Row],[ReorderLevel]]*3, "Overstock", "Okay")</f>
        <v>Overstock</v>
      </c>
    </row>
    <row r="1159" spans="1:17" x14ac:dyDescent="0.35">
      <c r="A1159">
        <v>24706</v>
      </c>
      <c r="B1159" t="s">
        <v>12</v>
      </c>
      <c r="C1159" t="s">
        <v>28</v>
      </c>
      <c r="D1159">
        <v>71</v>
      </c>
      <c r="E1159">
        <v>40</v>
      </c>
      <c r="F1159" s="2">
        <v>259.89</v>
      </c>
      <c r="G1159" t="s">
        <v>33</v>
      </c>
      <c r="H1159" s="1">
        <v>45336</v>
      </c>
      <c r="I1159" s="1">
        <v>45364</v>
      </c>
      <c r="J1159" t="s">
        <v>36</v>
      </c>
      <c r="K1159" s="8">
        <f>Table2[[#This Row],[CurrentStock]]*Table2[[#This Row],[UnitPrice]]</f>
        <v>18452.189999999999</v>
      </c>
      <c r="L1159" t="str">
        <f>IF(Table2[[#This Row],[CurrentStock]]&lt;=Table2[[#This Row],[ReorderLevel]], "Reorder Needed", "Okay")</f>
        <v>Okay</v>
      </c>
      <c r="M1159" t="str">
        <f>IF(Table2[[#This Row],[CurrentStock]]-Table2[[#This Row],[ReorderLevel]]&lt;0,Table2[[#This Row],[CurrentStock]]-Table2[[#This Row],[ReorderLevel]],"")</f>
        <v/>
      </c>
      <c r="N1159" t="str">
        <f>IF(Table2[[#This Row],[Stock Gap]]&lt;0, "Understock","Okay")</f>
        <v>Okay</v>
      </c>
      <c r="O1159" s="13" t="str">
        <f>IF(Table2[[#This Row],[Stock Gap]]&lt;0, "Yes", "No")</f>
        <v>No</v>
      </c>
      <c r="P1159" s="13" t="str">
        <f>IF(Table2[[#This Row],[CurrentStock]]&lt;Table2[[#This Row],[ReorderLevel]],"Reorder", "Okay")</f>
        <v>Okay</v>
      </c>
      <c r="Q1159" s="13" t="str">
        <f>IF(Table2[[#This Row],[CurrentStock]]&gt;Table2[[#This Row],[ReorderLevel]]*3, "Overstock", "Okay")</f>
        <v>Okay</v>
      </c>
    </row>
    <row r="1160" spans="1:17" x14ac:dyDescent="0.35">
      <c r="A1160">
        <v>62076</v>
      </c>
      <c r="B1160" t="s">
        <v>13</v>
      </c>
      <c r="C1160" t="s">
        <v>26</v>
      </c>
      <c r="D1160">
        <v>171</v>
      </c>
      <c r="E1160">
        <v>50</v>
      </c>
      <c r="F1160" s="2">
        <v>169.95</v>
      </c>
      <c r="G1160" t="s">
        <v>31</v>
      </c>
      <c r="H1160" s="1">
        <v>45572</v>
      </c>
      <c r="I1160" s="1">
        <v>45583</v>
      </c>
      <c r="J1160" t="s">
        <v>37</v>
      </c>
      <c r="K1160" s="8">
        <f>Table2[[#This Row],[CurrentStock]]*Table2[[#This Row],[UnitPrice]]</f>
        <v>29061.449999999997</v>
      </c>
      <c r="L1160" t="str">
        <f>IF(Table2[[#This Row],[CurrentStock]]&lt;=Table2[[#This Row],[ReorderLevel]], "Reorder Needed", "Okay")</f>
        <v>Okay</v>
      </c>
      <c r="M1160" t="str">
        <f>IF(Table2[[#This Row],[CurrentStock]]-Table2[[#This Row],[ReorderLevel]]&lt;0,Table2[[#This Row],[CurrentStock]]-Table2[[#This Row],[ReorderLevel]],"")</f>
        <v/>
      </c>
      <c r="N1160" t="str">
        <f>IF(Table2[[#This Row],[Stock Gap]]&lt;0, "Understock","Okay")</f>
        <v>Okay</v>
      </c>
      <c r="O1160" s="13" t="str">
        <f>IF(Table2[[#This Row],[Stock Gap]]&lt;0, "Yes", "No")</f>
        <v>No</v>
      </c>
      <c r="P1160" s="13" t="str">
        <f>IF(Table2[[#This Row],[CurrentStock]]&lt;Table2[[#This Row],[ReorderLevel]],"Reorder", "Okay")</f>
        <v>Okay</v>
      </c>
      <c r="Q1160" s="13" t="str">
        <f>IF(Table2[[#This Row],[CurrentStock]]&gt;Table2[[#This Row],[ReorderLevel]]*3, "Overstock", "Okay")</f>
        <v>Overstock</v>
      </c>
    </row>
    <row r="1161" spans="1:17" x14ac:dyDescent="0.35">
      <c r="A1161">
        <v>33447</v>
      </c>
      <c r="B1161" t="s">
        <v>21</v>
      </c>
      <c r="C1161" t="s">
        <v>26</v>
      </c>
      <c r="D1161">
        <v>264</v>
      </c>
      <c r="E1161">
        <v>40</v>
      </c>
      <c r="F1161" s="2">
        <v>290.94</v>
      </c>
      <c r="G1161" t="s">
        <v>35</v>
      </c>
      <c r="H1161" s="1">
        <v>45459</v>
      </c>
      <c r="I1161" s="1">
        <v>45492</v>
      </c>
      <c r="J1161" t="s">
        <v>36</v>
      </c>
      <c r="K1161" s="8">
        <f>Table2[[#This Row],[CurrentStock]]*Table2[[#This Row],[UnitPrice]]</f>
        <v>76808.160000000003</v>
      </c>
      <c r="L1161" t="str">
        <f>IF(Table2[[#This Row],[CurrentStock]]&lt;=Table2[[#This Row],[ReorderLevel]], "Reorder Needed", "Okay")</f>
        <v>Okay</v>
      </c>
      <c r="M1161" t="str">
        <f>IF(Table2[[#This Row],[CurrentStock]]-Table2[[#This Row],[ReorderLevel]]&lt;0,Table2[[#This Row],[CurrentStock]]-Table2[[#This Row],[ReorderLevel]],"")</f>
        <v/>
      </c>
      <c r="N1161" t="str">
        <f>IF(Table2[[#This Row],[Stock Gap]]&lt;0, "Understock","Okay")</f>
        <v>Okay</v>
      </c>
      <c r="O1161" s="13" t="str">
        <f>IF(Table2[[#This Row],[Stock Gap]]&lt;0, "Yes", "No")</f>
        <v>No</v>
      </c>
      <c r="P1161" s="13" t="str">
        <f>IF(Table2[[#This Row],[CurrentStock]]&lt;Table2[[#This Row],[ReorderLevel]],"Reorder", "Okay")</f>
        <v>Okay</v>
      </c>
      <c r="Q1161" s="13" t="str">
        <f>IF(Table2[[#This Row],[CurrentStock]]&gt;Table2[[#This Row],[ReorderLevel]]*3, "Overstock", "Okay")</f>
        <v>Overstock</v>
      </c>
    </row>
    <row r="1162" spans="1:17" x14ac:dyDescent="0.35">
      <c r="A1162">
        <v>50581</v>
      </c>
      <c r="B1162" t="s">
        <v>24</v>
      </c>
      <c r="C1162" t="s">
        <v>30</v>
      </c>
      <c r="D1162">
        <v>44</v>
      </c>
      <c r="E1162">
        <v>80</v>
      </c>
      <c r="F1162" s="2">
        <v>271.5</v>
      </c>
      <c r="G1162" t="s">
        <v>35</v>
      </c>
      <c r="H1162" s="1">
        <v>45522</v>
      </c>
      <c r="I1162" s="1">
        <v>45555</v>
      </c>
      <c r="J1162" t="s">
        <v>36</v>
      </c>
      <c r="K1162" s="8">
        <f>Table2[[#This Row],[CurrentStock]]*Table2[[#This Row],[UnitPrice]]</f>
        <v>11946</v>
      </c>
      <c r="L1162" t="str">
        <f>IF(Table2[[#This Row],[CurrentStock]]&lt;=Table2[[#This Row],[ReorderLevel]], "Reorder Needed", "Okay")</f>
        <v>Reorder Needed</v>
      </c>
      <c r="M1162" s="7">
        <f>IF(Table2[[#This Row],[CurrentStock]]-Table2[[#This Row],[ReorderLevel]]&lt;0,Table2[[#This Row],[CurrentStock]]-Table2[[#This Row],[ReorderLevel]],"")</f>
        <v>-36</v>
      </c>
      <c r="N1162" t="str">
        <f>IF(Table2[[#This Row],[Stock Gap]]&lt;0, "Understock","Okay")</f>
        <v>Understock</v>
      </c>
      <c r="O1162" s="13" t="str">
        <f>IF(Table2[[#This Row],[Stock Gap]]&lt;0, "Yes", "No")</f>
        <v>Yes</v>
      </c>
      <c r="P1162" s="13" t="str">
        <f>IF(Table2[[#This Row],[CurrentStock]]&lt;Table2[[#This Row],[ReorderLevel]],"Reorder", "Okay")</f>
        <v>Reorder</v>
      </c>
      <c r="Q1162" s="13" t="str">
        <f>IF(Table2[[#This Row],[CurrentStock]]&gt;Table2[[#This Row],[ReorderLevel]]*3, "Overstock", "Okay")</f>
        <v>Okay</v>
      </c>
    </row>
    <row r="1163" spans="1:17" x14ac:dyDescent="0.35">
      <c r="A1163">
        <v>27110</v>
      </c>
      <c r="B1163" t="s">
        <v>24</v>
      </c>
      <c r="C1163" t="s">
        <v>30</v>
      </c>
      <c r="D1163">
        <v>491</v>
      </c>
      <c r="E1163">
        <v>100</v>
      </c>
      <c r="F1163" s="2">
        <v>264.02999999999997</v>
      </c>
      <c r="G1163" t="s">
        <v>31</v>
      </c>
      <c r="H1163" s="1">
        <v>45487</v>
      </c>
      <c r="I1163" s="1">
        <v>45526</v>
      </c>
      <c r="J1163" t="s">
        <v>38</v>
      </c>
      <c r="K1163" s="8">
        <f>Table2[[#This Row],[CurrentStock]]*Table2[[#This Row],[UnitPrice]]</f>
        <v>129638.72999999998</v>
      </c>
      <c r="L1163" t="str">
        <f>IF(Table2[[#This Row],[CurrentStock]]&lt;=Table2[[#This Row],[ReorderLevel]], "Reorder Needed", "Okay")</f>
        <v>Okay</v>
      </c>
      <c r="M1163" t="str">
        <f>IF(Table2[[#This Row],[CurrentStock]]-Table2[[#This Row],[ReorderLevel]]&lt;0,Table2[[#This Row],[CurrentStock]]-Table2[[#This Row],[ReorderLevel]],"")</f>
        <v/>
      </c>
      <c r="N1163" t="str">
        <f>IF(Table2[[#This Row],[Stock Gap]]&lt;0, "Understock","Okay")</f>
        <v>Okay</v>
      </c>
      <c r="O1163" s="13" t="str">
        <f>IF(Table2[[#This Row],[Stock Gap]]&lt;0, "Yes", "No")</f>
        <v>No</v>
      </c>
      <c r="P1163" s="13" t="str">
        <f>IF(Table2[[#This Row],[CurrentStock]]&lt;Table2[[#This Row],[ReorderLevel]],"Reorder", "Okay")</f>
        <v>Okay</v>
      </c>
      <c r="Q1163" s="13" t="str">
        <f>IF(Table2[[#This Row],[CurrentStock]]&gt;Table2[[#This Row],[ReorderLevel]]*3, "Overstock", "Okay")</f>
        <v>Overstock</v>
      </c>
    </row>
    <row r="1164" spans="1:17" x14ac:dyDescent="0.35">
      <c r="A1164">
        <v>99796</v>
      </c>
      <c r="B1164" t="s">
        <v>21</v>
      </c>
      <c r="C1164" t="s">
        <v>26</v>
      </c>
      <c r="D1164">
        <v>251</v>
      </c>
      <c r="E1164">
        <v>40</v>
      </c>
      <c r="F1164" s="2">
        <v>381.55</v>
      </c>
      <c r="G1164" t="s">
        <v>33</v>
      </c>
      <c r="H1164" s="1">
        <v>45422</v>
      </c>
      <c r="I1164" s="1">
        <v>45458</v>
      </c>
      <c r="J1164" t="s">
        <v>38</v>
      </c>
      <c r="K1164" s="8">
        <f>Table2[[#This Row],[CurrentStock]]*Table2[[#This Row],[UnitPrice]]</f>
        <v>95769.05</v>
      </c>
      <c r="L1164" t="str">
        <f>IF(Table2[[#This Row],[CurrentStock]]&lt;=Table2[[#This Row],[ReorderLevel]], "Reorder Needed", "Okay")</f>
        <v>Okay</v>
      </c>
      <c r="M1164" t="str">
        <f>IF(Table2[[#This Row],[CurrentStock]]-Table2[[#This Row],[ReorderLevel]]&lt;0,Table2[[#This Row],[CurrentStock]]-Table2[[#This Row],[ReorderLevel]],"")</f>
        <v/>
      </c>
      <c r="N1164" t="str">
        <f>IF(Table2[[#This Row],[Stock Gap]]&lt;0, "Understock","Okay")</f>
        <v>Okay</v>
      </c>
      <c r="O1164" s="13" t="str">
        <f>IF(Table2[[#This Row],[Stock Gap]]&lt;0, "Yes", "No")</f>
        <v>No</v>
      </c>
      <c r="P1164" s="13" t="str">
        <f>IF(Table2[[#This Row],[CurrentStock]]&lt;Table2[[#This Row],[ReorderLevel]],"Reorder", "Okay")</f>
        <v>Okay</v>
      </c>
      <c r="Q1164" s="13" t="str">
        <f>IF(Table2[[#This Row],[CurrentStock]]&gt;Table2[[#This Row],[ReorderLevel]]*3, "Overstock", "Okay")</f>
        <v>Overstock</v>
      </c>
    </row>
    <row r="1165" spans="1:17" x14ac:dyDescent="0.35">
      <c r="A1165">
        <v>45999</v>
      </c>
      <c r="B1165" t="s">
        <v>10</v>
      </c>
      <c r="C1165" t="s">
        <v>26</v>
      </c>
      <c r="D1165">
        <v>25</v>
      </c>
      <c r="E1165">
        <v>150</v>
      </c>
      <c r="F1165" s="2">
        <v>212.45</v>
      </c>
      <c r="G1165" t="s">
        <v>34</v>
      </c>
      <c r="H1165" s="1">
        <v>45477</v>
      </c>
      <c r="I1165" s="1">
        <v>45486</v>
      </c>
      <c r="J1165" t="s">
        <v>36</v>
      </c>
      <c r="K1165" s="8">
        <f>Table2[[#This Row],[CurrentStock]]*Table2[[#This Row],[UnitPrice]]</f>
        <v>5311.25</v>
      </c>
      <c r="L1165" t="str">
        <f>IF(Table2[[#This Row],[CurrentStock]]&lt;=Table2[[#This Row],[ReorderLevel]], "Reorder Needed", "Okay")</f>
        <v>Reorder Needed</v>
      </c>
      <c r="M1165" s="7">
        <f>IF(Table2[[#This Row],[CurrentStock]]-Table2[[#This Row],[ReorderLevel]]&lt;0,Table2[[#This Row],[CurrentStock]]-Table2[[#This Row],[ReorderLevel]],"")</f>
        <v>-125</v>
      </c>
      <c r="N1165" t="str">
        <f>IF(Table2[[#This Row],[Stock Gap]]&lt;0, "Understock","Okay")</f>
        <v>Understock</v>
      </c>
      <c r="O1165" s="13" t="str">
        <f>IF(Table2[[#This Row],[Stock Gap]]&lt;0, "Yes", "No")</f>
        <v>Yes</v>
      </c>
      <c r="P1165" s="13" t="str">
        <f>IF(Table2[[#This Row],[CurrentStock]]&lt;Table2[[#This Row],[ReorderLevel]],"Reorder", "Okay")</f>
        <v>Reorder</v>
      </c>
      <c r="Q1165" s="13" t="str">
        <f>IF(Table2[[#This Row],[CurrentStock]]&gt;Table2[[#This Row],[ReorderLevel]]*3, "Overstock", "Okay")</f>
        <v>Okay</v>
      </c>
    </row>
    <row r="1166" spans="1:17" x14ac:dyDescent="0.35">
      <c r="A1166">
        <v>21244</v>
      </c>
      <c r="B1166" t="s">
        <v>19</v>
      </c>
      <c r="C1166" t="s">
        <v>28</v>
      </c>
      <c r="D1166">
        <v>7</v>
      </c>
      <c r="E1166">
        <v>20</v>
      </c>
      <c r="F1166" s="2">
        <v>431.9</v>
      </c>
      <c r="G1166" t="s">
        <v>31</v>
      </c>
      <c r="H1166" s="1">
        <v>45319</v>
      </c>
      <c r="I1166" s="1">
        <v>45337</v>
      </c>
      <c r="J1166" t="s">
        <v>37</v>
      </c>
      <c r="K1166" s="8">
        <f>Table2[[#This Row],[CurrentStock]]*Table2[[#This Row],[UnitPrice]]</f>
        <v>3023.2999999999997</v>
      </c>
      <c r="L1166" t="str">
        <f>IF(Table2[[#This Row],[CurrentStock]]&lt;=Table2[[#This Row],[ReorderLevel]], "Reorder Needed", "Okay")</f>
        <v>Reorder Needed</v>
      </c>
      <c r="M1166" s="7">
        <f>IF(Table2[[#This Row],[CurrentStock]]-Table2[[#This Row],[ReorderLevel]]&lt;0,Table2[[#This Row],[CurrentStock]]-Table2[[#This Row],[ReorderLevel]],"")</f>
        <v>-13</v>
      </c>
      <c r="N1166" t="str">
        <f>IF(Table2[[#This Row],[Stock Gap]]&lt;0, "Understock","Okay")</f>
        <v>Understock</v>
      </c>
      <c r="O1166" s="13" t="str">
        <f>IF(Table2[[#This Row],[Stock Gap]]&lt;0, "Yes", "No")</f>
        <v>Yes</v>
      </c>
      <c r="P1166" s="13" t="str">
        <f>IF(Table2[[#This Row],[CurrentStock]]&lt;Table2[[#This Row],[ReorderLevel]],"Reorder", "Okay")</f>
        <v>Reorder</v>
      </c>
      <c r="Q1166" s="13" t="str">
        <f>IF(Table2[[#This Row],[CurrentStock]]&gt;Table2[[#This Row],[ReorderLevel]]*3, "Overstock", "Okay")</f>
        <v>Okay</v>
      </c>
    </row>
    <row r="1167" spans="1:17" x14ac:dyDescent="0.35">
      <c r="A1167">
        <v>88616</v>
      </c>
      <c r="B1167" t="s">
        <v>12</v>
      </c>
      <c r="C1167" t="s">
        <v>28</v>
      </c>
      <c r="D1167">
        <v>206</v>
      </c>
      <c r="E1167">
        <v>100</v>
      </c>
      <c r="F1167" s="2">
        <v>374.92</v>
      </c>
      <c r="G1167" t="s">
        <v>32</v>
      </c>
      <c r="H1167" s="1">
        <v>45336</v>
      </c>
      <c r="I1167" s="1">
        <v>45368</v>
      </c>
      <c r="J1167" t="s">
        <v>36</v>
      </c>
      <c r="K1167" s="8">
        <f>Table2[[#This Row],[CurrentStock]]*Table2[[#This Row],[UnitPrice]]</f>
        <v>77233.52</v>
      </c>
      <c r="L1167" t="str">
        <f>IF(Table2[[#This Row],[CurrentStock]]&lt;=Table2[[#This Row],[ReorderLevel]], "Reorder Needed", "Okay")</f>
        <v>Okay</v>
      </c>
      <c r="M1167" t="str">
        <f>IF(Table2[[#This Row],[CurrentStock]]-Table2[[#This Row],[ReorderLevel]]&lt;0,Table2[[#This Row],[CurrentStock]]-Table2[[#This Row],[ReorderLevel]],"")</f>
        <v/>
      </c>
      <c r="N1167" t="str">
        <f>IF(Table2[[#This Row],[Stock Gap]]&lt;0, "Understock","Okay")</f>
        <v>Okay</v>
      </c>
      <c r="O1167" s="13" t="str">
        <f>IF(Table2[[#This Row],[Stock Gap]]&lt;0, "Yes", "No")</f>
        <v>No</v>
      </c>
      <c r="P1167" s="13" t="str">
        <f>IF(Table2[[#This Row],[CurrentStock]]&lt;Table2[[#This Row],[ReorderLevel]],"Reorder", "Okay")</f>
        <v>Okay</v>
      </c>
      <c r="Q1167" s="13" t="str">
        <f>IF(Table2[[#This Row],[CurrentStock]]&gt;Table2[[#This Row],[ReorderLevel]]*3, "Overstock", "Okay")</f>
        <v>Okay</v>
      </c>
    </row>
    <row r="1168" spans="1:17" x14ac:dyDescent="0.35">
      <c r="A1168">
        <v>84176</v>
      </c>
      <c r="B1168" t="s">
        <v>13</v>
      </c>
      <c r="C1168" t="s">
        <v>26</v>
      </c>
      <c r="D1168">
        <v>224</v>
      </c>
      <c r="E1168">
        <v>100</v>
      </c>
      <c r="F1168" s="2">
        <v>492.55</v>
      </c>
      <c r="G1168" t="s">
        <v>32</v>
      </c>
      <c r="H1168" s="1">
        <v>45467</v>
      </c>
      <c r="I1168" s="1">
        <v>45485</v>
      </c>
      <c r="J1168" t="s">
        <v>37</v>
      </c>
      <c r="K1168" s="8">
        <f>Table2[[#This Row],[CurrentStock]]*Table2[[#This Row],[UnitPrice]]</f>
        <v>110331.2</v>
      </c>
      <c r="L1168" t="str">
        <f>IF(Table2[[#This Row],[CurrentStock]]&lt;=Table2[[#This Row],[ReorderLevel]], "Reorder Needed", "Okay")</f>
        <v>Okay</v>
      </c>
      <c r="M1168" t="str">
        <f>IF(Table2[[#This Row],[CurrentStock]]-Table2[[#This Row],[ReorderLevel]]&lt;0,Table2[[#This Row],[CurrentStock]]-Table2[[#This Row],[ReorderLevel]],"")</f>
        <v/>
      </c>
      <c r="N1168" t="str">
        <f>IF(Table2[[#This Row],[Stock Gap]]&lt;0, "Understock","Okay")</f>
        <v>Okay</v>
      </c>
      <c r="O1168" s="13" t="str">
        <f>IF(Table2[[#This Row],[Stock Gap]]&lt;0, "Yes", "No")</f>
        <v>No</v>
      </c>
      <c r="P1168" s="13" t="str">
        <f>IF(Table2[[#This Row],[CurrentStock]]&lt;Table2[[#This Row],[ReorderLevel]],"Reorder", "Okay")</f>
        <v>Okay</v>
      </c>
      <c r="Q1168" s="13" t="str">
        <f>IF(Table2[[#This Row],[CurrentStock]]&gt;Table2[[#This Row],[ReorderLevel]]*3, "Overstock", "Okay")</f>
        <v>Okay</v>
      </c>
    </row>
    <row r="1169" spans="1:17" x14ac:dyDescent="0.35">
      <c r="A1169">
        <v>57800</v>
      </c>
      <c r="B1169" t="s">
        <v>18</v>
      </c>
      <c r="C1169" t="s">
        <v>27</v>
      </c>
      <c r="D1169">
        <v>242</v>
      </c>
      <c r="E1169">
        <v>150</v>
      </c>
      <c r="F1169" s="2">
        <v>459.42</v>
      </c>
      <c r="G1169" t="s">
        <v>32</v>
      </c>
      <c r="H1169" s="1">
        <v>45347</v>
      </c>
      <c r="I1169" s="1">
        <v>45366</v>
      </c>
      <c r="J1169" t="s">
        <v>37</v>
      </c>
      <c r="K1169" s="8">
        <f>Table2[[#This Row],[CurrentStock]]*Table2[[#This Row],[UnitPrice]]</f>
        <v>111179.64</v>
      </c>
      <c r="L1169" t="str">
        <f>IF(Table2[[#This Row],[CurrentStock]]&lt;=Table2[[#This Row],[ReorderLevel]], "Reorder Needed", "Okay")</f>
        <v>Okay</v>
      </c>
      <c r="M1169" t="str">
        <f>IF(Table2[[#This Row],[CurrentStock]]-Table2[[#This Row],[ReorderLevel]]&lt;0,Table2[[#This Row],[CurrentStock]]-Table2[[#This Row],[ReorderLevel]],"")</f>
        <v/>
      </c>
      <c r="N1169" t="str">
        <f>IF(Table2[[#This Row],[Stock Gap]]&lt;0, "Understock","Okay")</f>
        <v>Okay</v>
      </c>
      <c r="O1169" s="13" t="str">
        <f>IF(Table2[[#This Row],[Stock Gap]]&lt;0, "Yes", "No")</f>
        <v>No</v>
      </c>
      <c r="P1169" s="13" t="str">
        <f>IF(Table2[[#This Row],[CurrentStock]]&lt;Table2[[#This Row],[ReorderLevel]],"Reorder", "Okay")</f>
        <v>Okay</v>
      </c>
      <c r="Q1169" s="13" t="str">
        <f>IF(Table2[[#This Row],[CurrentStock]]&gt;Table2[[#This Row],[ReorderLevel]]*3, "Overstock", "Okay")</f>
        <v>Okay</v>
      </c>
    </row>
    <row r="1170" spans="1:17" x14ac:dyDescent="0.35">
      <c r="A1170">
        <v>61444</v>
      </c>
      <c r="B1170" t="s">
        <v>17</v>
      </c>
      <c r="C1170" t="s">
        <v>27</v>
      </c>
      <c r="D1170">
        <v>214</v>
      </c>
      <c r="E1170">
        <v>80</v>
      </c>
      <c r="F1170" s="2">
        <v>451.24</v>
      </c>
      <c r="G1170" t="s">
        <v>35</v>
      </c>
      <c r="H1170" s="1">
        <v>45473</v>
      </c>
      <c r="I1170" s="1">
        <v>45491</v>
      </c>
      <c r="J1170" t="s">
        <v>37</v>
      </c>
      <c r="K1170" s="8">
        <f>Table2[[#This Row],[CurrentStock]]*Table2[[#This Row],[UnitPrice]]</f>
        <v>96565.36</v>
      </c>
      <c r="L1170" t="str">
        <f>IF(Table2[[#This Row],[CurrentStock]]&lt;=Table2[[#This Row],[ReorderLevel]], "Reorder Needed", "Okay")</f>
        <v>Okay</v>
      </c>
      <c r="M1170" t="str">
        <f>IF(Table2[[#This Row],[CurrentStock]]-Table2[[#This Row],[ReorderLevel]]&lt;0,Table2[[#This Row],[CurrentStock]]-Table2[[#This Row],[ReorderLevel]],"")</f>
        <v/>
      </c>
      <c r="N1170" t="str">
        <f>IF(Table2[[#This Row],[Stock Gap]]&lt;0, "Understock","Okay")</f>
        <v>Okay</v>
      </c>
      <c r="O1170" s="13" t="str">
        <f>IF(Table2[[#This Row],[Stock Gap]]&lt;0, "Yes", "No")</f>
        <v>No</v>
      </c>
      <c r="P1170" s="13" t="str">
        <f>IF(Table2[[#This Row],[CurrentStock]]&lt;Table2[[#This Row],[ReorderLevel]],"Reorder", "Okay")</f>
        <v>Okay</v>
      </c>
      <c r="Q1170" s="13" t="str">
        <f>IF(Table2[[#This Row],[CurrentStock]]&gt;Table2[[#This Row],[ReorderLevel]]*3, "Overstock", "Okay")</f>
        <v>Okay</v>
      </c>
    </row>
    <row r="1171" spans="1:17" x14ac:dyDescent="0.35">
      <c r="A1171">
        <v>40099</v>
      </c>
      <c r="B1171" t="s">
        <v>12</v>
      </c>
      <c r="C1171" t="s">
        <v>28</v>
      </c>
      <c r="D1171">
        <v>335</v>
      </c>
      <c r="E1171">
        <v>40</v>
      </c>
      <c r="F1171" s="2">
        <v>12.56</v>
      </c>
      <c r="G1171" t="s">
        <v>35</v>
      </c>
      <c r="H1171" s="1">
        <v>45591</v>
      </c>
      <c r="I1171" s="1">
        <v>45613</v>
      </c>
      <c r="J1171" t="s">
        <v>37</v>
      </c>
      <c r="K1171" s="8">
        <f>Table2[[#This Row],[CurrentStock]]*Table2[[#This Row],[UnitPrice]]</f>
        <v>4207.6000000000004</v>
      </c>
      <c r="L1171" t="str">
        <f>IF(Table2[[#This Row],[CurrentStock]]&lt;=Table2[[#This Row],[ReorderLevel]], "Reorder Needed", "Okay")</f>
        <v>Okay</v>
      </c>
      <c r="M1171" t="str">
        <f>IF(Table2[[#This Row],[CurrentStock]]-Table2[[#This Row],[ReorderLevel]]&lt;0,Table2[[#This Row],[CurrentStock]]-Table2[[#This Row],[ReorderLevel]],"")</f>
        <v/>
      </c>
      <c r="N1171" t="str">
        <f>IF(Table2[[#This Row],[Stock Gap]]&lt;0, "Understock","Okay")</f>
        <v>Okay</v>
      </c>
      <c r="O1171" s="13" t="str">
        <f>IF(Table2[[#This Row],[Stock Gap]]&lt;0, "Yes", "No")</f>
        <v>No</v>
      </c>
      <c r="P1171" s="13" t="str">
        <f>IF(Table2[[#This Row],[CurrentStock]]&lt;Table2[[#This Row],[ReorderLevel]],"Reorder", "Okay")</f>
        <v>Okay</v>
      </c>
      <c r="Q1171" s="13" t="str">
        <f>IF(Table2[[#This Row],[CurrentStock]]&gt;Table2[[#This Row],[ReorderLevel]]*3, "Overstock", "Okay")</f>
        <v>Overstock</v>
      </c>
    </row>
    <row r="1172" spans="1:17" x14ac:dyDescent="0.35">
      <c r="A1172">
        <v>70204</v>
      </c>
      <c r="B1172" t="s">
        <v>22</v>
      </c>
      <c r="C1172" t="s">
        <v>29</v>
      </c>
      <c r="D1172">
        <v>217</v>
      </c>
      <c r="E1172">
        <v>100</v>
      </c>
      <c r="F1172" s="2">
        <v>326.8</v>
      </c>
      <c r="G1172" t="s">
        <v>35</v>
      </c>
      <c r="H1172" s="1">
        <v>45594</v>
      </c>
      <c r="I1172" s="1">
        <v>45627</v>
      </c>
      <c r="J1172" t="s">
        <v>36</v>
      </c>
      <c r="K1172" s="8">
        <f>Table2[[#This Row],[CurrentStock]]*Table2[[#This Row],[UnitPrice]]</f>
        <v>70915.600000000006</v>
      </c>
      <c r="L1172" t="str">
        <f>IF(Table2[[#This Row],[CurrentStock]]&lt;=Table2[[#This Row],[ReorderLevel]], "Reorder Needed", "Okay")</f>
        <v>Okay</v>
      </c>
      <c r="M1172" t="str">
        <f>IF(Table2[[#This Row],[CurrentStock]]-Table2[[#This Row],[ReorderLevel]]&lt;0,Table2[[#This Row],[CurrentStock]]-Table2[[#This Row],[ReorderLevel]],"")</f>
        <v/>
      </c>
      <c r="N1172" t="str">
        <f>IF(Table2[[#This Row],[Stock Gap]]&lt;0, "Understock","Okay")</f>
        <v>Okay</v>
      </c>
      <c r="O1172" s="13" t="str">
        <f>IF(Table2[[#This Row],[Stock Gap]]&lt;0, "Yes", "No")</f>
        <v>No</v>
      </c>
      <c r="P1172" s="13" t="str">
        <f>IF(Table2[[#This Row],[CurrentStock]]&lt;Table2[[#This Row],[ReorderLevel]],"Reorder", "Okay")</f>
        <v>Okay</v>
      </c>
      <c r="Q1172" s="13" t="str">
        <f>IF(Table2[[#This Row],[CurrentStock]]&gt;Table2[[#This Row],[ReorderLevel]]*3, "Overstock", "Okay")</f>
        <v>Okay</v>
      </c>
    </row>
    <row r="1173" spans="1:17" x14ac:dyDescent="0.35">
      <c r="A1173">
        <v>90249</v>
      </c>
      <c r="B1173" t="s">
        <v>9</v>
      </c>
      <c r="C1173" t="s">
        <v>26</v>
      </c>
      <c r="D1173">
        <v>346</v>
      </c>
      <c r="E1173">
        <v>50</v>
      </c>
      <c r="F1173" s="2">
        <v>72.680000000000007</v>
      </c>
      <c r="G1173" t="s">
        <v>33</v>
      </c>
      <c r="H1173" s="1">
        <v>45491</v>
      </c>
      <c r="I1173" s="1">
        <v>45509</v>
      </c>
      <c r="J1173" t="s">
        <v>36</v>
      </c>
      <c r="K1173" s="8">
        <f>Table2[[#This Row],[CurrentStock]]*Table2[[#This Row],[UnitPrice]]</f>
        <v>25147.280000000002</v>
      </c>
      <c r="L1173" t="str">
        <f>IF(Table2[[#This Row],[CurrentStock]]&lt;=Table2[[#This Row],[ReorderLevel]], "Reorder Needed", "Okay")</f>
        <v>Okay</v>
      </c>
      <c r="M1173" t="str">
        <f>IF(Table2[[#This Row],[CurrentStock]]-Table2[[#This Row],[ReorderLevel]]&lt;0,Table2[[#This Row],[CurrentStock]]-Table2[[#This Row],[ReorderLevel]],"")</f>
        <v/>
      </c>
      <c r="N1173" t="str">
        <f>IF(Table2[[#This Row],[Stock Gap]]&lt;0, "Understock","Okay")</f>
        <v>Okay</v>
      </c>
      <c r="O1173" s="13" t="str">
        <f>IF(Table2[[#This Row],[Stock Gap]]&lt;0, "Yes", "No")</f>
        <v>No</v>
      </c>
      <c r="P1173" s="13" t="str">
        <f>IF(Table2[[#This Row],[CurrentStock]]&lt;Table2[[#This Row],[ReorderLevel]],"Reorder", "Okay")</f>
        <v>Okay</v>
      </c>
      <c r="Q1173" s="13" t="str">
        <f>IF(Table2[[#This Row],[CurrentStock]]&gt;Table2[[#This Row],[ReorderLevel]]*3, "Overstock", "Okay")</f>
        <v>Overstock</v>
      </c>
    </row>
    <row r="1174" spans="1:17" x14ac:dyDescent="0.35">
      <c r="A1174">
        <v>16487</v>
      </c>
      <c r="B1174" t="s">
        <v>17</v>
      </c>
      <c r="C1174" t="s">
        <v>27</v>
      </c>
      <c r="D1174">
        <v>476</v>
      </c>
      <c r="E1174">
        <v>100</v>
      </c>
      <c r="F1174" s="2">
        <v>96.99</v>
      </c>
      <c r="G1174" t="s">
        <v>35</v>
      </c>
      <c r="H1174" s="1">
        <v>45535</v>
      </c>
      <c r="I1174" s="1">
        <v>45573</v>
      </c>
      <c r="J1174" t="s">
        <v>36</v>
      </c>
      <c r="K1174" s="8">
        <f>Table2[[#This Row],[CurrentStock]]*Table2[[#This Row],[UnitPrice]]</f>
        <v>46167.24</v>
      </c>
      <c r="L1174" t="str">
        <f>IF(Table2[[#This Row],[CurrentStock]]&lt;=Table2[[#This Row],[ReorderLevel]], "Reorder Needed", "Okay")</f>
        <v>Okay</v>
      </c>
      <c r="M1174" t="str">
        <f>IF(Table2[[#This Row],[CurrentStock]]-Table2[[#This Row],[ReorderLevel]]&lt;0,Table2[[#This Row],[CurrentStock]]-Table2[[#This Row],[ReorderLevel]],"")</f>
        <v/>
      </c>
      <c r="N1174" t="str">
        <f>IF(Table2[[#This Row],[Stock Gap]]&lt;0, "Understock","Okay")</f>
        <v>Okay</v>
      </c>
      <c r="O1174" s="13" t="str">
        <f>IF(Table2[[#This Row],[Stock Gap]]&lt;0, "Yes", "No")</f>
        <v>No</v>
      </c>
      <c r="P1174" s="13" t="str">
        <f>IF(Table2[[#This Row],[CurrentStock]]&lt;Table2[[#This Row],[ReorderLevel]],"Reorder", "Okay")</f>
        <v>Okay</v>
      </c>
      <c r="Q1174" s="13" t="str">
        <f>IF(Table2[[#This Row],[CurrentStock]]&gt;Table2[[#This Row],[ReorderLevel]]*3, "Overstock", "Okay")</f>
        <v>Overstock</v>
      </c>
    </row>
    <row r="1175" spans="1:17" x14ac:dyDescent="0.35">
      <c r="A1175">
        <v>13017</v>
      </c>
      <c r="B1175" t="s">
        <v>17</v>
      </c>
      <c r="C1175" t="s">
        <v>27</v>
      </c>
      <c r="D1175">
        <v>258</v>
      </c>
      <c r="E1175">
        <v>50</v>
      </c>
      <c r="F1175" s="2">
        <v>279.29000000000002</v>
      </c>
      <c r="G1175" t="s">
        <v>35</v>
      </c>
      <c r="H1175" s="1">
        <v>45386</v>
      </c>
      <c r="I1175" s="1">
        <v>45406</v>
      </c>
      <c r="J1175" t="s">
        <v>37</v>
      </c>
      <c r="K1175" s="8">
        <f>Table2[[#This Row],[CurrentStock]]*Table2[[#This Row],[UnitPrice]]</f>
        <v>72056.820000000007</v>
      </c>
      <c r="L1175" t="str">
        <f>IF(Table2[[#This Row],[CurrentStock]]&lt;=Table2[[#This Row],[ReorderLevel]], "Reorder Needed", "Okay")</f>
        <v>Okay</v>
      </c>
      <c r="M1175" t="str">
        <f>IF(Table2[[#This Row],[CurrentStock]]-Table2[[#This Row],[ReorderLevel]]&lt;0,Table2[[#This Row],[CurrentStock]]-Table2[[#This Row],[ReorderLevel]],"")</f>
        <v/>
      </c>
      <c r="N1175" t="str">
        <f>IF(Table2[[#This Row],[Stock Gap]]&lt;0, "Understock","Okay")</f>
        <v>Okay</v>
      </c>
      <c r="O1175" s="13" t="str">
        <f>IF(Table2[[#This Row],[Stock Gap]]&lt;0, "Yes", "No")</f>
        <v>No</v>
      </c>
      <c r="P1175" s="13" t="str">
        <f>IF(Table2[[#This Row],[CurrentStock]]&lt;Table2[[#This Row],[ReorderLevel]],"Reorder", "Okay")</f>
        <v>Okay</v>
      </c>
      <c r="Q1175" s="13" t="str">
        <f>IF(Table2[[#This Row],[CurrentStock]]&gt;Table2[[#This Row],[ReorderLevel]]*3, "Overstock", "Okay")</f>
        <v>Overstock</v>
      </c>
    </row>
    <row r="1176" spans="1:17" x14ac:dyDescent="0.35">
      <c r="A1176">
        <v>51300</v>
      </c>
      <c r="B1176" t="s">
        <v>14</v>
      </c>
      <c r="C1176" t="s">
        <v>28</v>
      </c>
      <c r="D1176">
        <v>412</v>
      </c>
      <c r="E1176">
        <v>20</v>
      </c>
      <c r="F1176" s="2">
        <v>300.11</v>
      </c>
      <c r="G1176" t="s">
        <v>31</v>
      </c>
      <c r="H1176" s="1">
        <v>45416</v>
      </c>
      <c r="I1176" s="1">
        <v>45437</v>
      </c>
      <c r="J1176" t="s">
        <v>38</v>
      </c>
      <c r="K1176" s="8">
        <f>Table2[[#This Row],[CurrentStock]]*Table2[[#This Row],[UnitPrice]]</f>
        <v>123645.32</v>
      </c>
      <c r="L1176" t="str">
        <f>IF(Table2[[#This Row],[CurrentStock]]&lt;=Table2[[#This Row],[ReorderLevel]], "Reorder Needed", "Okay")</f>
        <v>Okay</v>
      </c>
      <c r="M1176" t="str">
        <f>IF(Table2[[#This Row],[CurrentStock]]-Table2[[#This Row],[ReorderLevel]]&lt;0,Table2[[#This Row],[CurrentStock]]-Table2[[#This Row],[ReorderLevel]],"")</f>
        <v/>
      </c>
      <c r="N1176" t="str">
        <f>IF(Table2[[#This Row],[Stock Gap]]&lt;0, "Understock","Okay")</f>
        <v>Okay</v>
      </c>
      <c r="O1176" s="13" t="str">
        <f>IF(Table2[[#This Row],[Stock Gap]]&lt;0, "Yes", "No")</f>
        <v>No</v>
      </c>
      <c r="P1176" s="13" t="str">
        <f>IF(Table2[[#This Row],[CurrentStock]]&lt;Table2[[#This Row],[ReorderLevel]],"Reorder", "Okay")</f>
        <v>Okay</v>
      </c>
      <c r="Q1176" s="13" t="str">
        <f>IF(Table2[[#This Row],[CurrentStock]]&gt;Table2[[#This Row],[ReorderLevel]]*3, "Overstock", "Okay")</f>
        <v>Overstock</v>
      </c>
    </row>
    <row r="1177" spans="1:17" x14ac:dyDescent="0.35">
      <c r="A1177">
        <v>98913</v>
      </c>
      <c r="B1177" t="s">
        <v>12</v>
      </c>
      <c r="C1177" t="s">
        <v>28</v>
      </c>
      <c r="D1177">
        <v>169</v>
      </c>
      <c r="E1177">
        <v>150</v>
      </c>
      <c r="F1177" s="2">
        <v>163.06</v>
      </c>
      <c r="G1177" t="s">
        <v>31</v>
      </c>
      <c r="H1177" s="1">
        <v>45339</v>
      </c>
      <c r="I1177" s="1">
        <v>45364</v>
      </c>
      <c r="J1177" t="s">
        <v>37</v>
      </c>
      <c r="K1177" s="8">
        <f>Table2[[#This Row],[CurrentStock]]*Table2[[#This Row],[UnitPrice]]</f>
        <v>27557.14</v>
      </c>
      <c r="L1177" t="str">
        <f>IF(Table2[[#This Row],[CurrentStock]]&lt;=Table2[[#This Row],[ReorderLevel]], "Reorder Needed", "Okay")</f>
        <v>Okay</v>
      </c>
      <c r="M1177" t="str">
        <f>IF(Table2[[#This Row],[CurrentStock]]-Table2[[#This Row],[ReorderLevel]]&lt;0,Table2[[#This Row],[CurrentStock]]-Table2[[#This Row],[ReorderLevel]],"")</f>
        <v/>
      </c>
      <c r="N1177" t="str">
        <f>IF(Table2[[#This Row],[Stock Gap]]&lt;0, "Understock","Okay")</f>
        <v>Okay</v>
      </c>
      <c r="O1177" s="13" t="str">
        <f>IF(Table2[[#This Row],[Stock Gap]]&lt;0, "Yes", "No")</f>
        <v>No</v>
      </c>
      <c r="P1177" s="13" t="str">
        <f>IF(Table2[[#This Row],[CurrentStock]]&lt;Table2[[#This Row],[ReorderLevel]],"Reorder", "Okay")</f>
        <v>Okay</v>
      </c>
      <c r="Q1177" s="13" t="str">
        <f>IF(Table2[[#This Row],[CurrentStock]]&gt;Table2[[#This Row],[ReorderLevel]]*3, "Overstock", "Okay")</f>
        <v>Okay</v>
      </c>
    </row>
    <row r="1178" spans="1:17" x14ac:dyDescent="0.35">
      <c r="A1178">
        <v>27862</v>
      </c>
      <c r="B1178" t="s">
        <v>25</v>
      </c>
      <c r="C1178" t="s">
        <v>29</v>
      </c>
      <c r="D1178">
        <v>178</v>
      </c>
      <c r="E1178">
        <v>50</v>
      </c>
      <c r="F1178" s="2">
        <v>215.07</v>
      </c>
      <c r="G1178" t="s">
        <v>32</v>
      </c>
      <c r="H1178" s="1">
        <v>45328</v>
      </c>
      <c r="I1178" s="1">
        <v>45338</v>
      </c>
      <c r="J1178" t="s">
        <v>38</v>
      </c>
      <c r="K1178" s="8">
        <f>Table2[[#This Row],[CurrentStock]]*Table2[[#This Row],[UnitPrice]]</f>
        <v>38282.46</v>
      </c>
      <c r="L1178" t="str">
        <f>IF(Table2[[#This Row],[CurrentStock]]&lt;=Table2[[#This Row],[ReorderLevel]], "Reorder Needed", "Okay")</f>
        <v>Okay</v>
      </c>
      <c r="M1178" t="str">
        <f>IF(Table2[[#This Row],[CurrentStock]]-Table2[[#This Row],[ReorderLevel]]&lt;0,Table2[[#This Row],[CurrentStock]]-Table2[[#This Row],[ReorderLevel]],"")</f>
        <v/>
      </c>
      <c r="N1178" t="str">
        <f>IF(Table2[[#This Row],[Stock Gap]]&lt;0, "Understock","Okay")</f>
        <v>Okay</v>
      </c>
      <c r="O1178" s="13" t="str">
        <f>IF(Table2[[#This Row],[Stock Gap]]&lt;0, "Yes", "No")</f>
        <v>No</v>
      </c>
      <c r="P1178" s="13" t="str">
        <f>IF(Table2[[#This Row],[CurrentStock]]&lt;Table2[[#This Row],[ReorderLevel]],"Reorder", "Okay")</f>
        <v>Okay</v>
      </c>
      <c r="Q1178" s="13" t="str">
        <f>IF(Table2[[#This Row],[CurrentStock]]&gt;Table2[[#This Row],[ReorderLevel]]*3, "Overstock", "Okay")</f>
        <v>Overstock</v>
      </c>
    </row>
    <row r="1179" spans="1:17" x14ac:dyDescent="0.35">
      <c r="A1179">
        <v>16050</v>
      </c>
      <c r="B1179" t="s">
        <v>18</v>
      </c>
      <c r="C1179" t="s">
        <v>27</v>
      </c>
      <c r="D1179">
        <v>3</v>
      </c>
      <c r="E1179">
        <v>80</v>
      </c>
      <c r="F1179" s="2">
        <v>341.62</v>
      </c>
      <c r="G1179" t="s">
        <v>34</v>
      </c>
      <c r="H1179" s="1">
        <v>45316</v>
      </c>
      <c r="I1179" s="1">
        <v>45335</v>
      </c>
      <c r="J1179" t="s">
        <v>37</v>
      </c>
      <c r="K1179" s="8">
        <f>Table2[[#This Row],[CurrentStock]]*Table2[[#This Row],[UnitPrice]]</f>
        <v>1024.8600000000001</v>
      </c>
      <c r="L1179" t="str">
        <f>IF(Table2[[#This Row],[CurrentStock]]&lt;=Table2[[#This Row],[ReorderLevel]], "Reorder Needed", "Okay")</f>
        <v>Reorder Needed</v>
      </c>
      <c r="M1179" s="7">
        <f>IF(Table2[[#This Row],[CurrentStock]]-Table2[[#This Row],[ReorderLevel]]&lt;0,Table2[[#This Row],[CurrentStock]]-Table2[[#This Row],[ReorderLevel]],"")</f>
        <v>-77</v>
      </c>
      <c r="N1179" t="str">
        <f>IF(Table2[[#This Row],[Stock Gap]]&lt;0, "Understock","Okay")</f>
        <v>Understock</v>
      </c>
      <c r="O1179" s="13" t="str">
        <f>IF(Table2[[#This Row],[Stock Gap]]&lt;0, "Yes", "No")</f>
        <v>Yes</v>
      </c>
      <c r="P1179" s="13" t="str">
        <f>IF(Table2[[#This Row],[CurrentStock]]&lt;Table2[[#This Row],[ReorderLevel]],"Reorder", "Okay")</f>
        <v>Reorder</v>
      </c>
      <c r="Q1179" s="13" t="str">
        <f>IF(Table2[[#This Row],[CurrentStock]]&gt;Table2[[#This Row],[ReorderLevel]]*3, "Overstock", "Okay")</f>
        <v>Okay</v>
      </c>
    </row>
    <row r="1180" spans="1:17" x14ac:dyDescent="0.35">
      <c r="A1180">
        <v>97363</v>
      </c>
      <c r="B1180" t="s">
        <v>17</v>
      </c>
      <c r="C1180" t="s">
        <v>27</v>
      </c>
      <c r="D1180">
        <v>184</v>
      </c>
      <c r="E1180">
        <v>30</v>
      </c>
      <c r="F1180" s="2">
        <v>165.33</v>
      </c>
      <c r="G1180" t="s">
        <v>35</v>
      </c>
      <c r="H1180" s="1">
        <v>45608</v>
      </c>
      <c r="I1180" s="1">
        <v>45626</v>
      </c>
      <c r="J1180" t="s">
        <v>38</v>
      </c>
      <c r="K1180" s="8">
        <f>Table2[[#This Row],[CurrentStock]]*Table2[[#This Row],[UnitPrice]]</f>
        <v>30420.720000000001</v>
      </c>
      <c r="L1180" t="str">
        <f>IF(Table2[[#This Row],[CurrentStock]]&lt;=Table2[[#This Row],[ReorderLevel]], "Reorder Needed", "Okay")</f>
        <v>Okay</v>
      </c>
      <c r="M1180" t="str">
        <f>IF(Table2[[#This Row],[CurrentStock]]-Table2[[#This Row],[ReorderLevel]]&lt;0,Table2[[#This Row],[CurrentStock]]-Table2[[#This Row],[ReorderLevel]],"")</f>
        <v/>
      </c>
      <c r="N1180" t="str">
        <f>IF(Table2[[#This Row],[Stock Gap]]&lt;0, "Understock","Okay")</f>
        <v>Okay</v>
      </c>
      <c r="O1180" s="13" t="str">
        <f>IF(Table2[[#This Row],[Stock Gap]]&lt;0, "Yes", "No")</f>
        <v>No</v>
      </c>
      <c r="P1180" s="13" t="str">
        <f>IF(Table2[[#This Row],[CurrentStock]]&lt;Table2[[#This Row],[ReorderLevel]],"Reorder", "Okay")</f>
        <v>Okay</v>
      </c>
      <c r="Q1180" s="13" t="str">
        <f>IF(Table2[[#This Row],[CurrentStock]]&gt;Table2[[#This Row],[ReorderLevel]]*3, "Overstock", "Okay")</f>
        <v>Overstock</v>
      </c>
    </row>
    <row r="1181" spans="1:17" x14ac:dyDescent="0.35">
      <c r="A1181">
        <v>37370</v>
      </c>
      <c r="B1181" t="s">
        <v>9</v>
      </c>
      <c r="C1181" t="s">
        <v>26</v>
      </c>
      <c r="D1181">
        <v>407</v>
      </c>
      <c r="E1181">
        <v>50</v>
      </c>
      <c r="F1181" s="2">
        <v>338.73</v>
      </c>
      <c r="G1181" t="s">
        <v>33</v>
      </c>
      <c r="H1181" s="1">
        <v>45577</v>
      </c>
      <c r="I1181" s="1">
        <v>45605</v>
      </c>
      <c r="J1181" t="s">
        <v>38</v>
      </c>
      <c r="K1181" s="8">
        <f>Table2[[#This Row],[CurrentStock]]*Table2[[#This Row],[UnitPrice]]</f>
        <v>137863.11000000002</v>
      </c>
      <c r="L1181" t="str">
        <f>IF(Table2[[#This Row],[CurrentStock]]&lt;=Table2[[#This Row],[ReorderLevel]], "Reorder Needed", "Okay")</f>
        <v>Okay</v>
      </c>
      <c r="M1181" t="str">
        <f>IF(Table2[[#This Row],[CurrentStock]]-Table2[[#This Row],[ReorderLevel]]&lt;0,Table2[[#This Row],[CurrentStock]]-Table2[[#This Row],[ReorderLevel]],"")</f>
        <v/>
      </c>
      <c r="N1181" t="str">
        <f>IF(Table2[[#This Row],[Stock Gap]]&lt;0, "Understock","Okay")</f>
        <v>Okay</v>
      </c>
      <c r="O1181" s="13" t="str">
        <f>IF(Table2[[#This Row],[Stock Gap]]&lt;0, "Yes", "No")</f>
        <v>No</v>
      </c>
      <c r="P1181" s="13" t="str">
        <f>IF(Table2[[#This Row],[CurrentStock]]&lt;Table2[[#This Row],[ReorderLevel]],"Reorder", "Okay")</f>
        <v>Okay</v>
      </c>
      <c r="Q1181" s="13" t="str">
        <f>IF(Table2[[#This Row],[CurrentStock]]&gt;Table2[[#This Row],[ReorderLevel]]*3, "Overstock", "Okay")</f>
        <v>Overstock</v>
      </c>
    </row>
    <row r="1182" spans="1:17" x14ac:dyDescent="0.35">
      <c r="A1182">
        <v>13932</v>
      </c>
      <c r="B1182" t="s">
        <v>21</v>
      </c>
      <c r="C1182" t="s">
        <v>26</v>
      </c>
      <c r="D1182">
        <v>429</v>
      </c>
      <c r="E1182">
        <v>150</v>
      </c>
      <c r="F1182" s="2">
        <v>197.12</v>
      </c>
      <c r="G1182" t="s">
        <v>35</v>
      </c>
      <c r="H1182" s="1">
        <v>45531</v>
      </c>
      <c r="I1182" s="1">
        <v>45550</v>
      </c>
      <c r="J1182" t="s">
        <v>37</v>
      </c>
      <c r="K1182" s="8">
        <f>Table2[[#This Row],[CurrentStock]]*Table2[[#This Row],[UnitPrice]]</f>
        <v>84564.479999999996</v>
      </c>
      <c r="L1182" t="str">
        <f>IF(Table2[[#This Row],[CurrentStock]]&lt;=Table2[[#This Row],[ReorderLevel]], "Reorder Needed", "Okay")</f>
        <v>Okay</v>
      </c>
      <c r="M1182" t="str">
        <f>IF(Table2[[#This Row],[CurrentStock]]-Table2[[#This Row],[ReorderLevel]]&lt;0,Table2[[#This Row],[CurrentStock]]-Table2[[#This Row],[ReorderLevel]],"")</f>
        <v/>
      </c>
      <c r="N1182" t="str">
        <f>IF(Table2[[#This Row],[Stock Gap]]&lt;0, "Understock","Okay")</f>
        <v>Okay</v>
      </c>
      <c r="O1182" s="13" t="str">
        <f>IF(Table2[[#This Row],[Stock Gap]]&lt;0, "Yes", "No")</f>
        <v>No</v>
      </c>
      <c r="P1182" s="13" t="str">
        <f>IF(Table2[[#This Row],[CurrentStock]]&lt;Table2[[#This Row],[ReorderLevel]],"Reorder", "Okay")</f>
        <v>Okay</v>
      </c>
      <c r="Q1182" s="13" t="str">
        <f>IF(Table2[[#This Row],[CurrentStock]]&gt;Table2[[#This Row],[ReorderLevel]]*3, "Overstock", "Okay")</f>
        <v>Okay</v>
      </c>
    </row>
    <row r="1183" spans="1:17" x14ac:dyDescent="0.35">
      <c r="A1183">
        <v>23782</v>
      </c>
      <c r="B1183" t="s">
        <v>17</v>
      </c>
      <c r="C1183" t="s">
        <v>27</v>
      </c>
      <c r="D1183">
        <v>270</v>
      </c>
      <c r="E1183">
        <v>100</v>
      </c>
      <c r="F1183" s="2">
        <v>496.45</v>
      </c>
      <c r="G1183" t="s">
        <v>35</v>
      </c>
      <c r="H1183" s="1">
        <v>45306</v>
      </c>
      <c r="I1183" s="1">
        <v>45314</v>
      </c>
      <c r="J1183" t="s">
        <v>36</v>
      </c>
      <c r="K1183" s="8">
        <f>Table2[[#This Row],[CurrentStock]]*Table2[[#This Row],[UnitPrice]]</f>
        <v>134041.5</v>
      </c>
      <c r="L1183" t="str">
        <f>IF(Table2[[#This Row],[CurrentStock]]&lt;=Table2[[#This Row],[ReorderLevel]], "Reorder Needed", "Okay")</f>
        <v>Okay</v>
      </c>
      <c r="M1183" t="str">
        <f>IF(Table2[[#This Row],[CurrentStock]]-Table2[[#This Row],[ReorderLevel]]&lt;0,Table2[[#This Row],[CurrentStock]]-Table2[[#This Row],[ReorderLevel]],"")</f>
        <v/>
      </c>
      <c r="N1183" t="str">
        <f>IF(Table2[[#This Row],[Stock Gap]]&lt;0, "Understock","Okay")</f>
        <v>Okay</v>
      </c>
      <c r="O1183" s="13" t="str">
        <f>IF(Table2[[#This Row],[Stock Gap]]&lt;0, "Yes", "No")</f>
        <v>No</v>
      </c>
      <c r="P1183" s="13" t="str">
        <f>IF(Table2[[#This Row],[CurrentStock]]&lt;Table2[[#This Row],[ReorderLevel]],"Reorder", "Okay")</f>
        <v>Okay</v>
      </c>
      <c r="Q1183" s="13" t="str">
        <f>IF(Table2[[#This Row],[CurrentStock]]&gt;Table2[[#This Row],[ReorderLevel]]*3, "Overstock", "Okay")</f>
        <v>Okay</v>
      </c>
    </row>
    <row r="1184" spans="1:17" x14ac:dyDescent="0.35">
      <c r="A1184">
        <v>16057</v>
      </c>
      <c r="B1184" t="s">
        <v>16</v>
      </c>
      <c r="C1184" t="s">
        <v>29</v>
      </c>
      <c r="D1184">
        <v>318</v>
      </c>
      <c r="E1184">
        <v>20</v>
      </c>
      <c r="F1184" s="2">
        <v>329.79</v>
      </c>
      <c r="G1184" t="s">
        <v>33</v>
      </c>
      <c r="H1184" s="1">
        <v>45411</v>
      </c>
      <c r="I1184" s="1">
        <v>45422</v>
      </c>
      <c r="J1184" t="s">
        <v>36</v>
      </c>
      <c r="K1184" s="8">
        <f>Table2[[#This Row],[CurrentStock]]*Table2[[#This Row],[UnitPrice]]</f>
        <v>104873.22</v>
      </c>
      <c r="L1184" t="str">
        <f>IF(Table2[[#This Row],[CurrentStock]]&lt;=Table2[[#This Row],[ReorderLevel]], "Reorder Needed", "Okay")</f>
        <v>Okay</v>
      </c>
      <c r="M1184" t="str">
        <f>IF(Table2[[#This Row],[CurrentStock]]-Table2[[#This Row],[ReorderLevel]]&lt;0,Table2[[#This Row],[CurrentStock]]-Table2[[#This Row],[ReorderLevel]],"")</f>
        <v/>
      </c>
      <c r="N1184" t="str">
        <f>IF(Table2[[#This Row],[Stock Gap]]&lt;0, "Understock","Okay")</f>
        <v>Okay</v>
      </c>
      <c r="O1184" s="13" t="str">
        <f>IF(Table2[[#This Row],[Stock Gap]]&lt;0, "Yes", "No")</f>
        <v>No</v>
      </c>
      <c r="P1184" s="13" t="str">
        <f>IF(Table2[[#This Row],[CurrentStock]]&lt;Table2[[#This Row],[ReorderLevel]],"Reorder", "Okay")</f>
        <v>Okay</v>
      </c>
      <c r="Q1184" s="13" t="str">
        <f>IF(Table2[[#This Row],[CurrentStock]]&gt;Table2[[#This Row],[ReorderLevel]]*3, "Overstock", "Okay")</f>
        <v>Overstock</v>
      </c>
    </row>
    <row r="1185" spans="1:17" x14ac:dyDescent="0.35">
      <c r="A1185">
        <v>17043</v>
      </c>
      <c r="B1185" t="s">
        <v>15</v>
      </c>
      <c r="C1185" t="s">
        <v>29</v>
      </c>
      <c r="D1185">
        <v>254</v>
      </c>
      <c r="E1185">
        <v>20</v>
      </c>
      <c r="F1185" s="2">
        <v>476.56</v>
      </c>
      <c r="G1185" t="s">
        <v>32</v>
      </c>
      <c r="H1185" s="1">
        <v>45332</v>
      </c>
      <c r="I1185" s="1">
        <v>45366</v>
      </c>
      <c r="J1185" t="s">
        <v>38</v>
      </c>
      <c r="K1185" s="8">
        <f>Table2[[#This Row],[CurrentStock]]*Table2[[#This Row],[UnitPrice]]</f>
        <v>121046.24</v>
      </c>
      <c r="L1185" t="str">
        <f>IF(Table2[[#This Row],[CurrentStock]]&lt;=Table2[[#This Row],[ReorderLevel]], "Reorder Needed", "Okay")</f>
        <v>Okay</v>
      </c>
      <c r="M1185" t="str">
        <f>IF(Table2[[#This Row],[CurrentStock]]-Table2[[#This Row],[ReorderLevel]]&lt;0,Table2[[#This Row],[CurrentStock]]-Table2[[#This Row],[ReorderLevel]],"")</f>
        <v/>
      </c>
      <c r="N1185" t="str">
        <f>IF(Table2[[#This Row],[Stock Gap]]&lt;0, "Understock","Okay")</f>
        <v>Okay</v>
      </c>
      <c r="O1185" s="13" t="str">
        <f>IF(Table2[[#This Row],[Stock Gap]]&lt;0, "Yes", "No")</f>
        <v>No</v>
      </c>
      <c r="P1185" s="13" t="str">
        <f>IF(Table2[[#This Row],[CurrentStock]]&lt;Table2[[#This Row],[ReorderLevel]],"Reorder", "Okay")</f>
        <v>Okay</v>
      </c>
      <c r="Q1185" s="13" t="str">
        <f>IF(Table2[[#This Row],[CurrentStock]]&gt;Table2[[#This Row],[ReorderLevel]]*3, "Overstock", "Okay")</f>
        <v>Overstock</v>
      </c>
    </row>
    <row r="1186" spans="1:17" x14ac:dyDescent="0.35">
      <c r="A1186">
        <v>79000</v>
      </c>
      <c r="B1186" t="s">
        <v>14</v>
      </c>
      <c r="C1186" t="s">
        <v>28</v>
      </c>
      <c r="D1186">
        <v>148</v>
      </c>
      <c r="E1186">
        <v>100</v>
      </c>
      <c r="F1186" s="2">
        <v>340.42</v>
      </c>
      <c r="G1186" t="s">
        <v>33</v>
      </c>
      <c r="H1186" s="1">
        <v>45629</v>
      </c>
      <c r="I1186" s="1">
        <v>45638</v>
      </c>
      <c r="J1186" t="s">
        <v>38</v>
      </c>
      <c r="K1186" s="8">
        <f>Table2[[#This Row],[CurrentStock]]*Table2[[#This Row],[UnitPrice]]</f>
        <v>50382.16</v>
      </c>
      <c r="L1186" t="str">
        <f>IF(Table2[[#This Row],[CurrentStock]]&lt;=Table2[[#This Row],[ReorderLevel]], "Reorder Needed", "Okay")</f>
        <v>Okay</v>
      </c>
      <c r="M1186" t="str">
        <f>IF(Table2[[#This Row],[CurrentStock]]-Table2[[#This Row],[ReorderLevel]]&lt;0,Table2[[#This Row],[CurrentStock]]-Table2[[#This Row],[ReorderLevel]],"")</f>
        <v/>
      </c>
      <c r="N1186" t="str">
        <f>IF(Table2[[#This Row],[Stock Gap]]&lt;0, "Understock","Okay")</f>
        <v>Okay</v>
      </c>
      <c r="O1186" s="13" t="str">
        <f>IF(Table2[[#This Row],[Stock Gap]]&lt;0, "Yes", "No")</f>
        <v>No</v>
      </c>
      <c r="P1186" s="13" t="str">
        <f>IF(Table2[[#This Row],[CurrentStock]]&lt;Table2[[#This Row],[ReorderLevel]],"Reorder", "Okay")</f>
        <v>Okay</v>
      </c>
      <c r="Q1186" s="13" t="str">
        <f>IF(Table2[[#This Row],[CurrentStock]]&gt;Table2[[#This Row],[ReorderLevel]]*3, "Overstock", "Okay")</f>
        <v>Okay</v>
      </c>
    </row>
    <row r="1187" spans="1:17" x14ac:dyDescent="0.35">
      <c r="A1187">
        <v>85838</v>
      </c>
      <c r="B1187" t="s">
        <v>24</v>
      </c>
      <c r="C1187" t="s">
        <v>30</v>
      </c>
      <c r="D1187">
        <v>130</v>
      </c>
      <c r="E1187">
        <v>20</v>
      </c>
      <c r="F1187" s="2">
        <v>57.43</v>
      </c>
      <c r="G1187" t="s">
        <v>32</v>
      </c>
      <c r="H1187" s="1">
        <v>45340</v>
      </c>
      <c r="I1187" s="1">
        <v>45361</v>
      </c>
      <c r="J1187" t="s">
        <v>36</v>
      </c>
      <c r="K1187" s="8">
        <f>Table2[[#This Row],[CurrentStock]]*Table2[[#This Row],[UnitPrice]]</f>
        <v>7465.9</v>
      </c>
      <c r="L1187" t="str">
        <f>IF(Table2[[#This Row],[CurrentStock]]&lt;=Table2[[#This Row],[ReorderLevel]], "Reorder Needed", "Okay")</f>
        <v>Okay</v>
      </c>
      <c r="M1187" t="str">
        <f>IF(Table2[[#This Row],[CurrentStock]]-Table2[[#This Row],[ReorderLevel]]&lt;0,Table2[[#This Row],[CurrentStock]]-Table2[[#This Row],[ReorderLevel]],"")</f>
        <v/>
      </c>
      <c r="N1187" t="str">
        <f>IF(Table2[[#This Row],[Stock Gap]]&lt;0, "Understock","Okay")</f>
        <v>Okay</v>
      </c>
      <c r="O1187" s="13" t="str">
        <f>IF(Table2[[#This Row],[Stock Gap]]&lt;0, "Yes", "No")</f>
        <v>No</v>
      </c>
      <c r="P1187" s="13" t="str">
        <f>IF(Table2[[#This Row],[CurrentStock]]&lt;Table2[[#This Row],[ReorderLevel]],"Reorder", "Okay")</f>
        <v>Okay</v>
      </c>
      <c r="Q1187" s="13" t="str">
        <f>IF(Table2[[#This Row],[CurrentStock]]&gt;Table2[[#This Row],[ReorderLevel]]*3, "Overstock", "Okay")</f>
        <v>Overstock</v>
      </c>
    </row>
    <row r="1188" spans="1:17" x14ac:dyDescent="0.35">
      <c r="A1188">
        <v>42599</v>
      </c>
      <c r="B1188" t="s">
        <v>17</v>
      </c>
      <c r="C1188" t="s">
        <v>27</v>
      </c>
      <c r="D1188">
        <v>14</v>
      </c>
      <c r="E1188">
        <v>150</v>
      </c>
      <c r="F1188" s="2">
        <v>158.29</v>
      </c>
      <c r="G1188" t="s">
        <v>35</v>
      </c>
      <c r="H1188" s="1">
        <v>45550</v>
      </c>
      <c r="I1188" s="1">
        <v>45558</v>
      </c>
      <c r="J1188" t="s">
        <v>37</v>
      </c>
      <c r="K1188" s="8">
        <f>Table2[[#This Row],[CurrentStock]]*Table2[[#This Row],[UnitPrice]]</f>
        <v>2216.06</v>
      </c>
      <c r="L1188" t="str">
        <f>IF(Table2[[#This Row],[CurrentStock]]&lt;=Table2[[#This Row],[ReorderLevel]], "Reorder Needed", "Okay")</f>
        <v>Reorder Needed</v>
      </c>
      <c r="M1188" s="7">
        <f>IF(Table2[[#This Row],[CurrentStock]]-Table2[[#This Row],[ReorderLevel]]&lt;0,Table2[[#This Row],[CurrentStock]]-Table2[[#This Row],[ReorderLevel]],"")</f>
        <v>-136</v>
      </c>
      <c r="N1188" t="str">
        <f>IF(Table2[[#This Row],[Stock Gap]]&lt;0, "Understock","Okay")</f>
        <v>Understock</v>
      </c>
      <c r="O1188" s="13" t="str">
        <f>IF(Table2[[#This Row],[Stock Gap]]&lt;0, "Yes", "No")</f>
        <v>Yes</v>
      </c>
      <c r="P1188" s="13" t="str">
        <f>IF(Table2[[#This Row],[CurrentStock]]&lt;Table2[[#This Row],[ReorderLevel]],"Reorder", "Okay")</f>
        <v>Reorder</v>
      </c>
      <c r="Q1188" s="13" t="str">
        <f>IF(Table2[[#This Row],[CurrentStock]]&gt;Table2[[#This Row],[ReorderLevel]]*3, "Overstock", "Okay")</f>
        <v>Okay</v>
      </c>
    </row>
    <row r="1189" spans="1:17" x14ac:dyDescent="0.35">
      <c r="A1189">
        <v>64766</v>
      </c>
      <c r="B1189" t="s">
        <v>15</v>
      </c>
      <c r="C1189" t="s">
        <v>29</v>
      </c>
      <c r="D1189">
        <v>330</v>
      </c>
      <c r="E1189">
        <v>80</v>
      </c>
      <c r="F1189" s="2">
        <v>37.81</v>
      </c>
      <c r="G1189" t="s">
        <v>32</v>
      </c>
      <c r="H1189" s="1">
        <v>45356</v>
      </c>
      <c r="I1189" s="1">
        <v>45363</v>
      </c>
      <c r="J1189" t="s">
        <v>36</v>
      </c>
      <c r="K1189" s="8">
        <f>Table2[[#This Row],[CurrentStock]]*Table2[[#This Row],[UnitPrice]]</f>
        <v>12477.300000000001</v>
      </c>
      <c r="L1189" t="str">
        <f>IF(Table2[[#This Row],[CurrentStock]]&lt;=Table2[[#This Row],[ReorderLevel]], "Reorder Needed", "Okay")</f>
        <v>Okay</v>
      </c>
      <c r="M1189" t="str">
        <f>IF(Table2[[#This Row],[CurrentStock]]-Table2[[#This Row],[ReorderLevel]]&lt;0,Table2[[#This Row],[CurrentStock]]-Table2[[#This Row],[ReorderLevel]],"")</f>
        <v/>
      </c>
      <c r="N1189" t="str">
        <f>IF(Table2[[#This Row],[Stock Gap]]&lt;0, "Understock","Okay")</f>
        <v>Okay</v>
      </c>
      <c r="O1189" s="13" t="str">
        <f>IF(Table2[[#This Row],[Stock Gap]]&lt;0, "Yes", "No")</f>
        <v>No</v>
      </c>
      <c r="P1189" s="13" t="str">
        <f>IF(Table2[[#This Row],[CurrentStock]]&lt;Table2[[#This Row],[ReorderLevel]],"Reorder", "Okay")</f>
        <v>Okay</v>
      </c>
      <c r="Q1189" s="13" t="str">
        <f>IF(Table2[[#This Row],[CurrentStock]]&gt;Table2[[#This Row],[ReorderLevel]]*3, "Overstock", "Okay")</f>
        <v>Overstock</v>
      </c>
    </row>
    <row r="1190" spans="1:17" x14ac:dyDescent="0.35">
      <c r="A1190">
        <v>96120</v>
      </c>
      <c r="B1190" t="s">
        <v>24</v>
      </c>
      <c r="C1190" t="s">
        <v>30</v>
      </c>
      <c r="D1190">
        <v>29</v>
      </c>
      <c r="E1190">
        <v>30</v>
      </c>
      <c r="F1190" s="2">
        <v>440.3</v>
      </c>
      <c r="G1190" t="s">
        <v>34</v>
      </c>
      <c r="H1190" s="1">
        <v>45508</v>
      </c>
      <c r="I1190" s="1">
        <v>45534</v>
      </c>
      <c r="J1190" t="s">
        <v>38</v>
      </c>
      <c r="K1190" s="8">
        <f>Table2[[#This Row],[CurrentStock]]*Table2[[#This Row],[UnitPrice]]</f>
        <v>12768.7</v>
      </c>
      <c r="L1190" t="str">
        <f>IF(Table2[[#This Row],[CurrentStock]]&lt;=Table2[[#This Row],[ReorderLevel]], "Reorder Needed", "Okay")</f>
        <v>Reorder Needed</v>
      </c>
      <c r="M1190" s="7">
        <f>IF(Table2[[#This Row],[CurrentStock]]-Table2[[#This Row],[ReorderLevel]]&lt;0,Table2[[#This Row],[CurrentStock]]-Table2[[#This Row],[ReorderLevel]],"")</f>
        <v>-1</v>
      </c>
      <c r="N1190" t="str">
        <f>IF(Table2[[#This Row],[Stock Gap]]&lt;0, "Understock","Okay")</f>
        <v>Understock</v>
      </c>
      <c r="O1190" s="13" t="str">
        <f>IF(Table2[[#This Row],[Stock Gap]]&lt;0, "Yes", "No")</f>
        <v>Yes</v>
      </c>
      <c r="P1190" s="13" t="str">
        <f>IF(Table2[[#This Row],[CurrentStock]]&lt;Table2[[#This Row],[ReorderLevel]],"Reorder", "Okay")</f>
        <v>Reorder</v>
      </c>
      <c r="Q1190" s="13" t="str">
        <f>IF(Table2[[#This Row],[CurrentStock]]&gt;Table2[[#This Row],[ReorderLevel]]*3, "Overstock", "Okay")</f>
        <v>Okay</v>
      </c>
    </row>
    <row r="1191" spans="1:17" x14ac:dyDescent="0.35">
      <c r="A1191">
        <v>65609</v>
      </c>
      <c r="B1191" t="s">
        <v>9</v>
      </c>
      <c r="C1191" t="s">
        <v>26</v>
      </c>
      <c r="D1191">
        <v>46</v>
      </c>
      <c r="E1191">
        <v>150</v>
      </c>
      <c r="F1191" s="2">
        <v>455.95</v>
      </c>
      <c r="G1191" t="s">
        <v>31</v>
      </c>
      <c r="H1191" s="1">
        <v>45420</v>
      </c>
      <c r="I1191" s="1">
        <v>45426</v>
      </c>
      <c r="J1191" t="s">
        <v>38</v>
      </c>
      <c r="K1191" s="8">
        <f>Table2[[#This Row],[CurrentStock]]*Table2[[#This Row],[UnitPrice]]</f>
        <v>20973.7</v>
      </c>
      <c r="L1191" t="str">
        <f>IF(Table2[[#This Row],[CurrentStock]]&lt;=Table2[[#This Row],[ReorderLevel]], "Reorder Needed", "Okay")</f>
        <v>Reorder Needed</v>
      </c>
      <c r="M1191" s="7">
        <f>IF(Table2[[#This Row],[CurrentStock]]-Table2[[#This Row],[ReorderLevel]]&lt;0,Table2[[#This Row],[CurrentStock]]-Table2[[#This Row],[ReorderLevel]],"")</f>
        <v>-104</v>
      </c>
      <c r="N1191" t="str">
        <f>IF(Table2[[#This Row],[Stock Gap]]&lt;0, "Understock","Okay")</f>
        <v>Understock</v>
      </c>
      <c r="O1191" s="13" t="str">
        <f>IF(Table2[[#This Row],[Stock Gap]]&lt;0, "Yes", "No")</f>
        <v>Yes</v>
      </c>
      <c r="P1191" s="13" t="str">
        <f>IF(Table2[[#This Row],[CurrentStock]]&lt;Table2[[#This Row],[ReorderLevel]],"Reorder", "Okay")</f>
        <v>Reorder</v>
      </c>
      <c r="Q1191" s="13" t="str">
        <f>IF(Table2[[#This Row],[CurrentStock]]&gt;Table2[[#This Row],[ReorderLevel]]*3, "Overstock", "Okay")</f>
        <v>Okay</v>
      </c>
    </row>
    <row r="1192" spans="1:17" x14ac:dyDescent="0.35">
      <c r="A1192">
        <v>46923</v>
      </c>
      <c r="B1192" t="s">
        <v>13</v>
      </c>
      <c r="C1192" t="s">
        <v>26</v>
      </c>
      <c r="D1192">
        <v>26</v>
      </c>
      <c r="E1192">
        <v>80</v>
      </c>
      <c r="F1192" s="2">
        <v>12.42</v>
      </c>
      <c r="G1192" t="s">
        <v>31</v>
      </c>
      <c r="H1192" s="1">
        <v>45544</v>
      </c>
      <c r="I1192" s="1">
        <v>45549</v>
      </c>
      <c r="J1192" t="s">
        <v>36</v>
      </c>
      <c r="K1192" s="8">
        <f>Table2[[#This Row],[CurrentStock]]*Table2[[#This Row],[UnitPrice]]</f>
        <v>322.92</v>
      </c>
      <c r="L1192" t="str">
        <f>IF(Table2[[#This Row],[CurrentStock]]&lt;=Table2[[#This Row],[ReorderLevel]], "Reorder Needed", "Okay")</f>
        <v>Reorder Needed</v>
      </c>
      <c r="M1192" s="7">
        <f>IF(Table2[[#This Row],[CurrentStock]]-Table2[[#This Row],[ReorderLevel]]&lt;0,Table2[[#This Row],[CurrentStock]]-Table2[[#This Row],[ReorderLevel]],"")</f>
        <v>-54</v>
      </c>
      <c r="N1192" t="str">
        <f>IF(Table2[[#This Row],[Stock Gap]]&lt;0, "Understock","Okay")</f>
        <v>Understock</v>
      </c>
      <c r="O1192" s="13" t="str">
        <f>IF(Table2[[#This Row],[Stock Gap]]&lt;0, "Yes", "No")</f>
        <v>Yes</v>
      </c>
      <c r="P1192" s="13" t="str">
        <f>IF(Table2[[#This Row],[CurrentStock]]&lt;Table2[[#This Row],[ReorderLevel]],"Reorder", "Okay")</f>
        <v>Reorder</v>
      </c>
      <c r="Q1192" s="13" t="str">
        <f>IF(Table2[[#This Row],[CurrentStock]]&gt;Table2[[#This Row],[ReorderLevel]]*3, "Overstock", "Okay")</f>
        <v>Okay</v>
      </c>
    </row>
    <row r="1193" spans="1:17" x14ac:dyDescent="0.35">
      <c r="A1193">
        <v>19304</v>
      </c>
      <c r="B1193" t="s">
        <v>12</v>
      </c>
      <c r="C1193" t="s">
        <v>28</v>
      </c>
      <c r="D1193">
        <v>145</v>
      </c>
      <c r="E1193">
        <v>50</v>
      </c>
      <c r="F1193" s="2">
        <v>417.89</v>
      </c>
      <c r="G1193" t="s">
        <v>33</v>
      </c>
      <c r="H1193" s="1">
        <v>45387</v>
      </c>
      <c r="I1193" s="1">
        <v>45420</v>
      </c>
      <c r="J1193" t="s">
        <v>38</v>
      </c>
      <c r="K1193" s="8">
        <f>Table2[[#This Row],[CurrentStock]]*Table2[[#This Row],[UnitPrice]]</f>
        <v>60594.049999999996</v>
      </c>
      <c r="L1193" t="str">
        <f>IF(Table2[[#This Row],[CurrentStock]]&lt;=Table2[[#This Row],[ReorderLevel]], "Reorder Needed", "Okay")</f>
        <v>Okay</v>
      </c>
      <c r="M1193" t="str">
        <f>IF(Table2[[#This Row],[CurrentStock]]-Table2[[#This Row],[ReorderLevel]]&lt;0,Table2[[#This Row],[CurrentStock]]-Table2[[#This Row],[ReorderLevel]],"")</f>
        <v/>
      </c>
      <c r="N1193" t="str">
        <f>IF(Table2[[#This Row],[Stock Gap]]&lt;0, "Understock","Okay")</f>
        <v>Okay</v>
      </c>
      <c r="O1193" s="13" t="str">
        <f>IF(Table2[[#This Row],[Stock Gap]]&lt;0, "Yes", "No")</f>
        <v>No</v>
      </c>
      <c r="P1193" s="13" t="str">
        <f>IF(Table2[[#This Row],[CurrentStock]]&lt;Table2[[#This Row],[ReorderLevel]],"Reorder", "Okay")</f>
        <v>Okay</v>
      </c>
      <c r="Q1193" s="13" t="str">
        <f>IF(Table2[[#This Row],[CurrentStock]]&gt;Table2[[#This Row],[ReorderLevel]]*3, "Overstock", "Okay")</f>
        <v>Okay</v>
      </c>
    </row>
    <row r="1194" spans="1:17" x14ac:dyDescent="0.35">
      <c r="A1194">
        <v>86394</v>
      </c>
      <c r="B1194" t="s">
        <v>14</v>
      </c>
      <c r="C1194" t="s">
        <v>28</v>
      </c>
      <c r="D1194">
        <v>110</v>
      </c>
      <c r="E1194">
        <v>30</v>
      </c>
      <c r="F1194" s="2">
        <v>114.64</v>
      </c>
      <c r="G1194" t="s">
        <v>31</v>
      </c>
      <c r="H1194" s="1">
        <v>45457</v>
      </c>
      <c r="I1194" s="1">
        <v>45496</v>
      </c>
      <c r="J1194" t="s">
        <v>37</v>
      </c>
      <c r="K1194" s="8">
        <f>Table2[[#This Row],[CurrentStock]]*Table2[[#This Row],[UnitPrice]]</f>
        <v>12610.4</v>
      </c>
      <c r="L1194" t="str">
        <f>IF(Table2[[#This Row],[CurrentStock]]&lt;=Table2[[#This Row],[ReorderLevel]], "Reorder Needed", "Okay")</f>
        <v>Okay</v>
      </c>
      <c r="M1194" t="str">
        <f>IF(Table2[[#This Row],[CurrentStock]]-Table2[[#This Row],[ReorderLevel]]&lt;0,Table2[[#This Row],[CurrentStock]]-Table2[[#This Row],[ReorderLevel]],"")</f>
        <v/>
      </c>
      <c r="N1194" t="str">
        <f>IF(Table2[[#This Row],[Stock Gap]]&lt;0, "Understock","Okay")</f>
        <v>Okay</v>
      </c>
      <c r="O1194" s="13" t="str">
        <f>IF(Table2[[#This Row],[Stock Gap]]&lt;0, "Yes", "No")</f>
        <v>No</v>
      </c>
      <c r="P1194" s="13" t="str">
        <f>IF(Table2[[#This Row],[CurrentStock]]&lt;Table2[[#This Row],[ReorderLevel]],"Reorder", "Okay")</f>
        <v>Okay</v>
      </c>
      <c r="Q1194" s="13" t="str">
        <f>IF(Table2[[#This Row],[CurrentStock]]&gt;Table2[[#This Row],[ReorderLevel]]*3, "Overstock", "Okay")</f>
        <v>Overstock</v>
      </c>
    </row>
    <row r="1195" spans="1:17" x14ac:dyDescent="0.35">
      <c r="A1195">
        <v>72796</v>
      </c>
      <c r="B1195" t="s">
        <v>24</v>
      </c>
      <c r="C1195" t="s">
        <v>30</v>
      </c>
      <c r="D1195">
        <v>142</v>
      </c>
      <c r="E1195">
        <v>40</v>
      </c>
      <c r="F1195" s="2">
        <v>304.11</v>
      </c>
      <c r="G1195" t="s">
        <v>35</v>
      </c>
      <c r="H1195" s="1">
        <v>45542</v>
      </c>
      <c r="I1195" s="1">
        <v>45570</v>
      </c>
      <c r="J1195" t="s">
        <v>36</v>
      </c>
      <c r="K1195" s="8">
        <f>Table2[[#This Row],[CurrentStock]]*Table2[[#This Row],[UnitPrice]]</f>
        <v>43183.62</v>
      </c>
      <c r="L1195" t="str">
        <f>IF(Table2[[#This Row],[CurrentStock]]&lt;=Table2[[#This Row],[ReorderLevel]], "Reorder Needed", "Okay")</f>
        <v>Okay</v>
      </c>
      <c r="M1195" t="str">
        <f>IF(Table2[[#This Row],[CurrentStock]]-Table2[[#This Row],[ReorderLevel]]&lt;0,Table2[[#This Row],[CurrentStock]]-Table2[[#This Row],[ReorderLevel]],"")</f>
        <v/>
      </c>
      <c r="N1195" t="str">
        <f>IF(Table2[[#This Row],[Stock Gap]]&lt;0, "Understock","Okay")</f>
        <v>Okay</v>
      </c>
      <c r="O1195" s="13" t="str">
        <f>IF(Table2[[#This Row],[Stock Gap]]&lt;0, "Yes", "No")</f>
        <v>No</v>
      </c>
      <c r="P1195" s="13" t="str">
        <f>IF(Table2[[#This Row],[CurrentStock]]&lt;Table2[[#This Row],[ReorderLevel]],"Reorder", "Okay")</f>
        <v>Okay</v>
      </c>
      <c r="Q1195" s="13" t="str">
        <f>IF(Table2[[#This Row],[CurrentStock]]&gt;Table2[[#This Row],[ReorderLevel]]*3, "Overstock", "Okay")</f>
        <v>Overstock</v>
      </c>
    </row>
    <row r="1196" spans="1:17" x14ac:dyDescent="0.35">
      <c r="A1196">
        <v>37195</v>
      </c>
      <c r="B1196" t="s">
        <v>17</v>
      </c>
      <c r="C1196" t="s">
        <v>27</v>
      </c>
      <c r="D1196">
        <v>496</v>
      </c>
      <c r="E1196">
        <v>30</v>
      </c>
      <c r="F1196" s="2">
        <v>156.47</v>
      </c>
      <c r="G1196" t="s">
        <v>32</v>
      </c>
      <c r="H1196" s="1">
        <v>45595</v>
      </c>
      <c r="I1196" s="1">
        <v>45606</v>
      </c>
      <c r="J1196" t="s">
        <v>36</v>
      </c>
      <c r="K1196" s="8">
        <f>Table2[[#This Row],[CurrentStock]]*Table2[[#This Row],[UnitPrice]]</f>
        <v>77609.119999999995</v>
      </c>
      <c r="L1196" t="str">
        <f>IF(Table2[[#This Row],[CurrentStock]]&lt;=Table2[[#This Row],[ReorderLevel]], "Reorder Needed", "Okay")</f>
        <v>Okay</v>
      </c>
      <c r="M1196" t="str">
        <f>IF(Table2[[#This Row],[CurrentStock]]-Table2[[#This Row],[ReorderLevel]]&lt;0,Table2[[#This Row],[CurrentStock]]-Table2[[#This Row],[ReorderLevel]],"")</f>
        <v/>
      </c>
      <c r="N1196" t="str">
        <f>IF(Table2[[#This Row],[Stock Gap]]&lt;0, "Understock","Okay")</f>
        <v>Okay</v>
      </c>
      <c r="O1196" s="13" t="str">
        <f>IF(Table2[[#This Row],[Stock Gap]]&lt;0, "Yes", "No")</f>
        <v>No</v>
      </c>
      <c r="P1196" s="13" t="str">
        <f>IF(Table2[[#This Row],[CurrentStock]]&lt;Table2[[#This Row],[ReorderLevel]],"Reorder", "Okay")</f>
        <v>Okay</v>
      </c>
      <c r="Q1196" s="13" t="str">
        <f>IF(Table2[[#This Row],[CurrentStock]]&gt;Table2[[#This Row],[ReorderLevel]]*3, "Overstock", "Okay")</f>
        <v>Overstock</v>
      </c>
    </row>
    <row r="1197" spans="1:17" x14ac:dyDescent="0.35">
      <c r="A1197">
        <v>11816</v>
      </c>
      <c r="B1197" t="s">
        <v>12</v>
      </c>
      <c r="C1197" t="s">
        <v>28</v>
      </c>
      <c r="D1197">
        <v>185</v>
      </c>
      <c r="E1197">
        <v>50</v>
      </c>
      <c r="F1197" s="2">
        <v>252.28</v>
      </c>
      <c r="G1197" t="s">
        <v>35</v>
      </c>
      <c r="H1197" s="1">
        <v>45517</v>
      </c>
      <c r="I1197" s="1">
        <v>45555</v>
      </c>
      <c r="J1197" t="s">
        <v>37</v>
      </c>
      <c r="K1197" s="8">
        <f>Table2[[#This Row],[CurrentStock]]*Table2[[#This Row],[UnitPrice]]</f>
        <v>46671.8</v>
      </c>
      <c r="L1197" t="str">
        <f>IF(Table2[[#This Row],[CurrentStock]]&lt;=Table2[[#This Row],[ReorderLevel]], "Reorder Needed", "Okay")</f>
        <v>Okay</v>
      </c>
      <c r="M1197" t="str">
        <f>IF(Table2[[#This Row],[CurrentStock]]-Table2[[#This Row],[ReorderLevel]]&lt;0,Table2[[#This Row],[CurrentStock]]-Table2[[#This Row],[ReorderLevel]],"")</f>
        <v/>
      </c>
      <c r="N1197" t="str">
        <f>IF(Table2[[#This Row],[Stock Gap]]&lt;0, "Understock","Okay")</f>
        <v>Okay</v>
      </c>
      <c r="O1197" s="13" t="str">
        <f>IF(Table2[[#This Row],[Stock Gap]]&lt;0, "Yes", "No")</f>
        <v>No</v>
      </c>
      <c r="P1197" s="13" t="str">
        <f>IF(Table2[[#This Row],[CurrentStock]]&lt;Table2[[#This Row],[ReorderLevel]],"Reorder", "Okay")</f>
        <v>Okay</v>
      </c>
      <c r="Q1197" s="13" t="str">
        <f>IF(Table2[[#This Row],[CurrentStock]]&gt;Table2[[#This Row],[ReorderLevel]]*3, "Overstock", "Okay")</f>
        <v>Overstock</v>
      </c>
    </row>
    <row r="1198" spans="1:17" x14ac:dyDescent="0.35">
      <c r="A1198">
        <v>22809</v>
      </c>
      <c r="B1198" t="s">
        <v>20</v>
      </c>
      <c r="C1198" t="s">
        <v>30</v>
      </c>
      <c r="D1198">
        <v>108</v>
      </c>
      <c r="E1198">
        <v>30</v>
      </c>
      <c r="F1198" s="2">
        <v>219.69</v>
      </c>
      <c r="G1198" t="s">
        <v>31</v>
      </c>
      <c r="H1198" s="1">
        <v>45566</v>
      </c>
      <c r="I1198" s="1">
        <v>45578</v>
      </c>
      <c r="J1198" t="s">
        <v>38</v>
      </c>
      <c r="K1198" s="8">
        <f>Table2[[#This Row],[CurrentStock]]*Table2[[#This Row],[UnitPrice]]</f>
        <v>23726.52</v>
      </c>
      <c r="L1198" t="str">
        <f>IF(Table2[[#This Row],[CurrentStock]]&lt;=Table2[[#This Row],[ReorderLevel]], "Reorder Needed", "Okay")</f>
        <v>Okay</v>
      </c>
      <c r="M1198" t="str">
        <f>IF(Table2[[#This Row],[CurrentStock]]-Table2[[#This Row],[ReorderLevel]]&lt;0,Table2[[#This Row],[CurrentStock]]-Table2[[#This Row],[ReorderLevel]],"")</f>
        <v/>
      </c>
      <c r="N1198" t="str">
        <f>IF(Table2[[#This Row],[Stock Gap]]&lt;0, "Understock","Okay")</f>
        <v>Okay</v>
      </c>
      <c r="O1198" s="13" t="str">
        <f>IF(Table2[[#This Row],[Stock Gap]]&lt;0, "Yes", "No")</f>
        <v>No</v>
      </c>
      <c r="P1198" s="13" t="str">
        <f>IF(Table2[[#This Row],[CurrentStock]]&lt;Table2[[#This Row],[ReorderLevel]],"Reorder", "Okay")</f>
        <v>Okay</v>
      </c>
      <c r="Q1198" s="13" t="str">
        <f>IF(Table2[[#This Row],[CurrentStock]]&gt;Table2[[#This Row],[ReorderLevel]]*3, "Overstock", "Okay")</f>
        <v>Overstock</v>
      </c>
    </row>
    <row r="1199" spans="1:17" x14ac:dyDescent="0.35">
      <c r="A1199">
        <v>42009</v>
      </c>
      <c r="B1199" t="s">
        <v>15</v>
      </c>
      <c r="C1199" t="s">
        <v>29</v>
      </c>
      <c r="D1199">
        <v>86</v>
      </c>
      <c r="E1199">
        <v>150</v>
      </c>
      <c r="F1199" s="2">
        <v>17.61</v>
      </c>
      <c r="G1199" t="s">
        <v>33</v>
      </c>
      <c r="H1199" s="1">
        <v>45319</v>
      </c>
      <c r="I1199" s="1">
        <v>45349</v>
      </c>
      <c r="J1199" t="s">
        <v>37</v>
      </c>
      <c r="K1199" s="8">
        <f>Table2[[#This Row],[CurrentStock]]*Table2[[#This Row],[UnitPrice]]</f>
        <v>1514.46</v>
      </c>
      <c r="L1199" t="str">
        <f>IF(Table2[[#This Row],[CurrentStock]]&lt;=Table2[[#This Row],[ReorderLevel]], "Reorder Needed", "Okay")</f>
        <v>Reorder Needed</v>
      </c>
      <c r="M1199" s="7">
        <f>IF(Table2[[#This Row],[CurrentStock]]-Table2[[#This Row],[ReorderLevel]]&lt;0,Table2[[#This Row],[CurrentStock]]-Table2[[#This Row],[ReorderLevel]],"")</f>
        <v>-64</v>
      </c>
      <c r="N1199" t="str">
        <f>IF(Table2[[#This Row],[Stock Gap]]&lt;0, "Understock","Okay")</f>
        <v>Understock</v>
      </c>
      <c r="O1199" s="13" t="str">
        <f>IF(Table2[[#This Row],[Stock Gap]]&lt;0, "Yes", "No")</f>
        <v>Yes</v>
      </c>
      <c r="P1199" s="13" t="str">
        <f>IF(Table2[[#This Row],[CurrentStock]]&lt;Table2[[#This Row],[ReorderLevel]],"Reorder", "Okay")</f>
        <v>Reorder</v>
      </c>
      <c r="Q1199" s="13" t="str">
        <f>IF(Table2[[#This Row],[CurrentStock]]&gt;Table2[[#This Row],[ReorderLevel]]*3, "Overstock", "Okay")</f>
        <v>Okay</v>
      </c>
    </row>
    <row r="1200" spans="1:17" x14ac:dyDescent="0.35">
      <c r="A1200">
        <v>21419</v>
      </c>
      <c r="B1200" t="s">
        <v>24</v>
      </c>
      <c r="C1200" t="s">
        <v>30</v>
      </c>
      <c r="D1200">
        <v>134</v>
      </c>
      <c r="E1200">
        <v>150</v>
      </c>
      <c r="F1200" s="2">
        <v>166.12</v>
      </c>
      <c r="G1200" t="s">
        <v>34</v>
      </c>
      <c r="H1200" s="1">
        <v>45365</v>
      </c>
      <c r="I1200" s="1">
        <v>45388</v>
      </c>
      <c r="J1200" t="s">
        <v>37</v>
      </c>
      <c r="K1200" s="8">
        <f>Table2[[#This Row],[CurrentStock]]*Table2[[#This Row],[UnitPrice]]</f>
        <v>22260.080000000002</v>
      </c>
      <c r="L1200" t="str">
        <f>IF(Table2[[#This Row],[CurrentStock]]&lt;=Table2[[#This Row],[ReorderLevel]], "Reorder Needed", "Okay")</f>
        <v>Reorder Needed</v>
      </c>
      <c r="M1200" s="7">
        <f>IF(Table2[[#This Row],[CurrentStock]]-Table2[[#This Row],[ReorderLevel]]&lt;0,Table2[[#This Row],[CurrentStock]]-Table2[[#This Row],[ReorderLevel]],"")</f>
        <v>-16</v>
      </c>
      <c r="N1200" t="str">
        <f>IF(Table2[[#This Row],[Stock Gap]]&lt;0, "Understock","Okay")</f>
        <v>Understock</v>
      </c>
      <c r="O1200" s="13" t="str">
        <f>IF(Table2[[#This Row],[Stock Gap]]&lt;0, "Yes", "No")</f>
        <v>Yes</v>
      </c>
      <c r="P1200" s="13" t="str">
        <f>IF(Table2[[#This Row],[CurrentStock]]&lt;Table2[[#This Row],[ReorderLevel]],"Reorder", "Okay")</f>
        <v>Reorder</v>
      </c>
      <c r="Q1200" s="13" t="str">
        <f>IF(Table2[[#This Row],[CurrentStock]]&gt;Table2[[#This Row],[ReorderLevel]]*3, "Overstock", "Okay")</f>
        <v>Okay</v>
      </c>
    </row>
    <row r="1201" spans="1:17" x14ac:dyDescent="0.35">
      <c r="A1201">
        <v>54291</v>
      </c>
      <c r="B1201" t="s">
        <v>15</v>
      </c>
      <c r="C1201" t="s">
        <v>29</v>
      </c>
      <c r="D1201">
        <v>19</v>
      </c>
      <c r="E1201">
        <v>80</v>
      </c>
      <c r="F1201" s="2">
        <v>405.04</v>
      </c>
      <c r="G1201" t="s">
        <v>35</v>
      </c>
      <c r="H1201" s="1">
        <v>45597</v>
      </c>
      <c r="I1201" s="1">
        <v>45629</v>
      </c>
      <c r="J1201" t="s">
        <v>37</v>
      </c>
      <c r="K1201" s="8">
        <f>Table2[[#This Row],[CurrentStock]]*Table2[[#This Row],[UnitPrice]]</f>
        <v>7695.76</v>
      </c>
      <c r="L1201" t="str">
        <f>IF(Table2[[#This Row],[CurrentStock]]&lt;=Table2[[#This Row],[ReorderLevel]], "Reorder Needed", "Okay")</f>
        <v>Reorder Needed</v>
      </c>
      <c r="M1201" s="7">
        <f>IF(Table2[[#This Row],[CurrentStock]]-Table2[[#This Row],[ReorderLevel]]&lt;0,Table2[[#This Row],[CurrentStock]]-Table2[[#This Row],[ReorderLevel]],"")</f>
        <v>-61</v>
      </c>
      <c r="N1201" t="str">
        <f>IF(Table2[[#This Row],[Stock Gap]]&lt;0, "Understock","Okay")</f>
        <v>Understock</v>
      </c>
      <c r="O1201" s="13" t="str">
        <f>IF(Table2[[#This Row],[Stock Gap]]&lt;0, "Yes", "No")</f>
        <v>Yes</v>
      </c>
      <c r="P1201" s="13" t="str">
        <f>IF(Table2[[#This Row],[CurrentStock]]&lt;Table2[[#This Row],[ReorderLevel]],"Reorder", "Okay")</f>
        <v>Reorder</v>
      </c>
      <c r="Q1201" s="13" t="str">
        <f>IF(Table2[[#This Row],[CurrentStock]]&gt;Table2[[#This Row],[ReorderLevel]]*3, "Overstock", "Okay")</f>
        <v>Okay</v>
      </c>
    </row>
    <row r="1202" spans="1:17" x14ac:dyDescent="0.35">
      <c r="A1202">
        <v>80729</v>
      </c>
      <c r="B1202" t="s">
        <v>23</v>
      </c>
      <c r="C1202" t="s">
        <v>30</v>
      </c>
      <c r="D1202">
        <v>299</v>
      </c>
      <c r="E1202">
        <v>30</v>
      </c>
      <c r="F1202" s="2">
        <v>330.85</v>
      </c>
      <c r="G1202" t="s">
        <v>34</v>
      </c>
      <c r="H1202" s="1">
        <v>45421</v>
      </c>
      <c r="I1202" s="1">
        <v>45453</v>
      </c>
      <c r="J1202" t="s">
        <v>38</v>
      </c>
      <c r="K1202" s="8">
        <f>Table2[[#This Row],[CurrentStock]]*Table2[[#This Row],[UnitPrice]]</f>
        <v>98924.150000000009</v>
      </c>
      <c r="L1202" t="str">
        <f>IF(Table2[[#This Row],[CurrentStock]]&lt;=Table2[[#This Row],[ReorderLevel]], "Reorder Needed", "Okay")</f>
        <v>Okay</v>
      </c>
      <c r="M1202" t="str">
        <f>IF(Table2[[#This Row],[CurrentStock]]-Table2[[#This Row],[ReorderLevel]]&lt;0,Table2[[#This Row],[CurrentStock]]-Table2[[#This Row],[ReorderLevel]],"")</f>
        <v/>
      </c>
      <c r="N1202" t="str">
        <f>IF(Table2[[#This Row],[Stock Gap]]&lt;0, "Understock","Okay")</f>
        <v>Okay</v>
      </c>
      <c r="O1202" s="13" t="str">
        <f>IF(Table2[[#This Row],[Stock Gap]]&lt;0, "Yes", "No")</f>
        <v>No</v>
      </c>
      <c r="P1202" s="13" t="str">
        <f>IF(Table2[[#This Row],[CurrentStock]]&lt;Table2[[#This Row],[ReorderLevel]],"Reorder", "Okay")</f>
        <v>Okay</v>
      </c>
      <c r="Q1202" s="13" t="str">
        <f>IF(Table2[[#This Row],[CurrentStock]]&gt;Table2[[#This Row],[ReorderLevel]]*3, "Overstock", "Okay")</f>
        <v>Overstock</v>
      </c>
    </row>
    <row r="1203" spans="1:17" x14ac:dyDescent="0.35">
      <c r="A1203">
        <v>25957</v>
      </c>
      <c r="B1203" t="s">
        <v>12</v>
      </c>
      <c r="C1203" t="s">
        <v>28</v>
      </c>
      <c r="D1203">
        <v>235</v>
      </c>
      <c r="E1203">
        <v>50</v>
      </c>
      <c r="F1203" s="2">
        <v>210.76</v>
      </c>
      <c r="G1203" t="s">
        <v>34</v>
      </c>
      <c r="H1203" s="1">
        <v>45639</v>
      </c>
      <c r="I1203" s="1">
        <v>45653</v>
      </c>
      <c r="J1203" t="s">
        <v>36</v>
      </c>
      <c r="K1203" s="8">
        <f>Table2[[#This Row],[CurrentStock]]*Table2[[#This Row],[UnitPrice]]</f>
        <v>49528.6</v>
      </c>
      <c r="L1203" t="str">
        <f>IF(Table2[[#This Row],[CurrentStock]]&lt;=Table2[[#This Row],[ReorderLevel]], "Reorder Needed", "Okay")</f>
        <v>Okay</v>
      </c>
      <c r="M1203" t="str">
        <f>IF(Table2[[#This Row],[CurrentStock]]-Table2[[#This Row],[ReorderLevel]]&lt;0,Table2[[#This Row],[CurrentStock]]-Table2[[#This Row],[ReorderLevel]],"")</f>
        <v/>
      </c>
      <c r="N1203" t="str">
        <f>IF(Table2[[#This Row],[Stock Gap]]&lt;0, "Understock","Okay")</f>
        <v>Okay</v>
      </c>
      <c r="O1203" s="13" t="str">
        <f>IF(Table2[[#This Row],[Stock Gap]]&lt;0, "Yes", "No")</f>
        <v>No</v>
      </c>
      <c r="P1203" s="13" t="str">
        <f>IF(Table2[[#This Row],[CurrentStock]]&lt;Table2[[#This Row],[ReorderLevel]],"Reorder", "Okay")</f>
        <v>Okay</v>
      </c>
      <c r="Q1203" s="13" t="str">
        <f>IF(Table2[[#This Row],[CurrentStock]]&gt;Table2[[#This Row],[ReorderLevel]]*3, "Overstock", "Okay")</f>
        <v>Overstock</v>
      </c>
    </row>
    <row r="1204" spans="1:17" x14ac:dyDescent="0.35">
      <c r="A1204">
        <v>43642</v>
      </c>
      <c r="B1204" t="s">
        <v>9</v>
      </c>
      <c r="C1204" t="s">
        <v>26</v>
      </c>
      <c r="D1204">
        <v>460</v>
      </c>
      <c r="E1204">
        <v>40</v>
      </c>
      <c r="F1204" s="2">
        <v>432.46</v>
      </c>
      <c r="G1204" t="s">
        <v>35</v>
      </c>
      <c r="H1204" s="1">
        <v>45377</v>
      </c>
      <c r="I1204" s="1">
        <v>45411</v>
      </c>
      <c r="J1204" t="s">
        <v>38</v>
      </c>
      <c r="K1204" s="8">
        <f>Table2[[#This Row],[CurrentStock]]*Table2[[#This Row],[UnitPrice]]</f>
        <v>198931.59999999998</v>
      </c>
      <c r="L1204" t="str">
        <f>IF(Table2[[#This Row],[CurrentStock]]&lt;=Table2[[#This Row],[ReorderLevel]], "Reorder Needed", "Okay")</f>
        <v>Okay</v>
      </c>
      <c r="M1204" t="str">
        <f>IF(Table2[[#This Row],[CurrentStock]]-Table2[[#This Row],[ReorderLevel]]&lt;0,Table2[[#This Row],[CurrentStock]]-Table2[[#This Row],[ReorderLevel]],"")</f>
        <v/>
      </c>
      <c r="N1204" t="str">
        <f>IF(Table2[[#This Row],[Stock Gap]]&lt;0, "Understock","Okay")</f>
        <v>Okay</v>
      </c>
      <c r="O1204" s="13" t="str">
        <f>IF(Table2[[#This Row],[Stock Gap]]&lt;0, "Yes", "No")</f>
        <v>No</v>
      </c>
      <c r="P1204" s="13" t="str">
        <f>IF(Table2[[#This Row],[CurrentStock]]&lt;Table2[[#This Row],[ReorderLevel]],"Reorder", "Okay")</f>
        <v>Okay</v>
      </c>
      <c r="Q1204" s="13" t="str">
        <f>IF(Table2[[#This Row],[CurrentStock]]&gt;Table2[[#This Row],[ReorderLevel]]*3, "Overstock", "Okay")</f>
        <v>Overstock</v>
      </c>
    </row>
    <row r="1205" spans="1:17" x14ac:dyDescent="0.35">
      <c r="A1205">
        <v>56023</v>
      </c>
      <c r="B1205" t="s">
        <v>10</v>
      </c>
      <c r="C1205" t="s">
        <v>26</v>
      </c>
      <c r="D1205">
        <v>481</v>
      </c>
      <c r="E1205">
        <v>30</v>
      </c>
      <c r="F1205" s="2">
        <v>417.3</v>
      </c>
      <c r="G1205" t="s">
        <v>34</v>
      </c>
      <c r="H1205" s="1">
        <v>45518</v>
      </c>
      <c r="I1205" s="1">
        <v>45541</v>
      </c>
      <c r="J1205" t="s">
        <v>36</v>
      </c>
      <c r="K1205" s="8">
        <f>Table2[[#This Row],[CurrentStock]]*Table2[[#This Row],[UnitPrice]]</f>
        <v>200721.30000000002</v>
      </c>
      <c r="L1205" t="str">
        <f>IF(Table2[[#This Row],[CurrentStock]]&lt;=Table2[[#This Row],[ReorderLevel]], "Reorder Needed", "Okay")</f>
        <v>Okay</v>
      </c>
      <c r="M1205" t="str">
        <f>IF(Table2[[#This Row],[CurrentStock]]-Table2[[#This Row],[ReorderLevel]]&lt;0,Table2[[#This Row],[CurrentStock]]-Table2[[#This Row],[ReorderLevel]],"")</f>
        <v/>
      </c>
      <c r="N1205" t="str">
        <f>IF(Table2[[#This Row],[Stock Gap]]&lt;0, "Understock","Okay")</f>
        <v>Okay</v>
      </c>
      <c r="O1205" s="13" t="str">
        <f>IF(Table2[[#This Row],[Stock Gap]]&lt;0, "Yes", "No")</f>
        <v>No</v>
      </c>
      <c r="P1205" s="13" t="str">
        <f>IF(Table2[[#This Row],[CurrentStock]]&lt;Table2[[#This Row],[ReorderLevel]],"Reorder", "Okay")</f>
        <v>Okay</v>
      </c>
      <c r="Q1205" s="13" t="str">
        <f>IF(Table2[[#This Row],[CurrentStock]]&gt;Table2[[#This Row],[ReorderLevel]]*3, "Overstock", "Okay")</f>
        <v>Overstock</v>
      </c>
    </row>
    <row r="1206" spans="1:17" x14ac:dyDescent="0.35">
      <c r="A1206">
        <v>70289</v>
      </c>
      <c r="B1206" t="s">
        <v>9</v>
      </c>
      <c r="C1206" t="s">
        <v>26</v>
      </c>
      <c r="D1206">
        <v>367</v>
      </c>
      <c r="E1206">
        <v>20</v>
      </c>
      <c r="F1206" s="2">
        <v>412.71</v>
      </c>
      <c r="G1206" t="s">
        <v>33</v>
      </c>
      <c r="H1206" s="1">
        <v>45635</v>
      </c>
      <c r="I1206" s="1">
        <v>45660</v>
      </c>
      <c r="J1206" t="s">
        <v>36</v>
      </c>
      <c r="K1206" s="8">
        <f>Table2[[#This Row],[CurrentStock]]*Table2[[#This Row],[UnitPrice]]</f>
        <v>151464.57</v>
      </c>
      <c r="L1206" t="str">
        <f>IF(Table2[[#This Row],[CurrentStock]]&lt;=Table2[[#This Row],[ReorderLevel]], "Reorder Needed", "Okay")</f>
        <v>Okay</v>
      </c>
      <c r="M1206" t="str">
        <f>IF(Table2[[#This Row],[CurrentStock]]-Table2[[#This Row],[ReorderLevel]]&lt;0,Table2[[#This Row],[CurrentStock]]-Table2[[#This Row],[ReorderLevel]],"")</f>
        <v/>
      </c>
      <c r="N1206" t="str">
        <f>IF(Table2[[#This Row],[Stock Gap]]&lt;0, "Understock","Okay")</f>
        <v>Okay</v>
      </c>
      <c r="O1206" s="13" t="str">
        <f>IF(Table2[[#This Row],[Stock Gap]]&lt;0, "Yes", "No")</f>
        <v>No</v>
      </c>
      <c r="P1206" s="13" t="str">
        <f>IF(Table2[[#This Row],[CurrentStock]]&lt;Table2[[#This Row],[ReorderLevel]],"Reorder", "Okay")</f>
        <v>Okay</v>
      </c>
      <c r="Q1206" s="13" t="str">
        <f>IF(Table2[[#This Row],[CurrentStock]]&gt;Table2[[#This Row],[ReorderLevel]]*3, "Overstock", "Okay")</f>
        <v>Overstock</v>
      </c>
    </row>
    <row r="1207" spans="1:17" x14ac:dyDescent="0.35">
      <c r="A1207">
        <v>58791</v>
      </c>
      <c r="B1207" t="s">
        <v>10</v>
      </c>
      <c r="C1207" t="s">
        <v>26</v>
      </c>
      <c r="D1207">
        <v>11</v>
      </c>
      <c r="E1207">
        <v>40</v>
      </c>
      <c r="F1207" s="2">
        <v>204.89</v>
      </c>
      <c r="G1207" t="s">
        <v>32</v>
      </c>
      <c r="H1207" s="1">
        <v>45535</v>
      </c>
      <c r="I1207" s="1">
        <v>45563</v>
      </c>
      <c r="J1207" t="s">
        <v>37</v>
      </c>
      <c r="K1207" s="8">
        <f>Table2[[#This Row],[CurrentStock]]*Table2[[#This Row],[UnitPrice]]</f>
        <v>2253.79</v>
      </c>
      <c r="L1207" t="str">
        <f>IF(Table2[[#This Row],[CurrentStock]]&lt;=Table2[[#This Row],[ReorderLevel]], "Reorder Needed", "Okay")</f>
        <v>Reorder Needed</v>
      </c>
      <c r="M1207" s="7">
        <f>IF(Table2[[#This Row],[CurrentStock]]-Table2[[#This Row],[ReorderLevel]]&lt;0,Table2[[#This Row],[CurrentStock]]-Table2[[#This Row],[ReorderLevel]],"")</f>
        <v>-29</v>
      </c>
      <c r="N1207" t="str">
        <f>IF(Table2[[#This Row],[Stock Gap]]&lt;0, "Understock","Okay")</f>
        <v>Understock</v>
      </c>
      <c r="O1207" s="13" t="str">
        <f>IF(Table2[[#This Row],[Stock Gap]]&lt;0, "Yes", "No")</f>
        <v>Yes</v>
      </c>
      <c r="P1207" s="13" t="str">
        <f>IF(Table2[[#This Row],[CurrentStock]]&lt;Table2[[#This Row],[ReorderLevel]],"Reorder", "Okay")</f>
        <v>Reorder</v>
      </c>
      <c r="Q1207" s="13" t="str">
        <f>IF(Table2[[#This Row],[CurrentStock]]&gt;Table2[[#This Row],[ReorderLevel]]*3, "Overstock", "Okay")</f>
        <v>Okay</v>
      </c>
    </row>
    <row r="1208" spans="1:17" x14ac:dyDescent="0.35">
      <c r="A1208">
        <v>19032</v>
      </c>
      <c r="B1208" t="s">
        <v>15</v>
      </c>
      <c r="C1208" t="s">
        <v>29</v>
      </c>
      <c r="D1208">
        <v>199</v>
      </c>
      <c r="E1208">
        <v>30</v>
      </c>
      <c r="F1208" s="2">
        <v>129.77000000000001</v>
      </c>
      <c r="G1208" t="s">
        <v>33</v>
      </c>
      <c r="H1208" s="1">
        <v>45567</v>
      </c>
      <c r="I1208" s="1">
        <v>45579</v>
      </c>
      <c r="J1208" t="s">
        <v>38</v>
      </c>
      <c r="K1208" s="8">
        <f>Table2[[#This Row],[CurrentStock]]*Table2[[#This Row],[UnitPrice]]</f>
        <v>25824.230000000003</v>
      </c>
      <c r="L1208" t="str">
        <f>IF(Table2[[#This Row],[CurrentStock]]&lt;=Table2[[#This Row],[ReorderLevel]], "Reorder Needed", "Okay")</f>
        <v>Okay</v>
      </c>
      <c r="M1208" t="str">
        <f>IF(Table2[[#This Row],[CurrentStock]]-Table2[[#This Row],[ReorderLevel]]&lt;0,Table2[[#This Row],[CurrentStock]]-Table2[[#This Row],[ReorderLevel]],"")</f>
        <v/>
      </c>
      <c r="N1208" t="str">
        <f>IF(Table2[[#This Row],[Stock Gap]]&lt;0, "Understock","Okay")</f>
        <v>Okay</v>
      </c>
      <c r="O1208" s="13" t="str">
        <f>IF(Table2[[#This Row],[Stock Gap]]&lt;0, "Yes", "No")</f>
        <v>No</v>
      </c>
      <c r="P1208" s="13" t="str">
        <f>IF(Table2[[#This Row],[CurrentStock]]&lt;Table2[[#This Row],[ReorderLevel]],"Reorder", "Okay")</f>
        <v>Okay</v>
      </c>
      <c r="Q1208" s="13" t="str">
        <f>IF(Table2[[#This Row],[CurrentStock]]&gt;Table2[[#This Row],[ReorderLevel]]*3, "Overstock", "Okay")</f>
        <v>Overstock</v>
      </c>
    </row>
    <row r="1209" spans="1:17" x14ac:dyDescent="0.35">
      <c r="A1209">
        <v>98365</v>
      </c>
      <c r="B1209" t="s">
        <v>18</v>
      </c>
      <c r="C1209" t="s">
        <v>27</v>
      </c>
      <c r="D1209">
        <v>7</v>
      </c>
      <c r="E1209">
        <v>80</v>
      </c>
      <c r="F1209" s="2">
        <v>297.42</v>
      </c>
      <c r="G1209" t="s">
        <v>32</v>
      </c>
      <c r="H1209" s="1">
        <v>45582</v>
      </c>
      <c r="I1209" s="1">
        <v>45609</v>
      </c>
      <c r="J1209" t="s">
        <v>36</v>
      </c>
      <c r="K1209" s="8">
        <f>Table2[[#This Row],[CurrentStock]]*Table2[[#This Row],[UnitPrice]]</f>
        <v>2081.94</v>
      </c>
      <c r="L1209" t="str">
        <f>IF(Table2[[#This Row],[CurrentStock]]&lt;=Table2[[#This Row],[ReorderLevel]], "Reorder Needed", "Okay")</f>
        <v>Reorder Needed</v>
      </c>
      <c r="M1209" s="7">
        <f>IF(Table2[[#This Row],[CurrentStock]]-Table2[[#This Row],[ReorderLevel]]&lt;0,Table2[[#This Row],[CurrentStock]]-Table2[[#This Row],[ReorderLevel]],"")</f>
        <v>-73</v>
      </c>
      <c r="N1209" t="str">
        <f>IF(Table2[[#This Row],[Stock Gap]]&lt;0, "Understock","Okay")</f>
        <v>Understock</v>
      </c>
      <c r="O1209" s="13" t="str">
        <f>IF(Table2[[#This Row],[Stock Gap]]&lt;0, "Yes", "No")</f>
        <v>Yes</v>
      </c>
      <c r="P1209" s="13" t="str">
        <f>IF(Table2[[#This Row],[CurrentStock]]&lt;Table2[[#This Row],[ReorderLevel]],"Reorder", "Okay")</f>
        <v>Reorder</v>
      </c>
      <c r="Q1209" s="13" t="str">
        <f>IF(Table2[[#This Row],[CurrentStock]]&gt;Table2[[#This Row],[ReorderLevel]]*3, "Overstock", "Okay")</f>
        <v>Okay</v>
      </c>
    </row>
    <row r="1210" spans="1:17" x14ac:dyDescent="0.35">
      <c r="A1210">
        <v>55028</v>
      </c>
      <c r="B1210" t="s">
        <v>19</v>
      </c>
      <c r="C1210" t="s">
        <v>28</v>
      </c>
      <c r="D1210">
        <v>307</v>
      </c>
      <c r="E1210">
        <v>50</v>
      </c>
      <c r="F1210" s="2">
        <v>56.4</v>
      </c>
      <c r="G1210" t="s">
        <v>34</v>
      </c>
      <c r="H1210" s="1">
        <v>45358</v>
      </c>
      <c r="I1210" s="1">
        <v>45381</v>
      </c>
      <c r="J1210" t="s">
        <v>38</v>
      </c>
      <c r="K1210" s="8">
        <f>Table2[[#This Row],[CurrentStock]]*Table2[[#This Row],[UnitPrice]]</f>
        <v>17314.8</v>
      </c>
      <c r="L1210" t="str">
        <f>IF(Table2[[#This Row],[CurrentStock]]&lt;=Table2[[#This Row],[ReorderLevel]], "Reorder Needed", "Okay")</f>
        <v>Okay</v>
      </c>
      <c r="M1210" t="str">
        <f>IF(Table2[[#This Row],[CurrentStock]]-Table2[[#This Row],[ReorderLevel]]&lt;0,Table2[[#This Row],[CurrentStock]]-Table2[[#This Row],[ReorderLevel]],"")</f>
        <v/>
      </c>
      <c r="N1210" t="str">
        <f>IF(Table2[[#This Row],[Stock Gap]]&lt;0, "Understock","Okay")</f>
        <v>Okay</v>
      </c>
      <c r="O1210" s="13" t="str">
        <f>IF(Table2[[#This Row],[Stock Gap]]&lt;0, "Yes", "No")</f>
        <v>No</v>
      </c>
      <c r="P1210" s="13" t="str">
        <f>IF(Table2[[#This Row],[CurrentStock]]&lt;Table2[[#This Row],[ReorderLevel]],"Reorder", "Okay")</f>
        <v>Okay</v>
      </c>
      <c r="Q1210" s="13" t="str">
        <f>IF(Table2[[#This Row],[CurrentStock]]&gt;Table2[[#This Row],[ReorderLevel]]*3, "Overstock", "Okay")</f>
        <v>Overstock</v>
      </c>
    </row>
    <row r="1211" spans="1:17" x14ac:dyDescent="0.35">
      <c r="A1211">
        <v>35557</v>
      </c>
      <c r="B1211" t="s">
        <v>21</v>
      </c>
      <c r="C1211" t="s">
        <v>26</v>
      </c>
      <c r="D1211">
        <v>53</v>
      </c>
      <c r="E1211">
        <v>30</v>
      </c>
      <c r="F1211" s="2">
        <v>110.61</v>
      </c>
      <c r="G1211" t="s">
        <v>35</v>
      </c>
      <c r="H1211" s="1">
        <v>45393</v>
      </c>
      <c r="I1211" s="1">
        <v>45422</v>
      </c>
      <c r="J1211" t="s">
        <v>38</v>
      </c>
      <c r="K1211" s="8">
        <f>Table2[[#This Row],[CurrentStock]]*Table2[[#This Row],[UnitPrice]]</f>
        <v>5862.33</v>
      </c>
      <c r="L1211" t="str">
        <f>IF(Table2[[#This Row],[CurrentStock]]&lt;=Table2[[#This Row],[ReorderLevel]], "Reorder Needed", "Okay")</f>
        <v>Okay</v>
      </c>
      <c r="M1211" t="str">
        <f>IF(Table2[[#This Row],[CurrentStock]]-Table2[[#This Row],[ReorderLevel]]&lt;0,Table2[[#This Row],[CurrentStock]]-Table2[[#This Row],[ReorderLevel]],"")</f>
        <v/>
      </c>
      <c r="N1211" t="str">
        <f>IF(Table2[[#This Row],[Stock Gap]]&lt;0, "Understock","Okay")</f>
        <v>Okay</v>
      </c>
      <c r="O1211" s="13" t="str">
        <f>IF(Table2[[#This Row],[Stock Gap]]&lt;0, "Yes", "No")</f>
        <v>No</v>
      </c>
      <c r="P1211" s="13" t="str">
        <f>IF(Table2[[#This Row],[CurrentStock]]&lt;Table2[[#This Row],[ReorderLevel]],"Reorder", "Okay")</f>
        <v>Okay</v>
      </c>
      <c r="Q1211" s="13" t="str">
        <f>IF(Table2[[#This Row],[CurrentStock]]&gt;Table2[[#This Row],[ReorderLevel]]*3, "Overstock", "Okay")</f>
        <v>Okay</v>
      </c>
    </row>
    <row r="1212" spans="1:17" x14ac:dyDescent="0.35">
      <c r="A1212">
        <v>72028</v>
      </c>
      <c r="B1212" t="s">
        <v>21</v>
      </c>
      <c r="C1212" t="s">
        <v>26</v>
      </c>
      <c r="D1212">
        <v>376</v>
      </c>
      <c r="E1212">
        <v>50</v>
      </c>
      <c r="F1212" s="2">
        <v>86.37</v>
      </c>
      <c r="G1212" t="s">
        <v>35</v>
      </c>
      <c r="H1212" s="1">
        <v>45441</v>
      </c>
      <c r="I1212" s="1">
        <v>45466</v>
      </c>
      <c r="J1212" t="s">
        <v>38</v>
      </c>
      <c r="K1212" s="8">
        <f>Table2[[#This Row],[CurrentStock]]*Table2[[#This Row],[UnitPrice]]</f>
        <v>32475.120000000003</v>
      </c>
      <c r="L1212" t="str">
        <f>IF(Table2[[#This Row],[CurrentStock]]&lt;=Table2[[#This Row],[ReorderLevel]], "Reorder Needed", "Okay")</f>
        <v>Okay</v>
      </c>
      <c r="M1212" t="str">
        <f>IF(Table2[[#This Row],[CurrentStock]]-Table2[[#This Row],[ReorderLevel]]&lt;0,Table2[[#This Row],[CurrentStock]]-Table2[[#This Row],[ReorderLevel]],"")</f>
        <v/>
      </c>
      <c r="N1212" t="str">
        <f>IF(Table2[[#This Row],[Stock Gap]]&lt;0, "Understock","Okay")</f>
        <v>Okay</v>
      </c>
      <c r="O1212" s="13" t="str">
        <f>IF(Table2[[#This Row],[Stock Gap]]&lt;0, "Yes", "No")</f>
        <v>No</v>
      </c>
      <c r="P1212" s="13" t="str">
        <f>IF(Table2[[#This Row],[CurrentStock]]&lt;Table2[[#This Row],[ReorderLevel]],"Reorder", "Okay")</f>
        <v>Okay</v>
      </c>
      <c r="Q1212" s="13" t="str">
        <f>IF(Table2[[#This Row],[CurrentStock]]&gt;Table2[[#This Row],[ReorderLevel]]*3, "Overstock", "Okay")</f>
        <v>Overstock</v>
      </c>
    </row>
    <row r="1213" spans="1:17" x14ac:dyDescent="0.35">
      <c r="A1213">
        <v>24859</v>
      </c>
      <c r="B1213" t="s">
        <v>17</v>
      </c>
      <c r="C1213" t="s">
        <v>27</v>
      </c>
      <c r="D1213">
        <v>46</v>
      </c>
      <c r="E1213">
        <v>80</v>
      </c>
      <c r="F1213" s="2">
        <v>423.99</v>
      </c>
      <c r="G1213" t="s">
        <v>35</v>
      </c>
      <c r="H1213" s="1">
        <v>45350</v>
      </c>
      <c r="I1213" s="1">
        <v>45376</v>
      </c>
      <c r="J1213" t="s">
        <v>38</v>
      </c>
      <c r="K1213" s="8">
        <f>Table2[[#This Row],[CurrentStock]]*Table2[[#This Row],[UnitPrice]]</f>
        <v>19503.54</v>
      </c>
      <c r="L1213" t="str">
        <f>IF(Table2[[#This Row],[CurrentStock]]&lt;=Table2[[#This Row],[ReorderLevel]], "Reorder Needed", "Okay")</f>
        <v>Reorder Needed</v>
      </c>
      <c r="M1213" s="7">
        <f>IF(Table2[[#This Row],[CurrentStock]]-Table2[[#This Row],[ReorderLevel]]&lt;0,Table2[[#This Row],[CurrentStock]]-Table2[[#This Row],[ReorderLevel]],"")</f>
        <v>-34</v>
      </c>
      <c r="N1213" t="str">
        <f>IF(Table2[[#This Row],[Stock Gap]]&lt;0, "Understock","Okay")</f>
        <v>Understock</v>
      </c>
      <c r="O1213" s="13" t="str">
        <f>IF(Table2[[#This Row],[Stock Gap]]&lt;0, "Yes", "No")</f>
        <v>Yes</v>
      </c>
      <c r="P1213" s="13" t="str">
        <f>IF(Table2[[#This Row],[CurrentStock]]&lt;Table2[[#This Row],[ReorderLevel]],"Reorder", "Okay")</f>
        <v>Reorder</v>
      </c>
      <c r="Q1213" s="13" t="str">
        <f>IF(Table2[[#This Row],[CurrentStock]]&gt;Table2[[#This Row],[ReorderLevel]]*3, "Overstock", "Okay")</f>
        <v>Okay</v>
      </c>
    </row>
    <row r="1214" spans="1:17" x14ac:dyDescent="0.35">
      <c r="A1214">
        <v>51011</v>
      </c>
      <c r="B1214" t="s">
        <v>25</v>
      </c>
      <c r="C1214" t="s">
        <v>29</v>
      </c>
      <c r="D1214">
        <v>173</v>
      </c>
      <c r="E1214">
        <v>100</v>
      </c>
      <c r="F1214" s="2">
        <v>172.79</v>
      </c>
      <c r="G1214" t="s">
        <v>33</v>
      </c>
      <c r="H1214" s="1">
        <v>45653</v>
      </c>
      <c r="I1214" s="1">
        <v>45687</v>
      </c>
      <c r="J1214" t="s">
        <v>38</v>
      </c>
      <c r="K1214" s="8">
        <f>Table2[[#This Row],[CurrentStock]]*Table2[[#This Row],[UnitPrice]]</f>
        <v>29892.67</v>
      </c>
      <c r="L1214" t="str">
        <f>IF(Table2[[#This Row],[CurrentStock]]&lt;=Table2[[#This Row],[ReorderLevel]], "Reorder Needed", "Okay")</f>
        <v>Okay</v>
      </c>
      <c r="M1214" t="str">
        <f>IF(Table2[[#This Row],[CurrentStock]]-Table2[[#This Row],[ReorderLevel]]&lt;0,Table2[[#This Row],[CurrentStock]]-Table2[[#This Row],[ReorderLevel]],"")</f>
        <v/>
      </c>
      <c r="N1214" t="str">
        <f>IF(Table2[[#This Row],[Stock Gap]]&lt;0, "Understock","Okay")</f>
        <v>Okay</v>
      </c>
      <c r="O1214" s="13" t="str">
        <f>IF(Table2[[#This Row],[Stock Gap]]&lt;0, "Yes", "No")</f>
        <v>No</v>
      </c>
      <c r="P1214" s="13" t="str">
        <f>IF(Table2[[#This Row],[CurrentStock]]&lt;Table2[[#This Row],[ReorderLevel]],"Reorder", "Okay")</f>
        <v>Okay</v>
      </c>
      <c r="Q1214" s="13" t="str">
        <f>IF(Table2[[#This Row],[CurrentStock]]&gt;Table2[[#This Row],[ReorderLevel]]*3, "Overstock", "Okay")</f>
        <v>Okay</v>
      </c>
    </row>
    <row r="1215" spans="1:17" x14ac:dyDescent="0.35">
      <c r="A1215">
        <v>95982</v>
      </c>
      <c r="B1215" t="s">
        <v>25</v>
      </c>
      <c r="C1215" t="s">
        <v>29</v>
      </c>
      <c r="D1215">
        <v>28</v>
      </c>
      <c r="E1215">
        <v>40</v>
      </c>
      <c r="F1215" s="2">
        <v>228.88</v>
      </c>
      <c r="G1215" t="s">
        <v>35</v>
      </c>
      <c r="H1215" s="1">
        <v>45570</v>
      </c>
      <c r="I1215" s="1">
        <v>45609</v>
      </c>
      <c r="J1215" t="s">
        <v>37</v>
      </c>
      <c r="K1215" s="8">
        <f>Table2[[#This Row],[CurrentStock]]*Table2[[#This Row],[UnitPrice]]</f>
        <v>6408.6399999999994</v>
      </c>
      <c r="L1215" t="str">
        <f>IF(Table2[[#This Row],[CurrentStock]]&lt;=Table2[[#This Row],[ReorderLevel]], "Reorder Needed", "Okay")</f>
        <v>Reorder Needed</v>
      </c>
      <c r="M1215" s="7">
        <f>IF(Table2[[#This Row],[CurrentStock]]-Table2[[#This Row],[ReorderLevel]]&lt;0,Table2[[#This Row],[CurrentStock]]-Table2[[#This Row],[ReorderLevel]],"")</f>
        <v>-12</v>
      </c>
      <c r="N1215" t="str">
        <f>IF(Table2[[#This Row],[Stock Gap]]&lt;0, "Understock","Okay")</f>
        <v>Understock</v>
      </c>
      <c r="O1215" s="13" t="str">
        <f>IF(Table2[[#This Row],[Stock Gap]]&lt;0, "Yes", "No")</f>
        <v>Yes</v>
      </c>
      <c r="P1215" s="13" t="str">
        <f>IF(Table2[[#This Row],[CurrentStock]]&lt;Table2[[#This Row],[ReorderLevel]],"Reorder", "Okay")</f>
        <v>Reorder</v>
      </c>
      <c r="Q1215" s="13" t="str">
        <f>IF(Table2[[#This Row],[CurrentStock]]&gt;Table2[[#This Row],[ReorderLevel]]*3, "Overstock", "Okay")</f>
        <v>Okay</v>
      </c>
    </row>
    <row r="1216" spans="1:17" x14ac:dyDescent="0.35">
      <c r="A1216">
        <v>19471</v>
      </c>
      <c r="B1216" t="s">
        <v>23</v>
      </c>
      <c r="C1216" t="s">
        <v>30</v>
      </c>
      <c r="D1216">
        <v>15</v>
      </c>
      <c r="E1216">
        <v>20</v>
      </c>
      <c r="F1216" s="2">
        <v>257.07</v>
      </c>
      <c r="G1216" t="s">
        <v>33</v>
      </c>
      <c r="H1216" s="1">
        <v>45541</v>
      </c>
      <c r="I1216" s="1">
        <v>45577</v>
      </c>
      <c r="J1216" t="s">
        <v>38</v>
      </c>
      <c r="K1216" s="8">
        <f>Table2[[#This Row],[CurrentStock]]*Table2[[#This Row],[UnitPrice]]</f>
        <v>3856.0499999999997</v>
      </c>
      <c r="L1216" t="str">
        <f>IF(Table2[[#This Row],[CurrentStock]]&lt;=Table2[[#This Row],[ReorderLevel]], "Reorder Needed", "Okay")</f>
        <v>Reorder Needed</v>
      </c>
      <c r="M1216" s="7">
        <f>IF(Table2[[#This Row],[CurrentStock]]-Table2[[#This Row],[ReorderLevel]]&lt;0,Table2[[#This Row],[CurrentStock]]-Table2[[#This Row],[ReorderLevel]],"")</f>
        <v>-5</v>
      </c>
      <c r="N1216" t="str">
        <f>IF(Table2[[#This Row],[Stock Gap]]&lt;0, "Understock","Okay")</f>
        <v>Understock</v>
      </c>
      <c r="O1216" s="13" t="str">
        <f>IF(Table2[[#This Row],[Stock Gap]]&lt;0, "Yes", "No")</f>
        <v>Yes</v>
      </c>
      <c r="P1216" s="13" t="str">
        <f>IF(Table2[[#This Row],[CurrentStock]]&lt;Table2[[#This Row],[ReorderLevel]],"Reorder", "Okay")</f>
        <v>Reorder</v>
      </c>
      <c r="Q1216" s="13" t="str">
        <f>IF(Table2[[#This Row],[CurrentStock]]&gt;Table2[[#This Row],[ReorderLevel]]*3, "Overstock", "Okay")</f>
        <v>Okay</v>
      </c>
    </row>
    <row r="1217" spans="1:17" x14ac:dyDescent="0.35">
      <c r="A1217">
        <v>30229</v>
      </c>
      <c r="B1217" t="s">
        <v>21</v>
      </c>
      <c r="C1217" t="s">
        <v>26</v>
      </c>
      <c r="D1217">
        <v>209</v>
      </c>
      <c r="E1217">
        <v>20</v>
      </c>
      <c r="F1217" s="2">
        <v>83.13</v>
      </c>
      <c r="G1217" t="s">
        <v>33</v>
      </c>
      <c r="H1217" s="1">
        <v>45512</v>
      </c>
      <c r="I1217" s="1">
        <v>45535</v>
      </c>
      <c r="J1217" t="s">
        <v>37</v>
      </c>
      <c r="K1217" s="8">
        <f>Table2[[#This Row],[CurrentStock]]*Table2[[#This Row],[UnitPrice]]</f>
        <v>17374.169999999998</v>
      </c>
      <c r="L1217" t="str">
        <f>IF(Table2[[#This Row],[CurrentStock]]&lt;=Table2[[#This Row],[ReorderLevel]], "Reorder Needed", "Okay")</f>
        <v>Okay</v>
      </c>
      <c r="M1217" t="str">
        <f>IF(Table2[[#This Row],[CurrentStock]]-Table2[[#This Row],[ReorderLevel]]&lt;0,Table2[[#This Row],[CurrentStock]]-Table2[[#This Row],[ReorderLevel]],"")</f>
        <v/>
      </c>
      <c r="N1217" t="str">
        <f>IF(Table2[[#This Row],[Stock Gap]]&lt;0, "Understock","Okay")</f>
        <v>Okay</v>
      </c>
      <c r="O1217" s="13" t="str">
        <f>IF(Table2[[#This Row],[Stock Gap]]&lt;0, "Yes", "No")</f>
        <v>No</v>
      </c>
      <c r="P1217" s="13" t="str">
        <f>IF(Table2[[#This Row],[CurrentStock]]&lt;Table2[[#This Row],[ReorderLevel]],"Reorder", "Okay")</f>
        <v>Okay</v>
      </c>
      <c r="Q1217" s="13" t="str">
        <f>IF(Table2[[#This Row],[CurrentStock]]&gt;Table2[[#This Row],[ReorderLevel]]*3, "Overstock", "Okay")</f>
        <v>Overstock</v>
      </c>
    </row>
    <row r="1218" spans="1:17" x14ac:dyDescent="0.35">
      <c r="A1218">
        <v>82571</v>
      </c>
      <c r="B1218" t="s">
        <v>20</v>
      </c>
      <c r="C1218" t="s">
        <v>30</v>
      </c>
      <c r="D1218">
        <v>109</v>
      </c>
      <c r="E1218">
        <v>50</v>
      </c>
      <c r="F1218" s="2">
        <v>210.35</v>
      </c>
      <c r="G1218" t="s">
        <v>35</v>
      </c>
      <c r="H1218" s="1">
        <v>45424</v>
      </c>
      <c r="I1218" s="1">
        <v>45462</v>
      </c>
      <c r="J1218" t="s">
        <v>37</v>
      </c>
      <c r="K1218" s="8">
        <f>Table2[[#This Row],[CurrentStock]]*Table2[[#This Row],[UnitPrice]]</f>
        <v>22928.149999999998</v>
      </c>
      <c r="L1218" t="str">
        <f>IF(Table2[[#This Row],[CurrentStock]]&lt;=Table2[[#This Row],[ReorderLevel]], "Reorder Needed", "Okay")</f>
        <v>Okay</v>
      </c>
      <c r="M1218" t="str">
        <f>IF(Table2[[#This Row],[CurrentStock]]-Table2[[#This Row],[ReorderLevel]]&lt;0,Table2[[#This Row],[CurrentStock]]-Table2[[#This Row],[ReorderLevel]],"")</f>
        <v/>
      </c>
      <c r="N1218" t="str">
        <f>IF(Table2[[#This Row],[Stock Gap]]&lt;0, "Understock","Okay")</f>
        <v>Okay</v>
      </c>
      <c r="O1218" s="13" t="str">
        <f>IF(Table2[[#This Row],[Stock Gap]]&lt;0, "Yes", "No")</f>
        <v>No</v>
      </c>
      <c r="P1218" s="13" t="str">
        <f>IF(Table2[[#This Row],[CurrentStock]]&lt;Table2[[#This Row],[ReorderLevel]],"Reorder", "Okay")</f>
        <v>Okay</v>
      </c>
      <c r="Q1218" s="13" t="str">
        <f>IF(Table2[[#This Row],[CurrentStock]]&gt;Table2[[#This Row],[ReorderLevel]]*3, "Overstock", "Okay")</f>
        <v>Okay</v>
      </c>
    </row>
    <row r="1219" spans="1:17" x14ac:dyDescent="0.35">
      <c r="A1219">
        <v>13060</v>
      </c>
      <c r="B1219" t="s">
        <v>14</v>
      </c>
      <c r="C1219" t="s">
        <v>28</v>
      </c>
      <c r="D1219">
        <v>77</v>
      </c>
      <c r="E1219">
        <v>50</v>
      </c>
      <c r="F1219" s="2">
        <v>329.04</v>
      </c>
      <c r="G1219" t="s">
        <v>33</v>
      </c>
      <c r="H1219" s="1">
        <v>45591</v>
      </c>
      <c r="I1219" s="1">
        <v>45615</v>
      </c>
      <c r="J1219" t="s">
        <v>37</v>
      </c>
      <c r="K1219" s="8">
        <f>Table2[[#This Row],[CurrentStock]]*Table2[[#This Row],[UnitPrice]]</f>
        <v>25336.080000000002</v>
      </c>
      <c r="L1219" t="str">
        <f>IF(Table2[[#This Row],[CurrentStock]]&lt;=Table2[[#This Row],[ReorderLevel]], "Reorder Needed", "Okay")</f>
        <v>Okay</v>
      </c>
      <c r="M1219" t="str">
        <f>IF(Table2[[#This Row],[CurrentStock]]-Table2[[#This Row],[ReorderLevel]]&lt;0,Table2[[#This Row],[CurrentStock]]-Table2[[#This Row],[ReorderLevel]],"")</f>
        <v/>
      </c>
      <c r="N1219" t="str">
        <f>IF(Table2[[#This Row],[Stock Gap]]&lt;0, "Understock","Okay")</f>
        <v>Okay</v>
      </c>
      <c r="O1219" s="13" t="str">
        <f>IF(Table2[[#This Row],[Stock Gap]]&lt;0, "Yes", "No")</f>
        <v>No</v>
      </c>
      <c r="P1219" s="13" t="str">
        <f>IF(Table2[[#This Row],[CurrentStock]]&lt;Table2[[#This Row],[ReorderLevel]],"Reorder", "Okay")</f>
        <v>Okay</v>
      </c>
      <c r="Q1219" s="13" t="str">
        <f>IF(Table2[[#This Row],[CurrentStock]]&gt;Table2[[#This Row],[ReorderLevel]]*3, "Overstock", "Okay")</f>
        <v>Okay</v>
      </c>
    </row>
    <row r="1220" spans="1:17" x14ac:dyDescent="0.35">
      <c r="A1220">
        <v>25141</v>
      </c>
      <c r="B1220" t="s">
        <v>12</v>
      </c>
      <c r="C1220" t="s">
        <v>28</v>
      </c>
      <c r="D1220">
        <v>476</v>
      </c>
      <c r="E1220">
        <v>100</v>
      </c>
      <c r="F1220" s="2">
        <v>154.24</v>
      </c>
      <c r="G1220" t="s">
        <v>32</v>
      </c>
      <c r="H1220" s="1">
        <v>45507</v>
      </c>
      <c r="I1220" s="1">
        <v>45534</v>
      </c>
      <c r="J1220" t="s">
        <v>37</v>
      </c>
      <c r="K1220" s="8">
        <f>Table2[[#This Row],[CurrentStock]]*Table2[[#This Row],[UnitPrice]]</f>
        <v>73418.240000000005</v>
      </c>
      <c r="L1220" t="str">
        <f>IF(Table2[[#This Row],[CurrentStock]]&lt;=Table2[[#This Row],[ReorderLevel]], "Reorder Needed", "Okay")</f>
        <v>Okay</v>
      </c>
      <c r="M1220" t="str">
        <f>IF(Table2[[#This Row],[CurrentStock]]-Table2[[#This Row],[ReorderLevel]]&lt;0,Table2[[#This Row],[CurrentStock]]-Table2[[#This Row],[ReorderLevel]],"")</f>
        <v/>
      </c>
      <c r="N1220" t="str">
        <f>IF(Table2[[#This Row],[Stock Gap]]&lt;0, "Understock","Okay")</f>
        <v>Okay</v>
      </c>
      <c r="O1220" s="13" t="str">
        <f>IF(Table2[[#This Row],[Stock Gap]]&lt;0, "Yes", "No")</f>
        <v>No</v>
      </c>
      <c r="P1220" s="13" t="str">
        <f>IF(Table2[[#This Row],[CurrentStock]]&lt;Table2[[#This Row],[ReorderLevel]],"Reorder", "Okay")</f>
        <v>Okay</v>
      </c>
      <c r="Q1220" s="13" t="str">
        <f>IF(Table2[[#This Row],[CurrentStock]]&gt;Table2[[#This Row],[ReorderLevel]]*3, "Overstock", "Okay")</f>
        <v>Overstock</v>
      </c>
    </row>
    <row r="1221" spans="1:17" x14ac:dyDescent="0.35">
      <c r="A1221">
        <v>12365</v>
      </c>
      <c r="B1221" t="s">
        <v>25</v>
      </c>
      <c r="C1221" t="s">
        <v>29</v>
      </c>
      <c r="D1221">
        <v>197</v>
      </c>
      <c r="E1221">
        <v>20</v>
      </c>
      <c r="F1221" s="2">
        <v>293.79000000000002</v>
      </c>
      <c r="G1221" t="s">
        <v>32</v>
      </c>
      <c r="H1221" s="1">
        <v>45623</v>
      </c>
      <c r="I1221" s="1">
        <v>45654</v>
      </c>
      <c r="J1221" t="s">
        <v>37</v>
      </c>
      <c r="K1221" s="8">
        <f>Table2[[#This Row],[CurrentStock]]*Table2[[#This Row],[UnitPrice]]</f>
        <v>57876.630000000005</v>
      </c>
      <c r="L1221" t="str">
        <f>IF(Table2[[#This Row],[CurrentStock]]&lt;=Table2[[#This Row],[ReorderLevel]], "Reorder Needed", "Okay")</f>
        <v>Okay</v>
      </c>
      <c r="M1221" t="str">
        <f>IF(Table2[[#This Row],[CurrentStock]]-Table2[[#This Row],[ReorderLevel]]&lt;0,Table2[[#This Row],[CurrentStock]]-Table2[[#This Row],[ReorderLevel]],"")</f>
        <v/>
      </c>
      <c r="N1221" t="str">
        <f>IF(Table2[[#This Row],[Stock Gap]]&lt;0, "Understock","Okay")</f>
        <v>Okay</v>
      </c>
      <c r="O1221" s="13" t="str">
        <f>IF(Table2[[#This Row],[Stock Gap]]&lt;0, "Yes", "No")</f>
        <v>No</v>
      </c>
      <c r="P1221" s="13" t="str">
        <f>IF(Table2[[#This Row],[CurrentStock]]&lt;Table2[[#This Row],[ReorderLevel]],"Reorder", "Okay")</f>
        <v>Okay</v>
      </c>
      <c r="Q1221" s="13" t="str">
        <f>IF(Table2[[#This Row],[CurrentStock]]&gt;Table2[[#This Row],[ReorderLevel]]*3, "Overstock", "Okay")</f>
        <v>Overstock</v>
      </c>
    </row>
    <row r="1222" spans="1:17" x14ac:dyDescent="0.35">
      <c r="A1222">
        <v>59396</v>
      </c>
      <c r="B1222" t="s">
        <v>15</v>
      </c>
      <c r="C1222" t="s">
        <v>29</v>
      </c>
      <c r="D1222">
        <v>447</v>
      </c>
      <c r="E1222">
        <v>150</v>
      </c>
      <c r="F1222" s="2">
        <v>149.76</v>
      </c>
      <c r="G1222" t="s">
        <v>34</v>
      </c>
      <c r="H1222" s="1">
        <v>45395</v>
      </c>
      <c r="I1222" s="1">
        <v>45429</v>
      </c>
      <c r="J1222" t="s">
        <v>36</v>
      </c>
      <c r="K1222" s="8">
        <f>Table2[[#This Row],[CurrentStock]]*Table2[[#This Row],[UnitPrice]]</f>
        <v>66942.720000000001</v>
      </c>
      <c r="L1222" t="str">
        <f>IF(Table2[[#This Row],[CurrentStock]]&lt;=Table2[[#This Row],[ReorderLevel]], "Reorder Needed", "Okay")</f>
        <v>Okay</v>
      </c>
      <c r="M1222" t="str">
        <f>IF(Table2[[#This Row],[CurrentStock]]-Table2[[#This Row],[ReorderLevel]]&lt;0,Table2[[#This Row],[CurrentStock]]-Table2[[#This Row],[ReorderLevel]],"")</f>
        <v/>
      </c>
      <c r="N1222" t="str">
        <f>IF(Table2[[#This Row],[Stock Gap]]&lt;0, "Understock","Okay")</f>
        <v>Okay</v>
      </c>
      <c r="O1222" s="13" t="str">
        <f>IF(Table2[[#This Row],[Stock Gap]]&lt;0, "Yes", "No")</f>
        <v>No</v>
      </c>
      <c r="P1222" s="13" t="str">
        <f>IF(Table2[[#This Row],[CurrentStock]]&lt;Table2[[#This Row],[ReorderLevel]],"Reorder", "Okay")</f>
        <v>Okay</v>
      </c>
      <c r="Q1222" s="13" t="str">
        <f>IF(Table2[[#This Row],[CurrentStock]]&gt;Table2[[#This Row],[ReorderLevel]]*3, "Overstock", "Okay")</f>
        <v>Okay</v>
      </c>
    </row>
    <row r="1223" spans="1:17" x14ac:dyDescent="0.35">
      <c r="A1223">
        <v>11919</v>
      </c>
      <c r="B1223" t="s">
        <v>9</v>
      </c>
      <c r="C1223" t="s">
        <v>26</v>
      </c>
      <c r="D1223">
        <v>417</v>
      </c>
      <c r="E1223">
        <v>50</v>
      </c>
      <c r="F1223" s="2">
        <v>124.75</v>
      </c>
      <c r="G1223" t="s">
        <v>33</v>
      </c>
      <c r="H1223" s="1">
        <v>45316</v>
      </c>
      <c r="I1223" s="1">
        <v>45322</v>
      </c>
      <c r="J1223" t="s">
        <v>38</v>
      </c>
      <c r="K1223" s="8">
        <f>Table2[[#This Row],[CurrentStock]]*Table2[[#This Row],[UnitPrice]]</f>
        <v>52020.75</v>
      </c>
      <c r="L1223" t="str">
        <f>IF(Table2[[#This Row],[CurrentStock]]&lt;=Table2[[#This Row],[ReorderLevel]], "Reorder Needed", "Okay")</f>
        <v>Okay</v>
      </c>
      <c r="M1223" t="str">
        <f>IF(Table2[[#This Row],[CurrentStock]]-Table2[[#This Row],[ReorderLevel]]&lt;0,Table2[[#This Row],[CurrentStock]]-Table2[[#This Row],[ReorderLevel]],"")</f>
        <v/>
      </c>
      <c r="N1223" t="str">
        <f>IF(Table2[[#This Row],[Stock Gap]]&lt;0, "Understock","Okay")</f>
        <v>Okay</v>
      </c>
      <c r="O1223" s="13" t="str">
        <f>IF(Table2[[#This Row],[Stock Gap]]&lt;0, "Yes", "No")</f>
        <v>No</v>
      </c>
      <c r="P1223" s="13" t="str">
        <f>IF(Table2[[#This Row],[CurrentStock]]&lt;Table2[[#This Row],[ReorderLevel]],"Reorder", "Okay")</f>
        <v>Okay</v>
      </c>
      <c r="Q1223" s="13" t="str">
        <f>IF(Table2[[#This Row],[CurrentStock]]&gt;Table2[[#This Row],[ReorderLevel]]*3, "Overstock", "Okay")</f>
        <v>Overstock</v>
      </c>
    </row>
    <row r="1224" spans="1:17" x14ac:dyDescent="0.35">
      <c r="A1224">
        <v>93721</v>
      </c>
      <c r="B1224" t="s">
        <v>15</v>
      </c>
      <c r="C1224" t="s">
        <v>29</v>
      </c>
      <c r="D1224">
        <v>169</v>
      </c>
      <c r="E1224">
        <v>30</v>
      </c>
      <c r="F1224" s="2">
        <v>496.16</v>
      </c>
      <c r="G1224" t="s">
        <v>35</v>
      </c>
      <c r="H1224" s="1">
        <v>45323</v>
      </c>
      <c r="I1224" s="1">
        <v>45348</v>
      </c>
      <c r="J1224" t="s">
        <v>36</v>
      </c>
      <c r="K1224" s="8">
        <f>Table2[[#This Row],[CurrentStock]]*Table2[[#This Row],[UnitPrice]]</f>
        <v>83851.040000000008</v>
      </c>
      <c r="L1224" t="str">
        <f>IF(Table2[[#This Row],[CurrentStock]]&lt;=Table2[[#This Row],[ReorderLevel]], "Reorder Needed", "Okay")</f>
        <v>Okay</v>
      </c>
      <c r="M1224" t="str">
        <f>IF(Table2[[#This Row],[CurrentStock]]-Table2[[#This Row],[ReorderLevel]]&lt;0,Table2[[#This Row],[CurrentStock]]-Table2[[#This Row],[ReorderLevel]],"")</f>
        <v/>
      </c>
      <c r="N1224" t="str">
        <f>IF(Table2[[#This Row],[Stock Gap]]&lt;0, "Understock","Okay")</f>
        <v>Okay</v>
      </c>
      <c r="O1224" s="13" t="str">
        <f>IF(Table2[[#This Row],[Stock Gap]]&lt;0, "Yes", "No")</f>
        <v>No</v>
      </c>
      <c r="P1224" s="13" t="str">
        <f>IF(Table2[[#This Row],[CurrentStock]]&lt;Table2[[#This Row],[ReorderLevel]],"Reorder", "Okay")</f>
        <v>Okay</v>
      </c>
      <c r="Q1224" s="13" t="str">
        <f>IF(Table2[[#This Row],[CurrentStock]]&gt;Table2[[#This Row],[ReorderLevel]]*3, "Overstock", "Okay")</f>
        <v>Overstock</v>
      </c>
    </row>
    <row r="1225" spans="1:17" x14ac:dyDescent="0.35">
      <c r="A1225">
        <v>43910</v>
      </c>
      <c r="B1225" t="s">
        <v>15</v>
      </c>
      <c r="C1225" t="s">
        <v>29</v>
      </c>
      <c r="D1225">
        <v>144</v>
      </c>
      <c r="E1225">
        <v>20</v>
      </c>
      <c r="F1225" s="2">
        <v>460.53</v>
      </c>
      <c r="G1225" t="s">
        <v>35</v>
      </c>
      <c r="H1225" s="1">
        <v>45337</v>
      </c>
      <c r="I1225" s="1">
        <v>45349</v>
      </c>
      <c r="J1225" t="s">
        <v>37</v>
      </c>
      <c r="K1225" s="8">
        <f>Table2[[#This Row],[CurrentStock]]*Table2[[#This Row],[UnitPrice]]</f>
        <v>66316.319999999992</v>
      </c>
      <c r="L1225" t="str">
        <f>IF(Table2[[#This Row],[CurrentStock]]&lt;=Table2[[#This Row],[ReorderLevel]], "Reorder Needed", "Okay")</f>
        <v>Okay</v>
      </c>
      <c r="M1225" t="str">
        <f>IF(Table2[[#This Row],[CurrentStock]]-Table2[[#This Row],[ReorderLevel]]&lt;0,Table2[[#This Row],[CurrentStock]]-Table2[[#This Row],[ReorderLevel]],"")</f>
        <v/>
      </c>
      <c r="N1225" t="str">
        <f>IF(Table2[[#This Row],[Stock Gap]]&lt;0, "Understock","Okay")</f>
        <v>Okay</v>
      </c>
      <c r="O1225" s="13" t="str">
        <f>IF(Table2[[#This Row],[Stock Gap]]&lt;0, "Yes", "No")</f>
        <v>No</v>
      </c>
      <c r="P1225" s="13" t="str">
        <f>IF(Table2[[#This Row],[CurrentStock]]&lt;Table2[[#This Row],[ReorderLevel]],"Reorder", "Okay")</f>
        <v>Okay</v>
      </c>
      <c r="Q1225" s="13" t="str">
        <f>IF(Table2[[#This Row],[CurrentStock]]&gt;Table2[[#This Row],[ReorderLevel]]*3, "Overstock", "Okay")</f>
        <v>Overstock</v>
      </c>
    </row>
    <row r="1226" spans="1:17" x14ac:dyDescent="0.35">
      <c r="A1226">
        <v>80375</v>
      </c>
      <c r="B1226" t="s">
        <v>13</v>
      </c>
      <c r="C1226" t="s">
        <v>26</v>
      </c>
      <c r="D1226">
        <v>232</v>
      </c>
      <c r="E1226">
        <v>100</v>
      </c>
      <c r="F1226" s="2">
        <v>255.34</v>
      </c>
      <c r="G1226" t="s">
        <v>33</v>
      </c>
      <c r="H1226" s="1">
        <v>45541</v>
      </c>
      <c r="I1226" s="1">
        <v>45571</v>
      </c>
      <c r="J1226" t="s">
        <v>38</v>
      </c>
      <c r="K1226" s="8">
        <f>Table2[[#This Row],[CurrentStock]]*Table2[[#This Row],[UnitPrice]]</f>
        <v>59238.879999999997</v>
      </c>
      <c r="L1226" t="str">
        <f>IF(Table2[[#This Row],[CurrentStock]]&lt;=Table2[[#This Row],[ReorderLevel]], "Reorder Needed", "Okay")</f>
        <v>Okay</v>
      </c>
      <c r="M1226" t="str">
        <f>IF(Table2[[#This Row],[CurrentStock]]-Table2[[#This Row],[ReorderLevel]]&lt;0,Table2[[#This Row],[CurrentStock]]-Table2[[#This Row],[ReorderLevel]],"")</f>
        <v/>
      </c>
      <c r="N1226" t="str">
        <f>IF(Table2[[#This Row],[Stock Gap]]&lt;0, "Understock","Okay")</f>
        <v>Okay</v>
      </c>
      <c r="O1226" s="13" t="str">
        <f>IF(Table2[[#This Row],[Stock Gap]]&lt;0, "Yes", "No")</f>
        <v>No</v>
      </c>
      <c r="P1226" s="13" t="str">
        <f>IF(Table2[[#This Row],[CurrentStock]]&lt;Table2[[#This Row],[ReorderLevel]],"Reorder", "Okay")</f>
        <v>Okay</v>
      </c>
      <c r="Q1226" s="13" t="str">
        <f>IF(Table2[[#This Row],[CurrentStock]]&gt;Table2[[#This Row],[ReorderLevel]]*3, "Overstock", "Okay")</f>
        <v>Okay</v>
      </c>
    </row>
    <row r="1227" spans="1:17" x14ac:dyDescent="0.35">
      <c r="A1227">
        <v>82534</v>
      </c>
      <c r="B1227" t="s">
        <v>14</v>
      </c>
      <c r="C1227" t="s">
        <v>28</v>
      </c>
      <c r="D1227">
        <v>84</v>
      </c>
      <c r="E1227">
        <v>150</v>
      </c>
      <c r="F1227" s="2">
        <v>104.41</v>
      </c>
      <c r="G1227" t="s">
        <v>32</v>
      </c>
      <c r="H1227" s="1">
        <v>45319</v>
      </c>
      <c r="I1227" s="1">
        <v>45352</v>
      </c>
      <c r="J1227" t="s">
        <v>37</v>
      </c>
      <c r="K1227" s="8">
        <f>Table2[[#This Row],[CurrentStock]]*Table2[[#This Row],[UnitPrice]]</f>
        <v>8770.44</v>
      </c>
      <c r="L1227" t="str">
        <f>IF(Table2[[#This Row],[CurrentStock]]&lt;=Table2[[#This Row],[ReorderLevel]], "Reorder Needed", "Okay")</f>
        <v>Reorder Needed</v>
      </c>
      <c r="M1227" s="7">
        <f>IF(Table2[[#This Row],[CurrentStock]]-Table2[[#This Row],[ReorderLevel]]&lt;0,Table2[[#This Row],[CurrentStock]]-Table2[[#This Row],[ReorderLevel]],"")</f>
        <v>-66</v>
      </c>
      <c r="N1227" t="str">
        <f>IF(Table2[[#This Row],[Stock Gap]]&lt;0, "Understock","Okay")</f>
        <v>Understock</v>
      </c>
      <c r="O1227" s="13" t="str">
        <f>IF(Table2[[#This Row],[Stock Gap]]&lt;0, "Yes", "No")</f>
        <v>Yes</v>
      </c>
      <c r="P1227" s="13" t="str">
        <f>IF(Table2[[#This Row],[CurrentStock]]&lt;Table2[[#This Row],[ReorderLevel]],"Reorder", "Okay")</f>
        <v>Reorder</v>
      </c>
      <c r="Q1227" s="13" t="str">
        <f>IF(Table2[[#This Row],[CurrentStock]]&gt;Table2[[#This Row],[ReorderLevel]]*3, "Overstock", "Okay")</f>
        <v>Okay</v>
      </c>
    </row>
    <row r="1228" spans="1:17" x14ac:dyDescent="0.35">
      <c r="A1228">
        <v>31818</v>
      </c>
      <c r="B1228" t="s">
        <v>16</v>
      </c>
      <c r="C1228" t="s">
        <v>29</v>
      </c>
      <c r="D1228">
        <v>174</v>
      </c>
      <c r="E1228">
        <v>30</v>
      </c>
      <c r="F1228" s="2">
        <v>7.16</v>
      </c>
      <c r="G1228" t="s">
        <v>32</v>
      </c>
      <c r="H1228" s="1">
        <v>45622</v>
      </c>
      <c r="I1228" s="1">
        <v>45637</v>
      </c>
      <c r="J1228" t="s">
        <v>37</v>
      </c>
      <c r="K1228" s="8">
        <f>Table2[[#This Row],[CurrentStock]]*Table2[[#This Row],[UnitPrice]]</f>
        <v>1245.8399999999999</v>
      </c>
      <c r="L1228" t="str">
        <f>IF(Table2[[#This Row],[CurrentStock]]&lt;=Table2[[#This Row],[ReorderLevel]], "Reorder Needed", "Okay")</f>
        <v>Okay</v>
      </c>
      <c r="M1228" t="str">
        <f>IF(Table2[[#This Row],[CurrentStock]]-Table2[[#This Row],[ReorderLevel]]&lt;0,Table2[[#This Row],[CurrentStock]]-Table2[[#This Row],[ReorderLevel]],"")</f>
        <v/>
      </c>
      <c r="N1228" t="str">
        <f>IF(Table2[[#This Row],[Stock Gap]]&lt;0, "Understock","Okay")</f>
        <v>Okay</v>
      </c>
      <c r="O1228" s="13" t="str">
        <f>IF(Table2[[#This Row],[Stock Gap]]&lt;0, "Yes", "No")</f>
        <v>No</v>
      </c>
      <c r="P1228" s="13" t="str">
        <f>IF(Table2[[#This Row],[CurrentStock]]&lt;Table2[[#This Row],[ReorderLevel]],"Reorder", "Okay")</f>
        <v>Okay</v>
      </c>
      <c r="Q1228" s="13" t="str">
        <f>IF(Table2[[#This Row],[CurrentStock]]&gt;Table2[[#This Row],[ReorderLevel]]*3, "Overstock", "Okay")</f>
        <v>Overstock</v>
      </c>
    </row>
    <row r="1229" spans="1:17" x14ac:dyDescent="0.35">
      <c r="A1229">
        <v>57037</v>
      </c>
      <c r="B1229" t="s">
        <v>22</v>
      </c>
      <c r="C1229" t="s">
        <v>29</v>
      </c>
      <c r="D1229">
        <v>112</v>
      </c>
      <c r="E1229">
        <v>80</v>
      </c>
      <c r="F1229" s="2">
        <v>224.24</v>
      </c>
      <c r="G1229" t="s">
        <v>33</v>
      </c>
      <c r="H1229" s="1">
        <v>45580</v>
      </c>
      <c r="I1229" s="1">
        <v>45617</v>
      </c>
      <c r="J1229" t="s">
        <v>38</v>
      </c>
      <c r="K1229" s="8">
        <f>Table2[[#This Row],[CurrentStock]]*Table2[[#This Row],[UnitPrice]]</f>
        <v>25114.880000000001</v>
      </c>
      <c r="L1229" t="str">
        <f>IF(Table2[[#This Row],[CurrentStock]]&lt;=Table2[[#This Row],[ReorderLevel]], "Reorder Needed", "Okay")</f>
        <v>Okay</v>
      </c>
      <c r="M1229" t="str">
        <f>IF(Table2[[#This Row],[CurrentStock]]-Table2[[#This Row],[ReorderLevel]]&lt;0,Table2[[#This Row],[CurrentStock]]-Table2[[#This Row],[ReorderLevel]],"")</f>
        <v/>
      </c>
      <c r="N1229" t="str">
        <f>IF(Table2[[#This Row],[Stock Gap]]&lt;0, "Understock","Okay")</f>
        <v>Okay</v>
      </c>
      <c r="O1229" s="13" t="str">
        <f>IF(Table2[[#This Row],[Stock Gap]]&lt;0, "Yes", "No")</f>
        <v>No</v>
      </c>
      <c r="P1229" s="13" t="str">
        <f>IF(Table2[[#This Row],[CurrentStock]]&lt;Table2[[#This Row],[ReorderLevel]],"Reorder", "Okay")</f>
        <v>Okay</v>
      </c>
      <c r="Q1229" s="13" t="str">
        <f>IF(Table2[[#This Row],[CurrentStock]]&gt;Table2[[#This Row],[ReorderLevel]]*3, "Overstock", "Okay")</f>
        <v>Okay</v>
      </c>
    </row>
    <row r="1230" spans="1:17" x14ac:dyDescent="0.35">
      <c r="A1230">
        <v>18798</v>
      </c>
      <c r="B1230" t="s">
        <v>9</v>
      </c>
      <c r="C1230" t="s">
        <v>26</v>
      </c>
      <c r="D1230">
        <v>398</v>
      </c>
      <c r="E1230">
        <v>50</v>
      </c>
      <c r="F1230" s="2">
        <v>54.33</v>
      </c>
      <c r="G1230" t="s">
        <v>33</v>
      </c>
      <c r="H1230" s="1">
        <v>45487</v>
      </c>
      <c r="I1230" s="1">
        <v>45521</v>
      </c>
      <c r="J1230" t="s">
        <v>37</v>
      </c>
      <c r="K1230" s="8">
        <f>Table2[[#This Row],[CurrentStock]]*Table2[[#This Row],[UnitPrice]]</f>
        <v>21623.34</v>
      </c>
      <c r="L1230" t="str">
        <f>IF(Table2[[#This Row],[CurrentStock]]&lt;=Table2[[#This Row],[ReorderLevel]], "Reorder Needed", "Okay")</f>
        <v>Okay</v>
      </c>
      <c r="M1230" t="str">
        <f>IF(Table2[[#This Row],[CurrentStock]]-Table2[[#This Row],[ReorderLevel]]&lt;0,Table2[[#This Row],[CurrentStock]]-Table2[[#This Row],[ReorderLevel]],"")</f>
        <v/>
      </c>
      <c r="N1230" t="str">
        <f>IF(Table2[[#This Row],[Stock Gap]]&lt;0, "Understock","Okay")</f>
        <v>Okay</v>
      </c>
      <c r="O1230" s="13" t="str">
        <f>IF(Table2[[#This Row],[Stock Gap]]&lt;0, "Yes", "No")</f>
        <v>No</v>
      </c>
      <c r="P1230" s="13" t="str">
        <f>IF(Table2[[#This Row],[CurrentStock]]&lt;Table2[[#This Row],[ReorderLevel]],"Reorder", "Okay")</f>
        <v>Okay</v>
      </c>
      <c r="Q1230" s="13" t="str">
        <f>IF(Table2[[#This Row],[CurrentStock]]&gt;Table2[[#This Row],[ReorderLevel]]*3, "Overstock", "Okay")</f>
        <v>Overstock</v>
      </c>
    </row>
    <row r="1231" spans="1:17" x14ac:dyDescent="0.35">
      <c r="A1231">
        <v>28452</v>
      </c>
      <c r="B1231" t="s">
        <v>9</v>
      </c>
      <c r="C1231" t="s">
        <v>26</v>
      </c>
      <c r="D1231">
        <v>190</v>
      </c>
      <c r="E1231">
        <v>20</v>
      </c>
      <c r="F1231" s="2">
        <v>30.68</v>
      </c>
      <c r="G1231" t="s">
        <v>33</v>
      </c>
      <c r="H1231" s="1">
        <v>45452</v>
      </c>
      <c r="I1231" s="1">
        <v>45479</v>
      </c>
      <c r="J1231" t="s">
        <v>36</v>
      </c>
      <c r="K1231" s="8">
        <f>Table2[[#This Row],[CurrentStock]]*Table2[[#This Row],[UnitPrice]]</f>
        <v>5829.2</v>
      </c>
      <c r="L1231" t="str">
        <f>IF(Table2[[#This Row],[CurrentStock]]&lt;=Table2[[#This Row],[ReorderLevel]], "Reorder Needed", "Okay")</f>
        <v>Okay</v>
      </c>
      <c r="M1231" t="str">
        <f>IF(Table2[[#This Row],[CurrentStock]]-Table2[[#This Row],[ReorderLevel]]&lt;0,Table2[[#This Row],[CurrentStock]]-Table2[[#This Row],[ReorderLevel]],"")</f>
        <v/>
      </c>
      <c r="N1231" t="str">
        <f>IF(Table2[[#This Row],[Stock Gap]]&lt;0, "Understock","Okay")</f>
        <v>Okay</v>
      </c>
      <c r="O1231" s="13" t="str">
        <f>IF(Table2[[#This Row],[Stock Gap]]&lt;0, "Yes", "No")</f>
        <v>No</v>
      </c>
      <c r="P1231" s="13" t="str">
        <f>IF(Table2[[#This Row],[CurrentStock]]&lt;Table2[[#This Row],[ReorderLevel]],"Reorder", "Okay")</f>
        <v>Okay</v>
      </c>
      <c r="Q1231" s="13" t="str">
        <f>IF(Table2[[#This Row],[CurrentStock]]&gt;Table2[[#This Row],[ReorderLevel]]*3, "Overstock", "Okay")</f>
        <v>Overstock</v>
      </c>
    </row>
    <row r="1232" spans="1:17" x14ac:dyDescent="0.35">
      <c r="A1232">
        <v>21805</v>
      </c>
      <c r="B1232" t="s">
        <v>23</v>
      </c>
      <c r="C1232" t="s">
        <v>30</v>
      </c>
      <c r="D1232">
        <v>125</v>
      </c>
      <c r="E1232">
        <v>40</v>
      </c>
      <c r="F1232" s="2">
        <v>15.15</v>
      </c>
      <c r="G1232" t="s">
        <v>35</v>
      </c>
      <c r="H1232" s="1">
        <v>45339</v>
      </c>
      <c r="I1232" s="1">
        <v>45357</v>
      </c>
      <c r="J1232" t="s">
        <v>36</v>
      </c>
      <c r="K1232" s="8">
        <f>Table2[[#This Row],[CurrentStock]]*Table2[[#This Row],[UnitPrice]]</f>
        <v>1893.75</v>
      </c>
      <c r="L1232" t="str">
        <f>IF(Table2[[#This Row],[CurrentStock]]&lt;=Table2[[#This Row],[ReorderLevel]], "Reorder Needed", "Okay")</f>
        <v>Okay</v>
      </c>
      <c r="M1232" t="str">
        <f>IF(Table2[[#This Row],[CurrentStock]]-Table2[[#This Row],[ReorderLevel]]&lt;0,Table2[[#This Row],[CurrentStock]]-Table2[[#This Row],[ReorderLevel]],"")</f>
        <v/>
      </c>
      <c r="N1232" t="str">
        <f>IF(Table2[[#This Row],[Stock Gap]]&lt;0, "Understock","Okay")</f>
        <v>Okay</v>
      </c>
      <c r="O1232" s="13" t="str">
        <f>IF(Table2[[#This Row],[Stock Gap]]&lt;0, "Yes", "No")</f>
        <v>No</v>
      </c>
      <c r="P1232" s="13" t="str">
        <f>IF(Table2[[#This Row],[CurrentStock]]&lt;Table2[[#This Row],[ReorderLevel]],"Reorder", "Okay")</f>
        <v>Okay</v>
      </c>
      <c r="Q1232" s="13" t="str">
        <f>IF(Table2[[#This Row],[CurrentStock]]&gt;Table2[[#This Row],[ReorderLevel]]*3, "Overstock", "Okay")</f>
        <v>Overstock</v>
      </c>
    </row>
    <row r="1233" spans="1:17" x14ac:dyDescent="0.35">
      <c r="A1233">
        <v>20985</v>
      </c>
      <c r="B1233" t="s">
        <v>20</v>
      </c>
      <c r="C1233" t="s">
        <v>30</v>
      </c>
      <c r="D1233">
        <v>257</v>
      </c>
      <c r="E1233">
        <v>150</v>
      </c>
      <c r="F1233" s="2">
        <v>389.59</v>
      </c>
      <c r="G1233" t="s">
        <v>34</v>
      </c>
      <c r="H1233" s="1">
        <v>45561</v>
      </c>
      <c r="I1233" s="1">
        <v>45571</v>
      </c>
      <c r="J1233" t="s">
        <v>36</v>
      </c>
      <c r="K1233" s="8">
        <f>Table2[[#This Row],[CurrentStock]]*Table2[[#This Row],[UnitPrice]]</f>
        <v>100124.62999999999</v>
      </c>
      <c r="L1233" t="str">
        <f>IF(Table2[[#This Row],[CurrentStock]]&lt;=Table2[[#This Row],[ReorderLevel]], "Reorder Needed", "Okay")</f>
        <v>Okay</v>
      </c>
      <c r="M1233" t="str">
        <f>IF(Table2[[#This Row],[CurrentStock]]-Table2[[#This Row],[ReorderLevel]]&lt;0,Table2[[#This Row],[CurrentStock]]-Table2[[#This Row],[ReorderLevel]],"")</f>
        <v/>
      </c>
      <c r="N1233" t="str">
        <f>IF(Table2[[#This Row],[Stock Gap]]&lt;0, "Understock","Okay")</f>
        <v>Okay</v>
      </c>
      <c r="O1233" s="13" t="str">
        <f>IF(Table2[[#This Row],[Stock Gap]]&lt;0, "Yes", "No")</f>
        <v>No</v>
      </c>
      <c r="P1233" s="13" t="str">
        <f>IF(Table2[[#This Row],[CurrentStock]]&lt;Table2[[#This Row],[ReorderLevel]],"Reorder", "Okay")</f>
        <v>Okay</v>
      </c>
      <c r="Q1233" s="13" t="str">
        <f>IF(Table2[[#This Row],[CurrentStock]]&gt;Table2[[#This Row],[ReorderLevel]]*3, "Overstock", "Okay")</f>
        <v>Okay</v>
      </c>
    </row>
    <row r="1234" spans="1:17" x14ac:dyDescent="0.35">
      <c r="A1234">
        <v>95818</v>
      </c>
      <c r="B1234" t="s">
        <v>16</v>
      </c>
      <c r="C1234" t="s">
        <v>29</v>
      </c>
      <c r="D1234">
        <v>267</v>
      </c>
      <c r="E1234">
        <v>20</v>
      </c>
      <c r="F1234" s="2">
        <v>368.82</v>
      </c>
      <c r="G1234" t="s">
        <v>35</v>
      </c>
      <c r="H1234" s="1">
        <v>45531</v>
      </c>
      <c r="I1234" s="1">
        <v>45560</v>
      </c>
      <c r="J1234" t="s">
        <v>36</v>
      </c>
      <c r="K1234" s="8">
        <f>Table2[[#This Row],[CurrentStock]]*Table2[[#This Row],[UnitPrice]]</f>
        <v>98474.94</v>
      </c>
      <c r="L1234" t="str">
        <f>IF(Table2[[#This Row],[CurrentStock]]&lt;=Table2[[#This Row],[ReorderLevel]], "Reorder Needed", "Okay")</f>
        <v>Okay</v>
      </c>
      <c r="M1234" t="str">
        <f>IF(Table2[[#This Row],[CurrentStock]]-Table2[[#This Row],[ReorderLevel]]&lt;0,Table2[[#This Row],[CurrentStock]]-Table2[[#This Row],[ReorderLevel]],"")</f>
        <v/>
      </c>
      <c r="N1234" t="str">
        <f>IF(Table2[[#This Row],[Stock Gap]]&lt;0, "Understock","Okay")</f>
        <v>Okay</v>
      </c>
      <c r="O1234" s="13" t="str">
        <f>IF(Table2[[#This Row],[Stock Gap]]&lt;0, "Yes", "No")</f>
        <v>No</v>
      </c>
      <c r="P1234" s="13" t="str">
        <f>IF(Table2[[#This Row],[CurrentStock]]&lt;Table2[[#This Row],[ReorderLevel]],"Reorder", "Okay")</f>
        <v>Okay</v>
      </c>
      <c r="Q1234" s="13" t="str">
        <f>IF(Table2[[#This Row],[CurrentStock]]&gt;Table2[[#This Row],[ReorderLevel]]*3, "Overstock", "Okay")</f>
        <v>Overstock</v>
      </c>
    </row>
    <row r="1235" spans="1:17" x14ac:dyDescent="0.35">
      <c r="A1235">
        <v>95782</v>
      </c>
      <c r="B1235" t="s">
        <v>11</v>
      </c>
      <c r="C1235" t="s">
        <v>27</v>
      </c>
      <c r="D1235">
        <v>426</v>
      </c>
      <c r="E1235">
        <v>20</v>
      </c>
      <c r="F1235" s="2">
        <v>7.93</v>
      </c>
      <c r="G1235" t="s">
        <v>33</v>
      </c>
      <c r="H1235" s="1">
        <v>45433</v>
      </c>
      <c r="I1235" s="1">
        <v>45443</v>
      </c>
      <c r="J1235" t="s">
        <v>37</v>
      </c>
      <c r="K1235" s="8">
        <f>Table2[[#This Row],[CurrentStock]]*Table2[[#This Row],[UnitPrice]]</f>
        <v>3378.18</v>
      </c>
      <c r="L1235" t="str">
        <f>IF(Table2[[#This Row],[CurrentStock]]&lt;=Table2[[#This Row],[ReorderLevel]], "Reorder Needed", "Okay")</f>
        <v>Okay</v>
      </c>
      <c r="M1235" t="str">
        <f>IF(Table2[[#This Row],[CurrentStock]]-Table2[[#This Row],[ReorderLevel]]&lt;0,Table2[[#This Row],[CurrentStock]]-Table2[[#This Row],[ReorderLevel]],"")</f>
        <v/>
      </c>
      <c r="N1235" t="str">
        <f>IF(Table2[[#This Row],[Stock Gap]]&lt;0, "Understock","Okay")</f>
        <v>Okay</v>
      </c>
      <c r="O1235" s="13" t="str">
        <f>IF(Table2[[#This Row],[Stock Gap]]&lt;0, "Yes", "No")</f>
        <v>No</v>
      </c>
      <c r="P1235" s="13" t="str">
        <f>IF(Table2[[#This Row],[CurrentStock]]&lt;Table2[[#This Row],[ReorderLevel]],"Reorder", "Okay")</f>
        <v>Okay</v>
      </c>
      <c r="Q1235" s="13" t="str">
        <f>IF(Table2[[#This Row],[CurrentStock]]&gt;Table2[[#This Row],[ReorderLevel]]*3, "Overstock", "Okay")</f>
        <v>Overstock</v>
      </c>
    </row>
    <row r="1236" spans="1:17" x14ac:dyDescent="0.35">
      <c r="A1236">
        <v>54732</v>
      </c>
      <c r="B1236" t="s">
        <v>9</v>
      </c>
      <c r="C1236" t="s">
        <v>26</v>
      </c>
      <c r="D1236">
        <v>355</v>
      </c>
      <c r="E1236">
        <v>150</v>
      </c>
      <c r="F1236" s="2">
        <v>89.81</v>
      </c>
      <c r="G1236" t="s">
        <v>34</v>
      </c>
      <c r="H1236" s="1">
        <v>45354</v>
      </c>
      <c r="I1236" s="1">
        <v>45366</v>
      </c>
      <c r="J1236" t="s">
        <v>38</v>
      </c>
      <c r="K1236" s="8">
        <f>Table2[[#This Row],[CurrentStock]]*Table2[[#This Row],[UnitPrice]]</f>
        <v>31882.55</v>
      </c>
      <c r="L1236" t="str">
        <f>IF(Table2[[#This Row],[CurrentStock]]&lt;=Table2[[#This Row],[ReorderLevel]], "Reorder Needed", "Okay")</f>
        <v>Okay</v>
      </c>
      <c r="M1236" t="str">
        <f>IF(Table2[[#This Row],[CurrentStock]]-Table2[[#This Row],[ReorderLevel]]&lt;0,Table2[[#This Row],[CurrentStock]]-Table2[[#This Row],[ReorderLevel]],"")</f>
        <v/>
      </c>
      <c r="N1236" t="str">
        <f>IF(Table2[[#This Row],[Stock Gap]]&lt;0, "Understock","Okay")</f>
        <v>Okay</v>
      </c>
      <c r="O1236" s="13" t="str">
        <f>IF(Table2[[#This Row],[Stock Gap]]&lt;0, "Yes", "No")</f>
        <v>No</v>
      </c>
      <c r="P1236" s="13" t="str">
        <f>IF(Table2[[#This Row],[CurrentStock]]&lt;Table2[[#This Row],[ReorderLevel]],"Reorder", "Okay")</f>
        <v>Okay</v>
      </c>
      <c r="Q1236" s="13" t="str">
        <f>IF(Table2[[#This Row],[CurrentStock]]&gt;Table2[[#This Row],[ReorderLevel]]*3, "Overstock", "Okay")</f>
        <v>Okay</v>
      </c>
    </row>
    <row r="1237" spans="1:17" x14ac:dyDescent="0.35">
      <c r="A1237">
        <v>82743</v>
      </c>
      <c r="B1237" t="s">
        <v>21</v>
      </c>
      <c r="C1237" t="s">
        <v>26</v>
      </c>
      <c r="D1237">
        <v>227</v>
      </c>
      <c r="E1237">
        <v>50</v>
      </c>
      <c r="F1237" s="2">
        <v>61.7</v>
      </c>
      <c r="G1237" t="s">
        <v>35</v>
      </c>
      <c r="H1237" s="1">
        <v>45313</v>
      </c>
      <c r="I1237" s="1">
        <v>45340</v>
      </c>
      <c r="J1237" t="s">
        <v>37</v>
      </c>
      <c r="K1237" s="8">
        <f>Table2[[#This Row],[CurrentStock]]*Table2[[#This Row],[UnitPrice]]</f>
        <v>14005.900000000001</v>
      </c>
      <c r="L1237" t="str">
        <f>IF(Table2[[#This Row],[CurrentStock]]&lt;=Table2[[#This Row],[ReorderLevel]], "Reorder Needed", "Okay")</f>
        <v>Okay</v>
      </c>
      <c r="M1237" t="str">
        <f>IF(Table2[[#This Row],[CurrentStock]]-Table2[[#This Row],[ReorderLevel]]&lt;0,Table2[[#This Row],[CurrentStock]]-Table2[[#This Row],[ReorderLevel]],"")</f>
        <v/>
      </c>
      <c r="N1237" t="str">
        <f>IF(Table2[[#This Row],[Stock Gap]]&lt;0, "Understock","Okay")</f>
        <v>Okay</v>
      </c>
      <c r="O1237" s="13" t="str">
        <f>IF(Table2[[#This Row],[Stock Gap]]&lt;0, "Yes", "No")</f>
        <v>No</v>
      </c>
      <c r="P1237" s="13" t="str">
        <f>IF(Table2[[#This Row],[CurrentStock]]&lt;Table2[[#This Row],[ReorderLevel]],"Reorder", "Okay")</f>
        <v>Okay</v>
      </c>
      <c r="Q1237" s="13" t="str">
        <f>IF(Table2[[#This Row],[CurrentStock]]&gt;Table2[[#This Row],[ReorderLevel]]*3, "Overstock", "Okay")</f>
        <v>Overstock</v>
      </c>
    </row>
    <row r="1238" spans="1:17" x14ac:dyDescent="0.35">
      <c r="A1238">
        <v>46303</v>
      </c>
      <c r="B1238" t="s">
        <v>14</v>
      </c>
      <c r="C1238" t="s">
        <v>28</v>
      </c>
      <c r="D1238">
        <v>132</v>
      </c>
      <c r="E1238">
        <v>150</v>
      </c>
      <c r="F1238" s="2">
        <v>493.61</v>
      </c>
      <c r="G1238" t="s">
        <v>35</v>
      </c>
      <c r="H1238" s="1">
        <v>45375</v>
      </c>
      <c r="I1238" s="1">
        <v>45412</v>
      </c>
      <c r="J1238" t="s">
        <v>37</v>
      </c>
      <c r="K1238" s="8">
        <f>Table2[[#This Row],[CurrentStock]]*Table2[[#This Row],[UnitPrice]]</f>
        <v>65156.520000000004</v>
      </c>
      <c r="L1238" t="str">
        <f>IF(Table2[[#This Row],[CurrentStock]]&lt;=Table2[[#This Row],[ReorderLevel]], "Reorder Needed", "Okay")</f>
        <v>Reorder Needed</v>
      </c>
      <c r="M1238" s="7">
        <f>IF(Table2[[#This Row],[CurrentStock]]-Table2[[#This Row],[ReorderLevel]]&lt;0,Table2[[#This Row],[CurrentStock]]-Table2[[#This Row],[ReorderLevel]],"")</f>
        <v>-18</v>
      </c>
      <c r="N1238" t="str">
        <f>IF(Table2[[#This Row],[Stock Gap]]&lt;0, "Understock","Okay")</f>
        <v>Understock</v>
      </c>
      <c r="O1238" s="13" t="str">
        <f>IF(Table2[[#This Row],[Stock Gap]]&lt;0, "Yes", "No")</f>
        <v>Yes</v>
      </c>
      <c r="P1238" s="13" t="str">
        <f>IF(Table2[[#This Row],[CurrentStock]]&lt;Table2[[#This Row],[ReorderLevel]],"Reorder", "Okay")</f>
        <v>Reorder</v>
      </c>
      <c r="Q1238" s="13" t="str">
        <f>IF(Table2[[#This Row],[CurrentStock]]&gt;Table2[[#This Row],[ReorderLevel]]*3, "Overstock", "Okay")</f>
        <v>Okay</v>
      </c>
    </row>
    <row r="1239" spans="1:17" x14ac:dyDescent="0.35">
      <c r="A1239">
        <v>67988</v>
      </c>
      <c r="B1239" t="s">
        <v>24</v>
      </c>
      <c r="C1239" t="s">
        <v>30</v>
      </c>
      <c r="D1239">
        <v>165</v>
      </c>
      <c r="E1239">
        <v>80</v>
      </c>
      <c r="F1239" s="2">
        <v>438.18</v>
      </c>
      <c r="G1239" t="s">
        <v>32</v>
      </c>
      <c r="H1239" s="1">
        <v>45517</v>
      </c>
      <c r="I1239" s="1">
        <v>45543</v>
      </c>
      <c r="J1239" t="s">
        <v>38</v>
      </c>
      <c r="K1239" s="8">
        <f>Table2[[#This Row],[CurrentStock]]*Table2[[#This Row],[UnitPrice]]</f>
        <v>72299.7</v>
      </c>
      <c r="L1239" t="str">
        <f>IF(Table2[[#This Row],[CurrentStock]]&lt;=Table2[[#This Row],[ReorderLevel]], "Reorder Needed", "Okay")</f>
        <v>Okay</v>
      </c>
      <c r="M1239" t="str">
        <f>IF(Table2[[#This Row],[CurrentStock]]-Table2[[#This Row],[ReorderLevel]]&lt;0,Table2[[#This Row],[CurrentStock]]-Table2[[#This Row],[ReorderLevel]],"")</f>
        <v/>
      </c>
      <c r="N1239" t="str">
        <f>IF(Table2[[#This Row],[Stock Gap]]&lt;0, "Understock","Okay")</f>
        <v>Okay</v>
      </c>
      <c r="O1239" s="13" t="str">
        <f>IF(Table2[[#This Row],[Stock Gap]]&lt;0, "Yes", "No")</f>
        <v>No</v>
      </c>
      <c r="P1239" s="13" t="str">
        <f>IF(Table2[[#This Row],[CurrentStock]]&lt;Table2[[#This Row],[ReorderLevel]],"Reorder", "Okay")</f>
        <v>Okay</v>
      </c>
      <c r="Q1239" s="13" t="str">
        <f>IF(Table2[[#This Row],[CurrentStock]]&gt;Table2[[#This Row],[ReorderLevel]]*3, "Overstock", "Okay")</f>
        <v>Okay</v>
      </c>
    </row>
    <row r="1240" spans="1:17" x14ac:dyDescent="0.35">
      <c r="A1240">
        <v>72040</v>
      </c>
      <c r="B1240" t="s">
        <v>21</v>
      </c>
      <c r="C1240" t="s">
        <v>26</v>
      </c>
      <c r="D1240">
        <v>222</v>
      </c>
      <c r="E1240">
        <v>40</v>
      </c>
      <c r="F1240" s="2">
        <v>228.02</v>
      </c>
      <c r="G1240" t="s">
        <v>35</v>
      </c>
      <c r="H1240" s="1">
        <v>45541</v>
      </c>
      <c r="I1240" s="1">
        <v>45570</v>
      </c>
      <c r="J1240" t="s">
        <v>36</v>
      </c>
      <c r="K1240" s="8">
        <f>Table2[[#This Row],[CurrentStock]]*Table2[[#This Row],[UnitPrice]]</f>
        <v>50620.44</v>
      </c>
      <c r="L1240" t="str">
        <f>IF(Table2[[#This Row],[CurrentStock]]&lt;=Table2[[#This Row],[ReorderLevel]], "Reorder Needed", "Okay")</f>
        <v>Okay</v>
      </c>
      <c r="M1240" t="str">
        <f>IF(Table2[[#This Row],[CurrentStock]]-Table2[[#This Row],[ReorderLevel]]&lt;0,Table2[[#This Row],[CurrentStock]]-Table2[[#This Row],[ReorderLevel]],"")</f>
        <v/>
      </c>
      <c r="N1240" t="str">
        <f>IF(Table2[[#This Row],[Stock Gap]]&lt;0, "Understock","Okay")</f>
        <v>Okay</v>
      </c>
      <c r="O1240" s="13" t="str">
        <f>IF(Table2[[#This Row],[Stock Gap]]&lt;0, "Yes", "No")</f>
        <v>No</v>
      </c>
      <c r="P1240" s="13" t="str">
        <f>IF(Table2[[#This Row],[CurrentStock]]&lt;Table2[[#This Row],[ReorderLevel]],"Reorder", "Okay")</f>
        <v>Okay</v>
      </c>
      <c r="Q1240" s="13" t="str">
        <f>IF(Table2[[#This Row],[CurrentStock]]&gt;Table2[[#This Row],[ReorderLevel]]*3, "Overstock", "Okay")</f>
        <v>Overstock</v>
      </c>
    </row>
    <row r="1241" spans="1:17" x14ac:dyDescent="0.35">
      <c r="A1241">
        <v>46572</v>
      </c>
      <c r="B1241" t="s">
        <v>25</v>
      </c>
      <c r="C1241" t="s">
        <v>29</v>
      </c>
      <c r="D1241">
        <v>246</v>
      </c>
      <c r="E1241">
        <v>100</v>
      </c>
      <c r="F1241" s="2">
        <v>215.65</v>
      </c>
      <c r="G1241" t="s">
        <v>34</v>
      </c>
      <c r="H1241" s="1">
        <v>45634</v>
      </c>
      <c r="I1241" s="1">
        <v>45642</v>
      </c>
      <c r="J1241" t="s">
        <v>38</v>
      </c>
      <c r="K1241" s="8">
        <f>Table2[[#This Row],[CurrentStock]]*Table2[[#This Row],[UnitPrice]]</f>
        <v>53049.9</v>
      </c>
      <c r="L1241" t="str">
        <f>IF(Table2[[#This Row],[CurrentStock]]&lt;=Table2[[#This Row],[ReorderLevel]], "Reorder Needed", "Okay")</f>
        <v>Okay</v>
      </c>
      <c r="M1241" t="str">
        <f>IF(Table2[[#This Row],[CurrentStock]]-Table2[[#This Row],[ReorderLevel]]&lt;0,Table2[[#This Row],[CurrentStock]]-Table2[[#This Row],[ReorderLevel]],"")</f>
        <v/>
      </c>
      <c r="N1241" t="str">
        <f>IF(Table2[[#This Row],[Stock Gap]]&lt;0, "Understock","Okay")</f>
        <v>Okay</v>
      </c>
      <c r="O1241" s="13" t="str">
        <f>IF(Table2[[#This Row],[Stock Gap]]&lt;0, "Yes", "No")</f>
        <v>No</v>
      </c>
      <c r="P1241" s="13" t="str">
        <f>IF(Table2[[#This Row],[CurrentStock]]&lt;Table2[[#This Row],[ReorderLevel]],"Reorder", "Okay")</f>
        <v>Okay</v>
      </c>
      <c r="Q1241" s="13" t="str">
        <f>IF(Table2[[#This Row],[CurrentStock]]&gt;Table2[[#This Row],[ReorderLevel]]*3, "Overstock", "Okay")</f>
        <v>Okay</v>
      </c>
    </row>
    <row r="1242" spans="1:17" x14ac:dyDescent="0.35">
      <c r="A1242">
        <v>19862</v>
      </c>
      <c r="B1242" t="s">
        <v>16</v>
      </c>
      <c r="C1242" t="s">
        <v>29</v>
      </c>
      <c r="D1242">
        <v>288</v>
      </c>
      <c r="E1242">
        <v>20</v>
      </c>
      <c r="F1242" s="2">
        <v>348.45</v>
      </c>
      <c r="G1242" t="s">
        <v>33</v>
      </c>
      <c r="H1242" s="1">
        <v>45543</v>
      </c>
      <c r="I1242" s="1">
        <v>45569</v>
      </c>
      <c r="J1242" t="s">
        <v>36</v>
      </c>
      <c r="K1242" s="8">
        <f>Table2[[#This Row],[CurrentStock]]*Table2[[#This Row],[UnitPrice]]</f>
        <v>100353.59999999999</v>
      </c>
      <c r="L1242" t="str">
        <f>IF(Table2[[#This Row],[CurrentStock]]&lt;=Table2[[#This Row],[ReorderLevel]], "Reorder Needed", "Okay")</f>
        <v>Okay</v>
      </c>
      <c r="M1242" t="str">
        <f>IF(Table2[[#This Row],[CurrentStock]]-Table2[[#This Row],[ReorderLevel]]&lt;0,Table2[[#This Row],[CurrentStock]]-Table2[[#This Row],[ReorderLevel]],"")</f>
        <v/>
      </c>
      <c r="N1242" t="str">
        <f>IF(Table2[[#This Row],[Stock Gap]]&lt;0, "Understock","Okay")</f>
        <v>Okay</v>
      </c>
      <c r="O1242" s="13" t="str">
        <f>IF(Table2[[#This Row],[Stock Gap]]&lt;0, "Yes", "No")</f>
        <v>No</v>
      </c>
      <c r="P1242" s="13" t="str">
        <f>IF(Table2[[#This Row],[CurrentStock]]&lt;Table2[[#This Row],[ReorderLevel]],"Reorder", "Okay")</f>
        <v>Okay</v>
      </c>
      <c r="Q1242" s="13" t="str">
        <f>IF(Table2[[#This Row],[CurrentStock]]&gt;Table2[[#This Row],[ReorderLevel]]*3, "Overstock", "Okay")</f>
        <v>Overstock</v>
      </c>
    </row>
    <row r="1243" spans="1:17" x14ac:dyDescent="0.35">
      <c r="A1243">
        <v>29323</v>
      </c>
      <c r="B1243" t="s">
        <v>19</v>
      </c>
      <c r="C1243" t="s">
        <v>28</v>
      </c>
      <c r="D1243">
        <v>216</v>
      </c>
      <c r="E1243">
        <v>30</v>
      </c>
      <c r="F1243" s="2">
        <v>278.95</v>
      </c>
      <c r="G1243" t="s">
        <v>31</v>
      </c>
      <c r="H1243" s="1">
        <v>45547</v>
      </c>
      <c r="I1243" s="1">
        <v>45563</v>
      </c>
      <c r="J1243" t="s">
        <v>38</v>
      </c>
      <c r="K1243" s="8">
        <f>Table2[[#This Row],[CurrentStock]]*Table2[[#This Row],[UnitPrice]]</f>
        <v>60253.2</v>
      </c>
      <c r="L1243" t="str">
        <f>IF(Table2[[#This Row],[CurrentStock]]&lt;=Table2[[#This Row],[ReorderLevel]], "Reorder Needed", "Okay")</f>
        <v>Okay</v>
      </c>
      <c r="M1243" t="str">
        <f>IF(Table2[[#This Row],[CurrentStock]]-Table2[[#This Row],[ReorderLevel]]&lt;0,Table2[[#This Row],[CurrentStock]]-Table2[[#This Row],[ReorderLevel]],"")</f>
        <v/>
      </c>
      <c r="N1243" t="str">
        <f>IF(Table2[[#This Row],[Stock Gap]]&lt;0, "Understock","Okay")</f>
        <v>Okay</v>
      </c>
      <c r="O1243" s="13" t="str">
        <f>IF(Table2[[#This Row],[Stock Gap]]&lt;0, "Yes", "No")</f>
        <v>No</v>
      </c>
      <c r="P1243" s="13" t="str">
        <f>IF(Table2[[#This Row],[CurrentStock]]&lt;Table2[[#This Row],[ReorderLevel]],"Reorder", "Okay")</f>
        <v>Okay</v>
      </c>
      <c r="Q1243" s="13" t="str">
        <f>IF(Table2[[#This Row],[CurrentStock]]&gt;Table2[[#This Row],[ReorderLevel]]*3, "Overstock", "Okay")</f>
        <v>Overstock</v>
      </c>
    </row>
    <row r="1244" spans="1:17" x14ac:dyDescent="0.35">
      <c r="A1244">
        <v>33382</v>
      </c>
      <c r="B1244" t="s">
        <v>25</v>
      </c>
      <c r="C1244" t="s">
        <v>29</v>
      </c>
      <c r="D1244">
        <v>418</v>
      </c>
      <c r="E1244">
        <v>20</v>
      </c>
      <c r="F1244" s="2">
        <v>322.95</v>
      </c>
      <c r="G1244" t="s">
        <v>33</v>
      </c>
      <c r="H1244" s="1">
        <v>45355</v>
      </c>
      <c r="I1244" s="1">
        <v>45363</v>
      </c>
      <c r="J1244" t="s">
        <v>37</v>
      </c>
      <c r="K1244" s="8">
        <f>Table2[[#This Row],[CurrentStock]]*Table2[[#This Row],[UnitPrice]]</f>
        <v>134993.1</v>
      </c>
      <c r="L1244" t="str">
        <f>IF(Table2[[#This Row],[CurrentStock]]&lt;=Table2[[#This Row],[ReorderLevel]], "Reorder Needed", "Okay")</f>
        <v>Okay</v>
      </c>
      <c r="M1244" t="str">
        <f>IF(Table2[[#This Row],[CurrentStock]]-Table2[[#This Row],[ReorderLevel]]&lt;0,Table2[[#This Row],[CurrentStock]]-Table2[[#This Row],[ReorderLevel]],"")</f>
        <v/>
      </c>
      <c r="N1244" t="str">
        <f>IF(Table2[[#This Row],[Stock Gap]]&lt;0, "Understock","Okay")</f>
        <v>Okay</v>
      </c>
      <c r="O1244" s="13" t="str">
        <f>IF(Table2[[#This Row],[Stock Gap]]&lt;0, "Yes", "No")</f>
        <v>No</v>
      </c>
      <c r="P1244" s="13" t="str">
        <f>IF(Table2[[#This Row],[CurrentStock]]&lt;Table2[[#This Row],[ReorderLevel]],"Reorder", "Okay")</f>
        <v>Okay</v>
      </c>
      <c r="Q1244" s="13" t="str">
        <f>IF(Table2[[#This Row],[CurrentStock]]&gt;Table2[[#This Row],[ReorderLevel]]*3, "Overstock", "Okay")</f>
        <v>Overstock</v>
      </c>
    </row>
    <row r="1245" spans="1:17" x14ac:dyDescent="0.35">
      <c r="A1245">
        <v>26292</v>
      </c>
      <c r="B1245" t="s">
        <v>9</v>
      </c>
      <c r="C1245" t="s">
        <v>26</v>
      </c>
      <c r="D1245">
        <v>340</v>
      </c>
      <c r="E1245">
        <v>80</v>
      </c>
      <c r="F1245" s="2">
        <v>488.97</v>
      </c>
      <c r="G1245" t="s">
        <v>32</v>
      </c>
      <c r="H1245" s="1">
        <v>45471</v>
      </c>
      <c r="I1245" s="1">
        <v>45507</v>
      </c>
      <c r="J1245" t="s">
        <v>37</v>
      </c>
      <c r="K1245" s="8">
        <f>Table2[[#This Row],[CurrentStock]]*Table2[[#This Row],[UnitPrice]]</f>
        <v>166249.80000000002</v>
      </c>
      <c r="L1245" t="str">
        <f>IF(Table2[[#This Row],[CurrentStock]]&lt;=Table2[[#This Row],[ReorderLevel]], "Reorder Needed", "Okay")</f>
        <v>Okay</v>
      </c>
      <c r="M1245" t="str">
        <f>IF(Table2[[#This Row],[CurrentStock]]-Table2[[#This Row],[ReorderLevel]]&lt;0,Table2[[#This Row],[CurrentStock]]-Table2[[#This Row],[ReorderLevel]],"")</f>
        <v/>
      </c>
      <c r="N1245" t="str">
        <f>IF(Table2[[#This Row],[Stock Gap]]&lt;0, "Understock","Okay")</f>
        <v>Okay</v>
      </c>
      <c r="O1245" s="13" t="str">
        <f>IF(Table2[[#This Row],[Stock Gap]]&lt;0, "Yes", "No")</f>
        <v>No</v>
      </c>
      <c r="P1245" s="13" t="str">
        <f>IF(Table2[[#This Row],[CurrentStock]]&lt;Table2[[#This Row],[ReorderLevel]],"Reorder", "Okay")</f>
        <v>Okay</v>
      </c>
      <c r="Q1245" s="13" t="str">
        <f>IF(Table2[[#This Row],[CurrentStock]]&gt;Table2[[#This Row],[ReorderLevel]]*3, "Overstock", "Okay")</f>
        <v>Overstock</v>
      </c>
    </row>
    <row r="1246" spans="1:17" x14ac:dyDescent="0.35">
      <c r="A1246">
        <v>59648</v>
      </c>
      <c r="B1246" t="s">
        <v>9</v>
      </c>
      <c r="C1246" t="s">
        <v>26</v>
      </c>
      <c r="D1246">
        <v>368</v>
      </c>
      <c r="E1246">
        <v>20</v>
      </c>
      <c r="F1246" s="2">
        <v>426.81</v>
      </c>
      <c r="G1246" t="s">
        <v>34</v>
      </c>
      <c r="H1246" s="1">
        <v>45361</v>
      </c>
      <c r="I1246" s="1">
        <v>45382</v>
      </c>
      <c r="J1246" t="s">
        <v>36</v>
      </c>
      <c r="K1246" s="8">
        <f>Table2[[#This Row],[CurrentStock]]*Table2[[#This Row],[UnitPrice]]</f>
        <v>157066.07999999999</v>
      </c>
      <c r="L1246" t="str">
        <f>IF(Table2[[#This Row],[CurrentStock]]&lt;=Table2[[#This Row],[ReorderLevel]], "Reorder Needed", "Okay")</f>
        <v>Okay</v>
      </c>
      <c r="M1246" t="str">
        <f>IF(Table2[[#This Row],[CurrentStock]]-Table2[[#This Row],[ReorderLevel]]&lt;0,Table2[[#This Row],[CurrentStock]]-Table2[[#This Row],[ReorderLevel]],"")</f>
        <v/>
      </c>
      <c r="N1246" t="str">
        <f>IF(Table2[[#This Row],[Stock Gap]]&lt;0, "Understock","Okay")</f>
        <v>Okay</v>
      </c>
      <c r="O1246" s="13" t="str">
        <f>IF(Table2[[#This Row],[Stock Gap]]&lt;0, "Yes", "No")</f>
        <v>No</v>
      </c>
      <c r="P1246" s="13" t="str">
        <f>IF(Table2[[#This Row],[CurrentStock]]&lt;Table2[[#This Row],[ReorderLevel]],"Reorder", "Okay")</f>
        <v>Okay</v>
      </c>
      <c r="Q1246" s="13" t="str">
        <f>IF(Table2[[#This Row],[CurrentStock]]&gt;Table2[[#This Row],[ReorderLevel]]*3, "Overstock", "Okay")</f>
        <v>Overstock</v>
      </c>
    </row>
    <row r="1247" spans="1:17" x14ac:dyDescent="0.35">
      <c r="A1247">
        <v>32072</v>
      </c>
      <c r="B1247" t="s">
        <v>19</v>
      </c>
      <c r="C1247" t="s">
        <v>28</v>
      </c>
      <c r="D1247">
        <v>214</v>
      </c>
      <c r="E1247">
        <v>20</v>
      </c>
      <c r="F1247" s="2">
        <v>146.9</v>
      </c>
      <c r="G1247" t="s">
        <v>31</v>
      </c>
      <c r="H1247" s="1">
        <v>45497</v>
      </c>
      <c r="I1247" s="1">
        <v>45518</v>
      </c>
      <c r="J1247" t="s">
        <v>36</v>
      </c>
      <c r="K1247" s="8">
        <f>Table2[[#This Row],[CurrentStock]]*Table2[[#This Row],[UnitPrice]]</f>
        <v>31436.600000000002</v>
      </c>
      <c r="L1247" t="str">
        <f>IF(Table2[[#This Row],[CurrentStock]]&lt;=Table2[[#This Row],[ReorderLevel]], "Reorder Needed", "Okay")</f>
        <v>Okay</v>
      </c>
      <c r="M1247" t="str">
        <f>IF(Table2[[#This Row],[CurrentStock]]-Table2[[#This Row],[ReorderLevel]]&lt;0,Table2[[#This Row],[CurrentStock]]-Table2[[#This Row],[ReorderLevel]],"")</f>
        <v/>
      </c>
      <c r="N1247" t="str">
        <f>IF(Table2[[#This Row],[Stock Gap]]&lt;0, "Understock","Okay")</f>
        <v>Okay</v>
      </c>
      <c r="O1247" s="13" t="str">
        <f>IF(Table2[[#This Row],[Stock Gap]]&lt;0, "Yes", "No")</f>
        <v>No</v>
      </c>
      <c r="P1247" s="13" t="str">
        <f>IF(Table2[[#This Row],[CurrentStock]]&lt;Table2[[#This Row],[ReorderLevel]],"Reorder", "Okay")</f>
        <v>Okay</v>
      </c>
      <c r="Q1247" s="13" t="str">
        <f>IF(Table2[[#This Row],[CurrentStock]]&gt;Table2[[#This Row],[ReorderLevel]]*3, "Overstock", "Okay")</f>
        <v>Overstock</v>
      </c>
    </row>
    <row r="1248" spans="1:17" x14ac:dyDescent="0.35">
      <c r="A1248">
        <v>28781</v>
      </c>
      <c r="B1248" t="s">
        <v>17</v>
      </c>
      <c r="C1248" t="s">
        <v>27</v>
      </c>
      <c r="D1248">
        <v>493</v>
      </c>
      <c r="E1248">
        <v>40</v>
      </c>
      <c r="F1248" s="2">
        <v>386.39</v>
      </c>
      <c r="G1248" t="s">
        <v>31</v>
      </c>
      <c r="H1248" s="1">
        <v>45297</v>
      </c>
      <c r="I1248" s="1">
        <v>45334</v>
      </c>
      <c r="J1248" t="s">
        <v>37</v>
      </c>
      <c r="K1248" s="8">
        <f>Table2[[#This Row],[CurrentStock]]*Table2[[#This Row],[UnitPrice]]</f>
        <v>190490.27</v>
      </c>
      <c r="L1248" t="str">
        <f>IF(Table2[[#This Row],[CurrentStock]]&lt;=Table2[[#This Row],[ReorderLevel]], "Reorder Needed", "Okay")</f>
        <v>Okay</v>
      </c>
      <c r="M1248" t="str">
        <f>IF(Table2[[#This Row],[CurrentStock]]-Table2[[#This Row],[ReorderLevel]]&lt;0,Table2[[#This Row],[CurrentStock]]-Table2[[#This Row],[ReorderLevel]],"")</f>
        <v/>
      </c>
      <c r="N1248" t="str">
        <f>IF(Table2[[#This Row],[Stock Gap]]&lt;0, "Understock","Okay")</f>
        <v>Okay</v>
      </c>
      <c r="O1248" s="13" t="str">
        <f>IF(Table2[[#This Row],[Stock Gap]]&lt;0, "Yes", "No")</f>
        <v>No</v>
      </c>
      <c r="P1248" s="13" t="str">
        <f>IF(Table2[[#This Row],[CurrentStock]]&lt;Table2[[#This Row],[ReorderLevel]],"Reorder", "Okay")</f>
        <v>Okay</v>
      </c>
      <c r="Q1248" s="13" t="str">
        <f>IF(Table2[[#This Row],[CurrentStock]]&gt;Table2[[#This Row],[ReorderLevel]]*3, "Overstock", "Okay")</f>
        <v>Overstock</v>
      </c>
    </row>
    <row r="1249" spans="1:17" x14ac:dyDescent="0.35">
      <c r="A1249">
        <v>43746</v>
      </c>
      <c r="B1249" t="s">
        <v>24</v>
      </c>
      <c r="C1249" t="s">
        <v>30</v>
      </c>
      <c r="D1249">
        <v>402</v>
      </c>
      <c r="E1249">
        <v>40</v>
      </c>
      <c r="F1249" s="2">
        <v>60.86</v>
      </c>
      <c r="G1249" t="s">
        <v>32</v>
      </c>
      <c r="H1249" s="1">
        <v>45359</v>
      </c>
      <c r="I1249" s="1">
        <v>45383</v>
      </c>
      <c r="J1249" t="s">
        <v>37</v>
      </c>
      <c r="K1249" s="8">
        <f>Table2[[#This Row],[CurrentStock]]*Table2[[#This Row],[UnitPrice]]</f>
        <v>24465.72</v>
      </c>
      <c r="L1249" t="str">
        <f>IF(Table2[[#This Row],[CurrentStock]]&lt;=Table2[[#This Row],[ReorderLevel]], "Reorder Needed", "Okay")</f>
        <v>Okay</v>
      </c>
      <c r="M1249" t="str">
        <f>IF(Table2[[#This Row],[CurrentStock]]-Table2[[#This Row],[ReorderLevel]]&lt;0,Table2[[#This Row],[CurrentStock]]-Table2[[#This Row],[ReorderLevel]],"")</f>
        <v/>
      </c>
      <c r="N1249" t="str">
        <f>IF(Table2[[#This Row],[Stock Gap]]&lt;0, "Understock","Okay")</f>
        <v>Okay</v>
      </c>
      <c r="O1249" s="13" t="str">
        <f>IF(Table2[[#This Row],[Stock Gap]]&lt;0, "Yes", "No")</f>
        <v>No</v>
      </c>
      <c r="P1249" s="13" t="str">
        <f>IF(Table2[[#This Row],[CurrentStock]]&lt;Table2[[#This Row],[ReorderLevel]],"Reorder", "Okay")</f>
        <v>Okay</v>
      </c>
      <c r="Q1249" s="13" t="str">
        <f>IF(Table2[[#This Row],[CurrentStock]]&gt;Table2[[#This Row],[ReorderLevel]]*3, "Overstock", "Okay")</f>
        <v>Overstock</v>
      </c>
    </row>
    <row r="1250" spans="1:17" x14ac:dyDescent="0.35">
      <c r="A1250">
        <v>76483</v>
      </c>
      <c r="B1250" t="s">
        <v>11</v>
      </c>
      <c r="C1250" t="s">
        <v>27</v>
      </c>
      <c r="D1250">
        <v>195</v>
      </c>
      <c r="E1250">
        <v>100</v>
      </c>
      <c r="F1250" s="2">
        <v>187.2</v>
      </c>
      <c r="G1250" t="s">
        <v>32</v>
      </c>
      <c r="H1250" s="1">
        <v>45403</v>
      </c>
      <c r="I1250" s="1">
        <v>45414</v>
      </c>
      <c r="J1250" t="s">
        <v>38</v>
      </c>
      <c r="K1250" s="8">
        <f>Table2[[#This Row],[CurrentStock]]*Table2[[#This Row],[UnitPrice]]</f>
        <v>36504</v>
      </c>
      <c r="L1250" t="str">
        <f>IF(Table2[[#This Row],[CurrentStock]]&lt;=Table2[[#This Row],[ReorderLevel]], "Reorder Needed", "Okay")</f>
        <v>Okay</v>
      </c>
      <c r="M1250" t="str">
        <f>IF(Table2[[#This Row],[CurrentStock]]-Table2[[#This Row],[ReorderLevel]]&lt;0,Table2[[#This Row],[CurrentStock]]-Table2[[#This Row],[ReorderLevel]],"")</f>
        <v/>
      </c>
      <c r="N1250" t="str">
        <f>IF(Table2[[#This Row],[Stock Gap]]&lt;0, "Understock","Okay")</f>
        <v>Okay</v>
      </c>
      <c r="O1250" s="13" t="str">
        <f>IF(Table2[[#This Row],[Stock Gap]]&lt;0, "Yes", "No")</f>
        <v>No</v>
      </c>
      <c r="P1250" s="13" t="str">
        <f>IF(Table2[[#This Row],[CurrentStock]]&lt;Table2[[#This Row],[ReorderLevel]],"Reorder", "Okay")</f>
        <v>Okay</v>
      </c>
      <c r="Q1250" s="13" t="str">
        <f>IF(Table2[[#This Row],[CurrentStock]]&gt;Table2[[#This Row],[ReorderLevel]]*3, "Overstock", "Okay")</f>
        <v>Okay</v>
      </c>
    </row>
    <row r="1251" spans="1:17" x14ac:dyDescent="0.35">
      <c r="A1251">
        <v>28677</v>
      </c>
      <c r="B1251" t="s">
        <v>19</v>
      </c>
      <c r="C1251" t="s">
        <v>28</v>
      </c>
      <c r="D1251">
        <v>316</v>
      </c>
      <c r="E1251">
        <v>50</v>
      </c>
      <c r="F1251" s="2">
        <v>262.68</v>
      </c>
      <c r="G1251" t="s">
        <v>34</v>
      </c>
      <c r="H1251" s="1">
        <v>45597</v>
      </c>
      <c r="I1251" s="1">
        <v>45617</v>
      </c>
      <c r="J1251" t="s">
        <v>38</v>
      </c>
      <c r="K1251" s="8">
        <f>Table2[[#This Row],[CurrentStock]]*Table2[[#This Row],[UnitPrice]]</f>
        <v>83006.880000000005</v>
      </c>
      <c r="L1251" t="str">
        <f>IF(Table2[[#This Row],[CurrentStock]]&lt;=Table2[[#This Row],[ReorderLevel]], "Reorder Needed", "Okay")</f>
        <v>Okay</v>
      </c>
      <c r="M1251" t="str">
        <f>IF(Table2[[#This Row],[CurrentStock]]-Table2[[#This Row],[ReorderLevel]]&lt;0,Table2[[#This Row],[CurrentStock]]-Table2[[#This Row],[ReorderLevel]],"")</f>
        <v/>
      </c>
      <c r="N1251" t="str">
        <f>IF(Table2[[#This Row],[Stock Gap]]&lt;0, "Understock","Okay")</f>
        <v>Okay</v>
      </c>
      <c r="O1251" s="13" t="str">
        <f>IF(Table2[[#This Row],[Stock Gap]]&lt;0, "Yes", "No")</f>
        <v>No</v>
      </c>
      <c r="P1251" s="13" t="str">
        <f>IF(Table2[[#This Row],[CurrentStock]]&lt;Table2[[#This Row],[ReorderLevel]],"Reorder", "Okay")</f>
        <v>Okay</v>
      </c>
      <c r="Q1251" s="13" t="str">
        <f>IF(Table2[[#This Row],[CurrentStock]]&gt;Table2[[#This Row],[ReorderLevel]]*3, "Overstock", "Okay")</f>
        <v>Overstock</v>
      </c>
    </row>
    <row r="1252" spans="1:17" x14ac:dyDescent="0.35">
      <c r="A1252">
        <v>59323</v>
      </c>
      <c r="B1252" t="s">
        <v>16</v>
      </c>
      <c r="C1252" t="s">
        <v>29</v>
      </c>
      <c r="D1252">
        <v>9</v>
      </c>
      <c r="E1252">
        <v>20</v>
      </c>
      <c r="F1252" s="2">
        <v>76.92</v>
      </c>
      <c r="G1252" t="s">
        <v>34</v>
      </c>
      <c r="H1252" s="1">
        <v>45555</v>
      </c>
      <c r="I1252" s="1">
        <v>45580</v>
      </c>
      <c r="J1252" t="s">
        <v>37</v>
      </c>
      <c r="K1252" s="8">
        <f>Table2[[#This Row],[CurrentStock]]*Table2[[#This Row],[UnitPrice]]</f>
        <v>692.28</v>
      </c>
      <c r="L1252" t="str">
        <f>IF(Table2[[#This Row],[CurrentStock]]&lt;=Table2[[#This Row],[ReorderLevel]], "Reorder Needed", "Okay")</f>
        <v>Reorder Needed</v>
      </c>
      <c r="M1252" s="7">
        <f>IF(Table2[[#This Row],[CurrentStock]]-Table2[[#This Row],[ReorderLevel]]&lt;0,Table2[[#This Row],[CurrentStock]]-Table2[[#This Row],[ReorderLevel]],"")</f>
        <v>-11</v>
      </c>
      <c r="N1252" t="str">
        <f>IF(Table2[[#This Row],[Stock Gap]]&lt;0, "Understock","Okay")</f>
        <v>Understock</v>
      </c>
      <c r="O1252" s="13" t="str">
        <f>IF(Table2[[#This Row],[Stock Gap]]&lt;0, "Yes", "No")</f>
        <v>Yes</v>
      </c>
      <c r="P1252" s="13" t="str">
        <f>IF(Table2[[#This Row],[CurrentStock]]&lt;Table2[[#This Row],[ReorderLevel]],"Reorder", "Okay")</f>
        <v>Reorder</v>
      </c>
      <c r="Q1252" s="13" t="str">
        <f>IF(Table2[[#This Row],[CurrentStock]]&gt;Table2[[#This Row],[ReorderLevel]]*3, "Overstock", "Okay")</f>
        <v>Okay</v>
      </c>
    </row>
    <row r="1253" spans="1:17" x14ac:dyDescent="0.35">
      <c r="A1253">
        <v>76697</v>
      </c>
      <c r="B1253" t="s">
        <v>23</v>
      </c>
      <c r="C1253" t="s">
        <v>30</v>
      </c>
      <c r="D1253">
        <v>349</v>
      </c>
      <c r="E1253">
        <v>50</v>
      </c>
      <c r="F1253" s="2">
        <v>476.8</v>
      </c>
      <c r="G1253" t="s">
        <v>31</v>
      </c>
      <c r="H1253" s="1">
        <v>45325</v>
      </c>
      <c r="I1253" s="1">
        <v>45337</v>
      </c>
      <c r="J1253" t="s">
        <v>38</v>
      </c>
      <c r="K1253" s="8">
        <f>Table2[[#This Row],[CurrentStock]]*Table2[[#This Row],[UnitPrice]]</f>
        <v>166403.20000000001</v>
      </c>
      <c r="L1253" t="str">
        <f>IF(Table2[[#This Row],[CurrentStock]]&lt;=Table2[[#This Row],[ReorderLevel]], "Reorder Needed", "Okay")</f>
        <v>Okay</v>
      </c>
      <c r="M1253" t="str">
        <f>IF(Table2[[#This Row],[CurrentStock]]-Table2[[#This Row],[ReorderLevel]]&lt;0,Table2[[#This Row],[CurrentStock]]-Table2[[#This Row],[ReorderLevel]],"")</f>
        <v/>
      </c>
      <c r="N1253" t="str">
        <f>IF(Table2[[#This Row],[Stock Gap]]&lt;0, "Understock","Okay")</f>
        <v>Okay</v>
      </c>
      <c r="O1253" s="13" t="str">
        <f>IF(Table2[[#This Row],[Stock Gap]]&lt;0, "Yes", "No")</f>
        <v>No</v>
      </c>
      <c r="P1253" s="13" t="str">
        <f>IF(Table2[[#This Row],[CurrentStock]]&lt;Table2[[#This Row],[ReorderLevel]],"Reorder", "Okay")</f>
        <v>Okay</v>
      </c>
      <c r="Q1253" s="13" t="str">
        <f>IF(Table2[[#This Row],[CurrentStock]]&gt;Table2[[#This Row],[ReorderLevel]]*3, "Overstock", "Okay")</f>
        <v>Overstock</v>
      </c>
    </row>
    <row r="1254" spans="1:17" x14ac:dyDescent="0.35">
      <c r="A1254">
        <v>68150</v>
      </c>
      <c r="B1254" t="s">
        <v>17</v>
      </c>
      <c r="C1254" t="s">
        <v>27</v>
      </c>
      <c r="D1254">
        <v>401</v>
      </c>
      <c r="E1254">
        <v>100</v>
      </c>
      <c r="F1254" s="2">
        <v>357.01</v>
      </c>
      <c r="G1254" t="s">
        <v>35</v>
      </c>
      <c r="H1254" s="1">
        <v>45337</v>
      </c>
      <c r="I1254" s="1">
        <v>45364</v>
      </c>
      <c r="J1254" t="s">
        <v>37</v>
      </c>
      <c r="K1254" s="8">
        <f>Table2[[#This Row],[CurrentStock]]*Table2[[#This Row],[UnitPrice]]</f>
        <v>143161.01</v>
      </c>
      <c r="L1254" t="str">
        <f>IF(Table2[[#This Row],[CurrentStock]]&lt;=Table2[[#This Row],[ReorderLevel]], "Reorder Needed", "Okay")</f>
        <v>Okay</v>
      </c>
      <c r="M1254" t="str">
        <f>IF(Table2[[#This Row],[CurrentStock]]-Table2[[#This Row],[ReorderLevel]]&lt;0,Table2[[#This Row],[CurrentStock]]-Table2[[#This Row],[ReorderLevel]],"")</f>
        <v/>
      </c>
      <c r="N1254" t="str">
        <f>IF(Table2[[#This Row],[Stock Gap]]&lt;0, "Understock","Okay")</f>
        <v>Okay</v>
      </c>
      <c r="O1254" s="13" t="str">
        <f>IF(Table2[[#This Row],[Stock Gap]]&lt;0, "Yes", "No")</f>
        <v>No</v>
      </c>
      <c r="P1254" s="13" t="str">
        <f>IF(Table2[[#This Row],[CurrentStock]]&lt;Table2[[#This Row],[ReorderLevel]],"Reorder", "Okay")</f>
        <v>Okay</v>
      </c>
      <c r="Q1254" s="13" t="str">
        <f>IF(Table2[[#This Row],[CurrentStock]]&gt;Table2[[#This Row],[ReorderLevel]]*3, "Overstock", "Okay")</f>
        <v>Overstock</v>
      </c>
    </row>
    <row r="1255" spans="1:17" x14ac:dyDescent="0.35">
      <c r="A1255">
        <v>15594</v>
      </c>
      <c r="B1255" t="s">
        <v>10</v>
      </c>
      <c r="C1255" t="s">
        <v>26</v>
      </c>
      <c r="D1255">
        <v>15</v>
      </c>
      <c r="E1255">
        <v>150</v>
      </c>
      <c r="F1255" s="2">
        <v>413.22</v>
      </c>
      <c r="G1255" t="s">
        <v>35</v>
      </c>
      <c r="H1255" s="1">
        <v>45432</v>
      </c>
      <c r="I1255" s="1">
        <v>45445</v>
      </c>
      <c r="J1255" t="s">
        <v>36</v>
      </c>
      <c r="K1255" s="8">
        <f>Table2[[#This Row],[CurrentStock]]*Table2[[#This Row],[UnitPrice]]</f>
        <v>6198.3</v>
      </c>
      <c r="L1255" t="str">
        <f>IF(Table2[[#This Row],[CurrentStock]]&lt;=Table2[[#This Row],[ReorderLevel]], "Reorder Needed", "Okay")</f>
        <v>Reorder Needed</v>
      </c>
      <c r="M1255" s="7">
        <f>IF(Table2[[#This Row],[CurrentStock]]-Table2[[#This Row],[ReorderLevel]]&lt;0,Table2[[#This Row],[CurrentStock]]-Table2[[#This Row],[ReorderLevel]],"")</f>
        <v>-135</v>
      </c>
      <c r="N1255" t="str">
        <f>IF(Table2[[#This Row],[Stock Gap]]&lt;0, "Understock","Okay")</f>
        <v>Understock</v>
      </c>
      <c r="O1255" s="13" t="str">
        <f>IF(Table2[[#This Row],[Stock Gap]]&lt;0, "Yes", "No")</f>
        <v>Yes</v>
      </c>
      <c r="P1255" s="13" t="str">
        <f>IF(Table2[[#This Row],[CurrentStock]]&lt;Table2[[#This Row],[ReorderLevel]],"Reorder", "Okay")</f>
        <v>Reorder</v>
      </c>
      <c r="Q1255" s="13" t="str">
        <f>IF(Table2[[#This Row],[CurrentStock]]&gt;Table2[[#This Row],[ReorderLevel]]*3, "Overstock", "Okay")</f>
        <v>Okay</v>
      </c>
    </row>
    <row r="1256" spans="1:17" x14ac:dyDescent="0.35">
      <c r="A1256">
        <v>56798</v>
      </c>
      <c r="B1256" t="s">
        <v>14</v>
      </c>
      <c r="C1256" t="s">
        <v>28</v>
      </c>
      <c r="D1256">
        <v>370</v>
      </c>
      <c r="E1256">
        <v>150</v>
      </c>
      <c r="F1256" s="2">
        <v>360.63</v>
      </c>
      <c r="G1256" t="s">
        <v>34</v>
      </c>
      <c r="H1256" s="1">
        <v>45559</v>
      </c>
      <c r="I1256" s="1">
        <v>45586</v>
      </c>
      <c r="J1256" t="s">
        <v>36</v>
      </c>
      <c r="K1256" s="8">
        <f>Table2[[#This Row],[CurrentStock]]*Table2[[#This Row],[UnitPrice]]</f>
        <v>133433.1</v>
      </c>
      <c r="L1256" t="str">
        <f>IF(Table2[[#This Row],[CurrentStock]]&lt;=Table2[[#This Row],[ReorderLevel]], "Reorder Needed", "Okay")</f>
        <v>Okay</v>
      </c>
      <c r="M1256" t="str">
        <f>IF(Table2[[#This Row],[CurrentStock]]-Table2[[#This Row],[ReorderLevel]]&lt;0,Table2[[#This Row],[CurrentStock]]-Table2[[#This Row],[ReorderLevel]],"")</f>
        <v/>
      </c>
      <c r="N1256" t="str">
        <f>IF(Table2[[#This Row],[Stock Gap]]&lt;0, "Understock","Okay")</f>
        <v>Okay</v>
      </c>
      <c r="O1256" s="13" t="str">
        <f>IF(Table2[[#This Row],[Stock Gap]]&lt;0, "Yes", "No")</f>
        <v>No</v>
      </c>
      <c r="P1256" s="13" t="str">
        <f>IF(Table2[[#This Row],[CurrentStock]]&lt;Table2[[#This Row],[ReorderLevel]],"Reorder", "Okay")</f>
        <v>Okay</v>
      </c>
      <c r="Q1256" s="13" t="str">
        <f>IF(Table2[[#This Row],[CurrentStock]]&gt;Table2[[#This Row],[ReorderLevel]]*3, "Overstock", "Okay")</f>
        <v>Okay</v>
      </c>
    </row>
    <row r="1257" spans="1:17" x14ac:dyDescent="0.35">
      <c r="A1257">
        <v>63365</v>
      </c>
      <c r="B1257" t="s">
        <v>15</v>
      </c>
      <c r="C1257" t="s">
        <v>29</v>
      </c>
      <c r="D1257">
        <v>357</v>
      </c>
      <c r="E1257">
        <v>80</v>
      </c>
      <c r="F1257" s="2">
        <v>168.74</v>
      </c>
      <c r="G1257" t="s">
        <v>35</v>
      </c>
      <c r="H1257" s="1">
        <v>45484</v>
      </c>
      <c r="I1257" s="1">
        <v>45493</v>
      </c>
      <c r="J1257" t="s">
        <v>37</v>
      </c>
      <c r="K1257" s="8">
        <f>Table2[[#This Row],[CurrentStock]]*Table2[[#This Row],[UnitPrice]]</f>
        <v>60240.18</v>
      </c>
      <c r="L1257" t="str">
        <f>IF(Table2[[#This Row],[CurrentStock]]&lt;=Table2[[#This Row],[ReorderLevel]], "Reorder Needed", "Okay")</f>
        <v>Okay</v>
      </c>
      <c r="M1257" t="str">
        <f>IF(Table2[[#This Row],[CurrentStock]]-Table2[[#This Row],[ReorderLevel]]&lt;0,Table2[[#This Row],[CurrentStock]]-Table2[[#This Row],[ReorderLevel]],"")</f>
        <v/>
      </c>
      <c r="N1257" t="str">
        <f>IF(Table2[[#This Row],[Stock Gap]]&lt;0, "Understock","Okay")</f>
        <v>Okay</v>
      </c>
      <c r="O1257" s="13" t="str">
        <f>IF(Table2[[#This Row],[Stock Gap]]&lt;0, "Yes", "No")</f>
        <v>No</v>
      </c>
      <c r="P1257" s="13" t="str">
        <f>IF(Table2[[#This Row],[CurrentStock]]&lt;Table2[[#This Row],[ReorderLevel]],"Reorder", "Okay")</f>
        <v>Okay</v>
      </c>
      <c r="Q1257" s="13" t="str">
        <f>IF(Table2[[#This Row],[CurrentStock]]&gt;Table2[[#This Row],[ReorderLevel]]*3, "Overstock", "Okay")</f>
        <v>Overstock</v>
      </c>
    </row>
    <row r="1258" spans="1:17" x14ac:dyDescent="0.35">
      <c r="A1258">
        <v>78247</v>
      </c>
      <c r="B1258" t="s">
        <v>16</v>
      </c>
      <c r="C1258" t="s">
        <v>29</v>
      </c>
      <c r="D1258">
        <v>127</v>
      </c>
      <c r="E1258">
        <v>50</v>
      </c>
      <c r="F1258" s="2">
        <v>40.159999999999997</v>
      </c>
      <c r="G1258" t="s">
        <v>35</v>
      </c>
      <c r="H1258" s="1">
        <v>45601</v>
      </c>
      <c r="I1258" s="1">
        <v>45615</v>
      </c>
      <c r="J1258" t="s">
        <v>36</v>
      </c>
      <c r="K1258" s="8">
        <f>Table2[[#This Row],[CurrentStock]]*Table2[[#This Row],[UnitPrice]]</f>
        <v>5100.32</v>
      </c>
      <c r="L1258" t="str">
        <f>IF(Table2[[#This Row],[CurrentStock]]&lt;=Table2[[#This Row],[ReorderLevel]], "Reorder Needed", "Okay")</f>
        <v>Okay</v>
      </c>
      <c r="M1258" t="str">
        <f>IF(Table2[[#This Row],[CurrentStock]]-Table2[[#This Row],[ReorderLevel]]&lt;0,Table2[[#This Row],[CurrentStock]]-Table2[[#This Row],[ReorderLevel]],"")</f>
        <v/>
      </c>
      <c r="N1258" t="str">
        <f>IF(Table2[[#This Row],[Stock Gap]]&lt;0, "Understock","Okay")</f>
        <v>Okay</v>
      </c>
      <c r="O1258" s="13" t="str">
        <f>IF(Table2[[#This Row],[Stock Gap]]&lt;0, "Yes", "No")</f>
        <v>No</v>
      </c>
      <c r="P1258" s="13" t="str">
        <f>IF(Table2[[#This Row],[CurrentStock]]&lt;Table2[[#This Row],[ReorderLevel]],"Reorder", "Okay")</f>
        <v>Okay</v>
      </c>
      <c r="Q1258" s="13" t="str">
        <f>IF(Table2[[#This Row],[CurrentStock]]&gt;Table2[[#This Row],[ReorderLevel]]*3, "Overstock", "Okay")</f>
        <v>Okay</v>
      </c>
    </row>
    <row r="1259" spans="1:17" x14ac:dyDescent="0.35">
      <c r="A1259">
        <v>96135</v>
      </c>
      <c r="B1259" t="s">
        <v>10</v>
      </c>
      <c r="C1259" t="s">
        <v>26</v>
      </c>
      <c r="D1259">
        <v>56</v>
      </c>
      <c r="E1259">
        <v>40</v>
      </c>
      <c r="F1259" s="2">
        <v>408.08</v>
      </c>
      <c r="G1259" t="s">
        <v>33</v>
      </c>
      <c r="H1259" s="1">
        <v>45441</v>
      </c>
      <c r="I1259" s="1">
        <v>45449</v>
      </c>
      <c r="J1259" t="s">
        <v>37</v>
      </c>
      <c r="K1259" s="8">
        <f>Table2[[#This Row],[CurrentStock]]*Table2[[#This Row],[UnitPrice]]</f>
        <v>22852.48</v>
      </c>
      <c r="L1259" t="str">
        <f>IF(Table2[[#This Row],[CurrentStock]]&lt;=Table2[[#This Row],[ReorderLevel]], "Reorder Needed", "Okay")</f>
        <v>Okay</v>
      </c>
      <c r="M1259" t="str">
        <f>IF(Table2[[#This Row],[CurrentStock]]-Table2[[#This Row],[ReorderLevel]]&lt;0,Table2[[#This Row],[CurrentStock]]-Table2[[#This Row],[ReorderLevel]],"")</f>
        <v/>
      </c>
      <c r="N1259" t="str">
        <f>IF(Table2[[#This Row],[Stock Gap]]&lt;0, "Understock","Okay")</f>
        <v>Okay</v>
      </c>
      <c r="O1259" s="13" t="str">
        <f>IF(Table2[[#This Row],[Stock Gap]]&lt;0, "Yes", "No")</f>
        <v>No</v>
      </c>
      <c r="P1259" s="13" t="str">
        <f>IF(Table2[[#This Row],[CurrentStock]]&lt;Table2[[#This Row],[ReorderLevel]],"Reorder", "Okay")</f>
        <v>Okay</v>
      </c>
      <c r="Q1259" s="13" t="str">
        <f>IF(Table2[[#This Row],[CurrentStock]]&gt;Table2[[#This Row],[ReorderLevel]]*3, "Overstock", "Okay")</f>
        <v>Okay</v>
      </c>
    </row>
    <row r="1260" spans="1:17" x14ac:dyDescent="0.35">
      <c r="A1260">
        <v>62800</v>
      </c>
      <c r="B1260" t="s">
        <v>12</v>
      </c>
      <c r="C1260" t="s">
        <v>28</v>
      </c>
      <c r="D1260">
        <v>297</v>
      </c>
      <c r="E1260">
        <v>150</v>
      </c>
      <c r="F1260" s="2">
        <v>72.03</v>
      </c>
      <c r="G1260" t="s">
        <v>35</v>
      </c>
      <c r="H1260" s="1">
        <v>45293</v>
      </c>
      <c r="I1260" s="1">
        <v>45321</v>
      </c>
      <c r="J1260" t="s">
        <v>36</v>
      </c>
      <c r="K1260" s="8">
        <f>Table2[[#This Row],[CurrentStock]]*Table2[[#This Row],[UnitPrice]]</f>
        <v>21392.91</v>
      </c>
      <c r="L1260" t="str">
        <f>IF(Table2[[#This Row],[CurrentStock]]&lt;=Table2[[#This Row],[ReorderLevel]], "Reorder Needed", "Okay")</f>
        <v>Okay</v>
      </c>
      <c r="M1260" t="str">
        <f>IF(Table2[[#This Row],[CurrentStock]]-Table2[[#This Row],[ReorderLevel]]&lt;0,Table2[[#This Row],[CurrentStock]]-Table2[[#This Row],[ReorderLevel]],"")</f>
        <v/>
      </c>
      <c r="N1260" t="str">
        <f>IF(Table2[[#This Row],[Stock Gap]]&lt;0, "Understock","Okay")</f>
        <v>Okay</v>
      </c>
      <c r="O1260" s="13" t="str">
        <f>IF(Table2[[#This Row],[Stock Gap]]&lt;0, "Yes", "No")</f>
        <v>No</v>
      </c>
      <c r="P1260" s="13" t="str">
        <f>IF(Table2[[#This Row],[CurrentStock]]&lt;Table2[[#This Row],[ReorderLevel]],"Reorder", "Okay")</f>
        <v>Okay</v>
      </c>
      <c r="Q1260" s="13" t="str">
        <f>IF(Table2[[#This Row],[CurrentStock]]&gt;Table2[[#This Row],[ReorderLevel]]*3, "Overstock", "Okay")</f>
        <v>Okay</v>
      </c>
    </row>
    <row r="1261" spans="1:17" x14ac:dyDescent="0.35">
      <c r="A1261">
        <v>63871</v>
      </c>
      <c r="B1261" t="s">
        <v>16</v>
      </c>
      <c r="C1261" t="s">
        <v>29</v>
      </c>
      <c r="D1261">
        <v>246</v>
      </c>
      <c r="E1261">
        <v>30</v>
      </c>
      <c r="F1261" s="2">
        <v>266.25</v>
      </c>
      <c r="G1261" t="s">
        <v>34</v>
      </c>
      <c r="H1261" s="1">
        <v>45394</v>
      </c>
      <c r="I1261" s="1">
        <v>45401</v>
      </c>
      <c r="J1261" t="s">
        <v>37</v>
      </c>
      <c r="K1261" s="8">
        <f>Table2[[#This Row],[CurrentStock]]*Table2[[#This Row],[UnitPrice]]</f>
        <v>65497.5</v>
      </c>
      <c r="L1261" t="str">
        <f>IF(Table2[[#This Row],[CurrentStock]]&lt;=Table2[[#This Row],[ReorderLevel]], "Reorder Needed", "Okay")</f>
        <v>Okay</v>
      </c>
      <c r="M1261" t="str">
        <f>IF(Table2[[#This Row],[CurrentStock]]-Table2[[#This Row],[ReorderLevel]]&lt;0,Table2[[#This Row],[CurrentStock]]-Table2[[#This Row],[ReorderLevel]],"")</f>
        <v/>
      </c>
      <c r="N1261" t="str">
        <f>IF(Table2[[#This Row],[Stock Gap]]&lt;0, "Understock","Okay")</f>
        <v>Okay</v>
      </c>
      <c r="O1261" s="13" t="str">
        <f>IF(Table2[[#This Row],[Stock Gap]]&lt;0, "Yes", "No")</f>
        <v>No</v>
      </c>
      <c r="P1261" s="13" t="str">
        <f>IF(Table2[[#This Row],[CurrentStock]]&lt;Table2[[#This Row],[ReorderLevel]],"Reorder", "Okay")</f>
        <v>Okay</v>
      </c>
      <c r="Q1261" s="13" t="str">
        <f>IF(Table2[[#This Row],[CurrentStock]]&gt;Table2[[#This Row],[ReorderLevel]]*3, "Overstock", "Okay")</f>
        <v>Overstock</v>
      </c>
    </row>
    <row r="1262" spans="1:17" x14ac:dyDescent="0.35">
      <c r="A1262">
        <v>65773</v>
      </c>
      <c r="B1262" t="s">
        <v>21</v>
      </c>
      <c r="C1262" t="s">
        <v>26</v>
      </c>
      <c r="D1262">
        <v>442</v>
      </c>
      <c r="E1262">
        <v>150</v>
      </c>
      <c r="F1262" s="2">
        <v>431.77</v>
      </c>
      <c r="G1262" t="s">
        <v>34</v>
      </c>
      <c r="H1262" s="1">
        <v>45549</v>
      </c>
      <c r="I1262" s="1">
        <v>45583</v>
      </c>
      <c r="J1262" t="s">
        <v>37</v>
      </c>
      <c r="K1262" s="8">
        <f>Table2[[#This Row],[CurrentStock]]*Table2[[#This Row],[UnitPrice]]</f>
        <v>190842.34</v>
      </c>
      <c r="L1262" t="str">
        <f>IF(Table2[[#This Row],[CurrentStock]]&lt;=Table2[[#This Row],[ReorderLevel]], "Reorder Needed", "Okay")</f>
        <v>Okay</v>
      </c>
      <c r="M1262" t="str">
        <f>IF(Table2[[#This Row],[CurrentStock]]-Table2[[#This Row],[ReorderLevel]]&lt;0,Table2[[#This Row],[CurrentStock]]-Table2[[#This Row],[ReorderLevel]],"")</f>
        <v/>
      </c>
      <c r="N1262" t="str">
        <f>IF(Table2[[#This Row],[Stock Gap]]&lt;0, "Understock","Okay")</f>
        <v>Okay</v>
      </c>
      <c r="O1262" s="13" t="str">
        <f>IF(Table2[[#This Row],[Stock Gap]]&lt;0, "Yes", "No")</f>
        <v>No</v>
      </c>
      <c r="P1262" s="13" t="str">
        <f>IF(Table2[[#This Row],[CurrentStock]]&lt;Table2[[#This Row],[ReorderLevel]],"Reorder", "Okay")</f>
        <v>Okay</v>
      </c>
      <c r="Q1262" s="13" t="str">
        <f>IF(Table2[[#This Row],[CurrentStock]]&gt;Table2[[#This Row],[ReorderLevel]]*3, "Overstock", "Okay")</f>
        <v>Okay</v>
      </c>
    </row>
    <row r="1263" spans="1:17" x14ac:dyDescent="0.35">
      <c r="A1263">
        <v>86816</v>
      </c>
      <c r="B1263" t="s">
        <v>16</v>
      </c>
      <c r="C1263" t="s">
        <v>29</v>
      </c>
      <c r="D1263">
        <v>448</v>
      </c>
      <c r="E1263">
        <v>100</v>
      </c>
      <c r="F1263" s="2">
        <v>481.07</v>
      </c>
      <c r="G1263" t="s">
        <v>33</v>
      </c>
      <c r="H1263" s="1">
        <v>45429</v>
      </c>
      <c r="I1263" s="1">
        <v>45459</v>
      </c>
      <c r="J1263" t="s">
        <v>36</v>
      </c>
      <c r="K1263" s="8">
        <f>Table2[[#This Row],[CurrentStock]]*Table2[[#This Row],[UnitPrice]]</f>
        <v>215519.35999999999</v>
      </c>
      <c r="L1263" t="str">
        <f>IF(Table2[[#This Row],[CurrentStock]]&lt;=Table2[[#This Row],[ReorderLevel]], "Reorder Needed", "Okay")</f>
        <v>Okay</v>
      </c>
      <c r="M1263" t="str">
        <f>IF(Table2[[#This Row],[CurrentStock]]-Table2[[#This Row],[ReorderLevel]]&lt;0,Table2[[#This Row],[CurrentStock]]-Table2[[#This Row],[ReorderLevel]],"")</f>
        <v/>
      </c>
      <c r="N1263" t="str">
        <f>IF(Table2[[#This Row],[Stock Gap]]&lt;0, "Understock","Okay")</f>
        <v>Okay</v>
      </c>
      <c r="O1263" s="13" t="str">
        <f>IF(Table2[[#This Row],[Stock Gap]]&lt;0, "Yes", "No")</f>
        <v>No</v>
      </c>
      <c r="P1263" s="13" t="str">
        <f>IF(Table2[[#This Row],[CurrentStock]]&lt;Table2[[#This Row],[ReorderLevel]],"Reorder", "Okay")</f>
        <v>Okay</v>
      </c>
      <c r="Q1263" s="13" t="str">
        <f>IF(Table2[[#This Row],[CurrentStock]]&gt;Table2[[#This Row],[ReorderLevel]]*3, "Overstock", "Okay")</f>
        <v>Overstock</v>
      </c>
    </row>
    <row r="1264" spans="1:17" x14ac:dyDescent="0.35">
      <c r="A1264">
        <v>60870</v>
      </c>
      <c r="B1264" t="s">
        <v>21</v>
      </c>
      <c r="C1264" t="s">
        <v>26</v>
      </c>
      <c r="D1264">
        <v>429</v>
      </c>
      <c r="E1264">
        <v>50</v>
      </c>
      <c r="F1264" s="2">
        <v>129.88</v>
      </c>
      <c r="G1264" t="s">
        <v>32</v>
      </c>
      <c r="H1264" s="1">
        <v>45388</v>
      </c>
      <c r="I1264" s="1">
        <v>45418</v>
      </c>
      <c r="J1264" t="s">
        <v>36</v>
      </c>
      <c r="K1264" s="8">
        <f>Table2[[#This Row],[CurrentStock]]*Table2[[#This Row],[UnitPrice]]</f>
        <v>55718.52</v>
      </c>
      <c r="L1264" t="str">
        <f>IF(Table2[[#This Row],[CurrentStock]]&lt;=Table2[[#This Row],[ReorderLevel]], "Reorder Needed", "Okay")</f>
        <v>Okay</v>
      </c>
      <c r="M1264" t="str">
        <f>IF(Table2[[#This Row],[CurrentStock]]-Table2[[#This Row],[ReorderLevel]]&lt;0,Table2[[#This Row],[CurrentStock]]-Table2[[#This Row],[ReorderLevel]],"")</f>
        <v/>
      </c>
      <c r="N1264" t="str">
        <f>IF(Table2[[#This Row],[Stock Gap]]&lt;0, "Understock","Okay")</f>
        <v>Okay</v>
      </c>
      <c r="O1264" s="13" t="str">
        <f>IF(Table2[[#This Row],[Stock Gap]]&lt;0, "Yes", "No")</f>
        <v>No</v>
      </c>
      <c r="P1264" s="13" t="str">
        <f>IF(Table2[[#This Row],[CurrentStock]]&lt;Table2[[#This Row],[ReorderLevel]],"Reorder", "Okay")</f>
        <v>Okay</v>
      </c>
      <c r="Q1264" s="13" t="str">
        <f>IF(Table2[[#This Row],[CurrentStock]]&gt;Table2[[#This Row],[ReorderLevel]]*3, "Overstock", "Okay")</f>
        <v>Overstock</v>
      </c>
    </row>
    <row r="1265" spans="1:17" x14ac:dyDescent="0.35">
      <c r="A1265">
        <v>95961</v>
      </c>
      <c r="B1265" t="s">
        <v>14</v>
      </c>
      <c r="C1265" t="s">
        <v>28</v>
      </c>
      <c r="D1265">
        <v>359</v>
      </c>
      <c r="E1265">
        <v>50</v>
      </c>
      <c r="F1265" s="2">
        <v>269.29000000000002</v>
      </c>
      <c r="G1265" t="s">
        <v>32</v>
      </c>
      <c r="H1265" s="1">
        <v>45653</v>
      </c>
      <c r="I1265" s="1">
        <v>45662</v>
      </c>
      <c r="J1265" t="s">
        <v>36</v>
      </c>
      <c r="K1265" s="8">
        <f>Table2[[#This Row],[CurrentStock]]*Table2[[#This Row],[UnitPrice]]</f>
        <v>96675.11</v>
      </c>
      <c r="L1265" t="str">
        <f>IF(Table2[[#This Row],[CurrentStock]]&lt;=Table2[[#This Row],[ReorderLevel]], "Reorder Needed", "Okay")</f>
        <v>Okay</v>
      </c>
      <c r="M1265" t="str">
        <f>IF(Table2[[#This Row],[CurrentStock]]-Table2[[#This Row],[ReorderLevel]]&lt;0,Table2[[#This Row],[CurrentStock]]-Table2[[#This Row],[ReorderLevel]],"")</f>
        <v/>
      </c>
      <c r="N1265" t="str">
        <f>IF(Table2[[#This Row],[Stock Gap]]&lt;0, "Understock","Okay")</f>
        <v>Okay</v>
      </c>
      <c r="O1265" s="13" t="str">
        <f>IF(Table2[[#This Row],[Stock Gap]]&lt;0, "Yes", "No")</f>
        <v>No</v>
      </c>
      <c r="P1265" s="13" t="str">
        <f>IF(Table2[[#This Row],[CurrentStock]]&lt;Table2[[#This Row],[ReorderLevel]],"Reorder", "Okay")</f>
        <v>Okay</v>
      </c>
      <c r="Q1265" s="13" t="str">
        <f>IF(Table2[[#This Row],[CurrentStock]]&gt;Table2[[#This Row],[ReorderLevel]]*3, "Overstock", "Okay")</f>
        <v>Overstock</v>
      </c>
    </row>
    <row r="1266" spans="1:17" x14ac:dyDescent="0.35">
      <c r="A1266">
        <v>99062</v>
      </c>
      <c r="B1266" t="s">
        <v>12</v>
      </c>
      <c r="C1266" t="s">
        <v>28</v>
      </c>
      <c r="D1266">
        <v>445</v>
      </c>
      <c r="E1266">
        <v>20</v>
      </c>
      <c r="F1266" s="2">
        <v>36.17</v>
      </c>
      <c r="G1266" t="s">
        <v>34</v>
      </c>
      <c r="H1266" s="1">
        <v>45549</v>
      </c>
      <c r="I1266" s="1">
        <v>45555</v>
      </c>
      <c r="J1266" t="s">
        <v>38</v>
      </c>
      <c r="K1266" s="8">
        <f>Table2[[#This Row],[CurrentStock]]*Table2[[#This Row],[UnitPrice]]</f>
        <v>16095.650000000001</v>
      </c>
      <c r="L1266" t="str">
        <f>IF(Table2[[#This Row],[CurrentStock]]&lt;=Table2[[#This Row],[ReorderLevel]], "Reorder Needed", "Okay")</f>
        <v>Okay</v>
      </c>
      <c r="M1266" t="str">
        <f>IF(Table2[[#This Row],[CurrentStock]]-Table2[[#This Row],[ReorderLevel]]&lt;0,Table2[[#This Row],[CurrentStock]]-Table2[[#This Row],[ReorderLevel]],"")</f>
        <v/>
      </c>
      <c r="N1266" t="str">
        <f>IF(Table2[[#This Row],[Stock Gap]]&lt;0, "Understock","Okay")</f>
        <v>Okay</v>
      </c>
      <c r="O1266" s="13" t="str">
        <f>IF(Table2[[#This Row],[Stock Gap]]&lt;0, "Yes", "No")</f>
        <v>No</v>
      </c>
      <c r="P1266" s="13" t="str">
        <f>IF(Table2[[#This Row],[CurrentStock]]&lt;Table2[[#This Row],[ReorderLevel]],"Reorder", "Okay")</f>
        <v>Okay</v>
      </c>
      <c r="Q1266" s="13" t="str">
        <f>IF(Table2[[#This Row],[CurrentStock]]&gt;Table2[[#This Row],[ReorderLevel]]*3, "Overstock", "Okay")</f>
        <v>Overstock</v>
      </c>
    </row>
    <row r="1267" spans="1:17" x14ac:dyDescent="0.35">
      <c r="A1267">
        <v>69004</v>
      </c>
      <c r="B1267" t="s">
        <v>13</v>
      </c>
      <c r="C1267" t="s">
        <v>26</v>
      </c>
      <c r="D1267">
        <v>41</v>
      </c>
      <c r="E1267">
        <v>50</v>
      </c>
      <c r="F1267" s="2">
        <v>250.56</v>
      </c>
      <c r="G1267" t="s">
        <v>32</v>
      </c>
      <c r="H1267" s="1">
        <v>45464</v>
      </c>
      <c r="I1267" s="1">
        <v>45479</v>
      </c>
      <c r="J1267" t="s">
        <v>37</v>
      </c>
      <c r="K1267" s="8">
        <f>Table2[[#This Row],[CurrentStock]]*Table2[[#This Row],[UnitPrice]]</f>
        <v>10272.960000000001</v>
      </c>
      <c r="L1267" t="str">
        <f>IF(Table2[[#This Row],[CurrentStock]]&lt;=Table2[[#This Row],[ReorderLevel]], "Reorder Needed", "Okay")</f>
        <v>Reorder Needed</v>
      </c>
      <c r="M1267" s="7">
        <f>IF(Table2[[#This Row],[CurrentStock]]-Table2[[#This Row],[ReorderLevel]]&lt;0,Table2[[#This Row],[CurrentStock]]-Table2[[#This Row],[ReorderLevel]],"")</f>
        <v>-9</v>
      </c>
      <c r="N1267" t="str">
        <f>IF(Table2[[#This Row],[Stock Gap]]&lt;0, "Understock","Okay")</f>
        <v>Understock</v>
      </c>
      <c r="O1267" s="13" t="str">
        <f>IF(Table2[[#This Row],[Stock Gap]]&lt;0, "Yes", "No")</f>
        <v>Yes</v>
      </c>
      <c r="P1267" s="13" t="str">
        <f>IF(Table2[[#This Row],[CurrentStock]]&lt;Table2[[#This Row],[ReorderLevel]],"Reorder", "Okay")</f>
        <v>Reorder</v>
      </c>
      <c r="Q1267" s="13" t="str">
        <f>IF(Table2[[#This Row],[CurrentStock]]&gt;Table2[[#This Row],[ReorderLevel]]*3, "Overstock", "Okay")</f>
        <v>Okay</v>
      </c>
    </row>
    <row r="1268" spans="1:17" x14ac:dyDescent="0.35">
      <c r="A1268">
        <v>30754</v>
      </c>
      <c r="B1268" t="s">
        <v>25</v>
      </c>
      <c r="C1268" t="s">
        <v>29</v>
      </c>
      <c r="D1268">
        <v>304</v>
      </c>
      <c r="E1268">
        <v>50</v>
      </c>
      <c r="F1268" s="2">
        <v>203.89</v>
      </c>
      <c r="G1268" t="s">
        <v>34</v>
      </c>
      <c r="H1268" s="1">
        <v>45492</v>
      </c>
      <c r="I1268" s="1">
        <v>45502</v>
      </c>
      <c r="J1268" t="s">
        <v>37</v>
      </c>
      <c r="K1268" s="8">
        <f>Table2[[#This Row],[CurrentStock]]*Table2[[#This Row],[UnitPrice]]</f>
        <v>61982.559999999998</v>
      </c>
      <c r="L1268" t="str">
        <f>IF(Table2[[#This Row],[CurrentStock]]&lt;=Table2[[#This Row],[ReorderLevel]], "Reorder Needed", "Okay")</f>
        <v>Okay</v>
      </c>
      <c r="M1268" t="str">
        <f>IF(Table2[[#This Row],[CurrentStock]]-Table2[[#This Row],[ReorderLevel]]&lt;0,Table2[[#This Row],[CurrentStock]]-Table2[[#This Row],[ReorderLevel]],"")</f>
        <v/>
      </c>
      <c r="N1268" t="str">
        <f>IF(Table2[[#This Row],[Stock Gap]]&lt;0, "Understock","Okay")</f>
        <v>Okay</v>
      </c>
      <c r="O1268" s="13" t="str">
        <f>IF(Table2[[#This Row],[Stock Gap]]&lt;0, "Yes", "No")</f>
        <v>No</v>
      </c>
      <c r="P1268" s="13" t="str">
        <f>IF(Table2[[#This Row],[CurrentStock]]&lt;Table2[[#This Row],[ReorderLevel]],"Reorder", "Okay")</f>
        <v>Okay</v>
      </c>
      <c r="Q1268" s="13" t="str">
        <f>IF(Table2[[#This Row],[CurrentStock]]&gt;Table2[[#This Row],[ReorderLevel]]*3, "Overstock", "Okay")</f>
        <v>Overstock</v>
      </c>
    </row>
    <row r="1269" spans="1:17" x14ac:dyDescent="0.35">
      <c r="A1269">
        <v>11924</v>
      </c>
      <c r="B1269" t="s">
        <v>22</v>
      </c>
      <c r="C1269" t="s">
        <v>29</v>
      </c>
      <c r="D1269">
        <v>464</v>
      </c>
      <c r="E1269">
        <v>40</v>
      </c>
      <c r="F1269" s="2">
        <v>90.24</v>
      </c>
      <c r="G1269" t="s">
        <v>33</v>
      </c>
      <c r="H1269" s="1">
        <v>45356</v>
      </c>
      <c r="I1269" s="1">
        <v>45367</v>
      </c>
      <c r="J1269" t="s">
        <v>38</v>
      </c>
      <c r="K1269" s="8">
        <f>Table2[[#This Row],[CurrentStock]]*Table2[[#This Row],[UnitPrice]]</f>
        <v>41871.360000000001</v>
      </c>
      <c r="L1269" t="str">
        <f>IF(Table2[[#This Row],[CurrentStock]]&lt;=Table2[[#This Row],[ReorderLevel]], "Reorder Needed", "Okay")</f>
        <v>Okay</v>
      </c>
      <c r="M1269" t="str">
        <f>IF(Table2[[#This Row],[CurrentStock]]-Table2[[#This Row],[ReorderLevel]]&lt;0,Table2[[#This Row],[CurrentStock]]-Table2[[#This Row],[ReorderLevel]],"")</f>
        <v/>
      </c>
      <c r="N1269" t="str">
        <f>IF(Table2[[#This Row],[Stock Gap]]&lt;0, "Understock","Okay")</f>
        <v>Okay</v>
      </c>
      <c r="O1269" s="13" t="str">
        <f>IF(Table2[[#This Row],[Stock Gap]]&lt;0, "Yes", "No")</f>
        <v>No</v>
      </c>
      <c r="P1269" s="13" t="str">
        <f>IF(Table2[[#This Row],[CurrentStock]]&lt;Table2[[#This Row],[ReorderLevel]],"Reorder", "Okay")</f>
        <v>Okay</v>
      </c>
      <c r="Q1269" s="13" t="str">
        <f>IF(Table2[[#This Row],[CurrentStock]]&gt;Table2[[#This Row],[ReorderLevel]]*3, "Overstock", "Okay")</f>
        <v>Overstock</v>
      </c>
    </row>
    <row r="1270" spans="1:17" x14ac:dyDescent="0.35">
      <c r="A1270">
        <v>10306</v>
      </c>
      <c r="B1270" t="s">
        <v>19</v>
      </c>
      <c r="C1270" t="s">
        <v>28</v>
      </c>
      <c r="D1270">
        <v>228</v>
      </c>
      <c r="E1270">
        <v>50</v>
      </c>
      <c r="F1270" s="2">
        <v>103.94</v>
      </c>
      <c r="G1270" t="s">
        <v>35</v>
      </c>
      <c r="H1270" s="1">
        <v>45509</v>
      </c>
      <c r="I1270" s="1">
        <v>45528</v>
      </c>
      <c r="J1270" t="s">
        <v>37</v>
      </c>
      <c r="K1270" s="8">
        <f>Table2[[#This Row],[CurrentStock]]*Table2[[#This Row],[UnitPrice]]</f>
        <v>23698.32</v>
      </c>
      <c r="L1270" t="str">
        <f>IF(Table2[[#This Row],[CurrentStock]]&lt;=Table2[[#This Row],[ReorderLevel]], "Reorder Needed", "Okay")</f>
        <v>Okay</v>
      </c>
      <c r="M1270" t="str">
        <f>IF(Table2[[#This Row],[CurrentStock]]-Table2[[#This Row],[ReorderLevel]]&lt;0,Table2[[#This Row],[CurrentStock]]-Table2[[#This Row],[ReorderLevel]],"")</f>
        <v/>
      </c>
      <c r="N1270" t="str">
        <f>IF(Table2[[#This Row],[Stock Gap]]&lt;0, "Understock","Okay")</f>
        <v>Okay</v>
      </c>
      <c r="O1270" s="13" t="str">
        <f>IF(Table2[[#This Row],[Stock Gap]]&lt;0, "Yes", "No")</f>
        <v>No</v>
      </c>
      <c r="P1270" s="13" t="str">
        <f>IF(Table2[[#This Row],[CurrentStock]]&lt;Table2[[#This Row],[ReorderLevel]],"Reorder", "Okay")</f>
        <v>Okay</v>
      </c>
      <c r="Q1270" s="13" t="str">
        <f>IF(Table2[[#This Row],[CurrentStock]]&gt;Table2[[#This Row],[ReorderLevel]]*3, "Overstock", "Okay")</f>
        <v>Overstock</v>
      </c>
    </row>
    <row r="1271" spans="1:17" x14ac:dyDescent="0.35">
      <c r="A1271">
        <v>55704</v>
      </c>
      <c r="B1271" t="s">
        <v>17</v>
      </c>
      <c r="C1271" t="s">
        <v>27</v>
      </c>
      <c r="D1271">
        <v>414</v>
      </c>
      <c r="E1271">
        <v>20</v>
      </c>
      <c r="F1271" s="2">
        <v>61.4</v>
      </c>
      <c r="G1271" t="s">
        <v>31</v>
      </c>
      <c r="H1271" s="1">
        <v>45500</v>
      </c>
      <c r="I1271" s="1">
        <v>45538</v>
      </c>
      <c r="J1271" t="s">
        <v>36</v>
      </c>
      <c r="K1271" s="8">
        <f>Table2[[#This Row],[CurrentStock]]*Table2[[#This Row],[UnitPrice]]</f>
        <v>25419.599999999999</v>
      </c>
      <c r="L1271" t="str">
        <f>IF(Table2[[#This Row],[CurrentStock]]&lt;=Table2[[#This Row],[ReorderLevel]], "Reorder Needed", "Okay")</f>
        <v>Okay</v>
      </c>
      <c r="M1271" t="str">
        <f>IF(Table2[[#This Row],[CurrentStock]]-Table2[[#This Row],[ReorderLevel]]&lt;0,Table2[[#This Row],[CurrentStock]]-Table2[[#This Row],[ReorderLevel]],"")</f>
        <v/>
      </c>
      <c r="N1271" t="str">
        <f>IF(Table2[[#This Row],[Stock Gap]]&lt;0, "Understock","Okay")</f>
        <v>Okay</v>
      </c>
      <c r="O1271" s="13" t="str">
        <f>IF(Table2[[#This Row],[Stock Gap]]&lt;0, "Yes", "No")</f>
        <v>No</v>
      </c>
      <c r="P1271" s="13" t="str">
        <f>IF(Table2[[#This Row],[CurrentStock]]&lt;Table2[[#This Row],[ReorderLevel]],"Reorder", "Okay")</f>
        <v>Okay</v>
      </c>
      <c r="Q1271" s="13" t="str">
        <f>IF(Table2[[#This Row],[CurrentStock]]&gt;Table2[[#This Row],[ReorderLevel]]*3, "Overstock", "Okay")</f>
        <v>Overstock</v>
      </c>
    </row>
    <row r="1272" spans="1:17" x14ac:dyDescent="0.35">
      <c r="A1272">
        <v>88563</v>
      </c>
      <c r="B1272" t="s">
        <v>25</v>
      </c>
      <c r="C1272" t="s">
        <v>29</v>
      </c>
      <c r="D1272">
        <v>332</v>
      </c>
      <c r="E1272">
        <v>20</v>
      </c>
      <c r="F1272" s="2">
        <v>408.03</v>
      </c>
      <c r="G1272" t="s">
        <v>33</v>
      </c>
      <c r="H1272" s="1">
        <v>45338</v>
      </c>
      <c r="I1272" s="1">
        <v>45346</v>
      </c>
      <c r="J1272" t="s">
        <v>38</v>
      </c>
      <c r="K1272" s="8">
        <f>Table2[[#This Row],[CurrentStock]]*Table2[[#This Row],[UnitPrice]]</f>
        <v>135465.96</v>
      </c>
      <c r="L1272" t="str">
        <f>IF(Table2[[#This Row],[CurrentStock]]&lt;=Table2[[#This Row],[ReorderLevel]], "Reorder Needed", "Okay")</f>
        <v>Okay</v>
      </c>
      <c r="M1272" t="str">
        <f>IF(Table2[[#This Row],[CurrentStock]]-Table2[[#This Row],[ReorderLevel]]&lt;0,Table2[[#This Row],[CurrentStock]]-Table2[[#This Row],[ReorderLevel]],"")</f>
        <v/>
      </c>
      <c r="N1272" t="str">
        <f>IF(Table2[[#This Row],[Stock Gap]]&lt;0, "Understock","Okay")</f>
        <v>Okay</v>
      </c>
      <c r="O1272" s="13" t="str">
        <f>IF(Table2[[#This Row],[Stock Gap]]&lt;0, "Yes", "No")</f>
        <v>No</v>
      </c>
      <c r="P1272" s="13" t="str">
        <f>IF(Table2[[#This Row],[CurrentStock]]&lt;Table2[[#This Row],[ReorderLevel]],"Reorder", "Okay")</f>
        <v>Okay</v>
      </c>
      <c r="Q1272" s="13" t="str">
        <f>IF(Table2[[#This Row],[CurrentStock]]&gt;Table2[[#This Row],[ReorderLevel]]*3, "Overstock", "Okay")</f>
        <v>Overstock</v>
      </c>
    </row>
    <row r="1273" spans="1:17" x14ac:dyDescent="0.35">
      <c r="A1273">
        <v>14781</v>
      </c>
      <c r="B1273" t="s">
        <v>9</v>
      </c>
      <c r="C1273" t="s">
        <v>26</v>
      </c>
      <c r="D1273">
        <v>125</v>
      </c>
      <c r="E1273">
        <v>100</v>
      </c>
      <c r="F1273" s="2">
        <v>51.18</v>
      </c>
      <c r="G1273" t="s">
        <v>34</v>
      </c>
      <c r="H1273" s="1">
        <v>45431</v>
      </c>
      <c r="I1273" s="1">
        <v>45438</v>
      </c>
      <c r="J1273" t="s">
        <v>38</v>
      </c>
      <c r="K1273" s="8">
        <f>Table2[[#This Row],[CurrentStock]]*Table2[[#This Row],[UnitPrice]]</f>
        <v>6397.5</v>
      </c>
      <c r="L1273" t="str">
        <f>IF(Table2[[#This Row],[CurrentStock]]&lt;=Table2[[#This Row],[ReorderLevel]], "Reorder Needed", "Okay")</f>
        <v>Okay</v>
      </c>
      <c r="M1273" t="str">
        <f>IF(Table2[[#This Row],[CurrentStock]]-Table2[[#This Row],[ReorderLevel]]&lt;0,Table2[[#This Row],[CurrentStock]]-Table2[[#This Row],[ReorderLevel]],"")</f>
        <v/>
      </c>
      <c r="N1273" t="str">
        <f>IF(Table2[[#This Row],[Stock Gap]]&lt;0, "Understock","Okay")</f>
        <v>Okay</v>
      </c>
      <c r="O1273" s="13" t="str">
        <f>IF(Table2[[#This Row],[Stock Gap]]&lt;0, "Yes", "No")</f>
        <v>No</v>
      </c>
      <c r="P1273" s="13" t="str">
        <f>IF(Table2[[#This Row],[CurrentStock]]&lt;Table2[[#This Row],[ReorderLevel]],"Reorder", "Okay")</f>
        <v>Okay</v>
      </c>
      <c r="Q1273" s="13" t="str">
        <f>IF(Table2[[#This Row],[CurrentStock]]&gt;Table2[[#This Row],[ReorderLevel]]*3, "Overstock", "Okay")</f>
        <v>Okay</v>
      </c>
    </row>
    <row r="1274" spans="1:17" x14ac:dyDescent="0.35">
      <c r="A1274">
        <v>17549</v>
      </c>
      <c r="B1274" t="s">
        <v>13</v>
      </c>
      <c r="C1274" t="s">
        <v>26</v>
      </c>
      <c r="D1274">
        <v>111</v>
      </c>
      <c r="E1274">
        <v>100</v>
      </c>
      <c r="F1274" s="2">
        <v>466.76</v>
      </c>
      <c r="G1274" t="s">
        <v>31</v>
      </c>
      <c r="H1274" s="1">
        <v>45401</v>
      </c>
      <c r="I1274" s="1">
        <v>45408</v>
      </c>
      <c r="J1274" t="s">
        <v>37</v>
      </c>
      <c r="K1274" s="8">
        <f>Table2[[#This Row],[CurrentStock]]*Table2[[#This Row],[UnitPrice]]</f>
        <v>51810.36</v>
      </c>
      <c r="L1274" t="str">
        <f>IF(Table2[[#This Row],[CurrentStock]]&lt;=Table2[[#This Row],[ReorderLevel]], "Reorder Needed", "Okay")</f>
        <v>Okay</v>
      </c>
      <c r="M1274" t="str">
        <f>IF(Table2[[#This Row],[CurrentStock]]-Table2[[#This Row],[ReorderLevel]]&lt;0,Table2[[#This Row],[CurrentStock]]-Table2[[#This Row],[ReorderLevel]],"")</f>
        <v/>
      </c>
      <c r="N1274" t="str">
        <f>IF(Table2[[#This Row],[Stock Gap]]&lt;0, "Understock","Okay")</f>
        <v>Okay</v>
      </c>
      <c r="O1274" s="13" t="str">
        <f>IF(Table2[[#This Row],[Stock Gap]]&lt;0, "Yes", "No")</f>
        <v>No</v>
      </c>
      <c r="P1274" s="13" t="str">
        <f>IF(Table2[[#This Row],[CurrentStock]]&lt;Table2[[#This Row],[ReorderLevel]],"Reorder", "Okay")</f>
        <v>Okay</v>
      </c>
      <c r="Q1274" s="13" t="str">
        <f>IF(Table2[[#This Row],[CurrentStock]]&gt;Table2[[#This Row],[ReorderLevel]]*3, "Overstock", "Okay")</f>
        <v>Okay</v>
      </c>
    </row>
    <row r="1275" spans="1:17" x14ac:dyDescent="0.35">
      <c r="A1275">
        <v>93402</v>
      </c>
      <c r="B1275" t="s">
        <v>13</v>
      </c>
      <c r="C1275" t="s">
        <v>26</v>
      </c>
      <c r="D1275">
        <v>324</v>
      </c>
      <c r="E1275">
        <v>30</v>
      </c>
      <c r="F1275" s="2">
        <v>471.29</v>
      </c>
      <c r="G1275" t="s">
        <v>31</v>
      </c>
      <c r="H1275" s="1">
        <v>45646</v>
      </c>
      <c r="I1275" s="1">
        <v>45682</v>
      </c>
      <c r="J1275" t="s">
        <v>37</v>
      </c>
      <c r="K1275" s="8">
        <f>Table2[[#This Row],[CurrentStock]]*Table2[[#This Row],[UnitPrice]]</f>
        <v>152697.96000000002</v>
      </c>
      <c r="L1275" t="str">
        <f>IF(Table2[[#This Row],[CurrentStock]]&lt;=Table2[[#This Row],[ReorderLevel]], "Reorder Needed", "Okay")</f>
        <v>Okay</v>
      </c>
      <c r="M1275" t="str">
        <f>IF(Table2[[#This Row],[CurrentStock]]-Table2[[#This Row],[ReorderLevel]]&lt;0,Table2[[#This Row],[CurrentStock]]-Table2[[#This Row],[ReorderLevel]],"")</f>
        <v/>
      </c>
      <c r="N1275" t="str">
        <f>IF(Table2[[#This Row],[Stock Gap]]&lt;0, "Understock","Okay")</f>
        <v>Okay</v>
      </c>
      <c r="O1275" s="13" t="str">
        <f>IF(Table2[[#This Row],[Stock Gap]]&lt;0, "Yes", "No")</f>
        <v>No</v>
      </c>
      <c r="P1275" s="13" t="str">
        <f>IF(Table2[[#This Row],[CurrentStock]]&lt;Table2[[#This Row],[ReorderLevel]],"Reorder", "Okay")</f>
        <v>Okay</v>
      </c>
      <c r="Q1275" s="13" t="str">
        <f>IF(Table2[[#This Row],[CurrentStock]]&gt;Table2[[#This Row],[ReorderLevel]]*3, "Overstock", "Okay")</f>
        <v>Overstock</v>
      </c>
    </row>
    <row r="1276" spans="1:17" x14ac:dyDescent="0.35">
      <c r="A1276">
        <v>96839</v>
      </c>
      <c r="B1276" t="s">
        <v>16</v>
      </c>
      <c r="C1276" t="s">
        <v>29</v>
      </c>
      <c r="D1276">
        <v>189</v>
      </c>
      <c r="E1276">
        <v>30</v>
      </c>
      <c r="F1276" s="2">
        <v>296.69</v>
      </c>
      <c r="G1276" t="s">
        <v>33</v>
      </c>
      <c r="H1276" s="1">
        <v>45324</v>
      </c>
      <c r="I1276" s="1">
        <v>45341</v>
      </c>
      <c r="J1276" t="s">
        <v>38</v>
      </c>
      <c r="K1276" s="8">
        <f>Table2[[#This Row],[CurrentStock]]*Table2[[#This Row],[UnitPrice]]</f>
        <v>56074.409999999996</v>
      </c>
      <c r="L1276" t="str">
        <f>IF(Table2[[#This Row],[CurrentStock]]&lt;=Table2[[#This Row],[ReorderLevel]], "Reorder Needed", "Okay")</f>
        <v>Okay</v>
      </c>
      <c r="M1276" t="str">
        <f>IF(Table2[[#This Row],[CurrentStock]]-Table2[[#This Row],[ReorderLevel]]&lt;0,Table2[[#This Row],[CurrentStock]]-Table2[[#This Row],[ReorderLevel]],"")</f>
        <v/>
      </c>
      <c r="N1276" t="str">
        <f>IF(Table2[[#This Row],[Stock Gap]]&lt;0, "Understock","Okay")</f>
        <v>Okay</v>
      </c>
      <c r="O1276" s="13" t="str">
        <f>IF(Table2[[#This Row],[Stock Gap]]&lt;0, "Yes", "No")</f>
        <v>No</v>
      </c>
      <c r="P1276" s="13" t="str">
        <f>IF(Table2[[#This Row],[CurrentStock]]&lt;Table2[[#This Row],[ReorderLevel]],"Reorder", "Okay")</f>
        <v>Okay</v>
      </c>
      <c r="Q1276" s="13" t="str">
        <f>IF(Table2[[#This Row],[CurrentStock]]&gt;Table2[[#This Row],[ReorderLevel]]*3, "Overstock", "Okay")</f>
        <v>Overstock</v>
      </c>
    </row>
    <row r="1277" spans="1:17" x14ac:dyDescent="0.35">
      <c r="A1277">
        <v>76266</v>
      </c>
      <c r="B1277" t="s">
        <v>12</v>
      </c>
      <c r="C1277" t="s">
        <v>28</v>
      </c>
      <c r="D1277">
        <v>426</v>
      </c>
      <c r="E1277">
        <v>50</v>
      </c>
      <c r="F1277" s="2">
        <v>262.81</v>
      </c>
      <c r="G1277" t="s">
        <v>34</v>
      </c>
      <c r="H1277" s="1">
        <v>45547</v>
      </c>
      <c r="I1277" s="1">
        <v>45563</v>
      </c>
      <c r="J1277" t="s">
        <v>36</v>
      </c>
      <c r="K1277" s="8">
        <f>Table2[[#This Row],[CurrentStock]]*Table2[[#This Row],[UnitPrice]]</f>
        <v>111957.06</v>
      </c>
      <c r="L1277" t="str">
        <f>IF(Table2[[#This Row],[CurrentStock]]&lt;=Table2[[#This Row],[ReorderLevel]], "Reorder Needed", "Okay")</f>
        <v>Okay</v>
      </c>
      <c r="M1277" t="str">
        <f>IF(Table2[[#This Row],[CurrentStock]]-Table2[[#This Row],[ReorderLevel]]&lt;0,Table2[[#This Row],[CurrentStock]]-Table2[[#This Row],[ReorderLevel]],"")</f>
        <v/>
      </c>
      <c r="N1277" t="str">
        <f>IF(Table2[[#This Row],[Stock Gap]]&lt;0, "Understock","Okay")</f>
        <v>Okay</v>
      </c>
      <c r="O1277" s="13" t="str">
        <f>IF(Table2[[#This Row],[Stock Gap]]&lt;0, "Yes", "No")</f>
        <v>No</v>
      </c>
      <c r="P1277" s="13" t="str">
        <f>IF(Table2[[#This Row],[CurrentStock]]&lt;Table2[[#This Row],[ReorderLevel]],"Reorder", "Okay")</f>
        <v>Okay</v>
      </c>
      <c r="Q1277" s="13" t="str">
        <f>IF(Table2[[#This Row],[CurrentStock]]&gt;Table2[[#This Row],[ReorderLevel]]*3, "Overstock", "Okay")</f>
        <v>Overstock</v>
      </c>
    </row>
    <row r="1278" spans="1:17" x14ac:dyDescent="0.35">
      <c r="A1278">
        <v>97977</v>
      </c>
      <c r="B1278" t="s">
        <v>24</v>
      </c>
      <c r="C1278" t="s">
        <v>30</v>
      </c>
      <c r="D1278">
        <v>2</v>
      </c>
      <c r="E1278">
        <v>50</v>
      </c>
      <c r="F1278" s="2">
        <v>464.33</v>
      </c>
      <c r="G1278" t="s">
        <v>31</v>
      </c>
      <c r="H1278" s="1">
        <v>45467</v>
      </c>
      <c r="I1278" s="1">
        <v>45474</v>
      </c>
      <c r="J1278" t="s">
        <v>38</v>
      </c>
      <c r="K1278" s="8">
        <f>Table2[[#This Row],[CurrentStock]]*Table2[[#This Row],[UnitPrice]]</f>
        <v>928.66</v>
      </c>
      <c r="L1278" t="str">
        <f>IF(Table2[[#This Row],[CurrentStock]]&lt;=Table2[[#This Row],[ReorderLevel]], "Reorder Needed", "Okay")</f>
        <v>Reorder Needed</v>
      </c>
      <c r="M1278" s="7">
        <f>IF(Table2[[#This Row],[CurrentStock]]-Table2[[#This Row],[ReorderLevel]]&lt;0,Table2[[#This Row],[CurrentStock]]-Table2[[#This Row],[ReorderLevel]],"")</f>
        <v>-48</v>
      </c>
      <c r="N1278" t="str">
        <f>IF(Table2[[#This Row],[Stock Gap]]&lt;0, "Understock","Okay")</f>
        <v>Understock</v>
      </c>
      <c r="O1278" s="13" t="str">
        <f>IF(Table2[[#This Row],[Stock Gap]]&lt;0, "Yes", "No")</f>
        <v>Yes</v>
      </c>
      <c r="P1278" s="13" t="str">
        <f>IF(Table2[[#This Row],[CurrentStock]]&lt;Table2[[#This Row],[ReorderLevel]],"Reorder", "Okay")</f>
        <v>Reorder</v>
      </c>
      <c r="Q1278" s="13" t="str">
        <f>IF(Table2[[#This Row],[CurrentStock]]&gt;Table2[[#This Row],[ReorderLevel]]*3, "Overstock", "Okay")</f>
        <v>Okay</v>
      </c>
    </row>
    <row r="1279" spans="1:17" x14ac:dyDescent="0.35">
      <c r="A1279">
        <v>57445</v>
      </c>
      <c r="B1279" t="s">
        <v>21</v>
      </c>
      <c r="C1279" t="s">
        <v>26</v>
      </c>
      <c r="D1279">
        <v>351</v>
      </c>
      <c r="E1279">
        <v>50</v>
      </c>
      <c r="F1279" s="2">
        <v>67.61</v>
      </c>
      <c r="G1279" t="s">
        <v>31</v>
      </c>
      <c r="H1279" s="1">
        <v>45527</v>
      </c>
      <c r="I1279" s="1">
        <v>45544</v>
      </c>
      <c r="J1279" t="s">
        <v>37</v>
      </c>
      <c r="K1279" s="8">
        <f>Table2[[#This Row],[CurrentStock]]*Table2[[#This Row],[UnitPrice]]</f>
        <v>23731.11</v>
      </c>
      <c r="L1279" t="str">
        <f>IF(Table2[[#This Row],[CurrentStock]]&lt;=Table2[[#This Row],[ReorderLevel]], "Reorder Needed", "Okay")</f>
        <v>Okay</v>
      </c>
      <c r="M1279" t="str">
        <f>IF(Table2[[#This Row],[CurrentStock]]-Table2[[#This Row],[ReorderLevel]]&lt;0,Table2[[#This Row],[CurrentStock]]-Table2[[#This Row],[ReorderLevel]],"")</f>
        <v/>
      </c>
      <c r="N1279" t="str">
        <f>IF(Table2[[#This Row],[Stock Gap]]&lt;0, "Understock","Okay")</f>
        <v>Okay</v>
      </c>
      <c r="O1279" s="13" t="str">
        <f>IF(Table2[[#This Row],[Stock Gap]]&lt;0, "Yes", "No")</f>
        <v>No</v>
      </c>
      <c r="P1279" s="13" t="str">
        <f>IF(Table2[[#This Row],[CurrentStock]]&lt;Table2[[#This Row],[ReorderLevel]],"Reorder", "Okay")</f>
        <v>Okay</v>
      </c>
      <c r="Q1279" s="13" t="str">
        <f>IF(Table2[[#This Row],[CurrentStock]]&gt;Table2[[#This Row],[ReorderLevel]]*3, "Overstock", "Okay")</f>
        <v>Overstock</v>
      </c>
    </row>
    <row r="1280" spans="1:17" x14ac:dyDescent="0.35">
      <c r="A1280">
        <v>41704</v>
      </c>
      <c r="B1280" t="s">
        <v>9</v>
      </c>
      <c r="C1280" t="s">
        <v>26</v>
      </c>
      <c r="D1280">
        <v>493</v>
      </c>
      <c r="E1280">
        <v>30</v>
      </c>
      <c r="F1280" s="2">
        <v>226.75</v>
      </c>
      <c r="G1280" t="s">
        <v>31</v>
      </c>
      <c r="H1280" s="1">
        <v>45416</v>
      </c>
      <c r="I1280" s="1">
        <v>45441</v>
      </c>
      <c r="J1280" t="s">
        <v>37</v>
      </c>
      <c r="K1280" s="8">
        <f>Table2[[#This Row],[CurrentStock]]*Table2[[#This Row],[UnitPrice]]</f>
        <v>111787.75</v>
      </c>
      <c r="L1280" t="str">
        <f>IF(Table2[[#This Row],[CurrentStock]]&lt;=Table2[[#This Row],[ReorderLevel]], "Reorder Needed", "Okay")</f>
        <v>Okay</v>
      </c>
      <c r="M1280" t="str">
        <f>IF(Table2[[#This Row],[CurrentStock]]-Table2[[#This Row],[ReorderLevel]]&lt;0,Table2[[#This Row],[CurrentStock]]-Table2[[#This Row],[ReorderLevel]],"")</f>
        <v/>
      </c>
      <c r="N1280" t="str">
        <f>IF(Table2[[#This Row],[Stock Gap]]&lt;0, "Understock","Okay")</f>
        <v>Okay</v>
      </c>
      <c r="O1280" s="13" t="str">
        <f>IF(Table2[[#This Row],[Stock Gap]]&lt;0, "Yes", "No")</f>
        <v>No</v>
      </c>
      <c r="P1280" s="13" t="str">
        <f>IF(Table2[[#This Row],[CurrentStock]]&lt;Table2[[#This Row],[ReorderLevel]],"Reorder", "Okay")</f>
        <v>Okay</v>
      </c>
      <c r="Q1280" s="13" t="str">
        <f>IF(Table2[[#This Row],[CurrentStock]]&gt;Table2[[#This Row],[ReorderLevel]]*3, "Overstock", "Okay")</f>
        <v>Overstock</v>
      </c>
    </row>
    <row r="1281" spans="1:17" x14ac:dyDescent="0.35">
      <c r="A1281">
        <v>87338</v>
      </c>
      <c r="B1281" t="s">
        <v>9</v>
      </c>
      <c r="C1281" t="s">
        <v>26</v>
      </c>
      <c r="D1281">
        <v>430</v>
      </c>
      <c r="E1281">
        <v>100</v>
      </c>
      <c r="F1281" s="2">
        <v>166.97</v>
      </c>
      <c r="G1281" t="s">
        <v>34</v>
      </c>
      <c r="H1281" s="1">
        <v>45503</v>
      </c>
      <c r="I1281" s="1">
        <v>45526</v>
      </c>
      <c r="J1281" t="s">
        <v>38</v>
      </c>
      <c r="K1281" s="8">
        <f>Table2[[#This Row],[CurrentStock]]*Table2[[#This Row],[UnitPrice]]</f>
        <v>71797.100000000006</v>
      </c>
      <c r="L1281" t="str">
        <f>IF(Table2[[#This Row],[CurrentStock]]&lt;=Table2[[#This Row],[ReorderLevel]], "Reorder Needed", "Okay")</f>
        <v>Okay</v>
      </c>
      <c r="M1281" t="str">
        <f>IF(Table2[[#This Row],[CurrentStock]]-Table2[[#This Row],[ReorderLevel]]&lt;0,Table2[[#This Row],[CurrentStock]]-Table2[[#This Row],[ReorderLevel]],"")</f>
        <v/>
      </c>
      <c r="N1281" t="str">
        <f>IF(Table2[[#This Row],[Stock Gap]]&lt;0, "Understock","Okay")</f>
        <v>Okay</v>
      </c>
      <c r="O1281" s="13" t="str">
        <f>IF(Table2[[#This Row],[Stock Gap]]&lt;0, "Yes", "No")</f>
        <v>No</v>
      </c>
      <c r="P1281" s="13" t="str">
        <f>IF(Table2[[#This Row],[CurrentStock]]&lt;Table2[[#This Row],[ReorderLevel]],"Reorder", "Okay")</f>
        <v>Okay</v>
      </c>
      <c r="Q1281" s="13" t="str">
        <f>IF(Table2[[#This Row],[CurrentStock]]&gt;Table2[[#This Row],[ReorderLevel]]*3, "Overstock", "Okay")</f>
        <v>Overstock</v>
      </c>
    </row>
    <row r="1282" spans="1:17" x14ac:dyDescent="0.35">
      <c r="A1282">
        <v>65415</v>
      </c>
      <c r="B1282" t="s">
        <v>21</v>
      </c>
      <c r="C1282" t="s">
        <v>26</v>
      </c>
      <c r="D1282">
        <v>220</v>
      </c>
      <c r="E1282">
        <v>150</v>
      </c>
      <c r="F1282" s="2">
        <v>220.16</v>
      </c>
      <c r="G1282" t="s">
        <v>34</v>
      </c>
      <c r="H1282" s="1">
        <v>45557</v>
      </c>
      <c r="I1282" s="1">
        <v>45576</v>
      </c>
      <c r="J1282" t="s">
        <v>37</v>
      </c>
      <c r="K1282" s="8">
        <f>Table2[[#This Row],[CurrentStock]]*Table2[[#This Row],[UnitPrice]]</f>
        <v>48435.199999999997</v>
      </c>
      <c r="L1282" t="str">
        <f>IF(Table2[[#This Row],[CurrentStock]]&lt;=Table2[[#This Row],[ReorderLevel]], "Reorder Needed", "Okay")</f>
        <v>Okay</v>
      </c>
      <c r="M1282" t="str">
        <f>IF(Table2[[#This Row],[CurrentStock]]-Table2[[#This Row],[ReorderLevel]]&lt;0,Table2[[#This Row],[CurrentStock]]-Table2[[#This Row],[ReorderLevel]],"")</f>
        <v/>
      </c>
      <c r="N1282" t="str">
        <f>IF(Table2[[#This Row],[Stock Gap]]&lt;0, "Understock","Okay")</f>
        <v>Okay</v>
      </c>
      <c r="O1282" s="13" t="str">
        <f>IF(Table2[[#This Row],[Stock Gap]]&lt;0, "Yes", "No")</f>
        <v>No</v>
      </c>
      <c r="P1282" s="13" t="str">
        <f>IF(Table2[[#This Row],[CurrentStock]]&lt;Table2[[#This Row],[ReorderLevel]],"Reorder", "Okay")</f>
        <v>Okay</v>
      </c>
      <c r="Q1282" s="13" t="str">
        <f>IF(Table2[[#This Row],[CurrentStock]]&gt;Table2[[#This Row],[ReorderLevel]]*3, "Overstock", "Okay")</f>
        <v>Okay</v>
      </c>
    </row>
    <row r="1283" spans="1:17" x14ac:dyDescent="0.35">
      <c r="A1283">
        <v>80022</v>
      </c>
      <c r="B1283" t="s">
        <v>19</v>
      </c>
      <c r="C1283" t="s">
        <v>28</v>
      </c>
      <c r="D1283">
        <v>324</v>
      </c>
      <c r="E1283">
        <v>30</v>
      </c>
      <c r="F1283" s="2">
        <v>148.13999999999999</v>
      </c>
      <c r="G1283" t="s">
        <v>35</v>
      </c>
      <c r="H1283" s="1">
        <v>45363</v>
      </c>
      <c r="I1283" s="1">
        <v>45372</v>
      </c>
      <c r="J1283" t="s">
        <v>36</v>
      </c>
      <c r="K1283" s="8">
        <f>Table2[[#This Row],[CurrentStock]]*Table2[[#This Row],[UnitPrice]]</f>
        <v>47997.359999999993</v>
      </c>
      <c r="L1283" t="str">
        <f>IF(Table2[[#This Row],[CurrentStock]]&lt;=Table2[[#This Row],[ReorderLevel]], "Reorder Needed", "Okay")</f>
        <v>Okay</v>
      </c>
      <c r="M1283" t="str">
        <f>IF(Table2[[#This Row],[CurrentStock]]-Table2[[#This Row],[ReorderLevel]]&lt;0,Table2[[#This Row],[CurrentStock]]-Table2[[#This Row],[ReorderLevel]],"")</f>
        <v/>
      </c>
      <c r="N1283" t="str">
        <f>IF(Table2[[#This Row],[Stock Gap]]&lt;0, "Understock","Okay")</f>
        <v>Okay</v>
      </c>
      <c r="O1283" s="13" t="str">
        <f>IF(Table2[[#This Row],[Stock Gap]]&lt;0, "Yes", "No")</f>
        <v>No</v>
      </c>
      <c r="P1283" s="13" t="str">
        <f>IF(Table2[[#This Row],[CurrentStock]]&lt;Table2[[#This Row],[ReorderLevel]],"Reorder", "Okay")</f>
        <v>Okay</v>
      </c>
      <c r="Q1283" s="13" t="str">
        <f>IF(Table2[[#This Row],[CurrentStock]]&gt;Table2[[#This Row],[ReorderLevel]]*3, "Overstock", "Okay")</f>
        <v>Overstock</v>
      </c>
    </row>
    <row r="1284" spans="1:17" x14ac:dyDescent="0.35">
      <c r="A1284">
        <v>13420</v>
      </c>
      <c r="B1284" t="s">
        <v>10</v>
      </c>
      <c r="C1284" t="s">
        <v>26</v>
      </c>
      <c r="D1284">
        <v>47</v>
      </c>
      <c r="E1284">
        <v>20</v>
      </c>
      <c r="F1284" s="2">
        <v>16.739999999999998</v>
      </c>
      <c r="G1284" t="s">
        <v>33</v>
      </c>
      <c r="H1284" s="1">
        <v>45617</v>
      </c>
      <c r="I1284" s="1">
        <v>45637</v>
      </c>
      <c r="J1284" t="s">
        <v>38</v>
      </c>
      <c r="K1284" s="8">
        <f>Table2[[#This Row],[CurrentStock]]*Table2[[#This Row],[UnitPrice]]</f>
        <v>786.78</v>
      </c>
      <c r="L1284" t="str">
        <f>IF(Table2[[#This Row],[CurrentStock]]&lt;=Table2[[#This Row],[ReorderLevel]], "Reorder Needed", "Okay")</f>
        <v>Okay</v>
      </c>
      <c r="M1284" t="str">
        <f>IF(Table2[[#This Row],[CurrentStock]]-Table2[[#This Row],[ReorderLevel]]&lt;0,Table2[[#This Row],[CurrentStock]]-Table2[[#This Row],[ReorderLevel]],"")</f>
        <v/>
      </c>
      <c r="N1284" t="str">
        <f>IF(Table2[[#This Row],[Stock Gap]]&lt;0, "Understock","Okay")</f>
        <v>Okay</v>
      </c>
      <c r="O1284" s="13" t="str">
        <f>IF(Table2[[#This Row],[Stock Gap]]&lt;0, "Yes", "No")</f>
        <v>No</v>
      </c>
      <c r="P1284" s="13" t="str">
        <f>IF(Table2[[#This Row],[CurrentStock]]&lt;Table2[[#This Row],[ReorderLevel]],"Reorder", "Okay")</f>
        <v>Okay</v>
      </c>
      <c r="Q1284" s="13" t="str">
        <f>IF(Table2[[#This Row],[CurrentStock]]&gt;Table2[[#This Row],[ReorderLevel]]*3, "Overstock", "Okay")</f>
        <v>Okay</v>
      </c>
    </row>
    <row r="1285" spans="1:17" x14ac:dyDescent="0.35">
      <c r="A1285">
        <v>74973</v>
      </c>
      <c r="B1285" t="s">
        <v>16</v>
      </c>
      <c r="C1285" t="s">
        <v>29</v>
      </c>
      <c r="D1285">
        <v>317</v>
      </c>
      <c r="E1285">
        <v>20</v>
      </c>
      <c r="F1285" s="2">
        <v>467.73</v>
      </c>
      <c r="G1285" t="s">
        <v>33</v>
      </c>
      <c r="H1285" s="1">
        <v>45524</v>
      </c>
      <c r="I1285" s="1">
        <v>45557</v>
      </c>
      <c r="J1285" t="s">
        <v>38</v>
      </c>
      <c r="K1285" s="8">
        <f>Table2[[#This Row],[CurrentStock]]*Table2[[#This Row],[UnitPrice]]</f>
        <v>148270.41</v>
      </c>
      <c r="L1285" t="str">
        <f>IF(Table2[[#This Row],[CurrentStock]]&lt;=Table2[[#This Row],[ReorderLevel]], "Reorder Needed", "Okay")</f>
        <v>Okay</v>
      </c>
      <c r="M1285" t="str">
        <f>IF(Table2[[#This Row],[CurrentStock]]-Table2[[#This Row],[ReorderLevel]]&lt;0,Table2[[#This Row],[CurrentStock]]-Table2[[#This Row],[ReorderLevel]],"")</f>
        <v/>
      </c>
      <c r="N1285" t="str">
        <f>IF(Table2[[#This Row],[Stock Gap]]&lt;0, "Understock","Okay")</f>
        <v>Okay</v>
      </c>
      <c r="O1285" s="13" t="str">
        <f>IF(Table2[[#This Row],[Stock Gap]]&lt;0, "Yes", "No")</f>
        <v>No</v>
      </c>
      <c r="P1285" s="13" t="str">
        <f>IF(Table2[[#This Row],[CurrentStock]]&lt;Table2[[#This Row],[ReorderLevel]],"Reorder", "Okay")</f>
        <v>Okay</v>
      </c>
      <c r="Q1285" s="13" t="str">
        <f>IF(Table2[[#This Row],[CurrentStock]]&gt;Table2[[#This Row],[ReorderLevel]]*3, "Overstock", "Okay")</f>
        <v>Overstock</v>
      </c>
    </row>
    <row r="1286" spans="1:17" x14ac:dyDescent="0.35">
      <c r="A1286">
        <v>31326</v>
      </c>
      <c r="B1286" t="s">
        <v>13</v>
      </c>
      <c r="C1286" t="s">
        <v>26</v>
      </c>
      <c r="D1286">
        <v>236</v>
      </c>
      <c r="E1286">
        <v>80</v>
      </c>
      <c r="F1286" s="2">
        <v>276.68</v>
      </c>
      <c r="G1286" t="s">
        <v>34</v>
      </c>
      <c r="H1286" s="1">
        <v>45568</v>
      </c>
      <c r="I1286" s="1">
        <v>45588</v>
      </c>
      <c r="J1286" t="s">
        <v>36</v>
      </c>
      <c r="K1286" s="8">
        <f>Table2[[#This Row],[CurrentStock]]*Table2[[#This Row],[UnitPrice]]</f>
        <v>65296.480000000003</v>
      </c>
      <c r="L1286" t="str">
        <f>IF(Table2[[#This Row],[CurrentStock]]&lt;=Table2[[#This Row],[ReorderLevel]], "Reorder Needed", "Okay")</f>
        <v>Okay</v>
      </c>
      <c r="M1286" t="str">
        <f>IF(Table2[[#This Row],[CurrentStock]]-Table2[[#This Row],[ReorderLevel]]&lt;0,Table2[[#This Row],[CurrentStock]]-Table2[[#This Row],[ReorderLevel]],"")</f>
        <v/>
      </c>
      <c r="N1286" t="str">
        <f>IF(Table2[[#This Row],[Stock Gap]]&lt;0, "Understock","Okay")</f>
        <v>Okay</v>
      </c>
      <c r="O1286" s="13" t="str">
        <f>IF(Table2[[#This Row],[Stock Gap]]&lt;0, "Yes", "No")</f>
        <v>No</v>
      </c>
      <c r="P1286" s="13" t="str">
        <f>IF(Table2[[#This Row],[CurrentStock]]&lt;Table2[[#This Row],[ReorderLevel]],"Reorder", "Okay")</f>
        <v>Okay</v>
      </c>
      <c r="Q1286" s="13" t="str">
        <f>IF(Table2[[#This Row],[CurrentStock]]&gt;Table2[[#This Row],[ReorderLevel]]*3, "Overstock", "Okay")</f>
        <v>Okay</v>
      </c>
    </row>
    <row r="1287" spans="1:17" x14ac:dyDescent="0.35">
      <c r="A1287">
        <v>67492</v>
      </c>
      <c r="B1287" t="s">
        <v>22</v>
      </c>
      <c r="C1287" t="s">
        <v>29</v>
      </c>
      <c r="D1287">
        <v>229</v>
      </c>
      <c r="E1287">
        <v>40</v>
      </c>
      <c r="F1287" s="2">
        <v>472</v>
      </c>
      <c r="G1287" t="s">
        <v>31</v>
      </c>
      <c r="H1287" s="1">
        <v>45327</v>
      </c>
      <c r="I1287" s="1">
        <v>45364</v>
      </c>
      <c r="J1287" t="s">
        <v>37</v>
      </c>
      <c r="K1287" s="8">
        <f>Table2[[#This Row],[CurrentStock]]*Table2[[#This Row],[UnitPrice]]</f>
        <v>108088</v>
      </c>
      <c r="L1287" t="str">
        <f>IF(Table2[[#This Row],[CurrentStock]]&lt;=Table2[[#This Row],[ReorderLevel]], "Reorder Needed", "Okay")</f>
        <v>Okay</v>
      </c>
      <c r="M1287" t="str">
        <f>IF(Table2[[#This Row],[CurrentStock]]-Table2[[#This Row],[ReorderLevel]]&lt;0,Table2[[#This Row],[CurrentStock]]-Table2[[#This Row],[ReorderLevel]],"")</f>
        <v/>
      </c>
      <c r="N1287" t="str">
        <f>IF(Table2[[#This Row],[Stock Gap]]&lt;0, "Understock","Okay")</f>
        <v>Okay</v>
      </c>
      <c r="O1287" s="13" t="str">
        <f>IF(Table2[[#This Row],[Stock Gap]]&lt;0, "Yes", "No")</f>
        <v>No</v>
      </c>
      <c r="P1287" s="13" t="str">
        <f>IF(Table2[[#This Row],[CurrentStock]]&lt;Table2[[#This Row],[ReorderLevel]],"Reorder", "Okay")</f>
        <v>Okay</v>
      </c>
      <c r="Q1287" s="13" t="str">
        <f>IF(Table2[[#This Row],[CurrentStock]]&gt;Table2[[#This Row],[ReorderLevel]]*3, "Overstock", "Okay")</f>
        <v>Overstock</v>
      </c>
    </row>
    <row r="1288" spans="1:17" x14ac:dyDescent="0.35">
      <c r="A1288">
        <v>40314</v>
      </c>
      <c r="B1288" t="s">
        <v>22</v>
      </c>
      <c r="C1288" t="s">
        <v>29</v>
      </c>
      <c r="D1288">
        <v>95</v>
      </c>
      <c r="E1288">
        <v>30</v>
      </c>
      <c r="F1288" s="2">
        <v>249.3</v>
      </c>
      <c r="G1288" t="s">
        <v>33</v>
      </c>
      <c r="H1288" s="1">
        <v>45569</v>
      </c>
      <c r="I1288" s="1">
        <v>45590</v>
      </c>
      <c r="J1288" t="s">
        <v>36</v>
      </c>
      <c r="K1288" s="8">
        <f>Table2[[#This Row],[CurrentStock]]*Table2[[#This Row],[UnitPrice]]</f>
        <v>23683.5</v>
      </c>
      <c r="L1288" t="str">
        <f>IF(Table2[[#This Row],[CurrentStock]]&lt;=Table2[[#This Row],[ReorderLevel]], "Reorder Needed", "Okay")</f>
        <v>Okay</v>
      </c>
      <c r="M1288" t="str">
        <f>IF(Table2[[#This Row],[CurrentStock]]-Table2[[#This Row],[ReorderLevel]]&lt;0,Table2[[#This Row],[CurrentStock]]-Table2[[#This Row],[ReorderLevel]],"")</f>
        <v/>
      </c>
      <c r="N1288" t="str">
        <f>IF(Table2[[#This Row],[Stock Gap]]&lt;0, "Understock","Okay")</f>
        <v>Okay</v>
      </c>
      <c r="O1288" s="13" t="str">
        <f>IF(Table2[[#This Row],[Stock Gap]]&lt;0, "Yes", "No")</f>
        <v>No</v>
      </c>
      <c r="P1288" s="13" t="str">
        <f>IF(Table2[[#This Row],[CurrentStock]]&lt;Table2[[#This Row],[ReorderLevel]],"Reorder", "Okay")</f>
        <v>Okay</v>
      </c>
      <c r="Q1288" s="13" t="str">
        <f>IF(Table2[[#This Row],[CurrentStock]]&gt;Table2[[#This Row],[ReorderLevel]]*3, "Overstock", "Okay")</f>
        <v>Overstock</v>
      </c>
    </row>
    <row r="1289" spans="1:17" x14ac:dyDescent="0.35">
      <c r="A1289">
        <v>31946</v>
      </c>
      <c r="B1289" t="s">
        <v>19</v>
      </c>
      <c r="C1289" t="s">
        <v>28</v>
      </c>
      <c r="D1289">
        <v>408</v>
      </c>
      <c r="E1289">
        <v>30</v>
      </c>
      <c r="F1289" s="2">
        <v>279.86</v>
      </c>
      <c r="G1289" t="s">
        <v>35</v>
      </c>
      <c r="H1289" s="1">
        <v>45472</v>
      </c>
      <c r="I1289" s="1">
        <v>45493</v>
      </c>
      <c r="J1289" t="s">
        <v>37</v>
      </c>
      <c r="K1289" s="8">
        <f>Table2[[#This Row],[CurrentStock]]*Table2[[#This Row],[UnitPrice]]</f>
        <v>114182.88</v>
      </c>
      <c r="L1289" t="str">
        <f>IF(Table2[[#This Row],[CurrentStock]]&lt;=Table2[[#This Row],[ReorderLevel]], "Reorder Needed", "Okay")</f>
        <v>Okay</v>
      </c>
      <c r="M1289" t="str">
        <f>IF(Table2[[#This Row],[CurrentStock]]-Table2[[#This Row],[ReorderLevel]]&lt;0,Table2[[#This Row],[CurrentStock]]-Table2[[#This Row],[ReorderLevel]],"")</f>
        <v/>
      </c>
      <c r="N1289" t="str">
        <f>IF(Table2[[#This Row],[Stock Gap]]&lt;0, "Understock","Okay")</f>
        <v>Okay</v>
      </c>
      <c r="O1289" s="13" t="str">
        <f>IF(Table2[[#This Row],[Stock Gap]]&lt;0, "Yes", "No")</f>
        <v>No</v>
      </c>
      <c r="P1289" s="13" t="str">
        <f>IF(Table2[[#This Row],[CurrentStock]]&lt;Table2[[#This Row],[ReorderLevel]],"Reorder", "Okay")</f>
        <v>Okay</v>
      </c>
      <c r="Q1289" s="13" t="str">
        <f>IF(Table2[[#This Row],[CurrentStock]]&gt;Table2[[#This Row],[ReorderLevel]]*3, "Overstock", "Okay")</f>
        <v>Overstock</v>
      </c>
    </row>
    <row r="1290" spans="1:17" x14ac:dyDescent="0.35">
      <c r="A1290">
        <v>97938</v>
      </c>
      <c r="B1290" t="s">
        <v>13</v>
      </c>
      <c r="C1290" t="s">
        <v>26</v>
      </c>
      <c r="D1290">
        <v>90</v>
      </c>
      <c r="E1290">
        <v>100</v>
      </c>
      <c r="F1290" s="2">
        <v>251.94</v>
      </c>
      <c r="G1290" t="s">
        <v>31</v>
      </c>
      <c r="H1290" s="1">
        <v>45296</v>
      </c>
      <c r="I1290" s="1">
        <v>45318</v>
      </c>
      <c r="J1290" t="s">
        <v>38</v>
      </c>
      <c r="K1290" s="8">
        <f>Table2[[#This Row],[CurrentStock]]*Table2[[#This Row],[UnitPrice]]</f>
        <v>22674.6</v>
      </c>
      <c r="L1290" t="str">
        <f>IF(Table2[[#This Row],[CurrentStock]]&lt;=Table2[[#This Row],[ReorderLevel]], "Reorder Needed", "Okay")</f>
        <v>Reorder Needed</v>
      </c>
      <c r="M1290" s="7">
        <f>IF(Table2[[#This Row],[CurrentStock]]-Table2[[#This Row],[ReorderLevel]]&lt;0,Table2[[#This Row],[CurrentStock]]-Table2[[#This Row],[ReorderLevel]],"")</f>
        <v>-10</v>
      </c>
      <c r="N1290" t="str">
        <f>IF(Table2[[#This Row],[Stock Gap]]&lt;0, "Understock","Okay")</f>
        <v>Understock</v>
      </c>
      <c r="O1290" s="13" t="str">
        <f>IF(Table2[[#This Row],[Stock Gap]]&lt;0, "Yes", "No")</f>
        <v>Yes</v>
      </c>
      <c r="P1290" s="13" t="str">
        <f>IF(Table2[[#This Row],[CurrentStock]]&lt;Table2[[#This Row],[ReorderLevel]],"Reorder", "Okay")</f>
        <v>Reorder</v>
      </c>
      <c r="Q1290" s="13" t="str">
        <f>IF(Table2[[#This Row],[CurrentStock]]&gt;Table2[[#This Row],[ReorderLevel]]*3, "Overstock", "Okay")</f>
        <v>Okay</v>
      </c>
    </row>
    <row r="1291" spans="1:17" x14ac:dyDescent="0.35">
      <c r="A1291">
        <v>46394</v>
      </c>
      <c r="B1291" t="s">
        <v>11</v>
      </c>
      <c r="C1291" t="s">
        <v>27</v>
      </c>
      <c r="D1291">
        <v>114</v>
      </c>
      <c r="E1291">
        <v>150</v>
      </c>
      <c r="F1291" s="2">
        <v>93.23</v>
      </c>
      <c r="G1291" t="s">
        <v>31</v>
      </c>
      <c r="H1291" s="1">
        <v>45498</v>
      </c>
      <c r="I1291" s="1">
        <v>45535</v>
      </c>
      <c r="J1291" t="s">
        <v>36</v>
      </c>
      <c r="K1291" s="8">
        <f>Table2[[#This Row],[CurrentStock]]*Table2[[#This Row],[UnitPrice]]</f>
        <v>10628.220000000001</v>
      </c>
      <c r="L1291" t="str">
        <f>IF(Table2[[#This Row],[CurrentStock]]&lt;=Table2[[#This Row],[ReorderLevel]], "Reorder Needed", "Okay")</f>
        <v>Reorder Needed</v>
      </c>
      <c r="M1291" s="7">
        <f>IF(Table2[[#This Row],[CurrentStock]]-Table2[[#This Row],[ReorderLevel]]&lt;0,Table2[[#This Row],[CurrentStock]]-Table2[[#This Row],[ReorderLevel]],"")</f>
        <v>-36</v>
      </c>
      <c r="N1291" t="str">
        <f>IF(Table2[[#This Row],[Stock Gap]]&lt;0, "Understock","Okay")</f>
        <v>Understock</v>
      </c>
      <c r="O1291" s="13" t="str">
        <f>IF(Table2[[#This Row],[Stock Gap]]&lt;0, "Yes", "No")</f>
        <v>Yes</v>
      </c>
      <c r="P1291" s="13" t="str">
        <f>IF(Table2[[#This Row],[CurrentStock]]&lt;Table2[[#This Row],[ReorderLevel]],"Reorder", "Okay")</f>
        <v>Reorder</v>
      </c>
      <c r="Q1291" s="13" t="str">
        <f>IF(Table2[[#This Row],[CurrentStock]]&gt;Table2[[#This Row],[ReorderLevel]]*3, "Overstock", "Okay")</f>
        <v>Okay</v>
      </c>
    </row>
    <row r="1292" spans="1:17" x14ac:dyDescent="0.35">
      <c r="A1292">
        <v>16765</v>
      </c>
      <c r="B1292" t="s">
        <v>17</v>
      </c>
      <c r="C1292" t="s">
        <v>27</v>
      </c>
      <c r="D1292">
        <v>388</v>
      </c>
      <c r="E1292">
        <v>80</v>
      </c>
      <c r="F1292" s="2">
        <v>318.18</v>
      </c>
      <c r="G1292" t="s">
        <v>31</v>
      </c>
      <c r="H1292" s="1">
        <v>45408</v>
      </c>
      <c r="I1292" s="1">
        <v>45418</v>
      </c>
      <c r="J1292" t="s">
        <v>36</v>
      </c>
      <c r="K1292" s="8">
        <f>Table2[[#This Row],[CurrentStock]]*Table2[[#This Row],[UnitPrice]]</f>
        <v>123453.84</v>
      </c>
      <c r="L1292" t="str">
        <f>IF(Table2[[#This Row],[CurrentStock]]&lt;=Table2[[#This Row],[ReorderLevel]], "Reorder Needed", "Okay")</f>
        <v>Okay</v>
      </c>
      <c r="M1292" t="str">
        <f>IF(Table2[[#This Row],[CurrentStock]]-Table2[[#This Row],[ReorderLevel]]&lt;0,Table2[[#This Row],[CurrentStock]]-Table2[[#This Row],[ReorderLevel]],"")</f>
        <v/>
      </c>
      <c r="N1292" t="str">
        <f>IF(Table2[[#This Row],[Stock Gap]]&lt;0, "Understock","Okay")</f>
        <v>Okay</v>
      </c>
      <c r="O1292" s="13" t="str">
        <f>IF(Table2[[#This Row],[Stock Gap]]&lt;0, "Yes", "No")</f>
        <v>No</v>
      </c>
      <c r="P1292" s="13" t="str">
        <f>IF(Table2[[#This Row],[CurrentStock]]&lt;Table2[[#This Row],[ReorderLevel]],"Reorder", "Okay")</f>
        <v>Okay</v>
      </c>
      <c r="Q1292" s="13" t="str">
        <f>IF(Table2[[#This Row],[CurrentStock]]&gt;Table2[[#This Row],[ReorderLevel]]*3, "Overstock", "Okay")</f>
        <v>Overstock</v>
      </c>
    </row>
    <row r="1293" spans="1:17" x14ac:dyDescent="0.35">
      <c r="A1293">
        <v>60304</v>
      </c>
      <c r="B1293" t="s">
        <v>19</v>
      </c>
      <c r="C1293" t="s">
        <v>28</v>
      </c>
      <c r="D1293">
        <v>136</v>
      </c>
      <c r="E1293">
        <v>40</v>
      </c>
      <c r="F1293" s="2">
        <v>33.86</v>
      </c>
      <c r="G1293" t="s">
        <v>34</v>
      </c>
      <c r="H1293" s="1">
        <v>45462</v>
      </c>
      <c r="I1293" s="1">
        <v>45493</v>
      </c>
      <c r="J1293" t="s">
        <v>36</v>
      </c>
      <c r="K1293" s="8">
        <f>Table2[[#This Row],[CurrentStock]]*Table2[[#This Row],[UnitPrice]]</f>
        <v>4604.96</v>
      </c>
      <c r="L1293" t="str">
        <f>IF(Table2[[#This Row],[CurrentStock]]&lt;=Table2[[#This Row],[ReorderLevel]], "Reorder Needed", "Okay")</f>
        <v>Okay</v>
      </c>
      <c r="M1293" t="str">
        <f>IF(Table2[[#This Row],[CurrentStock]]-Table2[[#This Row],[ReorderLevel]]&lt;0,Table2[[#This Row],[CurrentStock]]-Table2[[#This Row],[ReorderLevel]],"")</f>
        <v/>
      </c>
      <c r="N1293" t="str">
        <f>IF(Table2[[#This Row],[Stock Gap]]&lt;0, "Understock","Okay")</f>
        <v>Okay</v>
      </c>
      <c r="O1293" s="13" t="str">
        <f>IF(Table2[[#This Row],[Stock Gap]]&lt;0, "Yes", "No")</f>
        <v>No</v>
      </c>
      <c r="P1293" s="13" t="str">
        <f>IF(Table2[[#This Row],[CurrentStock]]&lt;Table2[[#This Row],[ReorderLevel]],"Reorder", "Okay")</f>
        <v>Okay</v>
      </c>
      <c r="Q1293" s="13" t="str">
        <f>IF(Table2[[#This Row],[CurrentStock]]&gt;Table2[[#This Row],[ReorderLevel]]*3, "Overstock", "Okay")</f>
        <v>Overstock</v>
      </c>
    </row>
    <row r="1294" spans="1:17" x14ac:dyDescent="0.35">
      <c r="A1294">
        <v>52548</v>
      </c>
      <c r="B1294" t="s">
        <v>12</v>
      </c>
      <c r="C1294" t="s">
        <v>28</v>
      </c>
      <c r="D1294">
        <v>217</v>
      </c>
      <c r="E1294">
        <v>150</v>
      </c>
      <c r="F1294" s="2">
        <v>411.99</v>
      </c>
      <c r="G1294" t="s">
        <v>32</v>
      </c>
      <c r="H1294" s="1">
        <v>45637</v>
      </c>
      <c r="I1294" s="1">
        <v>45669</v>
      </c>
      <c r="J1294" t="s">
        <v>36</v>
      </c>
      <c r="K1294" s="8">
        <f>Table2[[#This Row],[CurrentStock]]*Table2[[#This Row],[UnitPrice]]</f>
        <v>89401.83</v>
      </c>
      <c r="L1294" t="str">
        <f>IF(Table2[[#This Row],[CurrentStock]]&lt;=Table2[[#This Row],[ReorderLevel]], "Reorder Needed", "Okay")</f>
        <v>Okay</v>
      </c>
      <c r="M1294" t="str">
        <f>IF(Table2[[#This Row],[CurrentStock]]-Table2[[#This Row],[ReorderLevel]]&lt;0,Table2[[#This Row],[CurrentStock]]-Table2[[#This Row],[ReorderLevel]],"")</f>
        <v/>
      </c>
      <c r="N1294" t="str">
        <f>IF(Table2[[#This Row],[Stock Gap]]&lt;0, "Understock","Okay")</f>
        <v>Okay</v>
      </c>
      <c r="O1294" s="13" t="str">
        <f>IF(Table2[[#This Row],[Stock Gap]]&lt;0, "Yes", "No")</f>
        <v>No</v>
      </c>
      <c r="P1294" s="13" t="str">
        <f>IF(Table2[[#This Row],[CurrentStock]]&lt;Table2[[#This Row],[ReorderLevel]],"Reorder", "Okay")</f>
        <v>Okay</v>
      </c>
      <c r="Q1294" s="13" t="str">
        <f>IF(Table2[[#This Row],[CurrentStock]]&gt;Table2[[#This Row],[ReorderLevel]]*3, "Overstock", "Okay")</f>
        <v>Okay</v>
      </c>
    </row>
    <row r="1295" spans="1:17" x14ac:dyDescent="0.35">
      <c r="A1295">
        <v>49846</v>
      </c>
      <c r="B1295" t="s">
        <v>21</v>
      </c>
      <c r="C1295" t="s">
        <v>26</v>
      </c>
      <c r="D1295">
        <v>363</v>
      </c>
      <c r="E1295">
        <v>100</v>
      </c>
      <c r="F1295" s="2">
        <v>427.9</v>
      </c>
      <c r="G1295" t="s">
        <v>31</v>
      </c>
      <c r="H1295" s="1">
        <v>45589</v>
      </c>
      <c r="I1295" s="1">
        <v>45620</v>
      </c>
      <c r="J1295" t="s">
        <v>36</v>
      </c>
      <c r="K1295" s="8">
        <f>Table2[[#This Row],[CurrentStock]]*Table2[[#This Row],[UnitPrice]]</f>
        <v>155327.69999999998</v>
      </c>
      <c r="L1295" t="str">
        <f>IF(Table2[[#This Row],[CurrentStock]]&lt;=Table2[[#This Row],[ReorderLevel]], "Reorder Needed", "Okay")</f>
        <v>Okay</v>
      </c>
      <c r="M1295" t="str">
        <f>IF(Table2[[#This Row],[CurrentStock]]-Table2[[#This Row],[ReorderLevel]]&lt;0,Table2[[#This Row],[CurrentStock]]-Table2[[#This Row],[ReorderLevel]],"")</f>
        <v/>
      </c>
      <c r="N1295" t="str">
        <f>IF(Table2[[#This Row],[Stock Gap]]&lt;0, "Understock","Okay")</f>
        <v>Okay</v>
      </c>
      <c r="O1295" s="13" t="str">
        <f>IF(Table2[[#This Row],[Stock Gap]]&lt;0, "Yes", "No")</f>
        <v>No</v>
      </c>
      <c r="P1295" s="13" t="str">
        <f>IF(Table2[[#This Row],[CurrentStock]]&lt;Table2[[#This Row],[ReorderLevel]],"Reorder", "Okay")</f>
        <v>Okay</v>
      </c>
      <c r="Q1295" s="13" t="str">
        <f>IF(Table2[[#This Row],[CurrentStock]]&gt;Table2[[#This Row],[ReorderLevel]]*3, "Overstock", "Okay")</f>
        <v>Overstock</v>
      </c>
    </row>
    <row r="1296" spans="1:17" x14ac:dyDescent="0.35">
      <c r="A1296">
        <v>28996</v>
      </c>
      <c r="B1296" t="s">
        <v>16</v>
      </c>
      <c r="C1296" t="s">
        <v>29</v>
      </c>
      <c r="D1296">
        <v>23</v>
      </c>
      <c r="E1296">
        <v>50</v>
      </c>
      <c r="F1296" s="2">
        <v>39.35</v>
      </c>
      <c r="G1296" t="s">
        <v>32</v>
      </c>
      <c r="H1296" s="1">
        <v>45357</v>
      </c>
      <c r="I1296" s="1">
        <v>45375</v>
      </c>
      <c r="J1296" t="s">
        <v>37</v>
      </c>
      <c r="K1296" s="8">
        <f>Table2[[#This Row],[CurrentStock]]*Table2[[#This Row],[UnitPrice]]</f>
        <v>905.05000000000007</v>
      </c>
      <c r="L1296" t="str">
        <f>IF(Table2[[#This Row],[CurrentStock]]&lt;=Table2[[#This Row],[ReorderLevel]], "Reorder Needed", "Okay")</f>
        <v>Reorder Needed</v>
      </c>
      <c r="M1296" s="7">
        <f>IF(Table2[[#This Row],[CurrentStock]]-Table2[[#This Row],[ReorderLevel]]&lt;0,Table2[[#This Row],[CurrentStock]]-Table2[[#This Row],[ReorderLevel]],"")</f>
        <v>-27</v>
      </c>
      <c r="N1296" t="str">
        <f>IF(Table2[[#This Row],[Stock Gap]]&lt;0, "Understock","Okay")</f>
        <v>Understock</v>
      </c>
      <c r="O1296" s="13" t="str">
        <f>IF(Table2[[#This Row],[Stock Gap]]&lt;0, "Yes", "No")</f>
        <v>Yes</v>
      </c>
      <c r="P1296" s="13" t="str">
        <f>IF(Table2[[#This Row],[CurrentStock]]&lt;Table2[[#This Row],[ReorderLevel]],"Reorder", "Okay")</f>
        <v>Reorder</v>
      </c>
      <c r="Q1296" s="13" t="str">
        <f>IF(Table2[[#This Row],[CurrentStock]]&gt;Table2[[#This Row],[ReorderLevel]]*3, "Overstock", "Okay")</f>
        <v>Okay</v>
      </c>
    </row>
    <row r="1297" spans="1:17" x14ac:dyDescent="0.35">
      <c r="A1297">
        <v>37690</v>
      </c>
      <c r="B1297" t="s">
        <v>24</v>
      </c>
      <c r="C1297" t="s">
        <v>30</v>
      </c>
      <c r="D1297">
        <v>103</v>
      </c>
      <c r="E1297">
        <v>80</v>
      </c>
      <c r="F1297" s="2">
        <v>390.1</v>
      </c>
      <c r="G1297" t="s">
        <v>31</v>
      </c>
      <c r="H1297" s="1">
        <v>45573</v>
      </c>
      <c r="I1297" s="1">
        <v>45589</v>
      </c>
      <c r="J1297" t="s">
        <v>38</v>
      </c>
      <c r="K1297" s="8">
        <f>Table2[[#This Row],[CurrentStock]]*Table2[[#This Row],[UnitPrice]]</f>
        <v>40180.300000000003</v>
      </c>
      <c r="L1297" t="str">
        <f>IF(Table2[[#This Row],[CurrentStock]]&lt;=Table2[[#This Row],[ReorderLevel]], "Reorder Needed", "Okay")</f>
        <v>Okay</v>
      </c>
      <c r="M1297" t="str">
        <f>IF(Table2[[#This Row],[CurrentStock]]-Table2[[#This Row],[ReorderLevel]]&lt;0,Table2[[#This Row],[CurrentStock]]-Table2[[#This Row],[ReorderLevel]],"")</f>
        <v/>
      </c>
      <c r="N1297" t="str">
        <f>IF(Table2[[#This Row],[Stock Gap]]&lt;0, "Understock","Okay")</f>
        <v>Okay</v>
      </c>
      <c r="O1297" s="13" t="str">
        <f>IF(Table2[[#This Row],[Stock Gap]]&lt;0, "Yes", "No")</f>
        <v>No</v>
      </c>
      <c r="P1297" s="13" t="str">
        <f>IF(Table2[[#This Row],[CurrentStock]]&lt;Table2[[#This Row],[ReorderLevel]],"Reorder", "Okay")</f>
        <v>Okay</v>
      </c>
      <c r="Q1297" s="13" t="str">
        <f>IF(Table2[[#This Row],[CurrentStock]]&gt;Table2[[#This Row],[ReorderLevel]]*3, "Overstock", "Okay")</f>
        <v>Okay</v>
      </c>
    </row>
    <row r="1298" spans="1:17" x14ac:dyDescent="0.35">
      <c r="A1298">
        <v>57606</v>
      </c>
      <c r="B1298" t="s">
        <v>14</v>
      </c>
      <c r="C1298" t="s">
        <v>28</v>
      </c>
      <c r="D1298">
        <v>236</v>
      </c>
      <c r="E1298">
        <v>50</v>
      </c>
      <c r="F1298" s="2">
        <v>19.59</v>
      </c>
      <c r="G1298" t="s">
        <v>34</v>
      </c>
      <c r="H1298" s="1">
        <v>45406</v>
      </c>
      <c r="I1298" s="1">
        <v>45437</v>
      </c>
      <c r="J1298" t="s">
        <v>37</v>
      </c>
      <c r="K1298" s="8">
        <f>Table2[[#This Row],[CurrentStock]]*Table2[[#This Row],[UnitPrice]]</f>
        <v>4623.24</v>
      </c>
      <c r="L1298" t="str">
        <f>IF(Table2[[#This Row],[CurrentStock]]&lt;=Table2[[#This Row],[ReorderLevel]], "Reorder Needed", "Okay")</f>
        <v>Okay</v>
      </c>
      <c r="M1298" t="str">
        <f>IF(Table2[[#This Row],[CurrentStock]]-Table2[[#This Row],[ReorderLevel]]&lt;0,Table2[[#This Row],[CurrentStock]]-Table2[[#This Row],[ReorderLevel]],"")</f>
        <v/>
      </c>
      <c r="N1298" t="str">
        <f>IF(Table2[[#This Row],[Stock Gap]]&lt;0, "Understock","Okay")</f>
        <v>Okay</v>
      </c>
      <c r="O1298" s="13" t="str">
        <f>IF(Table2[[#This Row],[Stock Gap]]&lt;0, "Yes", "No")</f>
        <v>No</v>
      </c>
      <c r="P1298" s="13" t="str">
        <f>IF(Table2[[#This Row],[CurrentStock]]&lt;Table2[[#This Row],[ReorderLevel]],"Reorder", "Okay")</f>
        <v>Okay</v>
      </c>
      <c r="Q1298" s="13" t="str">
        <f>IF(Table2[[#This Row],[CurrentStock]]&gt;Table2[[#This Row],[ReorderLevel]]*3, "Overstock", "Okay")</f>
        <v>Overstock</v>
      </c>
    </row>
    <row r="1299" spans="1:17" x14ac:dyDescent="0.35">
      <c r="A1299">
        <v>93697</v>
      </c>
      <c r="B1299" t="s">
        <v>24</v>
      </c>
      <c r="C1299" t="s">
        <v>30</v>
      </c>
      <c r="D1299">
        <v>499</v>
      </c>
      <c r="E1299">
        <v>150</v>
      </c>
      <c r="F1299" s="2">
        <v>456.68</v>
      </c>
      <c r="G1299" t="s">
        <v>35</v>
      </c>
      <c r="H1299" s="1">
        <v>45358</v>
      </c>
      <c r="I1299" s="1">
        <v>45372</v>
      </c>
      <c r="J1299" t="s">
        <v>36</v>
      </c>
      <c r="K1299" s="8">
        <f>Table2[[#This Row],[CurrentStock]]*Table2[[#This Row],[UnitPrice]]</f>
        <v>227883.32</v>
      </c>
      <c r="L1299" t="str">
        <f>IF(Table2[[#This Row],[CurrentStock]]&lt;=Table2[[#This Row],[ReorderLevel]], "Reorder Needed", "Okay")</f>
        <v>Okay</v>
      </c>
      <c r="M1299" t="str">
        <f>IF(Table2[[#This Row],[CurrentStock]]-Table2[[#This Row],[ReorderLevel]]&lt;0,Table2[[#This Row],[CurrentStock]]-Table2[[#This Row],[ReorderLevel]],"")</f>
        <v/>
      </c>
      <c r="N1299" t="str">
        <f>IF(Table2[[#This Row],[Stock Gap]]&lt;0, "Understock","Okay")</f>
        <v>Okay</v>
      </c>
      <c r="O1299" s="13" t="str">
        <f>IF(Table2[[#This Row],[Stock Gap]]&lt;0, "Yes", "No")</f>
        <v>No</v>
      </c>
      <c r="P1299" s="13" t="str">
        <f>IF(Table2[[#This Row],[CurrentStock]]&lt;Table2[[#This Row],[ReorderLevel]],"Reorder", "Okay")</f>
        <v>Okay</v>
      </c>
      <c r="Q1299" s="13" t="str">
        <f>IF(Table2[[#This Row],[CurrentStock]]&gt;Table2[[#This Row],[ReorderLevel]]*3, "Overstock", "Okay")</f>
        <v>Overstock</v>
      </c>
    </row>
    <row r="1300" spans="1:17" x14ac:dyDescent="0.35">
      <c r="A1300">
        <v>27333</v>
      </c>
      <c r="B1300" t="s">
        <v>15</v>
      </c>
      <c r="C1300" t="s">
        <v>29</v>
      </c>
      <c r="D1300">
        <v>86</v>
      </c>
      <c r="E1300">
        <v>20</v>
      </c>
      <c r="F1300" s="2">
        <v>364.86</v>
      </c>
      <c r="G1300" t="s">
        <v>34</v>
      </c>
      <c r="H1300" s="1">
        <v>45505</v>
      </c>
      <c r="I1300" s="1">
        <v>45536</v>
      </c>
      <c r="J1300" t="s">
        <v>37</v>
      </c>
      <c r="K1300" s="8">
        <f>Table2[[#This Row],[CurrentStock]]*Table2[[#This Row],[UnitPrice]]</f>
        <v>31377.960000000003</v>
      </c>
      <c r="L1300" t="str">
        <f>IF(Table2[[#This Row],[CurrentStock]]&lt;=Table2[[#This Row],[ReorderLevel]], "Reorder Needed", "Okay")</f>
        <v>Okay</v>
      </c>
      <c r="M1300" t="str">
        <f>IF(Table2[[#This Row],[CurrentStock]]-Table2[[#This Row],[ReorderLevel]]&lt;0,Table2[[#This Row],[CurrentStock]]-Table2[[#This Row],[ReorderLevel]],"")</f>
        <v/>
      </c>
      <c r="N1300" t="str">
        <f>IF(Table2[[#This Row],[Stock Gap]]&lt;0, "Understock","Okay")</f>
        <v>Okay</v>
      </c>
      <c r="O1300" s="13" t="str">
        <f>IF(Table2[[#This Row],[Stock Gap]]&lt;0, "Yes", "No")</f>
        <v>No</v>
      </c>
      <c r="P1300" s="13" t="str">
        <f>IF(Table2[[#This Row],[CurrentStock]]&lt;Table2[[#This Row],[ReorderLevel]],"Reorder", "Okay")</f>
        <v>Okay</v>
      </c>
      <c r="Q1300" s="13" t="str">
        <f>IF(Table2[[#This Row],[CurrentStock]]&gt;Table2[[#This Row],[ReorderLevel]]*3, "Overstock", "Okay")</f>
        <v>Overstock</v>
      </c>
    </row>
    <row r="1301" spans="1:17" x14ac:dyDescent="0.35">
      <c r="A1301">
        <v>96153</v>
      </c>
      <c r="B1301" t="s">
        <v>14</v>
      </c>
      <c r="C1301" t="s">
        <v>28</v>
      </c>
      <c r="D1301">
        <v>258</v>
      </c>
      <c r="E1301">
        <v>40</v>
      </c>
      <c r="F1301" s="2">
        <v>421.55</v>
      </c>
      <c r="G1301" t="s">
        <v>34</v>
      </c>
      <c r="H1301" s="1">
        <v>45482</v>
      </c>
      <c r="I1301" s="1">
        <v>45503</v>
      </c>
      <c r="J1301" t="s">
        <v>38</v>
      </c>
      <c r="K1301" s="8">
        <f>Table2[[#This Row],[CurrentStock]]*Table2[[#This Row],[UnitPrice]]</f>
        <v>108759.90000000001</v>
      </c>
      <c r="L1301" t="str">
        <f>IF(Table2[[#This Row],[CurrentStock]]&lt;=Table2[[#This Row],[ReorderLevel]], "Reorder Needed", "Okay")</f>
        <v>Okay</v>
      </c>
      <c r="M1301" t="str">
        <f>IF(Table2[[#This Row],[CurrentStock]]-Table2[[#This Row],[ReorderLevel]]&lt;0,Table2[[#This Row],[CurrentStock]]-Table2[[#This Row],[ReorderLevel]],"")</f>
        <v/>
      </c>
      <c r="N1301" t="str">
        <f>IF(Table2[[#This Row],[Stock Gap]]&lt;0, "Understock","Okay")</f>
        <v>Okay</v>
      </c>
      <c r="O1301" s="13" t="str">
        <f>IF(Table2[[#This Row],[Stock Gap]]&lt;0, "Yes", "No")</f>
        <v>No</v>
      </c>
      <c r="P1301" s="13" t="str">
        <f>IF(Table2[[#This Row],[CurrentStock]]&lt;Table2[[#This Row],[ReorderLevel]],"Reorder", "Okay")</f>
        <v>Okay</v>
      </c>
      <c r="Q1301" s="13" t="str">
        <f>IF(Table2[[#This Row],[CurrentStock]]&gt;Table2[[#This Row],[ReorderLevel]]*3, "Overstock", "Okay")</f>
        <v>Overstock</v>
      </c>
    </row>
    <row r="1302" spans="1:17" x14ac:dyDescent="0.35">
      <c r="A1302">
        <v>13952</v>
      </c>
      <c r="B1302" t="s">
        <v>17</v>
      </c>
      <c r="C1302" t="s">
        <v>27</v>
      </c>
      <c r="D1302">
        <v>355</v>
      </c>
      <c r="E1302">
        <v>80</v>
      </c>
      <c r="F1302" s="2">
        <v>300.33</v>
      </c>
      <c r="G1302" t="s">
        <v>34</v>
      </c>
      <c r="H1302" s="1">
        <v>45636</v>
      </c>
      <c r="I1302" s="1">
        <v>45660</v>
      </c>
      <c r="J1302" t="s">
        <v>38</v>
      </c>
      <c r="K1302" s="8">
        <f>Table2[[#This Row],[CurrentStock]]*Table2[[#This Row],[UnitPrice]]</f>
        <v>106617.15</v>
      </c>
      <c r="L1302" t="str">
        <f>IF(Table2[[#This Row],[CurrentStock]]&lt;=Table2[[#This Row],[ReorderLevel]], "Reorder Needed", "Okay")</f>
        <v>Okay</v>
      </c>
      <c r="M1302" t="str">
        <f>IF(Table2[[#This Row],[CurrentStock]]-Table2[[#This Row],[ReorderLevel]]&lt;0,Table2[[#This Row],[CurrentStock]]-Table2[[#This Row],[ReorderLevel]],"")</f>
        <v/>
      </c>
      <c r="N1302" t="str">
        <f>IF(Table2[[#This Row],[Stock Gap]]&lt;0, "Understock","Okay")</f>
        <v>Okay</v>
      </c>
      <c r="O1302" s="13" t="str">
        <f>IF(Table2[[#This Row],[Stock Gap]]&lt;0, "Yes", "No")</f>
        <v>No</v>
      </c>
      <c r="P1302" s="13" t="str">
        <f>IF(Table2[[#This Row],[CurrentStock]]&lt;Table2[[#This Row],[ReorderLevel]],"Reorder", "Okay")</f>
        <v>Okay</v>
      </c>
      <c r="Q1302" s="13" t="str">
        <f>IF(Table2[[#This Row],[CurrentStock]]&gt;Table2[[#This Row],[ReorderLevel]]*3, "Overstock", "Okay")</f>
        <v>Overstock</v>
      </c>
    </row>
    <row r="1303" spans="1:17" x14ac:dyDescent="0.35">
      <c r="A1303">
        <v>35957</v>
      </c>
      <c r="B1303" t="s">
        <v>16</v>
      </c>
      <c r="C1303" t="s">
        <v>29</v>
      </c>
      <c r="D1303">
        <v>476</v>
      </c>
      <c r="E1303">
        <v>80</v>
      </c>
      <c r="F1303" s="2">
        <v>301.10000000000002</v>
      </c>
      <c r="G1303" t="s">
        <v>35</v>
      </c>
      <c r="H1303" s="1">
        <v>45307</v>
      </c>
      <c r="I1303" s="1">
        <v>45341</v>
      </c>
      <c r="J1303" t="s">
        <v>37</v>
      </c>
      <c r="K1303" s="8">
        <f>Table2[[#This Row],[CurrentStock]]*Table2[[#This Row],[UnitPrice]]</f>
        <v>143323.6</v>
      </c>
      <c r="L1303" t="str">
        <f>IF(Table2[[#This Row],[CurrentStock]]&lt;=Table2[[#This Row],[ReorderLevel]], "Reorder Needed", "Okay")</f>
        <v>Okay</v>
      </c>
      <c r="M1303" t="str">
        <f>IF(Table2[[#This Row],[CurrentStock]]-Table2[[#This Row],[ReorderLevel]]&lt;0,Table2[[#This Row],[CurrentStock]]-Table2[[#This Row],[ReorderLevel]],"")</f>
        <v/>
      </c>
      <c r="N1303" t="str">
        <f>IF(Table2[[#This Row],[Stock Gap]]&lt;0, "Understock","Okay")</f>
        <v>Okay</v>
      </c>
      <c r="O1303" s="13" t="str">
        <f>IF(Table2[[#This Row],[Stock Gap]]&lt;0, "Yes", "No")</f>
        <v>No</v>
      </c>
      <c r="P1303" s="13" t="str">
        <f>IF(Table2[[#This Row],[CurrentStock]]&lt;Table2[[#This Row],[ReorderLevel]],"Reorder", "Okay")</f>
        <v>Okay</v>
      </c>
      <c r="Q1303" s="13" t="str">
        <f>IF(Table2[[#This Row],[CurrentStock]]&gt;Table2[[#This Row],[ReorderLevel]]*3, "Overstock", "Okay")</f>
        <v>Overstock</v>
      </c>
    </row>
    <row r="1304" spans="1:17" x14ac:dyDescent="0.35">
      <c r="A1304">
        <v>67757</v>
      </c>
      <c r="B1304" t="s">
        <v>16</v>
      </c>
      <c r="C1304" t="s">
        <v>29</v>
      </c>
      <c r="D1304">
        <v>454</v>
      </c>
      <c r="E1304">
        <v>30</v>
      </c>
      <c r="F1304" s="2">
        <v>293.58</v>
      </c>
      <c r="G1304" t="s">
        <v>34</v>
      </c>
      <c r="H1304" s="1">
        <v>45596</v>
      </c>
      <c r="I1304" s="1">
        <v>45613</v>
      </c>
      <c r="J1304" t="s">
        <v>36</v>
      </c>
      <c r="K1304" s="8">
        <f>Table2[[#This Row],[CurrentStock]]*Table2[[#This Row],[UnitPrice]]</f>
        <v>133285.32</v>
      </c>
      <c r="L1304" t="str">
        <f>IF(Table2[[#This Row],[CurrentStock]]&lt;=Table2[[#This Row],[ReorderLevel]], "Reorder Needed", "Okay")</f>
        <v>Okay</v>
      </c>
      <c r="M1304" t="str">
        <f>IF(Table2[[#This Row],[CurrentStock]]-Table2[[#This Row],[ReorderLevel]]&lt;0,Table2[[#This Row],[CurrentStock]]-Table2[[#This Row],[ReorderLevel]],"")</f>
        <v/>
      </c>
      <c r="N1304" t="str">
        <f>IF(Table2[[#This Row],[Stock Gap]]&lt;0, "Understock","Okay")</f>
        <v>Okay</v>
      </c>
      <c r="O1304" s="13" t="str">
        <f>IF(Table2[[#This Row],[Stock Gap]]&lt;0, "Yes", "No")</f>
        <v>No</v>
      </c>
      <c r="P1304" s="13" t="str">
        <f>IF(Table2[[#This Row],[CurrentStock]]&lt;Table2[[#This Row],[ReorderLevel]],"Reorder", "Okay")</f>
        <v>Okay</v>
      </c>
      <c r="Q1304" s="13" t="str">
        <f>IF(Table2[[#This Row],[CurrentStock]]&gt;Table2[[#This Row],[ReorderLevel]]*3, "Overstock", "Okay")</f>
        <v>Overstock</v>
      </c>
    </row>
    <row r="1305" spans="1:17" x14ac:dyDescent="0.35">
      <c r="A1305">
        <v>67732</v>
      </c>
      <c r="B1305" t="s">
        <v>21</v>
      </c>
      <c r="C1305" t="s">
        <v>26</v>
      </c>
      <c r="D1305">
        <v>212</v>
      </c>
      <c r="E1305">
        <v>50</v>
      </c>
      <c r="F1305" s="2">
        <v>281.56</v>
      </c>
      <c r="G1305" t="s">
        <v>32</v>
      </c>
      <c r="H1305" s="1">
        <v>45567</v>
      </c>
      <c r="I1305" s="1">
        <v>45605</v>
      </c>
      <c r="J1305" t="s">
        <v>37</v>
      </c>
      <c r="K1305" s="8">
        <f>Table2[[#This Row],[CurrentStock]]*Table2[[#This Row],[UnitPrice]]</f>
        <v>59690.720000000001</v>
      </c>
      <c r="L1305" t="str">
        <f>IF(Table2[[#This Row],[CurrentStock]]&lt;=Table2[[#This Row],[ReorderLevel]], "Reorder Needed", "Okay")</f>
        <v>Okay</v>
      </c>
      <c r="M1305" t="str">
        <f>IF(Table2[[#This Row],[CurrentStock]]-Table2[[#This Row],[ReorderLevel]]&lt;0,Table2[[#This Row],[CurrentStock]]-Table2[[#This Row],[ReorderLevel]],"")</f>
        <v/>
      </c>
      <c r="N1305" t="str">
        <f>IF(Table2[[#This Row],[Stock Gap]]&lt;0, "Understock","Okay")</f>
        <v>Okay</v>
      </c>
      <c r="O1305" s="13" t="str">
        <f>IF(Table2[[#This Row],[Stock Gap]]&lt;0, "Yes", "No")</f>
        <v>No</v>
      </c>
      <c r="P1305" s="13" t="str">
        <f>IF(Table2[[#This Row],[CurrentStock]]&lt;Table2[[#This Row],[ReorderLevel]],"Reorder", "Okay")</f>
        <v>Okay</v>
      </c>
      <c r="Q1305" s="13" t="str">
        <f>IF(Table2[[#This Row],[CurrentStock]]&gt;Table2[[#This Row],[ReorderLevel]]*3, "Overstock", "Okay")</f>
        <v>Overstock</v>
      </c>
    </row>
    <row r="1306" spans="1:17" x14ac:dyDescent="0.35">
      <c r="A1306">
        <v>76299</v>
      </c>
      <c r="B1306" t="s">
        <v>19</v>
      </c>
      <c r="C1306" t="s">
        <v>28</v>
      </c>
      <c r="D1306">
        <v>184</v>
      </c>
      <c r="E1306">
        <v>40</v>
      </c>
      <c r="F1306" s="2">
        <v>499.75</v>
      </c>
      <c r="G1306" t="s">
        <v>32</v>
      </c>
      <c r="H1306" s="1">
        <v>45633</v>
      </c>
      <c r="I1306" s="1">
        <v>45657</v>
      </c>
      <c r="J1306" t="s">
        <v>37</v>
      </c>
      <c r="K1306" s="8">
        <f>Table2[[#This Row],[CurrentStock]]*Table2[[#This Row],[UnitPrice]]</f>
        <v>91954</v>
      </c>
      <c r="L1306" t="str">
        <f>IF(Table2[[#This Row],[CurrentStock]]&lt;=Table2[[#This Row],[ReorderLevel]], "Reorder Needed", "Okay")</f>
        <v>Okay</v>
      </c>
      <c r="M1306" t="str">
        <f>IF(Table2[[#This Row],[CurrentStock]]-Table2[[#This Row],[ReorderLevel]]&lt;0,Table2[[#This Row],[CurrentStock]]-Table2[[#This Row],[ReorderLevel]],"")</f>
        <v/>
      </c>
      <c r="N1306" t="str">
        <f>IF(Table2[[#This Row],[Stock Gap]]&lt;0, "Understock","Okay")</f>
        <v>Okay</v>
      </c>
      <c r="O1306" s="13" t="str">
        <f>IF(Table2[[#This Row],[Stock Gap]]&lt;0, "Yes", "No")</f>
        <v>No</v>
      </c>
      <c r="P1306" s="13" t="str">
        <f>IF(Table2[[#This Row],[CurrentStock]]&lt;Table2[[#This Row],[ReorderLevel]],"Reorder", "Okay")</f>
        <v>Okay</v>
      </c>
      <c r="Q1306" s="13" t="str">
        <f>IF(Table2[[#This Row],[CurrentStock]]&gt;Table2[[#This Row],[ReorderLevel]]*3, "Overstock", "Okay")</f>
        <v>Overstock</v>
      </c>
    </row>
    <row r="1307" spans="1:17" x14ac:dyDescent="0.35">
      <c r="A1307">
        <v>19395</v>
      </c>
      <c r="B1307" t="s">
        <v>9</v>
      </c>
      <c r="C1307" t="s">
        <v>26</v>
      </c>
      <c r="D1307">
        <v>302</v>
      </c>
      <c r="E1307">
        <v>50</v>
      </c>
      <c r="F1307" s="2">
        <v>485.43</v>
      </c>
      <c r="G1307" t="s">
        <v>34</v>
      </c>
      <c r="H1307" s="1">
        <v>45445</v>
      </c>
      <c r="I1307" s="1">
        <v>45463</v>
      </c>
      <c r="J1307" t="s">
        <v>38</v>
      </c>
      <c r="K1307" s="8">
        <f>Table2[[#This Row],[CurrentStock]]*Table2[[#This Row],[UnitPrice]]</f>
        <v>146599.86000000002</v>
      </c>
      <c r="L1307" t="str">
        <f>IF(Table2[[#This Row],[CurrentStock]]&lt;=Table2[[#This Row],[ReorderLevel]], "Reorder Needed", "Okay")</f>
        <v>Okay</v>
      </c>
      <c r="M1307" t="str">
        <f>IF(Table2[[#This Row],[CurrentStock]]-Table2[[#This Row],[ReorderLevel]]&lt;0,Table2[[#This Row],[CurrentStock]]-Table2[[#This Row],[ReorderLevel]],"")</f>
        <v/>
      </c>
      <c r="N1307" t="str">
        <f>IF(Table2[[#This Row],[Stock Gap]]&lt;0, "Understock","Okay")</f>
        <v>Okay</v>
      </c>
      <c r="O1307" s="13" t="str">
        <f>IF(Table2[[#This Row],[Stock Gap]]&lt;0, "Yes", "No")</f>
        <v>No</v>
      </c>
      <c r="P1307" s="13" t="str">
        <f>IF(Table2[[#This Row],[CurrentStock]]&lt;Table2[[#This Row],[ReorderLevel]],"Reorder", "Okay")</f>
        <v>Okay</v>
      </c>
      <c r="Q1307" s="13" t="str">
        <f>IF(Table2[[#This Row],[CurrentStock]]&gt;Table2[[#This Row],[ReorderLevel]]*3, "Overstock", "Okay")</f>
        <v>Overstock</v>
      </c>
    </row>
    <row r="1308" spans="1:17" x14ac:dyDescent="0.35">
      <c r="A1308">
        <v>13664</v>
      </c>
      <c r="B1308" t="s">
        <v>19</v>
      </c>
      <c r="C1308" t="s">
        <v>28</v>
      </c>
      <c r="D1308">
        <v>59</v>
      </c>
      <c r="E1308">
        <v>30</v>
      </c>
      <c r="F1308" s="2">
        <v>193.2</v>
      </c>
      <c r="G1308" t="s">
        <v>34</v>
      </c>
      <c r="H1308" s="1">
        <v>45312</v>
      </c>
      <c r="I1308" s="1">
        <v>45343</v>
      </c>
      <c r="J1308" t="s">
        <v>37</v>
      </c>
      <c r="K1308" s="8">
        <f>Table2[[#This Row],[CurrentStock]]*Table2[[#This Row],[UnitPrice]]</f>
        <v>11398.8</v>
      </c>
      <c r="L1308" t="str">
        <f>IF(Table2[[#This Row],[CurrentStock]]&lt;=Table2[[#This Row],[ReorderLevel]], "Reorder Needed", "Okay")</f>
        <v>Okay</v>
      </c>
      <c r="M1308" t="str">
        <f>IF(Table2[[#This Row],[CurrentStock]]-Table2[[#This Row],[ReorderLevel]]&lt;0,Table2[[#This Row],[CurrentStock]]-Table2[[#This Row],[ReorderLevel]],"")</f>
        <v/>
      </c>
      <c r="N1308" t="str">
        <f>IF(Table2[[#This Row],[Stock Gap]]&lt;0, "Understock","Okay")</f>
        <v>Okay</v>
      </c>
      <c r="O1308" s="13" t="str">
        <f>IF(Table2[[#This Row],[Stock Gap]]&lt;0, "Yes", "No")</f>
        <v>No</v>
      </c>
      <c r="P1308" s="13" t="str">
        <f>IF(Table2[[#This Row],[CurrentStock]]&lt;Table2[[#This Row],[ReorderLevel]],"Reorder", "Okay")</f>
        <v>Okay</v>
      </c>
      <c r="Q1308" s="13" t="str">
        <f>IF(Table2[[#This Row],[CurrentStock]]&gt;Table2[[#This Row],[ReorderLevel]]*3, "Overstock", "Okay")</f>
        <v>Okay</v>
      </c>
    </row>
    <row r="1309" spans="1:17" x14ac:dyDescent="0.35">
      <c r="A1309">
        <v>27241</v>
      </c>
      <c r="B1309" t="s">
        <v>20</v>
      </c>
      <c r="C1309" t="s">
        <v>30</v>
      </c>
      <c r="D1309">
        <v>473</v>
      </c>
      <c r="E1309">
        <v>80</v>
      </c>
      <c r="F1309" s="2">
        <v>226.87</v>
      </c>
      <c r="G1309" t="s">
        <v>33</v>
      </c>
      <c r="H1309" s="1">
        <v>45423</v>
      </c>
      <c r="I1309" s="1">
        <v>45431</v>
      </c>
      <c r="J1309" t="s">
        <v>36</v>
      </c>
      <c r="K1309" s="8">
        <f>Table2[[#This Row],[CurrentStock]]*Table2[[#This Row],[UnitPrice]]</f>
        <v>107309.51000000001</v>
      </c>
      <c r="L1309" t="str">
        <f>IF(Table2[[#This Row],[CurrentStock]]&lt;=Table2[[#This Row],[ReorderLevel]], "Reorder Needed", "Okay")</f>
        <v>Okay</v>
      </c>
      <c r="M1309" t="str">
        <f>IF(Table2[[#This Row],[CurrentStock]]-Table2[[#This Row],[ReorderLevel]]&lt;0,Table2[[#This Row],[CurrentStock]]-Table2[[#This Row],[ReorderLevel]],"")</f>
        <v/>
      </c>
      <c r="N1309" t="str">
        <f>IF(Table2[[#This Row],[Stock Gap]]&lt;0, "Understock","Okay")</f>
        <v>Okay</v>
      </c>
      <c r="O1309" s="13" t="str">
        <f>IF(Table2[[#This Row],[Stock Gap]]&lt;0, "Yes", "No")</f>
        <v>No</v>
      </c>
      <c r="P1309" s="13" t="str">
        <f>IF(Table2[[#This Row],[CurrentStock]]&lt;Table2[[#This Row],[ReorderLevel]],"Reorder", "Okay")</f>
        <v>Okay</v>
      </c>
      <c r="Q1309" s="13" t="str">
        <f>IF(Table2[[#This Row],[CurrentStock]]&gt;Table2[[#This Row],[ReorderLevel]]*3, "Overstock", "Okay")</f>
        <v>Overstock</v>
      </c>
    </row>
    <row r="1310" spans="1:17" x14ac:dyDescent="0.35">
      <c r="A1310">
        <v>59167</v>
      </c>
      <c r="B1310" t="s">
        <v>11</v>
      </c>
      <c r="C1310" t="s">
        <v>27</v>
      </c>
      <c r="D1310">
        <v>114</v>
      </c>
      <c r="E1310">
        <v>80</v>
      </c>
      <c r="F1310" s="2">
        <v>455.09</v>
      </c>
      <c r="G1310" t="s">
        <v>35</v>
      </c>
      <c r="H1310" s="1">
        <v>45528</v>
      </c>
      <c r="I1310" s="1">
        <v>45555</v>
      </c>
      <c r="J1310" t="s">
        <v>38</v>
      </c>
      <c r="K1310" s="8">
        <f>Table2[[#This Row],[CurrentStock]]*Table2[[#This Row],[UnitPrice]]</f>
        <v>51880.259999999995</v>
      </c>
      <c r="L1310" t="str">
        <f>IF(Table2[[#This Row],[CurrentStock]]&lt;=Table2[[#This Row],[ReorderLevel]], "Reorder Needed", "Okay")</f>
        <v>Okay</v>
      </c>
      <c r="M1310" t="str">
        <f>IF(Table2[[#This Row],[CurrentStock]]-Table2[[#This Row],[ReorderLevel]]&lt;0,Table2[[#This Row],[CurrentStock]]-Table2[[#This Row],[ReorderLevel]],"")</f>
        <v/>
      </c>
      <c r="N1310" t="str">
        <f>IF(Table2[[#This Row],[Stock Gap]]&lt;0, "Understock","Okay")</f>
        <v>Okay</v>
      </c>
      <c r="O1310" s="13" t="str">
        <f>IF(Table2[[#This Row],[Stock Gap]]&lt;0, "Yes", "No")</f>
        <v>No</v>
      </c>
      <c r="P1310" s="13" t="str">
        <f>IF(Table2[[#This Row],[CurrentStock]]&lt;Table2[[#This Row],[ReorderLevel]],"Reorder", "Okay")</f>
        <v>Okay</v>
      </c>
      <c r="Q1310" s="13" t="str">
        <f>IF(Table2[[#This Row],[CurrentStock]]&gt;Table2[[#This Row],[ReorderLevel]]*3, "Overstock", "Okay")</f>
        <v>Okay</v>
      </c>
    </row>
    <row r="1311" spans="1:17" x14ac:dyDescent="0.35">
      <c r="A1311">
        <v>21826</v>
      </c>
      <c r="B1311" t="s">
        <v>18</v>
      </c>
      <c r="C1311" t="s">
        <v>27</v>
      </c>
      <c r="D1311">
        <v>443</v>
      </c>
      <c r="E1311">
        <v>100</v>
      </c>
      <c r="F1311" s="2">
        <v>298.97000000000003</v>
      </c>
      <c r="G1311" t="s">
        <v>34</v>
      </c>
      <c r="H1311" s="1">
        <v>45499</v>
      </c>
      <c r="I1311" s="1">
        <v>45510</v>
      </c>
      <c r="J1311" t="s">
        <v>36</v>
      </c>
      <c r="K1311" s="8">
        <f>Table2[[#This Row],[CurrentStock]]*Table2[[#This Row],[UnitPrice]]</f>
        <v>132443.71000000002</v>
      </c>
      <c r="L1311" t="str">
        <f>IF(Table2[[#This Row],[CurrentStock]]&lt;=Table2[[#This Row],[ReorderLevel]], "Reorder Needed", "Okay")</f>
        <v>Okay</v>
      </c>
      <c r="M1311" t="str">
        <f>IF(Table2[[#This Row],[CurrentStock]]-Table2[[#This Row],[ReorderLevel]]&lt;0,Table2[[#This Row],[CurrentStock]]-Table2[[#This Row],[ReorderLevel]],"")</f>
        <v/>
      </c>
      <c r="N1311" t="str">
        <f>IF(Table2[[#This Row],[Stock Gap]]&lt;0, "Understock","Okay")</f>
        <v>Okay</v>
      </c>
      <c r="O1311" s="13" t="str">
        <f>IF(Table2[[#This Row],[Stock Gap]]&lt;0, "Yes", "No")</f>
        <v>No</v>
      </c>
      <c r="P1311" s="13" t="str">
        <f>IF(Table2[[#This Row],[CurrentStock]]&lt;Table2[[#This Row],[ReorderLevel]],"Reorder", "Okay")</f>
        <v>Okay</v>
      </c>
      <c r="Q1311" s="13" t="str">
        <f>IF(Table2[[#This Row],[CurrentStock]]&gt;Table2[[#This Row],[ReorderLevel]]*3, "Overstock", "Okay")</f>
        <v>Overstock</v>
      </c>
    </row>
    <row r="1312" spans="1:17" x14ac:dyDescent="0.35">
      <c r="A1312">
        <v>93106</v>
      </c>
      <c r="B1312" t="s">
        <v>23</v>
      </c>
      <c r="C1312" t="s">
        <v>30</v>
      </c>
      <c r="D1312">
        <v>377</v>
      </c>
      <c r="E1312">
        <v>150</v>
      </c>
      <c r="F1312" s="2">
        <v>337.14</v>
      </c>
      <c r="G1312" t="s">
        <v>34</v>
      </c>
      <c r="H1312" s="1">
        <v>45557</v>
      </c>
      <c r="I1312" s="1">
        <v>45570</v>
      </c>
      <c r="J1312" t="s">
        <v>38</v>
      </c>
      <c r="K1312" s="8">
        <f>Table2[[#This Row],[CurrentStock]]*Table2[[#This Row],[UnitPrice]]</f>
        <v>127101.78</v>
      </c>
      <c r="L1312" t="str">
        <f>IF(Table2[[#This Row],[CurrentStock]]&lt;=Table2[[#This Row],[ReorderLevel]], "Reorder Needed", "Okay")</f>
        <v>Okay</v>
      </c>
      <c r="M1312" t="str">
        <f>IF(Table2[[#This Row],[CurrentStock]]-Table2[[#This Row],[ReorderLevel]]&lt;0,Table2[[#This Row],[CurrentStock]]-Table2[[#This Row],[ReorderLevel]],"")</f>
        <v/>
      </c>
      <c r="N1312" t="str">
        <f>IF(Table2[[#This Row],[Stock Gap]]&lt;0, "Understock","Okay")</f>
        <v>Okay</v>
      </c>
      <c r="O1312" s="13" t="str">
        <f>IF(Table2[[#This Row],[Stock Gap]]&lt;0, "Yes", "No")</f>
        <v>No</v>
      </c>
      <c r="P1312" s="13" t="str">
        <f>IF(Table2[[#This Row],[CurrentStock]]&lt;Table2[[#This Row],[ReorderLevel]],"Reorder", "Okay")</f>
        <v>Okay</v>
      </c>
      <c r="Q1312" s="13" t="str">
        <f>IF(Table2[[#This Row],[CurrentStock]]&gt;Table2[[#This Row],[ReorderLevel]]*3, "Overstock", "Okay")</f>
        <v>Okay</v>
      </c>
    </row>
    <row r="1313" spans="1:17" x14ac:dyDescent="0.35">
      <c r="A1313">
        <v>97340</v>
      </c>
      <c r="B1313" t="s">
        <v>10</v>
      </c>
      <c r="C1313" t="s">
        <v>26</v>
      </c>
      <c r="D1313">
        <v>308</v>
      </c>
      <c r="E1313">
        <v>50</v>
      </c>
      <c r="F1313" s="2">
        <v>253.17</v>
      </c>
      <c r="G1313" t="s">
        <v>33</v>
      </c>
      <c r="H1313" s="1">
        <v>45530</v>
      </c>
      <c r="I1313" s="1">
        <v>45539</v>
      </c>
      <c r="J1313" t="s">
        <v>37</v>
      </c>
      <c r="K1313" s="8">
        <f>Table2[[#This Row],[CurrentStock]]*Table2[[#This Row],[UnitPrice]]</f>
        <v>77976.36</v>
      </c>
      <c r="L1313" t="str">
        <f>IF(Table2[[#This Row],[CurrentStock]]&lt;=Table2[[#This Row],[ReorderLevel]], "Reorder Needed", "Okay")</f>
        <v>Okay</v>
      </c>
      <c r="M1313" t="str">
        <f>IF(Table2[[#This Row],[CurrentStock]]-Table2[[#This Row],[ReorderLevel]]&lt;0,Table2[[#This Row],[CurrentStock]]-Table2[[#This Row],[ReorderLevel]],"")</f>
        <v/>
      </c>
      <c r="N1313" t="str">
        <f>IF(Table2[[#This Row],[Stock Gap]]&lt;0, "Understock","Okay")</f>
        <v>Okay</v>
      </c>
      <c r="O1313" s="13" t="str">
        <f>IF(Table2[[#This Row],[Stock Gap]]&lt;0, "Yes", "No")</f>
        <v>No</v>
      </c>
      <c r="P1313" s="13" t="str">
        <f>IF(Table2[[#This Row],[CurrentStock]]&lt;Table2[[#This Row],[ReorderLevel]],"Reorder", "Okay")</f>
        <v>Okay</v>
      </c>
      <c r="Q1313" s="13" t="str">
        <f>IF(Table2[[#This Row],[CurrentStock]]&gt;Table2[[#This Row],[ReorderLevel]]*3, "Overstock", "Okay")</f>
        <v>Overstock</v>
      </c>
    </row>
    <row r="1314" spans="1:17" x14ac:dyDescent="0.35">
      <c r="A1314">
        <v>58807</v>
      </c>
      <c r="B1314" t="s">
        <v>25</v>
      </c>
      <c r="C1314" t="s">
        <v>29</v>
      </c>
      <c r="D1314">
        <v>294</v>
      </c>
      <c r="E1314">
        <v>100</v>
      </c>
      <c r="F1314" s="2">
        <v>216.71</v>
      </c>
      <c r="G1314" t="s">
        <v>35</v>
      </c>
      <c r="H1314" s="1">
        <v>45586</v>
      </c>
      <c r="I1314" s="1">
        <v>45611</v>
      </c>
      <c r="J1314" t="s">
        <v>37</v>
      </c>
      <c r="K1314" s="8">
        <f>Table2[[#This Row],[CurrentStock]]*Table2[[#This Row],[UnitPrice]]</f>
        <v>63712.740000000005</v>
      </c>
      <c r="L1314" t="str">
        <f>IF(Table2[[#This Row],[CurrentStock]]&lt;=Table2[[#This Row],[ReorderLevel]], "Reorder Needed", "Okay")</f>
        <v>Okay</v>
      </c>
      <c r="M1314" t="str">
        <f>IF(Table2[[#This Row],[CurrentStock]]-Table2[[#This Row],[ReorderLevel]]&lt;0,Table2[[#This Row],[CurrentStock]]-Table2[[#This Row],[ReorderLevel]],"")</f>
        <v/>
      </c>
      <c r="N1314" t="str">
        <f>IF(Table2[[#This Row],[Stock Gap]]&lt;0, "Understock","Okay")</f>
        <v>Okay</v>
      </c>
      <c r="O1314" s="13" t="str">
        <f>IF(Table2[[#This Row],[Stock Gap]]&lt;0, "Yes", "No")</f>
        <v>No</v>
      </c>
      <c r="P1314" s="13" t="str">
        <f>IF(Table2[[#This Row],[CurrentStock]]&lt;Table2[[#This Row],[ReorderLevel]],"Reorder", "Okay")</f>
        <v>Okay</v>
      </c>
      <c r="Q1314" s="13" t="str">
        <f>IF(Table2[[#This Row],[CurrentStock]]&gt;Table2[[#This Row],[ReorderLevel]]*3, "Overstock", "Okay")</f>
        <v>Okay</v>
      </c>
    </row>
    <row r="1315" spans="1:17" x14ac:dyDescent="0.35">
      <c r="A1315">
        <v>99521</v>
      </c>
      <c r="B1315" t="s">
        <v>20</v>
      </c>
      <c r="C1315" t="s">
        <v>30</v>
      </c>
      <c r="D1315">
        <v>239</v>
      </c>
      <c r="E1315">
        <v>100</v>
      </c>
      <c r="F1315" s="2">
        <v>464.87</v>
      </c>
      <c r="G1315" t="s">
        <v>34</v>
      </c>
      <c r="H1315" s="1">
        <v>45456</v>
      </c>
      <c r="I1315" s="1">
        <v>45475</v>
      </c>
      <c r="J1315" t="s">
        <v>38</v>
      </c>
      <c r="K1315" s="8">
        <f>Table2[[#This Row],[CurrentStock]]*Table2[[#This Row],[UnitPrice]]</f>
        <v>111103.93000000001</v>
      </c>
      <c r="L1315" t="str">
        <f>IF(Table2[[#This Row],[CurrentStock]]&lt;=Table2[[#This Row],[ReorderLevel]], "Reorder Needed", "Okay")</f>
        <v>Okay</v>
      </c>
      <c r="M1315" t="str">
        <f>IF(Table2[[#This Row],[CurrentStock]]-Table2[[#This Row],[ReorderLevel]]&lt;0,Table2[[#This Row],[CurrentStock]]-Table2[[#This Row],[ReorderLevel]],"")</f>
        <v/>
      </c>
      <c r="N1315" t="str">
        <f>IF(Table2[[#This Row],[Stock Gap]]&lt;0, "Understock","Okay")</f>
        <v>Okay</v>
      </c>
      <c r="O1315" s="13" t="str">
        <f>IF(Table2[[#This Row],[Stock Gap]]&lt;0, "Yes", "No")</f>
        <v>No</v>
      </c>
      <c r="P1315" s="13" t="str">
        <f>IF(Table2[[#This Row],[CurrentStock]]&lt;Table2[[#This Row],[ReorderLevel]],"Reorder", "Okay")</f>
        <v>Okay</v>
      </c>
      <c r="Q1315" s="13" t="str">
        <f>IF(Table2[[#This Row],[CurrentStock]]&gt;Table2[[#This Row],[ReorderLevel]]*3, "Overstock", "Okay")</f>
        <v>Okay</v>
      </c>
    </row>
    <row r="1316" spans="1:17" x14ac:dyDescent="0.35">
      <c r="A1316">
        <v>26254</v>
      </c>
      <c r="B1316" t="s">
        <v>19</v>
      </c>
      <c r="C1316" t="s">
        <v>28</v>
      </c>
      <c r="D1316">
        <v>299</v>
      </c>
      <c r="E1316">
        <v>150</v>
      </c>
      <c r="F1316" s="2">
        <v>479.48</v>
      </c>
      <c r="G1316" t="s">
        <v>34</v>
      </c>
      <c r="H1316" s="1">
        <v>45339</v>
      </c>
      <c r="I1316" s="1">
        <v>45361</v>
      </c>
      <c r="J1316" t="s">
        <v>36</v>
      </c>
      <c r="K1316" s="8">
        <f>Table2[[#This Row],[CurrentStock]]*Table2[[#This Row],[UnitPrice]]</f>
        <v>143364.52000000002</v>
      </c>
      <c r="L1316" t="str">
        <f>IF(Table2[[#This Row],[CurrentStock]]&lt;=Table2[[#This Row],[ReorderLevel]], "Reorder Needed", "Okay")</f>
        <v>Okay</v>
      </c>
      <c r="M1316" t="str">
        <f>IF(Table2[[#This Row],[CurrentStock]]-Table2[[#This Row],[ReorderLevel]]&lt;0,Table2[[#This Row],[CurrentStock]]-Table2[[#This Row],[ReorderLevel]],"")</f>
        <v/>
      </c>
      <c r="N1316" t="str">
        <f>IF(Table2[[#This Row],[Stock Gap]]&lt;0, "Understock","Okay")</f>
        <v>Okay</v>
      </c>
      <c r="O1316" s="13" t="str">
        <f>IF(Table2[[#This Row],[Stock Gap]]&lt;0, "Yes", "No")</f>
        <v>No</v>
      </c>
      <c r="P1316" s="13" t="str">
        <f>IF(Table2[[#This Row],[CurrentStock]]&lt;Table2[[#This Row],[ReorderLevel]],"Reorder", "Okay")</f>
        <v>Okay</v>
      </c>
      <c r="Q1316" s="13" t="str">
        <f>IF(Table2[[#This Row],[CurrentStock]]&gt;Table2[[#This Row],[ReorderLevel]]*3, "Overstock", "Okay")</f>
        <v>Okay</v>
      </c>
    </row>
    <row r="1317" spans="1:17" x14ac:dyDescent="0.35">
      <c r="A1317">
        <v>60603</v>
      </c>
      <c r="B1317" t="s">
        <v>15</v>
      </c>
      <c r="C1317" t="s">
        <v>29</v>
      </c>
      <c r="D1317">
        <v>83</v>
      </c>
      <c r="E1317">
        <v>30</v>
      </c>
      <c r="F1317" s="2">
        <v>322.94</v>
      </c>
      <c r="G1317" t="s">
        <v>31</v>
      </c>
      <c r="H1317" s="1">
        <v>45407</v>
      </c>
      <c r="I1317" s="1">
        <v>45424</v>
      </c>
      <c r="J1317" t="s">
        <v>38</v>
      </c>
      <c r="K1317" s="8">
        <f>Table2[[#This Row],[CurrentStock]]*Table2[[#This Row],[UnitPrice]]</f>
        <v>26804.02</v>
      </c>
      <c r="L1317" t="str">
        <f>IF(Table2[[#This Row],[CurrentStock]]&lt;=Table2[[#This Row],[ReorderLevel]], "Reorder Needed", "Okay")</f>
        <v>Okay</v>
      </c>
      <c r="M1317" t="str">
        <f>IF(Table2[[#This Row],[CurrentStock]]-Table2[[#This Row],[ReorderLevel]]&lt;0,Table2[[#This Row],[CurrentStock]]-Table2[[#This Row],[ReorderLevel]],"")</f>
        <v/>
      </c>
      <c r="N1317" t="str">
        <f>IF(Table2[[#This Row],[Stock Gap]]&lt;0, "Understock","Okay")</f>
        <v>Okay</v>
      </c>
      <c r="O1317" s="13" t="str">
        <f>IF(Table2[[#This Row],[Stock Gap]]&lt;0, "Yes", "No")</f>
        <v>No</v>
      </c>
      <c r="P1317" s="13" t="str">
        <f>IF(Table2[[#This Row],[CurrentStock]]&lt;Table2[[#This Row],[ReorderLevel]],"Reorder", "Okay")</f>
        <v>Okay</v>
      </c>
      <c r="Q1317" s="13" t="str">
        <f>IF(Table2[[#This Row],[CurrentStock]]&gt;Table2[[#This Row],[ReorderLevel]]*3, "Overstock", "Okay")</f>
        <v>Okay</v>
      </c>
    </row>
    <row r="1318" spans="1:17" x14ac:dyDescent="0.35">
      <c r="A1318">
        <v>72820</v>
      </c>
      <c r="B1318" t="s">
        <v>22</v>
      </c>
      <c r="C1318" t="s">
        <v>29</v>
      </c>
      <c r="D1318">
        <v>347</v>
      </c>
      <c r="E1318">
        <v>80</v>
      </c>
      <c r="F1318" s="2">
        <v>445.96</v>
      </c>
      <c r="G1318" t="s">
        <v>34</v>
      </c>
      <c r="H1318" s="1">
        <v>45447</v>
      </c>
      <c r="I1318" s="1">
        <v>45453</v>
      </c>
      <c r="J1318" t="s">
        <v>36</v>
      </c>
      <c r="K1318" s="8">
        <f>Table2[[#This Row],[CurrentStock]]*Table2[[#This Row],[UnitPrice]]</f>
        <v>154748.12</v>
      </c>
      <c r="L1318" t="str">
        <f>IF(Table2[[#This Row],[CurrentStock]]&lt;=Table2[[#This Row],[ReorderLevel]], "Reorder Needed", "Okay")</f>
        <v>Okay</v>
      </c>
      <c r="M1318" t="str">
        <f>IF(Table2[[#This Row],[CurrentStock]]-Table2[[#This Row],[ReorderLevel]]&lt;0,Table2[[#This Row],[CurrentStock]]-Table2[[#This Row],[ReorderLevel]],"")</f>
        <v/>
      </c>
      <c r="N1318" t="str">
        <f>IF(Table2[[#This Row],[Stock Gap]]&lt;0, "Understock","Okay")</f>
        <v>Okay</v>
      </c>
      <c r="O1318" s="13" t="str">
        <f>IF(Table2[[#This Row],[Stock Gap]]&lt;0, "Yes", "No")</f>
        <v>No</v>
      </c>
      <c r="P1318" s="13" t="str">
        <f>IF(Table2[[#This Row],[CurrentStock]]&lt;Table2[[#This Row],[ReorderLevel]],"Reorder", "Okay")</f>
        <v>Okay</v>
      </c>
      <c r="Q1318" s="13" t="str">
        <f>IF(Table2[[#This Row],[CurrentStock]]&gt;Table2[[#This Row],[ReorderLevel]]*3, "Overstock", "Okay")</f>
        <v>Overstock</v>
      </c>
    </row>
    <row r="1319" spans="1:17" x14ac:dyDescent="0.35">
      <c r="A1319">
        <v>83802</v>
      </c>
      <c r="B1319" t="s">
        <v>24</v>
      </c>
      <c r="C1319" t="s">
        <v>30</v>
      </c>
      <c r="D1319">
        <v>57</v>
      </c>
      <c r="E1319">
        <v>100</v>
      </c>
      <c r="F1319" s="2">
        <v>82.06</v>
      </c>
      <c r="G1319" t="s">
        <v>34</v>
      </c>
      <c r="H1319" s="1">
        <v>45448</v>
      </c>
      <c r="I1319" s="1">
        <v>45487</v>
      </c>
      <c r="J1319" t="s">
        <v>37</v>
      </c>
      <c r="K1319" s="8">
        <f>Table2[[#This Row],[CurrentStock]]*Table2[[#This Row],[UnitPrice]]</f>
        <v>4677.42</v>
      </c>
      <c r="L1319" t="str">
        <f>IF(Table2[[#This Row],[CurrentStock]]&lt;=Table2[[#This Row],[ReorderLevel]], "Reorder Needed", "Okay")</f>
        <v>Reorder Needed</v>
      </c>
      <c r="M1319" s="7">
        <f>IF(Table2[[#This Row],[CurrentStock]]-Table2[[#This Row],[ReorderLevel]]&lt;0,Table2[[#This Row],[CurrentStock]]-Table2[[#This Row],[ReorderLevel]],"")</f>
        <v>-43</v>
      </c>
      <c r="N1319" t="str">
        <f>IF(Table2[[#This Row],[Stock Gap]]&lt;0, "Understock","Okay")</f>
        <v>Understock</v>
      </c>
      <c r="O1319" s="13" t="str">
        <f>IF(Table2[[#This Row],[Stock Gap]]&lt;0, "Yes", "No")</f>
        <v>Yes</v>
      </c>
      <c r="P1319" s="13" t="str">
        <f>IF(Table2[[#This Row],[CurrentStock]]&lt;Table2[[#This Row],[ReorderLevel]],"Reorder", "Okay")</f>
        <v>Reorder</v>
      </c>
      <c r="Q1319" s="13" t="str">
        <f>IF(Table2[[#This Row],[CurrentStock]]&gt;Table2[[#This Row],[ReorderLevel]]*3, "Overstock", "Okay")</f>
        <v>Okay</v>
      </c>
    </row>
    <row r="1320" spans="1:17" x14ac:dyDescent="0.35">
      <c r="A1320">
        <v>79852</v>
      </c>
      <c r="B1320" t="s">
        <v>19</v>
      </c>
      <c r="C1320" t="s">
        <v>28</v>
      </c>
      <c r="D1320">
        <v>77</v>
      </c>
      <c r="E1320">
        <v>150</v>
      </c>
      <c r="F1320" s="2">
        <v>303.25</v>
      </c>
      <c r="G1320" t="s">
        <v>31</v>
      </c>
      <c r="H1320" s="1">
        <v>45595</v>
      </c>
      <c r="I1320" s="1">
        <v>45602</v>
      </c>
      <c r="J1320" t="s">
        <v>37</v>
      </c>
      <c r="K1320" s="8">
        <f>Table2[[#This Row],[CurrentStock]]*Table2[[#This Row],[UnitPrice]]</f>
        <v>23350.25</v>
      </c>
      <c r="L1320" t="str">
        <f>IF(Table2[[#This Row],[CurrentStock]]&lt;=Table2[[#This Row],[ReorderLevel]], "Reorder Needed", "Okay")</f>
        <v>Reorder Needed</v>
      </c>
      <c r="M1320" s="7">
        <f>IF(Table2[[#This Row],[CurrentStock]]-Table2[[#This Row],[ReorderLevel]]&lt;0,Table2[[#This Row],[CurrentStock]]-Table2[[#This Row],[ReorderLevel]],"")</f>
        <v>-73</v>
      </c>
      <c r="N1320" t="str">
        <f>IF(Table2[[#This Row],[Stock Gap]]&lt;0, "Understock","Okay")</f>
        <v>Understock</v>
      </c>
      <c r="O1320" s="13" t="str">
        <f>IF(Table2[[#This Row],[Stock Gap]]&lt;0, "Yes", "No")</f>
        <v>Yes</v>
      </c>
      <c r="P1320" s="13" t="str">
        <f>IF(Table2[[#This Row],[CurrentStock]]&lt;Table2[[#This Row],[ReorderLevel]],"Reorder", "Okay")</f>
        <v>Reorder</v>
      </c>
      <c r="Q1320" s="13" t="str">
        <f>IF(Table2[[#This Row],[CurrentStock]]&gt;Table2[[#This Row],[ReorderLevel]]*3, "Overstock", "Okay")</f>
        <v>Okay</v>
      </c>
    </row>
    <row r="1321" spans="1:17" x14ac:dyDescent="0.35">
      <c r="A1321">
        <v>53481</v>
      </c>
      <c r="B1321" t="s">
        <v>10</v>
      </c>
      <c r="C1321" t="s">
        <v>26</v>
      </c>
      <c r="D1321">
        <v>253</v>
      </c>
      <c r="E1321">
        <v>30</v>
      </c>
      <c r="F1321" s="2">
        <v>26.83</v>
      </c>
      <c r="G1321" t="s">
        <v>32</v>
      </c>
      <c r="H1321" s="1">
        <v>45506</v>
      </c>
      <c r="I1321" s="1">
        <v>45532</v>
      </c>
      <c r="J1321" t="s">
        <v>37</v>
      </c>
      <c r="K1321" s="8">
        <f>Table2[[#This Row],[CurrentStock]]*Table2[[#This Row],[UnitPrice]]</f>
        <v>6787.99</v>
      </c>
      <c r="L1321" t="str">
        <f>IF(Table2[[#This Row],[CurrentStock]]&lt;=Table2[[#This Row],[ReorderLevel]], "Reorder Needed", "Okay")</f>
        <v>Okay</v>
      </c>
      <c r="M1321" t="str">
        <f>IF(Table2[[#This Row],[CurrentStock]]-Table2[[#This Row],[ReorderLevel]]&lt;0,Table2[[#This Row],[CurrentStock]]-Table2[[#This Row],[ReorderLevel]],"")</f>
        <v/>
      </c>
      <c r="N1321" t="str">
        <f>IF(Table2[[#This Row],[Stock Gap]]&lt;0, "Understock","Okay")</f>
        <v>Okay</v>
      </c>
      <c r="O1321" s="13" t="str">
        <f>IF(Table2[[#This Row],[Stock Gap]]&lt;0, "Yes", "No")</f>
        <v>No</v>
      </c>
      <c r="P1321" s="13" t="str">
        <f>IF(Table2[[#This Row],[CurrentStock]]&lt;Table2[[#This Row],[ReorderLevel]],"Reorder", "Okay")</f>
        <v>Okay</v>
      </c>
      <c r="Q1321" s="13" t="str">
        <f>IF(Table2[[#This Row],[CurrentStock]]&gt;Table2[[#This Row],[ReorderLevel]]*3, "Overstock", "Okay")</f>
        <v>Overstock</v>
      </c>
    </row>
    <row r="1322" spans="1:17" x14ac:dyDescent="0.35">
      <c r="A1322">
        <v>37740</v>
      </c>
      <c r="B1322" t="s">
        <v>18</v>
      </c>
      <c r="C1322" t="s">
        <v>27</v>
      </c>
      <c r="D1322">
        <v>474</v>
      </c>
      <c r="E1322">
        <v>30</v>
      </c>
      <c r="F1322" s="2">
        <v>158.44</v>
      </c>
      <c r="G1322" t="s">
        <v>34</v>
      </c>
      <c r="H1322" s="1">
        <v>45357</v>
      </c>
      <c r="I1322" s="1">
        <v>45366</v>
      </c>
      <c r="J1322" t="s">
        <v>38</v>
      </c>
      <c r="K1322" s="8">
        <f>Table2[[#This Row],[CurrentStock]]*Table2[[#This Row],[UnitPrice]]</f>
        <v>75100.56</v>
      </c>
      <c r="L1322" t="str">
        <f>IF(Table2[[#This Row],[CurrentStock]]&lt;=Table2[[#This Row],[ReorderLevel]], "Reorder Needed", "Okay")</f>
        <v>Okay</v>
      </c>
      <c r="M1322" t="str">
        <f>IF(Table2[[#This Row],[CurrentStock]]-Table2[[#This Row],[ReorderLevel]]&lt;0,Table2[[#This Row],[CurrentStock]]-Table2[[#This Row],[ReorderLevel]],"")</f>
        <v/>
      </c>
      <c r="N1322" t="str">
        <f>IF(Table2[[#This Row],[Stock Gap]]&lt;0, "Understock","Okay")</f>
        <v>Okay</v>
      </c>
      <c r="O1322" s="13" t="str">
        <f>IF(Table2[[#This Row],[Stock Gap]]&lt;0, "Yes", "No")</f>
        <v>No</v>
      </c>
      <c r="P1322" s="13" t="str">
        <f>IF(Table2[[#This Row],[CurrentStock]]&lt;Table2[[#This Row],[ReorderLevel]],"Reorder", "Okay")</f>
        <v>Okay</v>
      </c>
      <c r="Q1322" s="13" t="str">
        <f>IF(Table2[[#This Row],[CurrentStock]]&gt;Table2[[#This Row],[ReorderLevel]]*3, "Overstock", "Okay")</f>
        <v>Overstock</v>
      </c>
    </row>
    <row r="1323" spans="1:17" x14ac:dyDescent="0.35">
      <c r="A1323">
        <v>66531</v>
      </c>
      <c r="B1323" t="s">
        <v>13</v>
      </c>
      <c r="C1323" t="s">
        <v>26</v>
      </c>
      <c r="D1323">
        <v>105</v>
      </c>
      <c r="E1323">
        <v>80</v>
      </c>
      <c r="F1323" s="2">
        <v>394.21</v>
      </c>
      <c r="G1323" t="s">
        <v>34</v>
      </c>
      <c r="H1323" s="1">
        <v>45605</v>
      </c>
      <c r="I1323" s="1">
        <v>45624</v>
      </c>
      <c r="J1323" t="s">
        <v>37</v>
      </c>
      <c r="K1323" s="8">
        <f>Table2[[#This Row],[CurrentStock]]*Table2[[#This Row],[UnitPrice]]</f>
        <v>41392.049999999996</v>
      </c>
      <c r="L1323" t="str">
        <f>IF(Table2[[#This Row],[CurrentStock]]&lt;=Table2[[#This Row],[ReorderLevel]], "Reorder Needed", "Okay")</f>
        <v>Okay</v>
      </c>
      <c r="M1323" t="str">
        <f>IF(Table2[[#This Row],[CurrentStock]]-Table2[[#This Row],[ReorderLevel]]&lt;0,Table2[[#This Row],[CurrentStock]]-Table2[[#This Row],[ReorderLevel]],"")</f>
        <v/>
      </c>
      <c r="N1323" t="str">
        <f>IF(Table2[[#This Row],[Stock Gap]]&lt;0, "Understock","Okay")</f>
        <v>Okay</v>
      </c>
      <c r="O1323" s="13" t="str">
        <f>IF(Table2[[#This Row],[Stock Gap]]&lt;0, "Yes", "No")</f>
        <v>No</v>
      </c>
      <c r="P1323" s="13" t="str">
        <f>IF(Table2[[#This Row],[CurrentStock]]&lt;Table2[[#This Row],[ReorderLevel]],"Reorder", "Okay")</f>
        <v>Okay</v>
      </c>
      <c r="Q1323" s="13" t="str">
        <f>IF(Table2[[#This Row],[CurrentStock]]&gt;Table2[[#This Row],[ReorderLevel]]*3, "Overstock", "Okay")</f>
        <v>Okay</v>
      </c>
    </row>
    <row r="1324" spans="1:17" x14ac:dyDescent="0.35">
      <c r="A1324">
        <v>27881</v>
      </c>
      <c r="B1324" t="s">
        <v>9</v>
      </c>
      <c r="C1324" t="s">
        <v>26</v>
      </c>
      <c r="D1324">
        <v>349</v>
      </c>
      <c r="E1324">
        <v>100</v>
      </c>
      <c r="F1324" s="2">
        <v>356.4</v>
      </c>
      <c r="G1324" t="s">
        <v>33</v>
      </c>
      <c r="H1324" s="1">
        <v>45580</v>
      </c>
      <c r="I1324" s="1">
        <v>45610</v>
      </c>
      <c r="J1324" t="s">
        <v>36</v>
      </c>
      <c r="K1324" s="8">
        <f>Table2[[#This Row],[CurrentStock]]*Table2[[#This Row],[UnitPrice]]</f>
        <v>124383.59999999999</v>
      </c>
      <c r="L1324" t="str">
        <f>IF(Table2[[#This Row],[CurrentStock]]&lt;=Table2[[#This Row],[ReorderLevel]], "Reorder Needed", "Okay")</f>
        <v>Okay</v>
      </c>
      <c r="M1324" t="str">
        <f>IF(Table2[[#This Row],[CurrentStock]]-Table2[[#This Row],[ReorderLevel]]&lt;0,Table2[[#This Row],[CurrentStock]]-Table2[[#This Row],[ReorderLevel]],"")</f>
        <v/>
      </c>
      <c r="N1324" t="str">
        <f>IF(Table2[[#This Row],[Stock Gap]]&lt;0, "Understock","Okay")</f>
        <v>Okay</v>
      </c>
      <c r="O1324" s="13" t="str">
        <f>IF(Table2[[#This Row],[Stock Gap]]&lt;0, "Yes", "No")</f>
        <v>No</v>
      </c>
      <c r="P1324" s="13" t="str">
        <f>IF(Table2[[#This Row],[CurrentStock]]&lt;Table2[[#This Row],[ReorderLevel]],"Reorder", "Okay")</f>
        <v>Okay</v>
      </c>
      <c r="Q1324" s="13" t="str">
        <f>IF(Table2[[#This Row],[CurrentStock]]&gt;Table2[[#This Row],[ReorderLevel]]*3, "Overstock", "Okay")</f>
        <v>Overstock</v>
      </c>
    </row>
    <row r="1325" spans="1:17" x14ac:dyDescent="0.35">
      <c r="A1325">
        <v>26350</v>
      </c>
      <c r="B1325" t="s">
        <v>12</v>
      </c>
      <c r="C1325" t="s">
        <v>28</v>
      </c>
      <c r="D1325">
        <v>113</v>
      </c>
      <c r="E1325">
        <v>20</v>
      </c>
      <c r="F1325" s="2">
        <v>55.69</v>
      </c>
      <c r="G1325" t="s">
        <v>33</v>
      </c>
      <c r="H1325" s="1">
        <v>45549</v>
      </c>
      <c r="I1325" s="1">
        <v>45554</v>
      </c>
      <c r="J1325" t="s">
        <v>38</v>
      </c>
      <c r="K1325" s="8">
        <f>Table2[[#This Row],[CurrentStock]]*Table2[[#This Row],[UnitPrice]]</f>
        <v>6292.9699999999993</v>
      </c>
      <c r="L1325" t="str">
        <f>IF(Table2[[#This Row],[CurrentStock]]&lt;=Table2[[#This Row],[ReorderLevel]], "Reorder Needed", "Okay")</f>
        <v>Okay</v>
      </c>
      <c r="M1325" t="str">
        <f>IF(Table2[[#This Row],[CurrentStock]]-Table2[[#This Row],[ReorderLevel]]&lt;0,Table2[[#This Row],[CurrentStock]]-Table2[[#This Row],[ReorderLevel]],"")</f>
        <v/>
      </c>
      <c r="N1325" t="str">
        <f>IF(Table2[[#This Row],[Stock Gap]]&lt;0, "Understock","Okay")</f>
        <v>Okay</v>
      </c>
      <c r="O1325" s="13" t="str">
        <f>IF(Table2[[#This Row],[Stock Gap]]&lt;0, "Yes", "No")</f>
        <v>No</v>
      </c>
      <c r="P1325" s="13" t="str">
        <f>IF(Table2[[#This Row],[CurrentStock]]&lt;Table2[[#This Row],[ReorderLevel]],"Reorder", "Okay")</f>
        <v>Okay</v>
      </c>
      <c r="Q1325" s="13" t="str">
        <f>IF(Table2[[#This Row],[CurrentStock]]&gt;Table2[[#This Row],[ReorderLevel]]*3, "Overstock", "Okay")</f>
        <v>Overstock</v>
      </c>
    </row>
    <row r="1326" spans="1:17" x14ac:dyDescent="0.35">
      <c r="A1326">
        <v>46303</v>
      </c>
      <c r="B1326" t="s">
        <v>20</v>
      </c>
      <c r="C1326" t="s">
        <v>30</v>
      </c>
      <c r="D1326">
        <v>430</v>
      </c>
      <c r="E1326">
        <v>20</v>
      </c>
      <c r="F1326" s="2">
        <v>129.87</v>
      </c>
      <c r="G1326" t="s">
        <v>31</v>
      </c>
      <c r="H1326" s="1">
        <v>45518</v>
      </c>
      <c r="I1326" s="1">
        <v>45543</v>
      </c>
      <c r="J1326" t="s">
        <v>36</v>
      </c>
      <c r="K1326" s="8">
        <f>Table2[[#This Row],[CurrentStock]]*Table2[[#This Row],[UnitPrice]]</f>
        <v>55844.1</v>
      </c>
      <c r="L1326" t="str">
        <f>IF(Table2[[#This Row],[CurrentStock]]&lt;=Table2[[#This Row],[ReorderLevel]], "Reorder Needed", "Okay")</f>
        <v>Okay</v>
      </c>
      <c r="M1326" t="str">
        <f>IF(Table2[[#This Row],[CurrentStock]]-Table2[[#This Row],[ReorderLevel]]&lt;0,Table2[[#This Row],[CurrentStock]]-Table2[[#This Row],[ReorderLevel]],"")</f>
        <v/>
      </c>
      <c r="N1326" t="str">
        <f>IF(Table2[[#This Row],[Stock Gap]]&lt;0, "Understock","Okay")</f>
        <v>Okay</v>
      </c>
      <c r="O1326" s="13" t="str">
        <f>IF(Table2[[#This Row],[Stock Gap]]&lt;0, "Yes", "No")</f>
        <v>No</v>
      </c>
      <c r="P1326" s="13" t="str">
        <f>IF(Table2[[#This Row],[CurrentStock]]&lt;Table2[[#This Row],[ReorderLevel]],"Reorder", "Okay")</f>
        <v>Okay</v>
      </c>
      <c r="Q1326" s="13" t="str">
        <f>IF(Table2[[#This Row],[CurrentStock]]&gt;Table2[[#This Row],[ReorderLevel]]*3, "Overstock", "Okay")</f>
        <v>Overstock</v>
      </c>
    </row>
    <row r="1327" spans="1:17" x14ac:dyDescent="0.35">
      <c r="A1327">
        <v>64261</v>
      </c>
      <c r="B1327" t="s">
        <v>19</v>
      </c>
      <c r="C1327" t="s">
        <v>28</v>
      </c>
      <c r="D1327">
        <v>460</v>
      </c>
      <c r="E1327">
        <v>30</v>
      </c>
      <c r="F1327" s="2">
        <v>213.46</v>
      </c>
      <c r="G1327" t="s">
        <v>33</v>
      </c>
      <c r="H1327" s="1">
        <v>45351</v>
      </c>
      <c r="I1327" s="1">
        <v>45379</v>
      </c>
      <c r="J1327" t="s">
        <v>38</v>
      </c>
      <c r="K1327" s="8">
        <f>Table2[[#This Row],[CurrentStock]]*Table2[[#This Row],[UnitPrice]]</f>
        <v>98191.6</v>
      </c>
      <c r="L1327" t="str">
        <f>IF(Table2[[#This Row],[CurrentStock]]&lt;=Table2[[#This Row],[ReorderLevel]], "Reorder Needed", "Okay")</f>
        <v>Okay</v>
      </c>
      <c r="M1327" t="str">
        <f>IF(Table2[[#This Row],[CurrentStock]]-Table2[[#This Row],[ReorderLevel]]&lt;0,Table2[[#This Row],[CurrentStock]]-Table2[[#This Row],[ReorderLevel]],"")</f>
        <v/>
      </c>
      <c r="N1327" t="str">
        <f>IF(Table2[[#This Row],[Stock Gap]]&lt;0, "Understock","Okay")</f>
        <v>Okay</v>
      </c>
      <c r="O1327" s="13" t="str">
        <f>IF(Table2[[#This Row],[Stock Gap]]&lt;0, "Yes", "No")</f>
        <v>No</v>
      </c>
      <c r="P1327" s="13" t="str">
        <f>IF(Table2[[#This Row],[CurrentStock]]&lt;Table2[[#This Row],[ReorderLevel]],"Reorder", "Okay")</f>
        <v>Okay</v>
      </c>
      <c r="Q1327" s="13" t="str">
        <f>IF(Table2[[#This Row],[CurrentStock]]&gt;Table2[[#This Row],[ReorderLevel]]*3, "Overstock", "Okay")</f>
        <v>Overstock</v>
      </c>
    </row>
    <row r="1328" spans="1:17" x14ac:dyDescent="0.35">
      <c r="A1328">
        <v>54397</v>
      </c>
      <c r="B1328" t="s">
        <v>22</v>
      </c>
      <c r="C1328" t="s">
        <v>29</v>
      </c>
      <c r="D1328">
        <v>65</v>
      </c>
      <c r="E1328">
        <v>100</v>
      </c>
      <c r="F1328" s="2">
        <v>370.8</v>
      </c>
      <c r="G1328" t="s">
        <v>32</v>
      </c>
      <c r="H1328" s="1">
        <v>45628</v>
      </c>
      <c r="I1328" s="1">
        <v>45655</v>
      </c>
      <c r="J1328" t="s">
        <v>36</v>
      </c>
      <c r="K1328" s="8">
        <f>Table2[[#This Row],[CurrentStock]]*Table2[[#This Row],[UnitPrice]]</f>
        <v>24102</v>
      </c>
      <c r="L1328" t="str">
        <f>IF(Table2[[#This Row],[CurrentStock]]&lt;=Table2[[#This Row],[ReorderLevel]], "Reorder Needed", "Okay")</f>
        <v>Reorder Needed</v>
      </c>
      <c r="M1328" s="7">
        <f>IF(Table2[[#This Row],[CurrentStock]]-Table2[[#This Row],[ReorderLevel]]&lt;0,Table2[[#This Row],[CurrentStock]]-Table2[[#This Row],[ReorderLevel]],"")</f>
        <v>-35</v>
      </c>
      <c r="N1328" t="str">
        <f>IF(Table2[[#This Row],[Stock Gap]]&lt;0, "Understock","Okay")</f>
        <v>Understock</v>
      </c>
      <c r="O1328" s="13" t="str">
        <f>IF(Table2[[#This Row],[Stock Gap]]&lt;0, "Yes", "No")</f>
        <v>Yes</v>
      </c>
      <c r="P1328" s="13" t="str">
        <f>IF(Table2[[#This Row],[CurrentStock]]&lt;Table2[[#This Row],[ReorderLevel]],"Reorder", "Okay")</f>
        <v>Reorder</v>
      </c>
      <c r="Q1328" s="13" t="str">
        <f>IF(Table2[[#This Row],[CurrentStock]]&gt;Table2[[#This Row],[ReorderLevel]]*3, "Overstock", "Okay")</f>
        <v>Okay</v>
      </c>
    </row>
    <row r="1329" spans="1:17" x14ac:dyDescent="0.35">
      <c r="A1329">
        <v>78476</v>
      </c>
      <c r="B1329" t="s">
        <v>24</v>
      </c>
      <c r="C1329" t="s">
        <v>30</v>
      </c>
      <c r="D1329">
        <v>140</v>
      </c>
      <c r="E1329">
        <v>50</v>
      </c>
      <c r="F1329" s="2">
        <v>14.49</v>
      </c>
      <c r="G1329" t="s">
        <v>32</v>
      </c>
      <c r="H1329" s="1">
        <v>45586</v>
      </c>
      <c r="I1329" s="1">
        <v>45614</v>
      </c>
      <c r="J1329" t="s">
        <v>37</v>
      </c>
      <c r="K1329" s="8">
        <f>Table2[[#This Row],[CurrentStock]]*Table2[[#This Row],[UnitPrice]]</f>
        <v>2028.6000000000001</v>
      </c>
      <c r="L1329" t="str">
        <f>IF(Table2[[#This Row],[CurrentStock]]&lt;=Table2[[#This Row],[ReorderLevel]], "Reorder Needed", "Okay")</f>
        <v>Okay</v>
      </c>
      <c r="M1329" t="str">
        <f>IF(Table2[[#This Row],[CurrentStock]]-Table2[[#This Row],[ReorderLevel]]&lt;0,Table2[[#This Row],[CurrentStock]]-Table2[[#This Row],[ReorderLevel]],"")</f>
        <v/>
      </c>
      <c r="N1329" t="str">
        <f>IF(Table2[[#This Row],[Stock Gap]]&lt;0, "Understock","Okay")</f>
        <v>Okay</v>
      </c>
      <c r="O1329" s="13" t="str">
        <f>IF(Table2[[#This Row],[Stock Gap]]&lt;0, "Yes", "No")</f>
        <v>No</v>
      </c>
      <c r="P1329" s="13" t="str">
        <f>IF(Table2[[#This Row],[CurrentStock]]&lt;Table2[[#This Row],[ReorderLevel]],"Reorder", "Okay")</f>
        <v>Okay</v>
      </c>
      <c r="Q1329" s="13" t="str">
        <f>IF(Table2[[#This Row],[CurrentStock]]&gt;Table2[[#This Row],[ReorderLevel]]*3, "Overstock", "Okay")</f>
        <v>Okay</v>
      </c>
    </row>
    <row r="1330" spans="1:17" x14ac:dyDescent="0.35">
      <c r="A1330">
        <v>35968</v>
      </c>
      <c r="B1330" t="s">
        <v>25</v>
      </c>
      <c r="C1330" t="s">
        <v>29</v>
      </c>
      <c r="D1330">
        <v>388</v>
      </c>
      <c r="E1330">
        <v>150</v>
      </c>
      <c r="F1330" s="2">
        <v>407.85</v>
      </c>
      <c r="G1330" t="s">
        <v>35</v>
      </c>
      <c r="H1330" s="1">
        <v>45342</v>
      </c>
      <c r="I1330" s="1">
        <v>45354</v>
      </c>
      <c r="J1330" t="s">
        <v>36</v>
      </c>
      <c r="K1330" s="8">
        <f>Table2[[#This Row],[CurrentStock]]*Table2[[#This Row],[UnitPrice]]</f>
        <v>158245.80000000002</v>
      </c>
      <c r="L1330" t="str">
        <f>IF(Table2[[#This Row],[CurrentStock]]&lt;=Table2[[#This Row],[ReorderLevel]], "Reorder Needed", "Okay")</f>
        <v>Okay</v>
      </c>
      <c r="M1330" t="str">
        <f>IF(Table2[[#This Row],[CurrentStock]]-Table2[[#This Row],[ReorderLevel]]&lt;0,Table2[[#This Row],[CurrentStock]]-Table2[[#This Row],[ReorderLevel]],"")</f>
        <v/>
      </c>
      <c r="N1330" t="str">
        <f>IF(Table2[[#This Row],[Stock Gap]]&lt;0, "Understock","Okay")</f>
        <v>Okay</v>
      </c>
      <c r="O1330" s="13" t="str">
        <f>IF(Table2[[#This Row],[Stock Gap]]&lt;0, "Yes", "No")</f>
        <v>No</v>
      </c>
      <c r="P1330" s="13" t="str">
        <f>IF(Table2[[#This Row],[CurrentStock]]&lt;Table2[[#This Row],[ReorderLevel]],"Reorder", "Okay")</f>
        <v>Okay</v>
      </c>
      <c r="Q1330" s="13" t="str">
        <f>IF(Table2[[#This Row],[CurrentStock]]&gt;Table2[[#This Row],[ReorderLevel]]*3, "Overstock", "Okay")</f>
        <v>Okay</v>
      </c>
    </row>
    <row r="1331" spans="1:17" x14ac:dyDescent="0.35">
      <c r="A1331">
        <v>80423</v>
      </c>
      <c r="B1331" t="s">
        <v>21</v>
      </c>
      <c r="C1331" t="s">
        <v>26</v>
      </c>
      <c r="D1331">
        <v>106</v>
      </c>
      <c r="E1331">
        <v>40</v>
      </c>
      <c r="F1331" s="2">
        <v>491.43</v>
      </c>
      <c r="G1331" t="s">
        <v>33</v>
      </c>
      <c r="H1331" s="1">
        <v>45628</v>
      </c>
      <c r="I1331" s="1">
        <v>45658</v>
      </c>
      <c r="J1331" t="s">
        <v>36</v>
      </c>
      <c r="K1331" s="8">
        <f>Table2[[#This Row],[CurrentStock]]*Table2[[#This Row],[UnitPrice]]</f>
        <v>52091.58</v>
      </c>
      <c r="L1331" t="str">
        <f>IF(Table2[[#This Row],[CurrentStock]]&lt;=Table2[[#This Row],[ReorderLevel]], "Reorder Needed", "Okay")</f>
        <v>Okay</v>
      </c>
      <c r="M1331" t="str">
        <f>IF(Table2[[#This Row],[CurrentStock]]-Table2[[#This Row],[ReorderLevel]]&lt;0,Table2[[#This Row],[CurrentStock]]-Table2[[#This Row],[ReorderLevel]],"")</f>
        <v/>
      </c>
      <c r="N1331" t="str">
        <f>IF(Table2[[#This Row],[Stock Gap]]&lt;0, "Understock","Okay")</f>
        <v>Okay</v>
      </c>
      <c r="O1331" s="13" t="str">
        <f>IF(Table2[[#This Row],[Stock Gap]]&lt;0, "Yes", "No")</f>
        <v>No</v>
      </c>
      <c r="P1331" s="13" t="str">
        <f>IF(Table2[[#This Row],[CurrentStock]]&lt;Table2[[#This Row],[ReorderLevel]],"Reorder", "Okay")</f>
        <v>Okay</v>
      </c>
      <c r="Q1331" s="13" t="str">
        <f>IF(Table2[[#This Row],[CurrentStock]]&gt;Table2[[#This Row],[ReorderLevel]]*3, "Overstock", "Okay")</f>
        <v>Okay</v>
      </c>
    </row>
    <row r="1332" spans="1:17" x14ac:dyDescent="0.35">
      <c r="A1332">
        <v>90781</v>
      </c>
      <c r="B1332" t="s">
        <v>19</v>
      </c>
      <c r="C1332" t="s">
        <v>28</v>
      </c>
      <c r="D1332">
        <v>12</v>
      </c>
      <c r="E1332">
        <v>80</v>
      </c>
      <c r="F1332" s="2">
        <v>196.29</v>
      </c>
      <c r="G1332" t="s">
        <v>34</v>
      </c>
      <c r="H1332" s="1">
        <v>45454</v>
      </c>
      <c r="I1332" s="1">
        <v>45477</v>
      </c>
      <c r="J1332" t="s">
        <v>37</v>
      </c>
      <c r="K1332" s="8">
        <f>Table2[[#This Row],[CurrentStock]]*Table2[[#This Row],[UnitPrice]]</f>
        <v>2355.48</v>
      </c>
      <c r="L1332" t="str">
        <f>IF(Table2[[#This Row],[CurrentStock]]&lt;=Table2[[#This Row],[ReorderLevel]], "Reorder Needed", "Okay")</f>
        <v>Reorder Needed</v>
      </c>
      <c r="M1332" s="7">
        <f>IF(Table2[[#This Row],[CurrentStock]]-Table2[[#This Row],[ReorderLevel]]&lt;0,Table2[[#This Row],[CurrentStock]]-Table2[[#This Row],[ReorderLevel]],"")</f>
        <v>-68</v>
      </c>
      <c r="N1332" t="str">
        <f>IF(Table2[[#This Row],[Stock Gap]]&lt;0, "Understock","Okay")</f>
        <v>Understock</v>
      </c>
      <c r="O1332" s="13" t="str">
        <f>IF(Table2[[#This Row],[Stock Gap]]&lt;0, "Yes", "No")</f>
        <v>Yes</v>
      </c>
      <c r="P1332" s="13" t="str">
        <f>IF(Table2[[#This Row],[CurrentStock]]&lt;Table2[[#This Row],[ReorderLevel]],"Reorder", "Okay")</f>
        <v>Reorder</v>
      </c>
      <c r="Q1332" s="13" t="str">
        <f>IF(Table2[[#This Row],[CurrentStock]]&gt;Table2[[#This Row],[ReorderLevel]]*3, "Overstock", "Okay")</f>
        <v>Okay</v>
      </c>
    </row>
    <row r="1333" spans="1:17" x14ac:dyDescent="0.35">
      <c r="A1333">
        <v>30545</v>
      </c>
      <c r="B1333" t="s">
        <v>9</v>
      </c>
      <c r="C1333" t="s">
        <v>26</v>
      </c>
      <c r="D1333">
        <v>487</v>
      </c>
      <c r="E1333">
        <v>40</v>
      </c>
      <c r="F1333" s="2">
        <v>422.52</v>
      </c>
      <c r="G1333" t="s">
        <v>31</v>
      </c>
      <c r="H1333" s="1">
        <v>45613</v>
      </c>
      <c r="I1333" s="1">
        <v>45632</v>
      </c>
      <c r="J1333" t="s">
        <v>36</v>
      </c>
      <c r="K1333" s="8">
        <f>Table2[[#This Row],[CurrentStock]]*Table2[[#This Row],[UnitPrice]]</f>
        <v>205767.24</v>
      </c>
      <c r="L1333" t="str">
        <f>IF(Table2[[#This Row],[CurrentStock]]&lt;=Table2[[#This Row],[ReorderLevel]], "Reorder Needed", "Okay")</f>
        <v>Okay</v>
      </c>
      <c r="M1333" t="str">
        <f>IF(Table2[[#This Row],[CurrentStock]]-Table2[[#This Row],[ReorderLevel]]&lt;0,Table2[[#This Row],[CurrentStock]]-Table2[[#This Row],[ReorderLevel]],"")</f>
        <v/>
      </c>
      <c r="N1333" t="str">
        <f>IF(Table2[[#This Row],[Stock Gap]]&lt;0, "Understock","Okay")</f>
        <v>Okay</v>
      </c>
      <c r="O1333" s="13" t="str">
        <f>IF(Table2[[#This Row],[Stock Gap]]&lt;0, "Yes", "No")</f>
        <v>No</v>
      </c>
      <c r="P1333" s="13" t="str">
        <f>IF(Table2[[#This Row],[CurrentStock]]&lt;Table2[[#This Row],[ReorderLevel]],"Reorder", "Okay")</f>
        <v>Okay</v>
      </c>
      <c r="Q1333" s="13" t="str">
        <f>IF(Table2[[#This Row],[CurrentStock]]&gt;Table2[[#This Row],[ReorderLevel]]*3, "Overstock", "Okay")</f>
        <v>Overstock</v>
      </c>
    </row>
    <row r="1334" spans="1:17" x14ac:dyDescent="0.35">
      <c r="A1334">
        <v>59431</v>
      </c>
      <c r="B1334" t="s">
        <v>24</v>
      </c>
      <c r="C1334" t="s">
        <v>30</v>
      </c>
      <c r="D1334">
        <v>452</v>
      </c>
      <c r="E1334">
        <v>40</v>
      </c>
      <c r="F1334" s="2">
        <v>459.54</v>
      </c>
      <c r="G1334" t="s">
        <v>34</v>
      </c>
      <c r="H1334" s="1">
        <v>45469</v>
      </c>
      <c r="I1334" s="1">
        <v>45508</v>
      </c>
      <c r="J1334" t="s">
        <v>38</v>
      </c>
      <c r="K1334" s="8">
        <f>Table2[[#This Row],[CurrentStock]]*Table2[[#This Row],[UnitPrice]]</f>
        <v>207712.08000000002</v>
      </c>
      <c r="L1334" t="str">
        <f>IF(Table2[[#This Row],[CurrentStock]]&lt;=Table2[[#This Row],[ReorderLevel]], "Reorder Needed", "Okay")</f>
        <v>Okay</v>
      </c>
      <c r="M1334" t="str">
        <f>IF(Table2[[#This Row],[CurrentStock]]-Table2[[#This Row],[ReorderLevel]]&lt;0,Table2[[#This Row],[CurrentStock]]-Table2[[#This Row],[ReorderLevel]],"")</f>
        <v/>
      </c>
      <c r="N1334" t="str">
        <f>IF(Table2[[#This Row],[Stock Gap]]&lt;0, "Understock","Okay")</f>
        <v>Okay</v>
      </c>
      <c r="O1334" s="13" t="str">
        <f>IF(Table2[[#This Row],[Stock Gap]]&lt;0, "Yes", "No")</f>
        <v>No</v>
      </c>
      <c r="P1334" s="13" t="str">
        <f>IF(Table2[[#This Row],[CurrentStock]]&lt;Table2[[#This Row],[ReorderLevel]],"Reorder", "Okay")</f>
        <v>Okay</v>
      </c>
      <c r="Q1334" s="13" t="str">
        <f>IF(Table2[[#This Row],[CurrentStock]]&gt;Table2[[#This Row],[ReorderLevel]]*3, "Overstock", "Okay")</f>
        <v>Overstock</v>
      </c>
    </row>
    <row r="1335" spans="1:17" x14ac:dyDescent="0.35">
      <c r="A1335">
        <v>26292</v>
      </c>
      <c r="B1335" t="s">
        <v>24</v>
      </c>
      <c r="C1335" t="s">
        <v>30</v>
      </c>
      <c r="D1335">
        <v>261</v>
      </c>
      <c r="E1335">
        <v>30</v>
      </c>
      <c r="F1335" s="2">
        <v>337.77</v>
      </c>
      <c r="G1335" t="s">
        <v>34</v>
      </c>
      <c r="H1335" s="1">
        <v>45326</v>
      </c>
      <c r="I1335" s="1">
        <v>45359</v>
      </c>
      <c r="J1335" t="s">
        <v>38</v>
      </c>
      <c r="K1335" s="8">
        <f>Table2[[#This Row],[CurrentStock]]*Table2[[#This Row],[UnitPrice]]</f>
        <v>88157.97</v>
      </c>
      <c r="L1335" t="str">
        <f>IF(Table2[[#This Row],[CurrentStock]]&lt;=Table2[[#This Row],[ReorderLevel]], "Reorder Needed", "Okay")</f>
        <v>Okay</v>
      </c>
      <c r="M1335" t="str">
        <f>IF(Table2[[#This Row],[CurrentStock]]-Table2[[#This Row],[ReorderLevel]]&lt;0,Table2[[#This Row],[CurrentStock]]-Table2[[#This Row],[ReorderLevel]],"")</f>
        <v/>
      </c>
      <c r="N1335" t="str">
        <f>IF(Table2[[#This Row],[Stock Gap]]&lt;0, "Understock","Okay")</f>
        <v>Okay</v>
      </c>
      <c r="O1335" s="13" t="str">
        <f>IF(Table2[[#This Row],[Stock Gap]]&lt;0, "Yes", "No")</f>
        <v>No</v>
      </c>
      <c r="P1335" s="13" t="str">
        <f>IF(Table2[[#This Row],[CurrentStock]]&lt;Table2[[#This Row],[ReorderLevel]],"Reorder", "Okay")</f>
        <v>Okay</v>
      </c>
      <c r="Q1335" s="13" t="str">
        <f>IF(Table2[[#This Row],[CurrentStock]]&gt;Table2[[#This Row],[ReorderLevel]]*3, "Overstock", "Okay")</f>
        <v>Overstock</v>
      </c>
    </row>
    <row r="1336" spans="1:17" x14ac:dyDescent="0.35">
      <c r="A1336">
        <v>27443</v>
      </c>
      <c r="B1336" t="s">
        <v>24</v>
      </c>
      <c r="C1336" t="s">
        <v>30</v>
      </c>
      <c r="D1336">
        <v>116</v>
      </c>
      <c r="E1336">
        <v>30</v>
      </c>
      <c r="F1336" s="2">
        <v>189.82</v>
      </c>
      <c r="G1336" t="s">
        <v>31</v>
      </c>
      <c r="H1336" s="1">
        <v>45543</v>
      </c>
      <c r="I1336" s="1">
        <v>45550</v>
      </c>
      <c r="J1336" t="s">
        <v>37</v>
      </c>
      <c r="K1336" s="8">
        <f>Table2[[#This Row],[CurrentStock]]*Table2[[#This Row],[UnitPrice]]</f>
        <v>22019.119999999999</v>
      </c>
      <c r="L1336" t="str">
        <f>IF(Table2[[#This Row],[CurrentStock]]&lt;=Table2[[#This Row],[ReorderLevel]], "Reorder Needed", "Okay")</f>
        <v>Okay</v>
      </c>
      <c r="M1336" t="str">
        <f>IF(Table2[[#This Row],[CurrentStock]]-Table2[[#This Row],[ReorderLevel]]&lt;0,Table2[[#This Row],[CurrentStock]]-Table2[[#This Row],[ReorderLevel]],"")</f>
        <v/>
      </c>
      <c r="N1336" t="str">
        <f>IF(Table2[[#This Row],[Stock Gap]]&lt;0, "Understock","Okay")</f>
        <v>Okay</v>
      </c>
      <c r="O1336" s="13" t="str">
        <f>IF(Table2[[#This Row],[Stock Gap]]&lt;0, "Yes", "No")</f>
        <v>No</v>
      </c>
      <c r="P1336" s="13" t="str">
        <f>IF(Table2[[#This Row],[CurrentStock]]&lt;Table2[[#This Row],[ReorderLevel]],"Reorder", "Okay")</f>
        <v>Okay</v>
      </c>
      <c r="Q1336" s="13" t="str">
        <f>IF(Table2[[#This Row],[CurrentStock]]&gt;Table2[[#This Row],[ReorderLevel]]*3, "Overstock", "Okay")</f>
        <v>Overstock</v>
      </c>
    </row>
    <row r="1337" spans="1:17" x14ac:dyDescent="0.35">
      <c r="A1337">
        <v>42210</v>
      </c>
      <c r="B1337" t="s">
        <v>11</v>
      </c>
      <c r="C1337" t="s">
        <v>27</v>
      </c>
      <c r="D1337">
        <v>496</v>
      </c>
      <c r="E1337">
        <v>100</v>
      </c>
      <c r="F1337" s="2">
        <v>32.86</v>
      </c>
      <c r="G1337" t="s">
        <v>31</v>
      </c>
      <c r="H1337" s="1">
        <v>45335</v>
      </c>
      <c r="I1337" s="1">
        <v>45366</v>
      </c>
      <c r="J1337" t="s">
        <v>38</v>
      </c>
      <c r="K1337" s="8">
        <f>Table2[[#This Row],[CurrentStock]]*Table2[[#This Row],[UnitPrice]]</f>
        <v>16298.56</v>
      </c>
      <c r="L1337" t="str">
        <f>IF(Table2[[#This Row],[CurrentStock]]&lt;=Table2[[#This Row],[ReorderLevel]], "Reorder Needed", "Okay")</f>
        <v>Okay</v>
      </c>
      <c r="M1337" t="str">
        <f>IF(Table2[[#This Row],[CurrentStock]]-Table2[[#This Row],[ReorderLevel]]&lt;0,Table2[[#This Row],[CurrentStock]]-Table2[[#This Row],[ReorderLevel]],"")</f>
        <v/>
      </c>
      <c r="N1337" t="str">
        <f>IF(Table2[[#This Row],[Stock Gap]]&lt;0, "Understock","Okay")</f>
        <v>Okay</v>
      </c>
      <c r="O1337" s="13" t="str">
        <f>IF(Table2[[#This Row],[Stock Gap]]&lt;0, "Yes", "No")</f>
        <v>No</v>
      </c>
      <c r="P1337" s="13" t="str">
        <f>IF(Table2[[#This Row],[CurrentStock]]&lt;Table2[[#This Row],[ReorderLevel]],"Reorder", "Okay")</f>
        <v>Okay</v>
      </c>
      <c r="Q1337" s="13" t="str">
        <f>IF(Table2[[#This Row],[CurrentStock]]&gt;Table2[[#This Row],[ReorderLevel]]*3, "Overstock", "Okay")</f>
        <v>Overstock</v>
      </c>
    </row>
    <row r="1338" spans="1:17" x14ac:dyDescent="0.35">
      <c r="A1338">
        <v>99882</v>
      </c>
      <c r="B1338" t="s">
        <v>15</v>
      </c>
      <c r="C1338" t="s">
        <v>29</v>
      </c>
      <c r="D1338">
        <v>332</v>
      </c>
      <c r="E1338">
        <v>40</v>
      </c>
      <c r="F1338" s="2">
        <v>84.16</v>
      </c>
      <c r="G1338" t="s">
        <v>33</v>
      </c>
      <c r="H1338" s="1">
        <v>45312</v>
      </c>
      <c r="I1338" s="1">
        <v>45318</v>
      </c>
      <c r="J1338" t="s">
        <v>38</v>
      </c>
      <c r="K1338" s="8">
        <f>Table2[[#This Row],[CurrentStock]]*Table2[[#This Row],[UnitPrice]]</f>
        <v>27941.119999999999</v>
      </c>
      <c r="L1338" t="str">
        <f>IF(Table2[[#This Row],[CurrentStock]]&lt;=Table2[[#This Row],[ReorderLevel]], "Reorder Needed", "Okay")</f>
        <v>Okay</v>
      </c>
      <c r="M1338" t="str">
        <f>IF(Table2[[#This Row],[CurrentStock]]-Table2[[#This Row],[ReorderLevel]]&lt;0,Table2[[#This Row],[CurrentStock]]-Table2[[#This Row],[ReorderLevel]],"")</f>
        <v/>
      </c>
      <c r="N1338" t="str">
        <f>IF(Table2[[#This Row],[Stock Gap]]&lt;0, "Understock","Okay")</f>
        <v>Okay</v>
      </c>
      <c r="O1338" s="13" t="str">
        <f>IF(Table2[[#This Row],[Stock Gap]]&lt;0, "Yes", "No")</f>
        <v>No</v>
      </c>
      <c r="P1338" s="13" t="str">
        <f>IF(Table2[[#This Row],[CurrentStock]]&lt;Table2[[#This Row],[ReorderLevel]],"Reorder", "Okay")</f>
        <v>Okay</v>
      </c>
      <c r="Q1338" s="13" t="str">
        <f>IF(Table2[[#This Row],[CurrentStock]]&gt;Table2[[#This Row],[ReorderLevel]]*3, "Overstock", "Okay")</f>
        <v>Overstock</v>
      </c>
    </row>
    <row r="1339" spans="1:17" x14ac:dyDescent="0.35">
      <c r="A1339">
        <v>71401</v>
      </c>
      <c r="B1339" t="s">
        <v>25</v>
      </c>
      <c r="C1339" t="s">
        <v>29</v>
      </c>
      <c r="D1339">
        <v>131</v>
      </c>
      <c r="E1339">
        <v>20</v>
      </c>
      <c r="F1339" s="2">
        <v>457.65</v>
      </c>
      <c r="G1339" t="s">
        <v>32</v>
      </c>
      <c r="H1339" s="1">
        <v>45304</v>
      </c>
      <c r="I1339" s="1">
        <v>45311</v>
      </c>
      <c r="J1339" t="s">
        <v>38</v>
      </c>
      <c r="K1339" s="8">
        <f>Table2[[#This Row],[CurrentStock]]*Table2[[#This Row],[UnitPrice]]</f>
        <v>59952.149999999994</v>
      </c>
      <c r="L1339" t="str">
        <f>IF(Table2[[#This Row],[CurrentStock]]&lt;=Table2[[#This Row],[ReorderLevel]], "Reorder Needed", "Okay")</f>
        <v>Okay</v>
      </c>
      <c r="M1339" t="str">
        <f>IF(Table2[[#This Row],[CurrentStock]]-Table2[[#This Row],[ReorderLevel]]&lt;0,Table2[[#This Row],[CurrentStock]]-Table2[[#This Row],[ReorderLevel]],"")</f>
        <v/>
      </c>
      <c r="N1339" t="str">
        <f>IF(Table2[[#This Row],[Stock Gap]]&lt;0, "Understock","Okay")</f>
        <v>Okay</v>
      </c>
      <c r="O1339" s="13" t="str">
        <f>IF(Table2[[#This Row],[Stock Gap]]&lt;0, "Yes", "No")</f>
        <v>No</v>
      </c>
      <c r="P1339" s="13" t="str">
        <f>IF(Table2[[#This Row],[CurrentStock]]&lt;Table2[[#This Row],[ReorderLevel]],"Reorder", "Okay")</f>
        <v>Okay</v>
      </c>
      <c r="Q1339" s="13" t="str">
        <f>IF(Table2[[#This Row],[CurrentStock]]&gt;Table2[[#This Row],[ReorderLevel]]*3, "Overstock", "Okay")</f>
        <v>Overstock</v>
      </c>
    </row>
    <row r="1340" spans="1:17" x14ac:dyDescent="0.35">
      <c r="A1340">
        <v>68798</v>
      </c>
      <c r="B1340" t="s">
        <v>19</v>
      </c>
      <c r="C1340" t="s">
        <v>28</v>
      </c>
      <c r="D1340">
        <v>89</v>
      </c>
      <c r="E1340">
        <v>20</v>
      </c>
      <c r="F1340" s="2">
        <v>59.15</v>
      </c>
      <c r="G1340" t="s">
        <v>32</v>
      </c>
      <c r="H1340" s="1">
        <v>45486</v>
      </c>
      <c r="I1340" s="1">
        <v>45503</v>
      </c>
      <c r="J1340" t="s">
        <v>38</v>
      </c>
      <c r="K1340" s="8">
        <f>Table2[[#This Row],[CurrentStock]]*Table2[[#This Row],[UnitPrice]]</f>
        <v>5264.3499999999995</v>
      </c>
      <c r="L1340" t="str">
        <f>IF(Table2[[#This Row],[CurrentStock]]&lt;=Table2[[#This Row],[ReorderLevel]], "Reorder Needed", "Okay")</f>
        <v>Okay</v>
      </c>
      <c r="M1340" t="str">
        <f>IF(Table2[[#This Row],[CurrentStock]]-Table2[[#This Row],[ReorderLevel]]&lt;0,Table2[[#This Row],[CurrentStock]]-Table2[[#This Row],[ReorderLevel]],"")</f>
        <v/>
      </c>
      <c r="N1340" t="str">
        <f>IF(Table2[[#This Row],[Stock Gap]]&lt;0, "Understock","Okay")</f>
        <v>Okay</v>
      </c>
      <c r="O1340" s="13" t="str">
        <f>IF(Table2[[#This Row],[Stock Gap]]&lt;0, "Yes", "No")</f>
        <v>No</v>
      </c>
      <c r="P1340" s="13" t="str">
        <f>IF(Table2[[#This Row],[CurrentStock]]&lt;Table2[[#This Row],[ReorderLevel]],"Reorder", "Okay")</f>
        <v>Okay</v>
      </c>
      <c r="Q1340" s="13" t="str">
        <f>IF(Table2[[#This Row],[CurrentStock]]&gt;Table2[[#This Row],[ReorderLevel]]*3, "Overstock", "Okay")</f>
        <v>Overstock</v>
      </c>
    </row>
    <row r="1341" spans="1:17" x14ac:dyDescent="0.35">
      <c r="A1341">
        <v>68215</v>
      </c>
      <c r="B1341" t="s">
        <v>22</v>
      </c>
      <c r="C1341" t="s">
        <v>29</v>
      </c>
      <c r="D1341">
        <v>2</v>
      </c>
      <c r="E1341">
        <v>40</v>
      </c>
      <c r="F1341" s="2">
        <v>119.32</v>
      </c>
      <c r="G1341" t="s">
        <v>34</v>
      </c>
      <c r="H1341" s="1">
        <v>45455</v>
      </c>
      <c r="I1341" s="1">
        <v>45460</v>
      </c>
      <c r="J1341" t="s">
        <v>37</v>
      </c>
      <c r="K1341" s="8">
        <f>Table2[[#This Row],[CurrentStock]]*Table2[[#This Row],[UnitPrice]]</f>
        <v>238.64</v>
      </c>
      <c r="L1341" t="str">
        <f>IF(Table2[[#This Row],[CurrentStock]]&lt;=Table2[[#This Row],[ReorderLevel]], "Reorder Needed", "Okay")</f>
        <v>Reorder Needed</v>
      </c>
      <c r="M1341" s="7">
        <f>IF(Table2[[#This Row],[CurrentStock]]-Table2[[#This Row],[ReorderLevel]]&lt;0,Table2[[#This Row],[CurrentStock]]-Table2[[#This Row],[ReorderLevel]],"")</f>
        <v>-38</v>
      </c>
      <c r="N1341" t="str">
        <f>IF(Table2[[#This Row],[Stock Gap]]&lt;0, "Understock","Okay")</f>
        <v>Understock</v>
      </c>
      <c r="O1341" s="13" t="str">
        <f>IF(Table2[[#This Row],[Stock Gap]]&lt;0, "Yes", "No")</f>
        <v>Yes</v>
      </c>
      <c r="P1341" s="13" t="str">
        <f>IF(Table2[[#This Row],[CurrentStock]]&lt;Table2[[#This Row],[ReorderLevel]],"Reorder", "Okay")</f>
        <v>Reorder</v>
      </c>
      <c r="Q1341" s="13" t="str">
        <f>IF(Table2[[#This Row],[CurrentStock]]&gt;Table2[[#This Row],[ReorderLevel]]*3, "Overstock", "Okay")</f>
        <v>Okay</v>
      </c>
    </row>
    <row r="1342" spans="1:17" x14ac:dyDescent="0.35">
      <c r="A1342">
        <v>89311</v>
      </c>
      <c r="B1342" t="s">
        <v>16</v>
      </c>
      <c r="C1342" t="s">
        <v>29</v>
      </c>
      <c r="D1342">
        <v>51</v>
      </c>
      <c r="E1342">
        <v>40</v>
      </c>
      <c r="F1342" s="2">
        <v>456.25</v>
      </c>
      <c r="G1342" t="s">
        <v>33</v>
      </c>
      <c r="H1342" s="1">
        <v>45433</v>
      </c>
      <c r="I1342" s="1">
        <v>45459</v>
      </c>
      <c r="J1342" t="s">
        <v>36</v>
      </c>
      <c r="K1342" s="8">
        <f>Table2[[#This Row],[CurrentStock]]*Table2[[#This Row],[UnitPrice]]</f>
        <v>23268.75</v>
      </c>
      <c r="L1342" t="str">
        <f>IF(Table2[[#This Row],[CurrentStock]]&lt;=Table2[[#This Row],[ReorderLevel]], "Reorder Needed", "Okay")</f>
        <v>Okay</v>
      </c>
      <c r="M1342" t="str">
        <f>IF(Table2[[#This Row],[CurrentStock]]-Table2[[#This Row],[ReorderLevel]]&lt;0,Table2[[#This Row],[CurrentStock]]-Table2[[#This Row],[ReorderLevel]],"")</f>
        <v/>
      </c>
      <c r="N1342" t="str">
        <f>IF(Table2[[#This Row],[Stock Gap]]&lt;0, "Understock","Okay")</f>
        <v>Okay</v>
      </c>
      <c r="O1342" s="13" t="str">
        <f>IF(Table2[[#This Row],[Stock Gap]]&lt;0, "Yes", "No")</f>
        <v>No</v>
      </c>
      <c r="P1342" s="13" t="str">
        <f>IF(Table2[[#This Row],[CurrentStock]]&lt;Table2[[#This Row],[ReorderLevel]],"Reorder", "Okay")</f>
        <v>Okay</v>
      </c>
      <c r="Q1342" s="13" t="str">
        <f>IF(Table2[[#This Row],[CurrentStock]]&gt;Table2[[#This Row],[ReorderLevel]]*3, "Overstock", "Okay")</f>
        <v>Okay</v>
      </c>
    </row>
    <row r="1343" spans="1:17" x14ac:dyDescent="0.35">
      <c r="A1343">
        <v>98241</v>
      </c>
      <c r="B1343" t="s">
        <v>23</v>
      </c>
      <c r="C1343" t="s">
        <v>30</v>
      </c>
      <c r="D1343">
        <v>493</v>
      </c>
      <c r="E1343">
        <v>30</v>
      </c>
      <c r="F1343" s="2">
        <v>112.86</v>
      </c>
      <c r="G1343" t="s">
        <v>35</v>
      </c>
      <c r="H1343" s="1">
        <v>45521</v>
      </c>
      <c r="I1343" s="1">
        <v>45538</v>
      </c>
      <c r="J1343" t="s">
        <v>38</v>
      </c>
      <c r="K1343" s="8">
        <f>Table2[[#This Row],[CurrentStock]]*Table2[[#This Row],[UnitPrice]]</f>
        <v>55639.98</v>
      </c>
      <c r="L1343" t="str">
        <f>IF(Table2[[#This Row],[CurrentStock]]&lt;=Table2[[#This Row],[ReorderLevel]], "Reorder Needed", "Okay")</f>
        <v>Okay</v>
      </c>
      <c r="M1343" t="str">
        <f>IF(Table2[[#This Row],[CurrentStock]]-Table2[[#This Row],[ReorderLevel]]&lt;0,Table2[[#This Row],[CurrentStock]]-Table2[[#This Row],[ReorderLevel]],"")</f>
        <v/>
      </c>
      <c r="N1343" t="str">
        <f>IF(Table2[[#This Row],[Stock Gap]]&lt;0, "Understock","Okay")</f>
        <v>Okay</v>
      </c>
      <c r="O1343" s="13" t="str">
        <f>IF(Table2[[#This Row],[Stock Gap]]&lt;0, "Yes", "No")</f>
        <v>No</v>
      </c>
      <c r="P1343" s="13" t="str">
        <f>IF(Table2[[#This Row],[CurrentStock]]&lt;Table2[[#This Row],[ReorderLevel]],"Reorder", "Okay")</f>
        <v>Okay</v>
      </c>
      <c r="Q1343" s="13" t="str">
        <f>IF(Table2[[#This Row],[CurrentStock]]&gt;Table2[[#This Row],[ReorderLevel]]*3, "Overstock", "Okay")</f>
        <v>Overstock</v>
      </c>
    </row>
    <row r="1344" spans="1:17" x14ac:dyDescent="0.35">
      <c r="A1344">
        <v>72188</v>
      </c>
      <c r="B1344" t="s">
        <v>15</v>
      </c>
      <c r="C1344" t="s">
        <v>29</v>
      </c>
      <c r="D1344">
        <v>35</v>
      </c>
      <c r="E1344">
        <v>150</v>
      </c>
      <c r="F1344" s="2">
        <v>89</v>
      </c>
      <c r="G1344" t="s">
        <v>35</v>
      </c>
      <c r="H1344" s="1">
        <v>45591</v>
      </c>
      <c r="I1344" s="1">
        <v>45609</v>
      </c>
      <c r="J1344" t="s">
        <v>38</v>
      </c>
      <c r="K1344" s="8">
        <f>Table2[[#This Row],[CurrentStock]]*Table2[[#This Row],[UnitPrice]]</f>
        <v>3115</v>
      </c>
      <c r="L1344" t="str">
        <f>IF(Table2[[#This Row],[CurrentStock]]&lt;=Table2[[#This Row],[ReorderLevel]], "Reorder Needed", "Okay")</f>
        <v>Reorder Needed</v>
      </c>
      <c r="M1344" s="7">
        <f>IF(Table2[[#This Row],[CurrentStock]]-Table2[[#This Row],[ReorderLevel]]&lt;0,Table2[[#This Row],[CurrentStock]]-Table2[[#This Row],[ReorderLevel]],"")</f>
        <v>-115</v>
      </c>
      <c r="N1344" t="str">
        <f>IF(Table2[[#This Row],[Stock Gap]]&lt;0, "Understock","Okay")</f>
        <v>Understock</v>
      </c>
      <c r="O1344" s="13" t="str">
        <f>IF(Table2[[#This Row],[Stock Gap]]&lt;0, "Yes", "No")</f>
        <v>Yes</v>
      </c>
      <c r="P1344" s="13" t="str">
        <f>IF(Table2[[#This Row],[CurrentStock]]&lt;Table2[[#This Row],[ReorderLevel]],"Reorder", "Okay")</f>
        <v>Reorder</v>
      </c>
      <c r="Q1344" s="13" t="str">
        <f>IF(Table2[[#This Row],[CurrentStock]]&gt;Table2[[#This Row],[ReorderLevel]]*3, "Overstock", "Okay")</f>
        <v>Okay</v>
      </c>
    </row>
    <row r="1345" spans="1:17" x14ac:dyDescent="0.35">
      <c r="A1345">
        <v>60151</v>
      </c>
      <c r="B1345" t="s">
        <v>23</v>
      </c>
      <c r="C1345" t="s">
        <v>30</v>
      </c>
      <c r="D1345">
        <v>455</v>
      </c>
      <c r="E1345">
        <v>100</v>
      </c>
      <c r="F1345" s="2">
        <v>85.64</v>
      </c>
      <c r="G1345" t="s">
        <v>34</v>
      </c>
      <c r="H1345" s="1">
        <v>45543</v>
      </c>
      <c r="I1345" s="1">
        <v>45571</v>
      </c>
      <c r="J1345" t="s">
        <v>38</v>
      </c>
      <c r="K1345" s="8">
        <f>Table2[[#This Row],[CurrentStock]]*Table2[[#This Row],[UnitPrice]]</f>
        <v>38966.199999999997</v>
      </c>
      <c r="L1345" t="str">
        <f>IF(Table2[[#This Row],[CurrentStock]]&lt;=Table2[[#This Row],[ReorderLevel]], "Reorder Needed", "Okay")</f>
        <v>Okay</v>
      </c>
      <c r="M1345" t="str">
        <f>IF(Table2[[#This Row],[CurrentStock]]-Table2[[#This Row],[ReorderLevel]]&lt;0,Table2[[#This Row],[CurrentStock]]-Table2[[#This Row],[ReorderLevel]],"")</f>
        <v/>
      </c>
      <c r="N1345" t="str">
        <f>IF(Table2[[#This Row],[Stock Gap]]&lt;0, "Understock","Okay")</f>
        <v>Okay</v>
      </c>
      <c r="O1345" s="13" t="str">
        <f>IF(Table2[[#This Row],[Stock Gap]]&lt;0, "Yes", "No")</f>
        <v>No</v>
      </c>
      <c r="P1345" s="13" t="str">
        <f>IF(Table2[[#This Row],[CurrentStock]]&lt;Table2[[#This Row],[ReorderLevel]],"Reorder", "Okay")</f>
        <v>Okay</v>
      </c>
      <c r="Q1345" s="13" t="str">
        <f>IF(Table2[[#This Row],[CurrentStock]]&gt;Table2[[#This Row],[ReorderLevel]]*3, "Overstock", "Okay")</f>
        <v>Overstock</v>
      </c>
    </row>
    <row r="1346" spans="1:17" x14ac:dyDescent="0.35">
      <c r="A1346">
        <v>36898</v>
      </c>
      <c r="B1346" t="s">
        <v>10</v>
      </c>
      <c r="C1346" t="s">
        <v>26</v>
      </c>
      <c r="D1346">
        <v>267</v>
      </c>
      <c r="E1346">
        <v>40</v>
      </c>
      <c r="F1346" s="2">
        <v>375.34</v>
      </c>
      <c r="G1346" t="s">
        <v>32</v>
      </c>
      <c r="H1346" s="1">
        <v>45527</v>
      </c>
      <c r="I1346" s="1">
        <v>45537</v>
      </c>
      <c r="J1346" t="s">
        <v>37</v>
      </c>
      <c r="K1346" s="8">
        <f>Table2[[#This Row],[CurrentStock]]*Table2[[#This Row],[UnitPrice]]</f>
        <v>100215.78</v>
      </c>
      <c r="L1346" t="str">
        <f>IF(Table2[[#This Row],[CurrentStock]]&lt;=Table2[[#This Row],[ReorderLevel]], "Reorder Needed", "Okay")</f>
        <v>Okay</v>
      </c>
      <c r="M1346" t="str">
        <f>IF(Table2[[#This Row],[CurrentStock]]-Table2[[#This Row],[ReorderLevel]]&lt;0,Table2[[#This Row],[CurrentStock]]-Table2[[#This Row],[ReorderLevel]],"")</f>
        <v/>
      </c>
      <c r="N1346" t="str">
        <f>IF(Table2[[#This Row],[Stock Gap]]&lt;0, "Understock","Okay")</f>
        <v>Okay</v>
      </c>
      <c r="O1346" s="13" t="str">
        <f>IF(Table2[[#This Row],[Stock Gap]]&lt;0, "Yes", "No")</f>
        <v>No</v>
      </c>
      <c r="P1346" s="13" t="str">
        <f>IF(Table2[[#This Row],[CurrentStock]]&lt;Table2[[#This Row],[ReorderLevel]],"Reorder", "Okay")</f>
        <v>Okay</v>
      </c>
      <c r="Q1346" s="13" t="str">
        <f>IF(Table2[[#This Row],[CurrentStock]]&gt;Table2[[#This Row],[ReorderLevel]]*3, "Overstock", "Okay")</f>
        <v>Overstock</v>
      </c>
    </row>
    <row r="1347" spans="1:17" x14ac:dyDescent="0.35">
      <c r="A1347">
        <v>89397</v>
      </c>
      <c r="B1347" t="s">
        <v>19</v>
      </c>
      <c r="C1347" t="s">
        <v>28</v>
      </c>
      <c r="D1347">
        <v>328</v>
      </c>
      <c r="E1347">
        <v>150</v>
      </c>
      <c r="F1347" s="2">
        <v>200.7</v>
      </c>
      <c r="G1347" t="s">
        <v>33</v>
      </c>
      <c r="H1347" s="1">
        <v>45546</v>
      </c>
      <c r="I1347" s="1">
        <v>45558</v>
      </c>
      <c r="J1347" t="s">
        <v>37</v>
      </c>
      <c r="K1347" s="8">
        <f>Table2[[#This Row],[CurrentStock]]*Table2[[#This Row],[UnitPrice]]</f>
        <v>65829.599999999991</v>
      </c>
      <c r="L1347" t="str">
        <f>IF(Table2[[#This Row],[CurrentStock]]&lt;=Table2[[#This Row],[ReorderLevel]], "Reorder Needed", "Okay")</f>
        <v>Okay</v>
      </c>
      <c r="M1347" t="str">
        <f>IF(Table2[[#This Row],[CurrentStock]]-Table2[[#This Row],[ReorderLevel]]&lt;0,Table2[[#This Row],[CurrentStock]]-Table2[[#This Row],[ReorderLevel]],"")</f>
        <v/>
      </c>
      <c r="N1347" t="str">
        <f>IF(Table2[[#This Row],[Stock Gap]]&lt;0, "Understock","Okay")</f>
        <v>Okay</v>
      </c>
      <c r="O1347" s="13" t="str">
        <f>IF(Table2[[#This Row],[Stock Gap]]&lt;0, "Yes", "No")</f>
        <v>No</v>
      </c>
      <c r="P1347" s="13" t="str">
        <f>IF(Table2[[#This Row],[CurrentStock]]&lt;Table2[[#This Row],[ReorderLevel]],"Reorder", "Okay")</f>
        <v>Okay</v>
      </c>
      <c r="Q1347" s="13" t="str">
        <f>IF(Table2[[#This Row],[CurrentStock]]&gt;Table2[[#This Row],[ReorderLevel]]*3, "Overstock", "Okay")</f>
        <v>Okay</v>
      </c>
    </row>
    <row r="1348" spans="1:17" x14ac:dyDescent="0.35">
      <c r="A1348">
        <v>14606</v>
      </c>
      <c r="B1348" t="s">
        <v>17</v>
      </c>
      <c r="C1348" t="s">
        <v>27</v>
      </c>
      <c r="D1348">
        <v>335</v>
      </c>
      <c r="E1348">
        <v>150</v>
      </c>
      <c r="F1348" s="2">
        <v>345.54</v>
      </c>
      <c r="G1348" t="s">
        <v>35</v>
      </c>
      <c r="H1348" s="1">
        <v>45473</v>
      </c>
      <c r="I1348" s="1">
        <v>45491</v>
      </c>
      <c r="J1348" t="s">
        <v>36</v>
      </c>
      <c r="K1348" s="8">
        <f>Table2[[#This Row],[CurrentStock]]*Table2[[#This Row],[UnitPrice]]</f>
        <v>115755.90000000001</v>
      </c>
      <c r="L1348" t="str">
        <f>IF(Table2[[#This Row],[CurrentStock]]&lt;=Table2[[#This Row],[ReorderLevel]], "Reorder Needed", "Okay")</f>
        <v>Okay</v>
      </c>
      <c r="M1348" t="str">
        <f>IF(Table2[[#This Row],[CurrentStock]]-Table2[[#This Row],[ReorderLevel]]&lt;0,Table2[[#This Row],[CurrentStock]]-Table2[[#This Row],[ReorderLevel]],"")</f>
        <v/>
      </c>
      <c r="N1348" t="str">
        <f>IF(Table2[[#This Row],[Stock Gap]]&lt;0, "Understock","Okay")</f>
        <v>Okay</v>
      </c>
      <c r="O1348" s="13" t="str">
        <f>IF(Table2[[#This Row],[Stock Gap]]&lt;0, "Yes", "No")</f>
        <v>No</v>
      </c>
      <c r="P1348" s="13" t="str">
        <f>IF(Table2[[#This Row],[CurrentStock]]&lt;Table2[[#This Row],[ReorderLevel]],"Reorder", "Okay")</f>
        <v>Okay</v>
      </c>
      <c r="Q1348" s="13" t="str">
        <f>IF(Table2[[#This Row],[CurrentStock]]&gt;Table2[[#This Row],[ReorderLevel]]*3, "Overstock", "Okay")</f>
        <v>Okay</v>
      </c>
    </row>
    <row r="1349" spans="1:17" x14ac:dyDescent="0.35">
      <c r="A1349">
        <v>52853</v>
      </c>
      <c r="B1349" t="s">
        <v>9</v>
      </c>
      <c r="C1349" t="s">
        <v>26</v>
      </c>
      <c r="D1349">
        <v>241</v>
      </c>
      <c r="E1349">
        <v>50</v>
      </c>
      <c r="F1349" s="2">
        <v>174.05</v>
      </c>
      <c r="G1349" t="s">
        <v>33</v>
      </c>
      <c r="H1349" s="1">
        <v>45413</v>
      </c>
      <c r="I1349" s="1">
        <v>45420</v>
      </c>
      <c r="J1349" t="s">
        <v>37</v>
      </c>
      <c r="K1349" s="8">
        <f>Table2[[#This Row],[CurrentStock]]*Table2[[#This Row],[UnitPrice]]</f>
        <v>41946.05</v>
      </c>
      <c r="L1349" t="str">
        <f>IF(Table2[[#This Row],[CurrentStock]]&lt;=Table2[[#This Row],[ReorderLevel]], "Reorder Needed", "Okay")</f>
        <v>Okay</v>
      </c>
      <c r="M1349" t="str">
        <f>IF(Table2[[#This Row],[CurrentStock]]-Table2[[#This Row],[ReorderLevel]]&lt;0,Table2[[#This Row],[CurrentStock]]-Table2[[#This Row],[ReorderLevel]],"")</f>
        <v/>
      </c>
      <c r="N1349" t="str">
        <f>IF(Table2[[#This Row],[Stock Gap]]&lt;0, "Understock","Okay")</f>
        <v>Okay</v>
      </c>
      <c r="O1349" s="13" t="str">
        <f>IF(Table2[[#This Row],[Stock Gap]]&lt;0, "Yes", "No")</f>
        <v>No</v>
      </c>
      <c r="P1349" s="13" t="str">
        <f>IF(Table2[[#This Row],[CurrentStock]]&lt;Table2[[#This Row],[ReorderLevel]],"Reorder", "Okay")</f>
        <v>Okay</v>
      </c>
      <c r="Q1349" s="13" t="str">
        <f>IF(Table2[[#This Row],[CurrentStock]]&gt;Table2[[#This Row],[ReorderLevel]]*3, "Overstock", "Okay")</f>
        <v>Overstock</v>
      </c>
    </row>
    <row r="1350" spans="1:17" x14ac:dyDescent="0.35">
      <c r="A1350">
        <v>49994</v>
      </c>
      <c r="B1350" t="s">
        <v>20</v>
      </c>
      <c r="C1350" t="s">
        <v>30</v>
      </c>
      <c r="D1350">
        <v>256</v>
      </c>
      <c r="E1350">
        <v>20</v>
      </c>
      <c r="F1350" s="2">
        <v>102.71</v>
      </c>
      <c r="G1350" t="s">
        <v>34</v>
      </c>
      <c r="H1350" s="1">
        <v>45540</v>
      </c>
      <c r="I1350" s="1">
        <v>45553</v>
      </c>
      <c r="J1350" t="s">
        <v>37</v>
      </c>
      <c r="K1350" s="8">
        <f>Table2[[#This Row],[CurrentStock]]*Table2[[#This Row],[UnitPrice]]</f>
        <v>26293.759999999998</v>
      </c>
      <c r="L1350" t="str">
        <f>IF(Table2[[#This Row],[CurrentStock]]&lt;=Table2[[#This Row],[ReorderLevel]], "Reorder Needed", "Okay")</f>
        <v>Okay</v>
      </c>
      <c r="M1350" t="str">
        <f>IF(Table2[[#This Row],[CurrentStock]]-Table2[[#This Row],[ReorderLevel]]&lt;0,Table2[[#This Row],[CurrentStock]]-Table2[[#This Row],[ReorderLevel]],"")</f>
        <v/>
      </c>
      <c r="N1350" t="str">
        <f>IF(Table2[[#This Row],[Stock Gap]]&lt;0, "Understock","Okay")</f>
        <v>Okay</v>
      </c>
      <c r="O1350" s="13" t="str">
        <f>IF(Table2[[#This Row],[Stock Gap]]&lt;0, "Yes", "No")</f>
        <v>No</v>
      </c>
      <c r="P1350" s="13" t="str">
        <f>IF(Table2[[#This Row],[CurrentStock]]&lt;Table2[[#This Row],[ReorderLevel]],"Reorder", "Okay")</f>
        <v>Okay</v>
      </c>
      <c r="Q1350" s="13" t="str">
        <f>IF(Table2[[#This Row],[CurrentStock]]&gt;Table2[[#This Row],[ReorderLevel]]*3, "Overstock", "Okay")</f>
        <v>Overstock</v>
      </c>
    </row>
    <row r="1351" spans="1:17" x14ac:dyDescent="0.35">
      <c r="A1351">
        <v>31395</v>
      </c>
      <c r="B1351" t="s">
        <v>18</v>
      </c>
      <c r="C1351" t="s">
        <v>27</v>
      </c>
      <c r="D1351">
        <v>321</v>
      </c>
      <c r="E1351">
        <v>40</v>
      </c>
      <c r="F1351" s="2">
        <v>111.21</v>
      </c>
      <c r="G1351" t="s">
        <v>31</v>
      </c>
      <c r="H1351" s="1">
        <v>45474</v>
      </c>
      <c r="I1351" s="1">
        <v>45510</v>
      </c>
      <c r="J1351" t="s">
        <v>38</v>
      </c>
      <c r="K1351" s="8">
        <f>Table2[[#This Row],[CurrentStock]]*Table2[[#This Row],[UnitPrice]]</f>
        <v>35698.409999999996</v>
      </c>
      <c r="L1351" t="str">
        <f>IF(Table2[[#This Row],[CurrentStock]]&lt;=Table2[[#This Row],[ReorderLevel]], "Reorder Needed", "Okay")</f>
        <v>Okay</v>
      </c>
      <c r="M1351" t="str">
        <f>IF(Table2[[#This Row],[CurrentStock]]-Table2[[#This Row],[ReorderLevel]]&lt;0,Table2[[#This Row],[CurrentStock]]-Table2[[#This Row],[ReorderLevel]],"")</f>
        <v/>
      </c>
      <c r="N1351" t="str">
        <f>IF(Table2[[#This Row],[Stock Gap]]&lt;0, "Understock","Okay")</f>
        <v>Okay</v>
      </c>
      <c r="O1351" s="13" t="str">
        <f>IF(Table2[[#This Row],[Stock Gap]]&lt;0, "Yes", "No")</f>
        <v>No</v>
      </c>
      <c r="P1351" s="13" t="str">
        <f>IF(Table2[[#This Row],[CurrentStock]]&lt;Table2[[#This Row],[ReorderLevel]],"Reorder", "Okay")</f>
        <v>Okay</v>
      </c>
      <c r="Q1351" s="13" t="str">
        <f>IF(Table2[[#This Row],[CurrentStock]]&gt;Table2[[#This Row],[ReorderLevel]]*3, "Overstock", "Okay")</f>
        <v>Overstock</v>
      </c>
    </row>
    <row r="1352" spans="1:17" x14ac:dyDescent="0.35">
      <c r="A1352">
        <v>47190</v>
      </c>
      <c r="B1352" t="s">
        <v>18</v>
      </c>
      <c r="C1352" t="s">
        <v>27</v>
      </c>
      <c r="D1352">
        <v>289</v>
      </c>
      <c r="E1352">
        <v>20</v>
      </c>
      <c r="F1352" s="2">
        <v>96.68</v>
      </c>
      <c r="G1352" t="s">
        <v>32</v>
      </c>
      <c r="H1352" s="1">
        <v>45411</v>
      </c>
      <c r="I1352" s="1">
        <v>45434</v>
      </c>
      <c r="J1352" t="s">
        <v>38</v>
      </c>
      <c r="K1352" s="8">
        <f>Table2[[#This Row],[CurrentStock]]*Table2[[#This Row],[UnitPrice]]</f>
        <v>27940.52</v>
      </c>
      <c r="L1352" t="str">
        <f>IF(Table2[[#This Row],[CurrentStock]]&lt;=Table2[[#This Row],[ReorderLevel]], "Reorder Needed", "Okay")</f>
        <v>Okay</v>
      </c>
      <c r="M1352" t="str">
        <f>IF(Table2[[#This Row],[CurrentStock]]-Table2[[#This Row],[ReorderLevel]]&lt;0,Table2[[#This Row],[CurrentStock]]-Table2[[#This Row],[ReorderLevel]],"")</f>
        <v/>
      </c>
      <c r="N1352" t="str">
        <f>IF(Table2[[#This Row],[Stock Gap]]&lt;0, "Understock","Okay")</f>
        <v>Okay</v>
      </c>
      <c r="O1352" s="13" t="str">
        <f>IF(Table2[[#This Row],[Stock Gap]]&lt;0, "Yes", "No")</f>
        <v>No</v>
      </c>
      <c r="P1352" s="13" t="str">
        <f>IF(Table2[[#This Row],[CurrentStock]]&lt;Table2[[#This Row],[ReorderLevel]],"Reorder", "Okay")</f>
        <v>Okay</v>
      </c>
      <c r="Q1352" s="13" t="str">
        <f>IF(Table2[[#This Row],[CurrentStock]]&gt;Table2[[#This Row],[ReorderLevel]]*3, "Overstock", "Okay")</f>
        <v>Overstock</v>
      </c>
    </row>
    <row r="1353" spans="1:17" x14ac:dyDescent="0.35">
      <c r="A1353">
        <v>99196</v>
      </c>
      <c r="B1353" t="s">
        <v>9</v>
      </c>
      <c r="C1353" t="s">
        <v>26</v>
      </c>
      <c r="D1353">
        <v>378</v>
      </c>
      <c r="E1353">
        <v>50</v>
      </c>
      <c r="F1353" s="2">
        <v>185.8</v>
      </c>
      <c r="G1353" t="s">
        <v>34</v>
      </c>
      <c r="H1353" s="1">
        <v>45605</v>
      </c>
      <c r="I1353" s="1">
        <v>45629</v>
      </c>
      <c r="J1353" t="s">
        <v>38</v>
      </c>
      <c r="K1353" s="8">
        <f>Table2[[#This Row],[CurrentStock]]*Table2[[#This Row],[UnitPrice]]</f>
        <v>70232.400000000009</v>
      </c>
      <c r="L1353" t="str">
        <f>IF(Table2[[#This Row],[CurrentStock]]&lt;=Table2[[#This Row],[ReorderLevel]], "Reorder Needed", "Okay")</f>
        <v>Okay</v>
      </c>
      <c r="M1353" t="str">
        <f>IF(Table2[[#This Row],[CurrentStock]]-Table2[[#This Row],[ReorderLevel]]&lt;0,Table2[[#This Row],[CurrentStock]]-Table2[[#This Row],[ReorderLevel]],"")</f>
        <v/>
      </c>
      <c r="N1353" t="str">
        <f>IF(Table2[[#This Row],[Stock Gap]]&lt;0, "Understock","Okay")</f>
        <v>Okay</v>
      </c>
      <c r="O1353" s="13" t="str">
        <f>IF(Table2[[#This Row],[Stock Gap]]&lt;0, "Yes", "No")</f>
        <v>No</v>
      </c>
      <c r="P1353" s="13" t="str">
        <f>IF(Table2[[#This Row],[CurrentStock]]&lt;Table2[[#This Row],[ReorderLevel]],"Reorder", "Okay")</f>
        <v>Okay</v>
      </c>
      <c r="Q1353" s="13" t="str">
        <f>IF(Table2[[#This Row],[CurrentStock]]&gt;Table2[[#This Row],[ReorderLevel]]*3, "Overstock", "Okay")</f>
        <v>Overstock</v>
      </c>
    </row>
    <row r="1354" spans="1:17" x14ac:dyDescent="0.35">
      <c r="A1354">
        <v>82328</v>
      </c>
      <c r="B1354" t="s">
        <v>9</v>
      </c>
      <c r="C1354" t="s">
        <v>26</v>
      </c>
      <c r="D1354">
        <v>419</v>
      </c>
      <c r="E1354">
        <v>80</v>
      </c>
      <c r="F1354" s="2">
        <v>109.52</v>
      </c>
      <c r="G1354" t="s">
        <v>33</v>
      </c>
      <c r="H1354" s="1">
        <v>45579</v>
      </c>
      <c r="I1354" s="1">
        <v>45584</v>
      </c>
      <c r="J1354" t="s">
        <v>36</v>
      </c>
      <c r="K1354" s="8">
        <f>Table2[[#This Row],[CurrentStock]]*Table2[[#This Row],[UnitPrice]]</f>
        <v>45888.88</v>
      </c>
      <c r="L1354" t="str">
        <f>IF(Table2[[#This Row],[CurrentStock]]&lt;=Table2[[#This Row],[ReorderLevel]], "Reorder Needed", "Okay")</f>
        <v>Okay</v>
      </c>
      <c r="M1354" t="str">
        <f>IF(Table2[[#This Row],[CurrentStock]]-Table2[[#This Row],[ReorderLevel]]&lt;0,Table2[[#This Row],[CurrentStock]]-Table2[[#This Row],[ReorderLevel]],"")</f>
        <v/>
      </c>
      <c r="N1354" t="str">
        <f>IF(Table2[[#This Row],[Stock Gap]]&lt;0, "Understock","Okay")</f>
        <v>Okay</v>
      </c>
      <c r="O1354" s="13" t="str">
        <f>IF(Table2[[#This Row],[Stock Gap]]&lt;0, "Yes", "No")</f>
        <v>No</v>
      </c>
      <c r="P1354" s="13" t="str">
        <f>IF(Table2[[#This Row],[CurrentStock]]&lt;Table2[[#This Row],[ReorderLevel]],"Reorder", "Okay")</f>
        <v>Okay</v>
      </c>
      <c r="Q1354" s="13" t="str">
        <f>IF(Table2[[#This Row],[CurrentStock]]&gt;Table2[[#This Row],[ReorderLevel]]*3, "Overstock", "Okay")</f>
        <v>Overstock</v>
      </c>
    </row>
    <row r="1355" spans="1:17" x14ac:dyDescent="0.35">
      <c r="A1355">
        <v>76555</v>
      </c>
      <c r="B1355" t="s">
        <v>23</v>
      </c>
      <c r="C1355" t="s">
        <v>30</v>
      </c>
      <c r="D1355">
        <v>264</v>
      </c>
      <c r="E1355">
        <v>100</v>
      </c>
      <c r="F1355" s="2">
        <v>357.45</v>
      </c>
      <c r="G1355" t="s">
        <v>34</v>
      </c>
      <c r="H1355" s="1">
        <v>45607</v>
      </c>
      <c r="I1355" s="1">
        <v>45612</v>
      </c>
      <c r="J1355" t="s">
        <v>36</v>
      </c>
      <c r="K1355" s="8">
        <f>Table2[[#This Row],[CurrentStock]]*Table2[[#This Row],[UnitPrice]]</f>
        <v>94366.8</v>
      </c>
      <c r="L1355" t="str">
        <f>IF(Table2[[#This Row],[CurrentStock]]&lt;=Table2[[#This Row],[ReorderLevel]], "Reorder Needed", "Okay")</f>
        <v>Okay</v>
      </c>
      <c r="M1355" t="str">
        <f>IF(Table2[[#This Row],[CurrentStock]]-Table2[[#This Row],[ReorderLevel]]&lt;0,Table2[[#This Row],[CurrentStock]]-Table2[[#This Row],[ReorderLevel]],"")</f>
        <v/>
      </c>
      <c r="N1355" t="str">
        <f>IF(Table2[[#This Row],[Stock Gap]]&lt;0, "Understock","Okay")</f>
        <v>Okay</v>
      </c>
      <c r="O1355" s="13" t="str">
        <f>IF(Table2[[#This Row],[Stock Gap]]&lt;0, "Yes", "No")</f>
        <v>No</v>
      </c>
      <c r="P1355" s="13" t="str">
        <f>IF(Table2[[#This Row],[CurrentStock]]&lt;Table2[[#This Row],[ReorderLevel]],"Reorder", "Okay")</f>
        <v>Okay</v>
      </c>
      <c r="Q1355" s="13" t="str">
        <f>IF(Table2[[#This Row],[CurrentStock]]&gt;Table2[[#This Row],[ReorderLevel]]*3, "Overstock", "Okay")</f>
        <v>Okay</v>
      </c>
    </row>
    <row r="1356" spans="1:17" x14ac:dyDescent="0.35">
      <c r="A1356">
        <v>42963</v>
      </c>
      <c r="B1356" t="s">
        <v>19</v>
      </c>
      <c r="C1356" t="s">
        <v>28</v>
      </c>
      <c r="D1356">
        <v>333</v>
      </c>
      <c r="E1356">
        <v>20</v>
      </c>
      <c r="F1356" s="2">
        <v>104</v>
      </c>
      <c r="G1356" t="s">
        <v>34</v>
      </c>
      <c r="H1356" s="1">
        <v>45423</v>
      </c>
      <c r="I1356" s="1">
        <v>45441</v>
      </c>
      <c r="J1356" t="s">
        <v>38</v>
      </c>
      <c r="K1356" s="8">
        <f>Table2[[#This Row],[CurrentStock]]*Table2[[#This Row],[UnitPrice]]</f>
        <v>34632</v>
      </c>
      <c r="L1356" t="str">
        <f>IF(Table2[[#This Row],[CurrentStock]]&lt;=Table2[[#This Row],[ReorderLevel]], "Reorder Needed", "Okay")</f>
        <v>Okay</v>
      </c>
      <c r="M1356" t="str">
        <f>IF(Table2[[#This Row],[CurrentStock]]-Table2[[#This Row],[ReorderLevel]]&lt;0,Table2[[#This Row],[CurrentStock]]-Table2[[#This Row],[ReorderLevel]],"")</f>
        <v/>
      </c>
      <c r="N1356" t="str">
        <f>IF(Table2[[#This Row],[Stock Gap]]&lt;0, "Understock","Okay")</f>
        <v>Okay</v>
      </c>
      <c r="O1356" s="13" t="str">
        <f>IF(Table2[[#This Row],[Stock Gap]]&lt;0, "Yes", "No")</f>
        <v>No</v>
      </c>
      <c r="P1356" s="13" t="str">
        <f>IF(Table2[[#This Row],[CurrentStock]]&lt;Table2[[#This Row],[ReorderLevel]],"Reorder", "Okay")</f>
        <v>Okay</v>
      </c>
      <c r="Q1356" s="13" t="str">
        <f>IF(Table2[[#This Row],[CurrentStock]]&gt;Table2[[#This Row],[ReorderLevel]]*3, "Overstock", "Okay")</f>
        <v>Overstock</v>
      </c>
    </row>
    <row r="1357" spans="1:17" x14ac:dyDescent="0.35">
      <c r="A1357">
        <v>92641</v>
      </c>
      <c r="B1357" t="s">
        <v>12</v>
      </c>
      <c r="C1357" t="s">
        <v>28</v>
      </c>
      <c r="D1357">
        <v>134</v>
      </c>
      <c r="E1357">
        <v>30</v>
      </c>
      <c r="F1357" s="2">
        <v>298.91000000000003</v>
      </c>
      <c r="G1357" t="s">
        <v>31</v>
      </c>
      <c r="H1357" s="1">
        <v>45334</v>
      </c>
      <c r="I1357" s="1">
        <v>45352</v>
      </c>
      <c r="J1357" t="s">
        <v>38</v>
      </c>
      <c r="K1357" s="8">
        <f>Table2[[#This Row],[CurrentStock]]*Table2[[#This Row],[UnitPrice]]</f>
        <v>40053.94</v>
      </c>
      <c r="L1357" t="str">
        <f>IF(Table2[[#This Row],[CurrentStock]]&lt;=Table2[[#This Row],[ReorderLevel]], "Reorder Needed", "Okay")</f>
        <v>Okay</v>
      </c>
      <c r="M1357" t="str">
        <f>IF(Table2[[#This Row],[CurrentStock]]-Table2[[#This Row],[ReorderLevel]]&lt;0,Table2[[#This Row],[CurrentStock]]-Table2[[#This Row],[ReorderLevel]],"")</f>
        <v/>
      </c>
      <c r="N1357" t="str">
        <f>IF(Table2[[#This Row],[Stock Gap]]&lt;0, "Understock","Okay")</f>
        <v>Okay</v>
      </c>
      <c r="O1357" s="13" t="str">
        <f>IF(Table2[[#This Row],[Stock Gap]]&lt;0, "Yes", "No")</f>
        <v>No</v>
      </c>
      <c r="P1357" s="13" t="str">
        <f>IF(Table2[[#This Row],[CurrentStock]]&lt;Table2[[#This Row],[ReorderLevel]],"Reorder", "Okay")</f>
        <v>Okay</v>
      </c>
      <c r="Q1357" s="13" t="str">
        <f>IF(Table2[[#This Row],[CurrentStock]]&gt;Table2[[#This Row],[ReorderLevel]]*3, "Overstock", "Okay")</f>
        <v>Overstock</v>
      </c>
    </row>
    <row r="1358" spans="1:17" x14ac:dyDescent="0.35">
      <c r="A1358">
        <v>44019</v>
      </c>
      <c r="B1358" t="s">
        <v>15</v>
      </c>
      <c r="C1358" t="s">
        <v>29</v>
      </c>
      <c r="D1358">
        <v>70</v>
      </c>
      <c r="E1358">
        <v>50</v>
      </c>
      <c r="F1358" s="2">
        <v>15.97</v>
      </c>
      <c r="G1358" t="s">
        <v>35</v>
      </c>
      <c r="H1358" s="1">
        <v>45381</v>
      </c>
      <c r="I1358" s="1">
        <v>45389</v>
      </c>
      <c r="J1358" t="s">
        <v>38</v>
      </c>
      <c r="K1358" s="8">
        <f>Table2[[#This Row],[CurrentStock]]*Table2[[#This Row],[UnitPrice]]</f>
        <v>1117.9000000000001</v>
      </c>
      <c r="L1358" t="str">
        <f>IF(Table2[[#This Row],[CurrentStock]]&lt;=Table2[[#This Row],[ReorderLevel]], "Reorder Needed", "Okay")</f>
        <v>Okay</v>
      </c>
      <c r="M1358" t="str">
        <f>IF(Table2[[#This Row],[CurrentStock]]-Table2[[#This Row],[ReorderLevel]]&lt;0,Table2[[#This Row],[CurrentStock]]-Table2[[#This Row],[ReorderLevel]],"")</f>
        <v/>
      </c>
      <c r="N1358" t="str">
        <f>IF(Table2[[#This Row],[Stock Gap]]&lt;0, "Understock","Okay")</f>
        <v>Okay</v>
      </c>
      <c r="O1358" s="13" t="str">
        <f>IF(Table2[[#This Row],[Stock Gap]]&lt;0, "Yes", "No")</f>
        <v>No</v>
      </c>
      <c r="P1358" s="13" t="str">
        <f>IF(Table2[[#This Row],[CurrentStock]]&lt;Table2[[#This Row],[ReorderLevel]],"Reorder", "Okay")</f>
        <v>Okay</v>
      </c>
      <c r="Q1358" s="13" t="str">
        <f>IF(Table2[[#This Row],[CurrentStock]]&gt;Table2[[#This Row],[ReorderLevel]]*3, "Overstock", "Okay")</f>
        <v>Okay</v>
      </c>
    </row>
    <row r="1359" spans="1:17" x14ac:dyDescent="0.35">
      <c r="A1359">
        <v>52425</v>
      </c>
      <c r="B1359" t="s">
        <v>22</v>
      </c>
      <c r="C1359" t="s">
        <v>29</v>
      </c>
      <c r="D1359">
        <v>245</v>
      </c>
      <c r="E1359">
        <v>150</v>
      </c>
      <c r="F1359" s="2">
        <v>249.52</v>
      </c>
      <c r="G1359" t="s">
        <v>33</v>
      </c>
      <c r="H1359" s="1">
        <v>45407</v>
      </c>
      <c r="I1359" s="1">
        <v>45429</v>
      </c>
      <c r="J1359" t="s">
        <v>36</v>
      </c>
      <c r="K1359" s="8">
        <f>Table2[[#This Row],[CurrentStock]]*Table2[[#This Row],[UnitPrice]]</f>
        <v>61132.4</v>
      </c>
      <c r="L1359" t="str">
        <f>IF(Table2[[#This Row],[CurrentStock]]&lt;=Table2[[#This Row],[ReorderLevel]], "Reorder Needed", "Okay")</f>
        <v>Okay</v>
      </c>
      <c r="M1359" t="str">
        <f>IF(Table2[[#This Row],[CurrentStock]]-Table2[[#This Row],[ReorderLevel]]&lt;0,Table2[[#This Row],[CurrentStock]]-Table2[[#This Row],[ReorderLevel]],"")</f>
        <v/>
      </c>
      <c r="N1359" t="str">
        <f>IF(Table2[[#This Row],[Stock Gap]]&lt;0, "Understock","Okay")</f>
        <v>Okay</v>
      </c>
      <c r="O1359" s="13" t="str">
        <f>IF(Table2[[#This Row],[Stock Gap]]&lt;0, "Yes", "No")</f>
        <v>No</v>
      </c>
      <c r="P1359" s="13" t="str">
        <f>IF(Table2[[#This Row],[CurrentStock]]&lt;Table2[[#This Row],[ReorderLevel]],"Reorder", "Okay")</f>
        <v>Okay</v>
      </c>
      <c r="Q1359" s="13" t="str">
        <f>IF(Table2[[#This Row],[CurrentStock]]&gt;Table2[[#This Row],[ReorderLevel]]*3, "Overstock", "Okay")</f>
        <v>Okay</v>
      </c>
    </row>
    <row r="1360" spans="1:17" x14ac:dyDescent="0.35">
      <c r="A1360">
        <v>20857</v>
      </c>
      <c r="B1360" t="s">
        <v>11</v>
      </c>
      <c r="C1360" t="s">
        <v>27</v>
      </c>
      <c r="D1360">
        <v>55</v>
      </c>
      <c r="E1360">
        <v>150</v>
      </c>
      <c r="F1360" s="2">
        <v>448.23</v>
      </c>
      <c r="G1360" t="s">
        <v>35</v>
      </c>
      <c r="H1360" s="1">
        <v>45484</v>
      </c>
      <c r="I1360" s="1">
        <v>45493</v>
      </c>
      <c r="J1360" t="s">
        <v>38</v>
      </c>
      <c r="K1360" s="8">
        <f>Table2[[#This Row],[CurrentStock]]*Table2[[#This Row],[UnitPrice]]</f>
        <v>24652.65</v>
      </c>
      <c r="L1360" t="str">
        <f>IF(Table2[[#This Row],[CurrentStock]]&lt;=Table2[[#This Row],[ReorderLevel]], "Reorder Needed", "Okay")</f>
        <v>Reorder Needed</v>
      </c>
      <c r="M1360" s="7">
        <f>IF(Table2[[#This Row],[CurrentStock]]-Table2[[#This Row],[ReorderLevel]]&lt;0,Table2[[#This Row],[CurrentStock]]-Table2[[#This Row],[ReorderLevel]],"")</f>
        <v>-95</v>
      </c>
      <c r="N1360" t="str">
        <f>IF(Table2[[#This Row],[Stock Gap]]&lt;0, "Understock","Okay")</f>
        <v>Understock</v>
      </c>
      <c r="O1360" s="13" t="str">
        <f>IF(Table2[[#This Row],[Stock Gap]]&lt;0, "Yes", "No")</f>
        <v>Yes</v>
      </c>
      <c r="P1360" s="13" t="str">
        <f>IF(Table2[[#This Row],[CurrentStock]]&lt;Table2[[#This Row],[ReorderLevel]],"Reorder", "Okay")</f>
        <v>Reorder</v>
      </c>
      <c r="Q1360" s="13" t="str">
        <f>IF(Table2[[#This Row],[CurrentStock]]&gt;Table2[[#This Row],[ReorderLevel]]*3, "Overstock", "Okay")</f>
        <v>Okay</v>
      </c>
    </row>
    <row r="1361" spans="1:17" x14ac:dyDescent="0.35">
      <c r="A1361">
        <v>44866</v>
      </c>
      <c r="B1361" t="s">
        <v>25</v>
      </c>
      <c r="C1361" t="s">
        <v>29</v>
      </c>
      <c r="D1361">
        <v>399</v>
      </c>
      <c r="E1361">
        <v>150</v>
      </c>
      <c r="F1361" s="2">
        <v>182.46</v>
      </c>
      <c r="G1361" t="s">
        <v>32</v>
      </c>
      <c r="H1361" s="1">
        <v>45611</v>
      </c>
      <c r="I1361" s="1">
        <v>45647</v>
      </c>
      <c r="J1361" t="s">
        <v>38</v>
      </c>
      <c r="K1361" s="8">
        <f>Table2[[#This Row],[CurrentStock]]*Table2[[#This Row],[UnitPrice]]</f>
        <v>72801.540000000008</v>
      </c>
      <c r="L1361" t="str">
        <f>IF(Table2[[#This Row],[CurrentStock]]&lt;=Table2[[#This Row],[ReorderLevel]], "Reorder Needed", "Okay")</f>
        <v>Okay</v>
      </c>
      <c r="M1361" t="str">
        <f>IF(Table2[[#This Row],[CurrentStock]]-Table2[[#This Row],[ReorderLevel]]&lt;0,Table2[[#This Row],[CurrentStock]]-Table2[[#This Row],[ReorderLevel]],"")</f>
        <v/>
      </c>
      <c r="N1361" t="str">
        <f>IF(Table2[[#This Row],[Stock Gap]]&lt;0, "Understock","Okay")</f>
        <v>Okay</v>
      </c>
      <c r="O1361" s="13" t="str">
        <f>IF(Table2[[#This Row],[Stock Gap]]&lt;0, "Yes", "No")</f>
        <v>No</v>
      </c>
      <c r="P1361" s="13" t="str">
        <f>IF(Table2[[#This Row],[CurrentStock]]&lt;Table2[[#This Row],[ReorderLevel]],"Reorder", "Okay")</f>
        <v>Okay</v>
      </c>
      <c r="Q1361" s="13" t="str">
        <f>IF(Table2[[#This Row],[CurrentStock]]&gt;Table2[[#This Row],[ReorderLevel]]*3, "Overstock", "Okay")</f>
        <v>Okay</v>
      </c>
    </row>
    <row r="1362" spans="1:17" x14ac:dyDescent="0.35">
      <c r="A1362">
        <v>80726</v>
      </c>
      <c r="B1362" t="s">
        <v>13</v>
      </c>
      <c r="C1362" t="s">
        <v>26</v>
      </c>
      <c r="D1362">
        <v>62</v>
      </c>
      <c r="E1362">
        <v>50</v>
      </c>
      <c r="F1362" s="2">
        <v>396.04</v>
      </c>
      <c r="G1362" t="s">
        <v>34</v>
      </c>
      <c r="H1362" s="1">
        <v>45372</v>
      </c>
      <c r="I1362" s="1">
        <v>45404</v>
      </c>
      <c r="J1362" t="s">
        <v>38</v>
      </c>
      <c r="K1362" s="8">
        <f>Table2[[#This Row],[CurrentStock]]*Table2[[#This Row],[UnitPrice]]</f>
        <v>24554.48</v>
      </c>
      <c r="L1362" t="str">
        <f>IF(Table2[[#This Row],[CurrentStock]]&lt;=Table2[[#This Row],[ReorderLevel]], "Reorder Needed", "Okay")</f>
        <v>Okay</v>
      </c>
      <c r="M1362" t="str">
        <f>IF(Table2[[#This Row],[CurrentStock]]-Table2[[#This Row],[ReorderLevel]]&lt;0,Table2[[#This Row],[CurrentStock]]-Table2[[#This Row],[ReorderLevel]],"")</f>
        <v/>
      </c>
      <c r="N1362" t="str">
        <f>IF(Table2[[#This Row],[Stock Gap]]&lt;0, "Understock","Okay")</f>
        <v>Okay</v>
      </c>
      <c r="O1362" s="13" t="str">
        <f>IF(Table2[[#This Row],[Stock Gap]]&lt;0, "Yes", "No")</f>
        <v>No</v>
      </c>
      <c r="P1362" s="13" t="str">
        <f>IF(Table2[[#This Row],[CurrentStock]]&lt;Table2[[#This Row],[ReorderLevel]],"Reorder", "Okay")</f>
        <v>Okay</v>
      </c>
      <c r="Q1362" s="13" t="str">
        <f>IF(Table2[[#This Row],[CurrentStock]]&gt;Table2[[#This Row],[ReorderLevel]]*3, "Overstock", "Okay")</f>
        <v>Okay</v>
      </c>
    </row>
    <row r="1363" spans="1:17" x14ac:dyDescent="0.35">
      <c r="A1363">
        <v>33437</v>
      </c>
      <c r="B1363" t="s">
        <v>23</v>
      </c>
      <c r="C1363" t="s">
        <v>30</v>
      </c>
      <c r="D1363">
        <v>139</v>
      </c>
      <c r="E1363">
        <v>150</v>
      </c>
      <c r="F1363" s="2">
        <v>420.06</v>
      </c>
      <c r="G1363" t="s">
        <v>32</v>
      </c>
      <c r="H1363" s="1">
        <v>45370</v>
      </c>
      <c r="I1363" s="1">
        <v>45395</v>
      </c>
      <c r="J1363" t="s">
        <v>37</v>
      </c>
      <c r="K1363" s="8">
        <f>Table2[[#This Row],[CurrentStock]]*Table2[[#This Row],[UnitPrice]]</f>
        <v>58388.340000000004</v>
      </c>
      <c r="L1363" t="str">
        <f>IF(Table2[[#This Row],[CurrentStock]]&lt;=Table2[[#This Row],[ReorderLevel]], "Reorder Needed", "Okay")</f>
        <v>Reorder Needed</v>
      </c>
      <c r="M1363" s="7">
        <f>IF(Table2[[#This Row],[CurrentStock]]-Table2[[#This Row],[ReorderLevel]]&lt;0,Table2[[#This Row],[CurrentStock]]-Table2[[#This Row],[ReorderLevel]],"")</f>
        <v>-11</v>
      </c>
      <c r="N1363" t="str">
        <f>IF(Table2[[#This Row],[Stock Gap]]&lt;0, "Understock","Okay")</f>
        <v>Understock</v>
      </c>
      <c r="O1363" s="13" t="str">
        <f>IF(Table2[[#This Row],[Stock Gap]]&lt;0, "Yes", "No")</f>
        <v>Yes</v>
      </c>
      <c r="P1363" s="13" t="str">
        <f>IF(Table2[[#This Row],[CurrentStock]]&lt;Table2[[#This Row],[ReorderLevel]],"Reorder", "Okay")</f>
        <v>Reorder</v>
      </c>
      <c r="Q1363" s="13" t="str">
        <f>IF(Table2[[#This Row],[CurrentStock]]&gt;Table2[[#This Row],[ReorderLevel]]*3, "Overstock", "Okay")</f>
        <v>Okay</v>
      </c>
    </row>
    <row r="1364" spans="1:17" x14ac:dyDescent="0.35">
      <c r="A1364">
        <v>49293</v>
      </c>
      <c r="B1364" t="s">
        <v>15</v>
      </c>
      <c r="C1364" t="s">
        <v>29</v>
      </c>
      <c r="D1364">
        <v>453</v>
      </c>
      <c r="E1364">
        <v>80</v>
      </c>
      <c r="F1364" s="2">
        <v>425.27</v>
      </c>
      <c r="G1364" t="s">
        <v>34</v>
      </c>
      <c r="H1364" s="1">
        <v>45553</v>
      </c>
      <c r="I1364" s="1">
        <v>45583</v>
      </c>
      <c r="J1364" t="s">
        <v>36</v>
      </c>
      <c r="K1364" s="8">
        <f>Table2[[#This Row],[CurrentStock]]*Table2[[#This Row],[UnitPrice]]</f>
        <v>192647.31</v>
      </c>
      <c r="L1364" t="str">
        <f>IF(Table2[[#This Row],[CurrentStock]]&lt;=Table2[[#This Row],[ReorderLevel]], "Reorder Needed", "Okay")</f>
        <v>Okay</v>
      </c>
      <c r="M1364" t="str">
        <f>IF(Table2[[#This Row],[CurrentStock]]-Table2[[#This Row],[ReorderLevel]]&lt;0,Table2[[#This Row],[CurrentStock]]-Table2[[#This Row],[ReorderLevel]],"")</f>
        <v/>
      </c>
      <c r="N1364" t="str">
        <f>IF(Table2[[#This Row],[Stock Gap]]&lt;0, "Understock","Okay")</f>
        <v>Okay</v>
      </c>
      <c r="O1364" s="13" t="str">
        <f>IF(Table2[[#This Row],[Stock Gap]]&lt;0, "Yes", "No")</f>
        <v>No</v>
      </c>
      <c r="P1364" s="13" t="str">
        <f>IF(Table2[[#This Row],[CurrentStock]]&lt;Table2[[#This Row],[ReorderLevel]],"Reorder", "Okay")</f>
        <v>Okay</v>
      </c>
      <c r="Q1364" s="13" t="str">
        <f>IF(Table2[[#This Row],[CurrentStock]]&gt;Table2[[#This Row],[ReorderLevel]]*3, "Overstock", "Okay")</f>
        <v>Overstock</v>
      </c>
    </row>
    <row r="1365" spans="1:17" x14ac:dyDescent="0.35">
      <c r="A1365">
        <v>56009</v>
      </c>
      <c r="B1365" t="s">
        <v>16</v>
      </c>
      <c r="C1365" t="s">
        <v>29</v>
      </c>
      <c r="D1365">
        <v>230</v>
      </c>
      <c r="E1365">
        <v>80</v>
      </c>
      <c r="F1365" s="2">
        <v>147.62</v>
      </c>
      <c r="G1365" t="s">
        <v>32</v>
      </c>
      <c r="H1365" s="1">
        <v>45398</v>
      </c>
      <c r="I1365" s="1">
        <v>45430</v>
      </c>
      <c r="J1365" t="s">
        <v>36</v>
      </c>
      <c r="K1365" s="8">
        <f>Table2[[#This Row],[CurrentStock]]*Table2[[#This Row],[UnitPrice]]</f>
        <v>33952.6</v>
      </c>
      <c r="L1365" t="str">
        <f>IF(Table2[[#This Row],[CurrentStock]]&lt;=Table2[[#This Row],[ReorderLevel]], "Reorder Needed", "Okay")</f>
        <v>Okay</v>
      </c>
      <c r="M1365" t="str">
        <f>IF(Table2[[#This Row],[CurrentStock]]-Table2[[#This Row],[ReorderLevel]]&lt;0,Table2[[#This Row],[CurrentStock]]-Table2[[#This Row],[ReorderLevel]],"")</f>
        <v/>
      </c>
      <c r="N1365" t="str">
        <f>IF(Table2[[#This Row],[Stock Gap]]&lt;0, "Understock","Okay")</f>
        <v>Okay</v>
      </c>
      <c r="O1365" s="13" t="str">
        <f>IF(Table2[[#This Row],[Stock Gap]]&lt;0, "Yes", "No")</f>
        <v>No</v>
      </c>
      <c r="P1365" s="13" t="str">
        <f>IF(Table2[[#This Row],[CurrentStock]]&lt;Table2[[#This Row],[ReorderLevel]],"Reorder", "Okay")</f>
        <v>Okay</v>
      </c>
      <c r="Q1365" s="13" t="str">
        <f>IF(Table2[[#This Row],[CurrentStock]]&gt;Table2[[#This Row],[ReorderLevel]]*3, "Overstock", "Okay")</f>
        <v>Okay</v>
      </c>
    </row>
    <row r="1366" spans="1:17" x14ac:dyDescent="0.35">
      <c r="A1366">
        <v>49643</v>
      </c>
      <c r="B1366" t="s">
        <v>14</v>
      </c>
      <c r="C1366" t="s">
        <v>28</v>
      </c>
      <c r="D1366">
        <v>287</v>
      </c>
      <c r="E1366">
        <v>100</v>
      </c>
      <c r="F1366" s="2">
        <v>301.55</v>
      </c>
      <c r="G1366" t="s">
        <v>32</v>
      </c>
      <c r="H1366" s="1">
        <v>45506</v>
      </c>
      <c r="I1366" s="1">
        <v>45535</v>
      </c>
      <c r="J1366" t="s">
        <v>37</v>
      </c>
      <c r="K1366" s="8">
        <f>Table2[[#This Row],[CurrentStock]]*Table2[[#This Row],[UnitPrice]]</f>
        <v>86544.85</v>
      </c>
      <c r="L1366" t="str">
        <f>IF(Table2[[#This Row],[CurrentStock]]&lt;=Table2[[#This Row],[ReorderLevel]], "Reorder Needed", "Okay")</f>
        <v>Okay</v>
      </c>
      <c r="M1366" t="str">
        <f>IF(Table2[[#This Row],[CurrentStock]]-Table2[[#This Row],[ReorderLevel]]&lt;0,Table2[[#This Row],[CurrentStock]]-Table2[[#This Row],[ReorderLevel]],"")</f>
        <v/>
      </c>
      <c r="N1366" t="str">
        <f>IF(Table2[[#This Row],[Stock Gap]]&lt;0, "Understock","Okay")</f>
        <v>Okay</v>
      </c>
      <c r="O1366" s="13" t="str">
        <f>IF(Table2[[#This Row],[Stock Gap]]&lt;0, "Yes", "No")</f>
        <v>No</v>
      </c>
      <c r="P1366" s="13" t="str">
        <f>IF(Table2[[#This Row],[CurrentStock]]&lt;Table2[[#This Row],[ReorderLevel]],"Reorder", "Okay")</f>
        <v>Okay</v>
      </c>
      <c r="Q1366" s="13" t="str">
        <f>IF(Table2[[#This Row],[CurrentStock]]&gt;Table2[[#This Row],[ReorderLevel]]*3, "Overstock", "Okay")</f>
        <v>Okay</v>
      </c>
    </row>
    <row r="1367" spans="1:17" x14ac:dyDescent="0.35">
      <c r="A1367">
        <v>94292</v>
      </c>
      <c r="B1367" t="s">
        <v>11</v>
      </c>
      <c r="C1367" t="s">
        <v>27</v>
      </c>
      <c r="D1367">
        <v>157</v>
      </c>
      <c r="E1367">
        <v>20</v>
      </c>
      <c r="F1367" s="2">
        <v>412.03</v>
      </c>
      <c r="G1367" t="s">
        <v>31</v>
      </c>
      <c r="H1367" s="1">
        <v>45393</v>
      </c>
      <c r="I1367" s="1">
        <v>45419</v>
      </c>
      <c r="J1367" t="s">
        <v>36</v>
      </c>
      <c r="K1367" s="8">
        <f>Table2[[#This Row],[CurrentStock]]*Table2[[#This Row],[UnitPrice]]</f>
        <v>64688.71</v>
      </c>
      <c r="L1367" t="str">
        <f>IF(Table2[[#This Row],[CurrentStock]]&lt;=Table2[[#This Row],[ReorderLevel]], "Reorder Needed", "Okay")</f>
        <v>Okay</v>
      </c>
      <c r="M1367" t="str">
        <f>IF(Table2[[#This Row],[CurrentStock]]-Table2[[#This Row],[ReorderLevel]]&lt;0,Table2[[#This Row],[CurrentStock]]-Table2[[#This Row],[ReorderLevel]],"")</f>
        <v/>
      </c>
      <c r="N1367" t="str">
        <f>IF(Table2[[#This Row],[Stock Gap]]&lt;0, "Understock","Okay")</f>
        <v>Okay</v>
      </c>
      <c r="O1367" s="13" t="str">
        <f>IF(Table2[[#This Row],[Stock Gap]]&lt;0, "Yes", "No")</f>
        <v>No</v>
      </c>
      <c r="P1367" s="13" t="str">
        <f>IF(Table2[[#This Row],[CurrentStock]]&lt;Table2[[#This Row],[ReorderLevel]],"Reorder", "Okay")</f>
        <v>Okay</v>
      </c>
      <c r="Q1367" s="13" t="str">
        <f>IF(Table2[[#This Row],[CurrentStock]]&gt;Table2[[#This Row],[ReorderLevel]]*3, "Overstock", "Okay")</f>
        <v>Overstock</v>
      </c>
    </row>
    <row r="1368" spans="1:17" x14ac:dyDescent="0.35">
      <c r="A1368">
        <v>59485</v>
      </c>
      <c r="B1368" t="s">
        <v>24</v>
      </c>
      <c r="C1368" t="s">
        <v>30</v>
      </c>
      <c r="D1368">
        <v>371</v>
      </c>
      <c r="E1368">
        <v>150</v>
      </c>
      <c r="F1368" s="2">
        <v>96.1</v>
      </c>
      <c r="G1368" t="s">
        <v>32</v>
      </c>
      <c r="H1368" s="1">
        <v>45378</v>
      </c>
      <c r="I1368" s="1">
        <v>45394</v>
      </c>
      <c r="J1368" t="s">
        <v>37</v>
      </c>
      <c r="K1368" s="8">
        <f>Table2[[#This Row],[CurrentStock]]*Table2[[#This Row],[UnitPrice]]</f>
        <v>35653.1</v>
      </c>
      <c r="L1368" t="str">
        <f>IF(Table2[[#This Row],[CurrentStock]]&lt;=Table2[[#This Row],[ReorderLevel]], "Reorder Needed", "Okay")</f>
        <v>Okay</v>
      </c>
      <c r="M1368" t="str">
        <f>IF(Table2[[#This Row],[CurrentStock]]-Table2[[#This Row],[ReorderLevel]]&lt;0,Table2[[#This Row],[CurrentStock]]-Table2[[#This Row],[ReorderLevel]],"")</f>
        <v/>
      </c>
      <c r="N1368" t="str">
        <f>IF(Table2[[#This Row],[Stock Gap]]&lt;0, "Understock","Okay")</f>
        <v>Okay</v>
      </c>
      <c r="O1368" s="13" t="str">
        <f>IF(Table2[[#This Row],[Stock Gap]]&lt;0, "Yes", "No")</f>
        <v>No</v>
      </c>
      <c r="P1368" s="13" t="str">
        <f>IF(Table2[[#This Row],[CurrentStock]]&lt;Table2[[#This Row],[ReorderLevel]],"Reorder", "Okay")</f>
        <v>Okay</v>
      </c>
      <c r="Q1368" s="13" t="str">
        <f>IF(Table2[[#This Row],[CurrentStock]]&gt;Table2[[#This Row],[ReorderLevel]]*3, "Overstock", "Okay")</f>
        <v>Okay</v>
      </c>
    </row>
    <row r="1369" spans="1:17" x14ac:dyDescent="0.35">
      <c r="A1369">
        <v>97579</v>
      </c>
      <c r="B1369" t="s">
        <v>13</v>
      </c>
      <c r="C1369" t="s">
        <v>26</v>
      </c>
      <c r="D1369">
        <v>79</v>
      </c>
      <c r="E1369">
        <v>50</v>
      </c>
      <c r="F1369" s="2">
        <v>54.62</v>
      </c>
      <c r="G1369" t="s">
        <v>34</v>
      </c>
      <c r="H1369" s="1">
        <v>45512</v>
      </c>
      <c r="I1369" s="1">
        <v>45525</v>
      </c>
      <c r="J1369" t="s">
        <v>36</v>
      </c>
      <c r="K1369" s="8">
        <f>Table2[[#This Row],[CurrentStock]]*Table2[[#This Row],[UnitPrice]]</f>
        <v>4314.9799999999996</v>
      </c>
      <c r="L1369" t="str">
        <f>IF(Table2[[#This Row],[CurrentStock]]&lt;=Table2[[#This Row],[ReorderLevel]], "Reorder Needed", "Okay")</f>
        <v>Okay</v>
      </c>
      <c r="M1369" t="str">
        <f>IF(Table2[[#This Row],[CurrentStock]]-Table2[[#This Row],[ReorderLevel]]&lt;0,Table2[[#This Row],[CurrentStock]]-Table2[[#This Row],[ReorderLevel]],"")</f>
        <v/>
      </c>
      <c r="N1369" t="str">
        <f>IF(Table2[[#This Row],[Stock Gap]]&lt;0, "Understock","Okay")</f>
        <v>Okay</v>
      </c>
      <c r="O1369" s="13" t="str">
        <f>IF(Table2[[#This Row],[Stock Gap]]&lt;0, "Yes", "No")</f>
        <v>No</v>
      </c>
      <c r="P1369" s="13" t="str">
        <f>IF(Table2[[#This Row],[CurrentStock]]&lt;Table2[[#This Row],[ReorderLevel]],"Reorder", "Okay")</f>
        <v>Okay</v>
      </c>
      <c r="Q1369" s="13" t="str">
        <f>IF(Table2[[#This Row],[CurrentStock]]&gt;Table2[[#This Row],[ReorderLevel]]*3, "Overstock", "Okay")</f>
        <v>Okay</v>
      </c>
    </row>
    <row r="1370" spans="1:17" x14ac:dyDescent="0.35">
      <c r="A1370">
        <v>10997</v>
      </c>
      <c r="B1370" t="s">
        <v>16</v>
      </c>
      <c r="C1370" t="s">
        <v>29</v>
      </c>
      <c r="D1370">
        <v>8</v>
      </c>
      <c r="E1370">
        <v>150</v>
      </c>
      <c r="F1370" s="2">
        <v>239.42</v>
      </c>
      <c r="G1370" t="s">
        <v>31</v>
      </c>
      <c r="H1370" s="1">
        <v>45367</v>
      </c>
      <c r="I1370" s="1">
        <v>45403</v>
      </c>
      <c r="J1370" t="s">
        <v>38</v>
      </c>
      <c r="K1370" s="8">
        <f>Table2[[#This Row],[CurrentStock]]*Table2[[#This Row],[UnitPrice]]</f>
        <v>1915.36</v>
      </c>
      <c r="L1370" t="str">
        <f>IF(Table2[[#This Row],[CurrentStock]]&lt;=Table2[[#This Row],[ReorderLevel]], "Reorder Needed", "Okay")</f>
        <v>Reorder Needed</v>
      </c>
      <c r="M1370" s="7">
        <f>IF(Table2[[#This Row],[CurrentStock]]-Table2[[#This Row],[ReorderLevel]]&lt;0,Table2[[#This Row],[CurrentStock]]-Table2[[#This Row],[ReorderLevel]],"")</f>
        <v>-142</v>
      </c>
      <c r="N1370" t="str">
        <f>IF(Table2[[#This Row],[Stock Gap]]&lt;0, "Understock","Okay")</f>
        <v>Understock</v>
      </c>
      <c r="O1370" s="13" t="str">
        <f>IF(Table2[[#This Row],[Stock Gap]]&lt;0, "Yes", "No")</f>
        <v>Yes</v>
      </c>
      <c r="P1370" s="13" t="str">
        <f>IF(Table2[[#This Row],[CurrentStock]]&lt;Table2[[#This Row],[ReorderLevel]],"Reorder", "Okay")</f>
        <v>Reorder</v>
      </c>
      <c r="Q1370" s="13" t="str">
        <f>IF(Table2[[#This Row],[CurrentStock]]&gt;Table2[[#This Row],[ReorderLevel]]*3, "Overstock", "Okay")</f>
        <v>Okay</v>
      </c>
    </row>
    <row r="1371" spans="1:17" x14ac:dyDescent="0.35">
      <c r="A1371">
        <v>82976</v>
      </c>
      <c r="B1371" t="s">
        <v>11</v>
      </c>
      <c r="C1371" t="s">
        <v>27</v>
      </c>
      <c r="D1371">
        <v>371</v>
      </c>
      <c r="E1371">
        <v>100</v>
      </c>
      <c r="F1371" s="2">
        <v>20.059999999999999</v>
      </c>
      <c r="G1371" t="s">
        <v>31</v>
      </c>
      <c r="H1371" s="1">
        <v>45347</v>
      </c>
      <c r="I1371" s="1">
        <v>45374</v>
      </c>
      <c r="J1371" t="s">
        <v>38</v>
      </c>
      <c r="K1371" s="8">
        <f>Table2[[#This Row],[CurrentStock]]*Table2[[#This Row],[UnitPrice]]</f>
        <v>7442.2599999999993</v>
      </c>
      <c r="L1371" t="str">
        <f>IF(Table2[[#This Row],[CurrentStock]]&lt;=Table2[[#This Row],[ReorderLevel]], "Reorder Needed", "Okay")</f>
        <v>Okay</v>
      </c>
      <c r="M1371" t="str">
        <f>IF(Table2[[#This Row],[CurrentStock]]-Table2[[#This Row],[ReorderLevel]]&lt;0,Table2[[#This Row],[CurrentStock]]-Table2[[#This Row],[ReorderLevel]],"")</f>
        <v/>
      </c>
      <c r="N1371" t="str">
        <f>IF(Table2[[#This Row],[Stock Gap]]&lt;0, "Understock","Okay")</f>
        <v>Okay</v>
      </c>
      <c r="O1371" s="13" t="str">
        <f>IF(Table2[[#This Row],[Stock Gap]]&lt;0, "Yes", "No")</f>
        <v>No</v>
      </c>
      <c r="P1371" s="13" t="str">
        <f>IF(Table2[[#This Row],[CurrentStock]]&lt;Table2[[#This Row],[ReorderLevel]],"Reorder", "Okay")</f>
        <v>Okay</v>
      </c>
      <c r="Q1371" s="13" t="str">
        <f>IF(Table2[[#This Row],[CurrentStock]]&gt;Table2[[#This Row],[ReorderLevel]]*3, "Overstock", "Okay")</f>
        <v>Overstock</v>
      </c>
    </row>
    <row r="1372" spans="1:17" x14ac:dyDescent="0.35">
      <c r="A1372">
        <v>34945</v>
      </c>
      <c r="B1372" t="s">
        <v>11</v>
      </c>
      <c r="C1372" t="s">
        <v>27</v>
      </c>
      <c r="D1372">
        <v>481</v>
      </c>
      <c r="E1372">
        <v>100</v>
      </c>
      <c r="F1372" s="2">
        <v>65.650000000000006</v>
      </c>
      <c r="G1372" t="s">
        <v>35</v>
      </c>
      <c r="H1372" s="1">
        <v>45564</v>
      </c>
      <c r="I1372" s="1">
        <v>45583</v>
      </c>
      <c r="J1372" t="s">
        <v>36</v>
      </c>
      <c r="K1372" s="8">
        <f>Table2[[#This Row],[CurrentStock]]*Table2[[#This Row],[UnitPrice]]</f>
        <v>31577.65</v>
      </c>
      <c r="L1372" t="str">
        <f>IF(Table2[[#This Row],[CurrentStock]]&lt;=Table2[[#This Row],[ReorderLevel]], "Reorder Needed", "Okay")</f>
        <v>Okay</v>
      </c>
      <c r="M1372" t="str">
        <f>IF(Table2[[#This Row],[CurrentStock]]-Table2[[#This Row],[ReorderLevel]]&lt;0,Table2[[#This Row],[CurrentStock]]-Table2[[#This Row],[ReorderLevel]],"")</f>
        <v/>
      </c>
      <c r="N1372" t="str">
        <f>IF(Table2[[#This Row],[Stock Gap]]&lt;0, "Understock","Okay")</f>
        <v>Okay</v>
      </c>
      <c r="O1372" s="13" t="str">
        <f>IF(Table2[[#This Row],[Stock Gap]]&lt;0, "Yes", "No")</f>
        <v>No</v>
      </c>
      <c r="P1372" s="13" t="str">
        <f>IF(Table2[[#This Row],[CurrentStock]]&lt;Table2[[#This Row],[ReorderLevel]],"Reorder", "Okay")</f>
        <v>Okay</v>
      </c>
      <c r="Q1372" s="13" t="str">
        <f>IF(Table2[[#This Row],[CurrentStock]]&gt;Table2[[#This Row],[ReorderLevel]]*3, "Overstock", "Okay")</f>
        <v>Overstock</v>
      </c>
    </row>
    <row r="1373" spans="1:17" x14ac:dyDescent="0.35">
      <c r="A1373">
        <v>58795</v>
      </c>
      <c r="B1373" t="s">
        <v>17</v>
      </c>
      <c r="C1373" t="s">
        <v>27</v>
      </c>
      <c r="D1373">
        <v>252</v>
      </c>
      <c r="E1373">
        <v>20</v>
      </c>
      <c r="F1373" s="2">
        <v>268.3</v>
      </c>
      <c r="G1373" t="s">
        <v>32</v>
      </c>
      <c r="H1373" s="1">
        <v>45518</v>
      </c>
      <c r="I1373" s="1">
        <v>45538</v>
      </c>
      <c r="J1373" t="s">
        <v>37</v>
      </c>
      <c r="K1373" s="8">
        <f>Table2[[#This Row],[CurrentStock]]*Table2[[#This Row],[UnitPrice]]</f>
        <v>67611.600000000006</v>
      </c>
      <c r="L1373" t="str">
        <f>IF(Table2[[#This Row],[CurrentStock]]&lt;=Table2[[#This Row],[ReorderLevel]], "Reorder Needed", "Okay")</f>
        <v>Okay</v>
      </c>
      <c r="M1373" t="str">
        <f>IF(Table2[[#This Row],[CurrentStock]]-Table2[[#This Row],[ReorderLevel]]&lt;0,Table2[[#This Row],[CurrentStock]]-Table2[[#This Row],[ReorderLevel]],"")</f>
        <v/>
      </c>
      <c r="N1373" t="str">
        <f>IF(Table2[[#This Row],[Stock Gap]]&lt;0, "Understock","Okay")</f>
        <v>Okay</v>
      </c>
      <c r="O1373" s="13" t="str">
        <f>IF(Table2[[#This Row],[Stock Gap]]&lt;0, "Yes", "No")</f>
        <v>No</v>
      </c>
      <c r="P1373" s="13" t="str">
        <f>IF(Table2[[#This Row],[CurrentStock]]&lt;Table2[[#This Row],[ReorderLevel]],"Reorder", "Okay")</f>
        <v>Okay</v>
      </c>
      <c r="Q1373" s="13" t="str">
        <f>IF(Table2[[#This Row],[CurrentStock]]&gt;Table2[[#This Row],[ReorderLevel]]*3, "Overstock", "Okay")</f>
        <v>Overstock</v>
      </c>
    </row>
    <row r="1374" spans="1:17" x14ac:dyDescent="0.35">
      <c r="A1374">
        <v>60022</v>
      </c>
      <c r="B1374" t="s">
        <v>17</v>
      </c>
      <c r="C1374" t="s">
        <v>27</v>
      </c>
      <c r="D1374">
        <v>47</v>
      </c>
      <c r="E1374">
        <v>150</v>
      </c>
      <c r="F1374" s="2">
        <v>159.11000000000001</v>
      </c>
      <c r="G1374" t="s">
        <v>32</v>
      </c>
      <c r="H1374" s="1">
        <v>45452</v>
      </c>
      <c r="I1374" s="1">
        <v>45489</v>
      </c>
      <c r="J1374" t="s">
        <v>37</v>
      </c>
      <c r="K1374" s="8">
        <f>Table2[[#This Row],[CurrentStock]]*Table2[[#This Row],[UnitPrice]]</f>
        <v>7478.170000000001</v>
      </c>
      <c r="L1374" t="str">
        <f>IF(Table2[[#This Row],[CurrentStock]]&lt;=Table2[[#This Row],[ReorderLevel]], "Reorder Needed", "Okay")</f>
        <v>Reorder Needed</v>
      </c>
      <c r="M1374" s="7">
        <f>IF(Table2[[#This Row],[CurrentStock]]-Table2[[#This Row],[ReorderLevel]]&lt;0,Table2[[#This Row],[CurrentStock]]-Table2[[#This Row],[ReorderLevel]],"")</f>
        <v>-103</v>
      </c>
      <c r="N1374" t="str">
        <f>IF(Table2[[#This Row],[Stock Gap]]&lt;0, "Understock","Okay")</f>
        <v>Understock</v>
      </c>
      <c r="O1374" s="13" t="str">
        <f>IF(Table2[[#This Row],[Stock Gap]]&lt;0, "Yes", "No")</f>
        <v>Yes</v>
      </c>
      <c r="P1374" s="13" t="str">
        <f>IF(Table2[[#This Row],[CurrentStock]]&lt;Table2[[#This Row],[ReorderLevel]],"Reorder", "Okay")</f>
        <v>Reorder</v>
      </c>
      <c r="Q1374" s="13" t="str">
        <f>IF(Table2[[#This Row],[CurrentStock]]&gt;Table2[[#This Row],[ReorderLevel]]*3, "Overstock", "Okay")</f>
        <v>Okay</v>
      </c>
    </row>
    <row r="1375" spans="1:17" x14ac:dyDescent="0.35">
      <c r="A1375">
        <v>34815</v>
      </c>
      <c r="B1375" t="s">
        <v>21</v>
      </c>
      <c r="C1375" t="s">
        <v>26</v>
      </c>
      <c r="D1375">
        <v>470</v>
      </c>
      <c r="E1375">
        <v>150</v>
      </c>
      <c r="F1375" s="2">
        <v>394.53</v>
      </c>
      <c r="G1375" t="s">
        <v>35</v>
      </c>
      <c r="H1375" s="1">
        <v>45336</v>
      </c>
      <c r="I1375" s="1">
        <v>45356</v>
      </c>
      <c r="J1375" t="s">
        <v>38</v>
      </c>
      <c r="K1375" s="8">
        <f>Table2[[#This Row],[CurrentStock]]*Table2[[#This Row],[UnitPrice]]</f>
        <v>185429.09999999998</v>
      </c>
      <c r="L1375" t="str">
        <f>IF(Table2[[#This Row],[CurrentStock]]&lt;=Table2[[#This Row],[ReorderLevel]], "Reorder Needed", "Okay")</f>
        <v>Okay</v>
      </c>
      <c r="M1375" t="str">
        <f>IF(Table2[[#This Row],[CurrentStock]]-Table2[[#This Row],[ReorderLevel]]&lt;0,Table2[[#This Row],[CurrentStock]]-Table2[[#This Row],[ReorderLevel]],"")</f>
        <v/>
      </c>
      <c r="N1375" t="str">
        <f>IF(Table2[[#This Row],[Stock Gap]]&lt;0, "Understock","Okay")</f>
        <v>Okay</v>
      </c>
      <c r="O1375" s="13" t="str">
        <f>IF(Table2[[#This Row],[Stock Gap]]&lt;0, "Yes", "No")</f>
        <v>No</v>
      </c>
      <c r="P1375" s="13" t="str">
        <f>IF(Table2[[#This Row],[CurrentStock]]&lt;Table2[[#This Row],[ReorderLevel]],"Reorder", "Okay")</f>
        <v>Okay</v>
      </c>
      <c r="Q1375" s="13" t="str">
        <f>IF(Table2[[#This Row],[CurrentStock]]&gt;Table2[[#This Row],[ReorderLevel]]*3, "Overstock", "Okay")</f>
        <v>Overstock</v>
      </c>
    </row>
    <row r="1376" spans="1:17" x14ac:dyDescent="0.35">
      <c r="A1376">
        <v>98757</v>
      </c>
      <c r="B1376" t="s">
        <v>17</v>
      </c>
      <c r="C1376" t="s">
        <v>27</v>
      </c>
      <c r="D1376">
        <v>287</v>
      </c>
      <c r="E1376">
        <v>50</v>
      </c>
      <c r="F1376" s="2">
        <v>44.06</v>
      </c>
      <c r="G1376" t="s">
        <v>32</v>
      </c>
      <c r="H1376" s="1">
        <v>45626</v>
      </c>
      <c r="I1376" s="1">
        <v>45634</v>
      </c>
      <c r="J1376" t="s">
        <v>38</v>
      </c>
      <c r="K1376" s="8">
        <f>Table2[[#This Row],[CurrentStock]]*Table2[[#This Row],[UnitPrice]]</f>
        <v>12645.220000000001</v>
      </c>
      <c r="L1376" t="str">
        <f>IF(Table2[[#This Row],[CurrentStock]]&lt;=Table2[[#This Row],[ReorderLevel]], "Reorder Needed", "Okay")</f>
        <v>Okay</v>
      </c>
      <c r="M1376" t="str">
        <f>IF(Table2[[#This Row],[CurrentStock]]-Table2[[#This Row],[ReorderLevel]]&lt;0,Table2[[#This Row],[CurrentStock]]-Table2[[#This Row],[ReorderLevel]],"")</f>
        <v/>
      </c>
      <c r="N1376" t="str">
        <f>IF(Table2[[#This Row],[Stock Gap]]&lt;0, "Understock","Okay")</f>
        <v>Okay</v>
      </c>
      <c r="O1376" s="13" t="str">
        <f>IF(Table2[[#This Row],[Stock Gap]]&lt;0, "Yes", "No")</f>
        <v>No</v>
      </c>
      <c r="P1376" s="13" t="str">
        <f>IF(Table2[[#This Row],[CurrentStock]]&lt;Table2[[#This Row],[ReorderLevel]],"Reorder", "Okay")</f>
        <v>Okay</v>
      </c>
      <c r="Q1376" s="13" t="str">
        <f>IF(Table2[[#This Row],[CurrentStock]]&gt;Table2[[#This Row],[ReorderLevel]]*3, "Overstock", "Okay")</f>
        <v>Overstock</v>
      </c>
    </row>
    <row r="1377" spans="1:17" x14ac:dyDescent="0.35">
      <c r="A1377">
        <v>33401</v>
      </c>
      <c r="B1377" t="s">
        <v>23</v>
      </c>
      <c r="C1377" t="s">
        <v>30</v>
      </c>
      <c r="D1377">
        <v>110</v>
      </c>
      <c r="E1377">
        <v>100</v>
      </c>
      <c r="F1377" s="2">
        <v>337.99</v>
      </c>
      <c r="G1377" t="s">
        <v>33</v>
      </c>
      <c r="H1377" s="1">
        <v>45338</v>
      </c>
      <c r="I1377" s="1">
        <v>45368</v>
      </c>
      <c r="J1377" t="s">
        <v>37</v>
      </c>
      <c r="K1377" s="8">
        <f>Table2[[#This Row],[CurrentStock]]*Table2[[#This Row],[UnitPrice]]</f>
        <v>37178.9</v>
      </c>
      <c r="L1377" t="str">
        <f>IF(Table2[[#This Row],[CurrentStock]]&lt;=Table2[[#This Row],[ReorderLevel]], "Reorder Needed", "Okay")</f>
        <v>Okay</v>
      </c>
      <c r="M1377" t="str">
        <f>IF(Table2[[#This Row],[CurrentStock]]-Table2[[#This Row],[ReorderLevel]]&lt;0,Table2[[#This Row],[CurrentStock]]-Table2[[#This Row],[ReorderLevel]],"")</f>
        <v/>
      </c>
      <c r="N1377" t="str">
        <f>IF(Table2[[#This Row],[Stock Gap]]&lt;0, "Understock","Okay")</f>
        <v>Okay</v>
      </c>
      <c r="O1377" s="13" t="str">
        <f>IF(Table2[[#This Row],[Stock Gap]]&lt;0, "Yes", "No")</f>
        <v>No</v>
      </c>
      <c r="P1377" s="13" t="str">
        <f>IF(Table2[[#This Row],[CurrentStock]]&lt;Table2[[#This Row],[ReorderLevel]],"Reorder", "Okay")</f>
        <v>Okay</v>
      </c>
      <c r="Q1377" s="13" t="str">
        <f>IF(Table2[[#This Row],[CurrentStock]]&gt;Table2[[#This Row],[ReorderLevel]]*3, "Overstock", "Okay")</f>
        <v>Okay</v>
      </c>
    </row>
    <row r="1378" spans="1:17" x14ac:dyDescent="0.35">
      <c r="A1378">
        <v>63740</v>
      </c>
      <c r="B1378" t="s">
        <v>20</v>
      </c>
      <c r="C1378" t="s">
        <v>30</v>
      </c>
      <c r="D1378">
        <v>444</v>
      </c>
      <c r="E1378">
        <v>150</v>
      </c>
      <c r="F1378" s="2">
        <v>335.12</v>
      </c>
      <c r="G1378" t="s">
        <v>32</v>
      </c>
      <c r="H1378" s="1">
        <v>45599</v>
      </c>
      <c r="I1378" s="1">
        <v>45622</v>
      </c>
      <c r="J1378" t="s">
        <v>36</v>
      </c>
      <c r="K1378" s="8">
        <f>Table2[[#This Row],[CurrentStock]]*Table2[[#This Row],[UnitPrice]]</f>
        <v>148793.28</v>
      </c>
      <c r="L1378" t="str">
        <f>IF(Table2[[#This Row],[CurrentStock]]&lt;=Table2[[#This Row],[ReorderLevel]], "Reorder Needed", "Okay")</f>
        <v>Okay</v>
      </c>
      <c r="M1378" t="str">
        <f>IF(Table2[[#This Row],[CurrentStock]]-Table2[[#This Row],[ReorderLevel]]&lt;0,Table2[[#This Row],[CurrentStock]]-Table2[[#This Row],[ReorderLevel]],"")</f>
        <v/>
      </c>
      <c r="N1378" t="str">
        <f>IF(Table2[[#This Row],[Stock Gap]]&lt;0, "Understock","Okay")</f>
        <v>Okay</v>
      </c>
      <c r="O1378" s="13" t="str">
        <f>IF(Table2[[#This Row],[Stock Gap]]&lt;0, "Yes", "No")</f>
        <v>No</v>
      </c>
      <c r="P1378" s="13" t="str">
        <f>IF(Table2[[#This Row],[CurrentStock]]&lt;Table2[[#This Row],[ReorderLevel]],"Reorder", "Okay")</f>
        <v>Okay</v>
      </c>
      <c r="Q1378" s="13" t="str">
        <f>IF(Table2[[#This Row],[CurrentStock]]&gt;Table2[[#This Row],[ReorderLevel]]*3, "Overstock", "Okay")</f>
        <v>Okay</v>
      </c>
    </row>
    <row r="1379" spans="1:17" x14ac:dyDescent="0.35">
      <c r="A1379">
        <v>87681</v>
      </c>
      <c r="B1379" t="s">
        <v>14</v>
      </c>
      <c r="C1379" t="s">
        <v>28</v>
      </c>
      <c r="D1379">
        <v>329</v>
      </c>
      <c r="E1379">
        <v>30</v>
      </c>
      <c r="F1379" s="2">
        <v>5.09</v>
      </c>
      <c r="G1379" t="s">
        <v>32</v>
      </c>
      <c r="H1379" s="1">
        <v>45319</v>
      </c>
      <c r="I1379" s="1">
        <v>45351</v>
      </c>
      <c r="J1379" t="s">
        <v>36</v>
      </c>
      <c r="K1379" s="8">
        <f>Table2[[#This Row],[CurrentStock]]*Table2[[#This Row],[UnitPrice]]</f>
        <v>1674.61</v>
      </c>
      <c r="L1379" t="str">
        <f>IF(Table2[[#This Row],[CurrentStock]]&lt;=Table2[[#This Row],[ReorderLevel]], "Reorder Needed", "Okay")</f>
        <v>Okay</v>
      </c>
      <c r="M1379" t="str">
        <f>IF(Table2[[#This Row],[CurrentStock]]-Table2[[#This Row],[ReorderLevel]]&lt;0,Table2[[#This Row],[CurrentStock]]-Table2[[#This Row],[ReorderLevel]],"")</f>
        <v/>
      </c>
      <c r="N1379" t="str">
        <f>IF(Table2[[#This Row],[Stock Gap]]&lt;0, "Understock","Okay")</f>
        <v>Okay</v>
      </c>
      <c r="O1379" s="13" t="str">
        <f>IF(Table2[[#This Row],[Stock Gap]]&lt;0, "Yes", "No")</f>
        <v>No</v>
      </c>
      <c r="P1379" s="13" t="str">
        <f>IF(Table2[[#This Row],[CurrentStock]]&lt;Table2[[#This Row],[ReorderLevel]],"Reorder", "Okay")</f>
        <v>Okay</v>
      </c>
      <c r="Q1379" s="13" t="str">
        <f>IF(Table2[[#This Row],[CurrentStock]]&gt;Table2[[#This Row],[ReorderLevel]]*3, "Overstock", "Okay")</f>
        <v>Overstock</v>
      </c>
    </row>
    <row r="1380" spans="1:17" x14ac:dyDescent="0.35">
      <c r="A1380">
        <v>23665</v>
      </c>
      <c r="B1380" t="s">
        <v>22</v>
      </c>
      <c r="C1380" t="s">
        <v>29</v>
      </c>
      <c r="D1380">
        <v>74</v>
      </c>
      <c r="E1380">
        <v>30</v>
      </c>
      <c r="F1380" s="2">
        <v>488.16</v>
      </c>
      <c r="G1380" t="s">
        <v>31</v>
      </c>
      <c r="H1380" s="1">
        <v>45306</v>
      </c>
      <c r="I1380" s="1">
        <v>45317</v>
      </c>
      <c r="J1380" t="s">
        <v>38</v>
      </c>
      <c r="K1380" s="8">
        <f>Table2[[#This Row],[CurrentStock]]*Table2[[#This Row],[UnitPrice]]</f>
        <v>36123.840000000004</v>
      </c>
      <c r="L1380" t="str">
        <f>IF(Table2[[#This Row],[CurrentStock]]&lt;=Table2[[#This Row],[ReorderLevel]], "Reorder Needed", "Okay")</f>
        <v>Okay</v>
      </c>
      <c r="M1380" t="str">
        <f>IF(Table2[[#This Row],[CurrentStock]]-Table2[[#This Row],[ReorderLevel]]&lt;0,Table2[[#This Row],[CurrentStock]]-Table2[[#This Row],[ReorderLevel]],"")</f>
        <v/>
      </c>
      <c r="N1380" t="str">
        <f>IF(Table2[[#This Row],[Stock Gap]]&lt;0, "Understock","Okay")</f>
        <v>Okay</v>
      </c>
      <c r="O1380" s="13" t="str">
        <f>IF(Table2[[#This Row],[Stock Gap]]&lt;0, "Yes", "No")</f>
        <v>No</v>
      </c>
      <c r="P1380" s="13" t="str">
        <f>IF(Table2[[#This Row],[CurrentStock]]&lt;Table2[[#This Row],[ReorderLevel]],"Reorder", "Okay")</f>
        <v>Okay</v>
      </c>
      <c r="Q1380" s="13" t="str">
        <f>IF(Table2[[#This Row],[CurrentStock]]&gt;Table2[[#This Row],[ReorderLevel]]*3, "Overstock", "Okay")</f>
        <v>Okay</v>
      </c>
    </row>
    <row r="1381" spans="1:17" x14ac:dyDescent="0.35">
      <c r="A1381">
        <v>19638</v>
      </c>
      <c r="B1381" t="s">
        <v>22</v>
      </c>
      <c r="C1381" t="s">
        <v>29</v>
      </c>
      <c r="D1381">
        <v>286</v>
      </c>
      <c r="E1381">
        <v>150</v>
      </c>
      <c r="F1381" s="2">
        <v>318.95999999999998</v>
      </c>
      <c r="G1381" t="s">
        <v>33</v>
      </c>
      <c r="H1381" s="1">
        <v>45571</v>
      </c>
      <c r="I1381" s="1">
        <v>45595</v>
      </c>
      <c r="J1381" t="s">
        <v>38</v>
      </c>
      <c r="K1381" s="8">
        <f>Table2[[#This Row],[CurrentStock]]*Table2[[#This Row],[UnitPrice]]</f>
        <v>91222.56</v>
      </c>
      <c r="L1381" t="str">
        <f>IF(Table2[[#This Row],[CurrentStock]]&lt;=Table2[[#This Row],[ReorderLevel]], "Reorder Needed", "Okay")</f>
        <v>Okay</v>
      </c>
      <c r="M1381" t="str">
        <f>IF(Table2[[#This Row],[CurrentStock]]-Table2[[#This Row],[ReorderLevel]]&lt;0,Table2[[#This Row],[CurrentStock]]-Table2[[#This Row],[ReorderLevel]],"")</f>
        <v/>
      </c>
      <c r="N1381" t="str">
        <f>IF(Table2[[#This Row],[Stock Gap]]&lt;0, "Understock","Okay")</f>
        <v>Okay</v>
      </c>
      <c r="O1381" s="13" t="str">
        <f>IF(Table2[[#This Row],[Stock Gap]]&lt;0, "Yes", "No")</f>
        <v>No</v>
      </c>
      <c r="P1381" s="13" t="str">
        <f>IF(Table2[[#This Row],[CurrentStock]]&lt;Table2[[#This Row],[ReorderLevel]],"Reorder", "Okay")</f>
        <v>Okay</v>
      </c>
      <c r="Q1381" s="13" t="str">
        <f>IF(Table2[[#This Row],[CurrentStock]]&gt;Table2[[#This Row],[ReorderLevel]]*3, "Overstock", "Okay")</f>
        <v>Okay</v>
      </c>
    </row>
    <row r="1382" spans="1:17" x14ac:dyDescent="0.35">
      <c r="A1382">
        <v>55097</v>
      </c>
      <c r="B1382" t="s">
        <v>18</v>
      </c>
      <c r="C1382" t="s">
        <v>27</v>
      </c>
      <c r="D1382">
        <v>373</v>
      </c>
      <c r="E1382">
        <v>40</v>
      </c>
      <c r="F1382" s="2">
        <v>165.78</v>
      </c>
      <c r="G1382" t="s">
        <v>35</v>
      </c>
      <c r="H1382" s="1">
        <v>45338</v>
      </c>
      <c r="I1382" s="1">
        <v>45377</v>
      </c>
      <c r="J1382" t="s">
        <v>38</v>
      </c>
      <c r="K1382" s="8">
        <f>Table2[[#This Row],[CurrentStock]]*Table2[[#This Row],[UnitPrice]]</f>
        <v>61835.94</v>
      </c>
      <c r="L1382" t="str">
        <f>IF(Table2[[#This Row],[CurrentStock]]&lt;=Table2[[#This Row],[ReorderLevel]], "Reorder Needed", "Okay")</f>
        <v>Okay</v>
      </c>
      <c r="M1382" t="str">
        <f>IF(Table2[[#This Row],[CurrentStock]]-Table2[[#This Row],[ReorderLevel]]&lt;0,Table2[[#This Row],[CurrentStock]]-Table2[[#This Row],[ReorderLevel]],"")</f>
        <v/>
      </c>
      <c r="N1382" t="str">
        <f>IF(Table2[[#This Row],[Stock Gap]]&lt;0, "Understock","Okay")</f>
        <v>Okay</v>
      </c>
      <c r="O1382" s="13" t="str">
        <f>IF(Table2[[#This Row],[Stock Gap]]&lt;0, "Yes", "No")</f>
        <v>No</v>
      </c>
      <c r="P1382" s="13" t="str">
        <f>IF(Table2[[#This Row],[CurrentStock]]&lt;Table2[[#This Row],[ReorderLevel]],"Reorder", "Okay")</f>
        <v>Okay</v>
      </c>
      <c r="Q1382" s="13" t="str">
        <f>IF(Table2[[#This Row],[CurrentStock]]&gt;Table2[[#This Row],[ReorderLevel]]*3, "Overstock", "Okay")</f>
        <v>Overstock</v>
      </c>
    </row>
    <row r="1383" spans="1:17" x14ac:dyDescent="0.35">
      <c r="A1383">
        <v>37684</v>
      </c>
      <c r="B1383" t="s">
        <v>9</v>
      </c>
      <c r="C1383" t="s">
        <v>26</v>
      </c>
      <c r="D1383">
        <v>464</v>
      </c>
      <c r="E1383">
        <v>100</v>
      </c>
      <c r="F1383" s="2">
        <v>449.27</v>
      </c>
      <c r="G1383" t="s">
        <v>31</v>
      </c>
      <c r="H1383" s="1">
        <v>45597</v>
      </c>
      <c r="I1383" s="1">
        <v>45633</v>
      </c>
      <c r="J1383" t="s">
        <v>37</v>
      </c>
      <c r="K1383" s="8">
        <f>Table2[[#This Row],[CurrentStock]]*Table2[[#This Row],[UnitPrice]]</f>
        <v>208461.28</v>
      </c>
      <c r="L1383" t="str">
        <f>IF(Table2[[#This Row],[CurrentStock]]&lt;=Table2[[#This Row],[ReorderLevel]], "Reorder Needed", "Okay")</f>
        <v>Okay</v>
      </c>
      <c r="M1383" t="str">
        <f>IF(Table2[[#This Row],[CurrentStock]]-Table2[[#This Row],[ReorderLevel]]&lt;0,Table2[[#This Row],[CurrentStock]]-Table2[[#This Row],[ReorderLevel]],"")</f>
        <v/>
      </c>
      <c r="N1383" t="str">
        <f>IF(Table2[[#This Row],[Stock Gap]]&lt;0, "Understock","Okay")</f>
        <v>Okay</v>
      </c>
      <c r="O1383" s="13" t="str">
        <f>IF(Table2[[#This Row],[Stock Gap]]&lt;0, "Yes", "No")</f>
        <v>No</v>
      </c>
      <c r="P1383" s="13" t="str">
        <f>IF(Table2[[#This Row],[CurrentStock]]&lt;Table2[[#This Row],[ReorderLevel]],"Reorder", "Okay")</f>
        <v>Okay</v>
      </c>
      <c r="Q1383" s="13" t="str">
        <f>IF(Table2[[#This Row],[CurrentStock]]&gt;Table2[[#This Row],[ReorderLevel]]*3, "Overstock", "Okay")</f>
        <v>Overstock</v>
      </c>
    </row>
    <row r="1384" spans="1:17" x14ac:dyDescent="0.35">
      <c r="A1384">
        <v>82725</v>
      </c>
      <c r="B1384" t="s">
        <v>12</v>
      </c>
      <c r="C1384" t="s">
        <v>28</v>
      </c>
      <c r="D1384">
        <v>493</v>
      </c>
      <c r="E1384">
        <v>20</v>
      </c>
      <c r="F1384" s="2">
        <v>469.97</v>
      </c>
      <c r="G1384" t="s">
        <v>33</v>
      </c>
      <c r="H1384" s="1">
        <v>45374</v>
      </c>
      <c r="I1384" s="1">
        <v>45382</v>
      </c>
      <c r="J1384" t="s">
        <v>36</v>
      </c>
      <c r="K1384" s="8">
        <f>Table2[[#This Row],[CurrentStock]]*Table2[[#This Row],[UnitPrice]]</f>
        <v>231695.21000000002</v>
      </c>
      <c r="L1384" t="str">
        <f>IF(Table2[[#This Row],[CurrentStock]]&lt;=Table2[[#This Row],[ReorderLevel]], "Reorder Needed", "Okay")</f>
        <v>Okay</v>
      </c>
      <c r="M1384" t="str">
        <f>IF(Table2[[#This Row],[CurrentStock]]-Table2[[#This Row],[ReorderLevel]]&lt;0,Table2[[#This Row],[CurrentStock]]-Table2[[#This Row],[ReorderLevel]],"")</f>
        <v/>
      </c>
      <c r="N1384" t="str">
        <f>IF(Table2[[#This Row],[Stock Gap]]&lt;0, "Understock","Okay")</f>
        <v>Okay</v>
      </c>
      <c r="O1384" s="13" t="str">
        <f>IF(Table2[[#This Row],[Stock Gap]]&lt;0, "Yes", "No")</f>
        <v>No</v>
      </c>
      <c r="P1384" s="13" t="str">
        <f>IF(Table2[[#This Row],[CurrentStock]]&lt;Table2[[#This Row],[ReorderLevel]],"Reorder", "Okay")</f>
        <v>Okay</v>
      </c>
      <c r="Q1384" s="13" t="str">
        <f>IF(Table2[[#This Row],[CurrentStock]]&gt;Table2[[#This Row],[ReorderLevel]]*3, "Overstock", "Okay")</f>
        <v>Overstock</v>
      </c>
    </row>
    <row r="1385" spans="1:17" x14ac:dyDescent="0.35">
      <c r="A1385">
        <v>89453</v>
      </c>
      <c r="B1385" t="s">
        <v>14</v>
      </c>
      <c r="C1385" t="s">
        <v>28</v>
      </c>
      <c r="D1385">
        <v>266</v>
      </c>
      <c r="E1385">
        <v>150</v>
      </c>
      <c r="F1385" s="2">
        <v>11.97</v>
      </c>
      <c r="G1385" t="s">
        <v>32</v>
      </c>
      <c r="H1385" s="1">
        <v>45537</v>
      </c>
      <c r="I1385" s="1">
        <v>45562</v>
      </c>
      <c r="J1385" t="s">
        <v>38</v>
      </c>
      <c r="K1385" s="8">
        <f>Table2[[#This Row],[CurrentStock]]*Table2[[#This Row],[UnitPrice]]</f>
        <v>3184.02</v>
      </c>
      <c r="L1385" t="str">
        <f>IF(Table2[[#This Row],[CurrentStock]]&lt;=Table2[[#This Row],[ReorderLevel]], "Reorder Needed", "Okay")</f>
        <v>Okay</v>
      </c>
      <c r="M1385" t="str">
        <f>IF(Table2[[#This Row],[CurrentStock]]-Table2[[#This Row],[ReorderLevel]]&lt;0,Table2[[#This Row],[CurrentStock]]-Table2[[#This Row],[ReorderLevel]],"")</f>
        <v/>
      </c>
      <c r="N1385" t="str">
        <f>IF(Table2[[#This Row],[Stock Gap]]&lt;0, "Understock","Okay")</f>
        <v>Okay</v>
      </c>
      <c r="O1385" s="13" t="str">
        <f>IF(Table2[[#This Row],[Stock Gap]]&lt;0, "Yes", "No")</f>
        <v>No</v>
      </c>
      <c r="P1385" s="13" t="str">
        <f>IF(Table2[[#This Row],[CurrentStock]]&lt;Table2[[#This Row],[ReorderLevel]],"Reorder", "Okay")</f>
        <v>Okay</v>
      </c>
      <c r="Q1385" s="13" t="str">
        <f>IF(Table2[[#This Row],[CurrentStock]]&gt;Table2[[#This Row],[ReorderLevel]]*3, "Overstock", "Okay")</f>
        <v>Okay</v>
      </c>
    </row>
    <row r="1386" spans="1:17" x14ac:dyDescent="0.35">
      <c r="A1386">
        <v>18076</v>
      </c>
      <c r="B1386" t="s">
        <v>12</v>
      </c>
      <c r="C1386" t="s">
        <v>28</v>
      </c>
      <c r="D1386">
        <v>7</v>
      </c>
      <c r="E1386">
        <v>50</v>
      </c>
      <c r="F1386" s="2">
        <v>9.07</v>
      </c>
      <c r="G1386" t="s">
        <v>33</v>
      </c>
      <c r="H1386" s="1">
        <v>45581</v>
      </c>
      <c r="I1386" s="1">
        <v>45601</v>
      </c>
      <c r="J1386" t="s">
        <v>37</v>
      </c>
      <c r="K1386" s="8">
        <f>Table2[[#This Row],[CurrentStock]]*Table2[[#This Row],[UnitPrice]]</f>
        <v>63.49</v>
      </c>
      <c r="L1386" t="str">
        <f>IF(Table2[[#This Row],[CurrentStock]]&lt;=Table2[[#This Row],[ReorderLevel]], "Reorder Needed", "Okay")</f>
        <v>Reorder Needed</v>
      </c>
      <c r="M1386" s="7">
        <f>IF(Table2[[#This Row],[CurrentStock]]-Table2[[#This Row],[ReorderLevel]]&lt;0,Table2[[#This Row],[CurrentStock]]-Table2[[#This Row],[ReorderLevel]],"")</f>
        <v>-43</v>
      </c>
      <c r="N1386" t="str">
        <f>IF(Table2[[#This Row],[Stock Gap]]&lt;0, "Understock","Okay")</f>
        <v>Understock</v>
      </c>
      <c r="O1386" s="13" t="str">
        <f>IF(Table2[[#This Row],[Stock Gap]]&lt;0, "Yes", "No")</f>
        <v>Yes</v>
      </c>
      <c r="P1386" s="13" t="str">
        <f>IF(Table2[[#This Row],[CurrentStock]]&lt;Table2[[#This Row],[ReorderLevel]],"Reorder", "Okay")</f>
        <v>Reorder</v>
      </c>
      <c r="Q1386" s="13" t="str">
        <f>IF(Table2[[#This Row],[CurrentStock]]&gt;Table2[[#This Row],[ReorderLevel]]*3, "Overstock", "Okay")</f>
        <v>Okay</v>
      </c>
    </row>
    <row r="1387" spans="1:17" x14ac:dyDescent="0.35">
      <c r="A1387">
        <v>55650</v>
      </c>
      <c r="B1387" t="s">
        <v>17</v>
      </c>
      <c r="C1387" t="s">
        <v>27</v>
      </c>
      <c r="D1387">
        <v>240</v>
      </c>
      <c r="E1387">
        <v>40</v>
      </c>
      <c r="F1387" s="2">
        <v>439.53</v>
      </c>
      <c r="G1387" t="s">
        <v>31</v>
      </c>
      <c r="H1387" s="1">
        <v>45400</v>
      </c>
      <c r="I1387" s="1">
        <v>45437</v>
      </c>
      <c r="J1387" t="s">
        <v>36</v>
      </c>
      <c r="K1387" s="8">
        <f>Table2[[#This Row],[CurrentStock]]*Table2[[#This Row],[UnitPrice]]</f>
        <v>105487.2</v>
      </c>
      <c r="L1387" t="str">
        <f>IF(Table2[[#This Row],[CurrentStock]]&lt;=Table2[[#This Row],[ReorderLevel]], "Reorder Needed", "Okay")</f>
        <v>Okay</v>
      </c>
      <c r="M1387" t="str">
        <f>IF(Table2[[#This Row],[CurrentStock]]-Table2[[#This Row],[ReorderLevel]]&lt;0,Table2[[#This Row],[CurrentStock]]-Table2[[#This Row],[ReorderLevel]],"")</f>
        <v/>
      </c>
      <c r="N1387" t="str">
        <f>IF(Table2[[#This Row],[Stock Gap]]&lt;0, "Understock","Okay")</f>
        <v>Okay</v>
      </c>
      <c r="O1387" s="13" t="str">
        <f>IF(Table2[[#This Row],[Stock Gap]]&lt;0, "Yes", "No")</f>
        <v>No</v>
      </c>
      <c r="P1387" s="13" t="str">
        <f>IF(Table2[[#This Row],[CurrentStock]]&lt;Table2[[#This Row],[ReorderLevel]],"Reorder", "Okay")</f>
        <v>Okay</v>
      </c>
      <c r="Q1387" s="13" t="str">
        <f>IF(Table2[[#This Row],[CurrentStock]]&gt;Table2[[#This Row],[ReorderLevel]]*3, "Overstock", "Okay")</f>
        <v>Overstock</v>
      </c>
    </row>
    <row r="1388" spans="1:17" x14ac:dyDescent="0.35">
      <c r="A1388">
        <v>64850</v>
      </c>
      <c r="B1388" t="s">
        <v>11</v>
      </c>
      <c r="C1388" t="s">
        <v>27</v>
      </c>
      <c r="D1388">
        <v>236</v>
      </c>
      <c r="E1388">
        <v>100</v>
      </c>
      <c r="F1388" s="2">
        <v>461.37</v>
      </c>
      <c r="G1388" t="s">
        <v>32</v>
      </c>
      <c r="H1388" s="1">
        <v>45399</v>
      </c>
      <c r="I1388" s="1">
        <v>45404</v>
      </c>
      <c r="J1388" t="s">
        <v>37</v>
      </c>
      <c r="K1388" s="8">
        <f>Table2[[#This Row],[CurrentStock]]*Table2[[#This Row],[UnitPrice]]</f>
        <v>108883.32</v>
      </c>
      <c r="L1388" t="str">
        <f>IF(Table2[[#This Row],[CurrentStock]]&lt;=Table2[[#This Row],[ReorderLevel]], "Reorder Needed", "Okay")</f>
        <v>Okay</v>
      </c>
      <c r="M1388" t="str">
        <f>IF(Table2[[#This Row],[CurrentStock]]-Table2[[#This Row],[ReorderLevel]]&lt;0,Table2[[#This Row],[CurrentStock]]-Table2[[#This Row],[ReorderLevel]],"")</f>
        <v/>
      </c>
      <c r="N1388" t="str">
        <f>IF(Table2[[#This Row],[Stock Gap]]&lt;0, "Understock","Okay")</f>
        <v>Okay</v>
      </c>
      <c r="O1388" s="13" t="str">
        <f>IF(Table2[[#This Row],[Stock Gap]]&lt;0, "Yes", "No")</f>
        <v>No</v>
      </c>
      <c r="P1388" s="13" t="str">
        <f>IF(Table2[[#This Row],[CurrentStock]]&lt;Table2[[#This Row],[ReorderLevel]],"Reorder", "Okay")</f>
        <v>Okay</v>
      </c>
      <c r="Q1388" s="13" t="str">
        <f>IF(Table2[[#This Row],[CurrentStock]]&gt;Table2[[#This Row],[ReorderLevel]]*3, "Overstock", "Okay")</f>
        <v>Okay</v>
      </c>
    </row>
    <row r="1389" spans="1:17" x14ac:dyDescent="0.35">
      <c r="A1389">
        <v>60808</v>
      </c>
      <c r="B1389" t="s">
        <v>12</v>
      </c>
      <c r="C1389" t="s">
        <v>28</v>
      </c>
      <c r="D1389">
        <v>301</v>
      </c>
      <c r="E1389">
        <v>80</v>
      </c>
      <c r="F1389" s="2">
        <v>5.47</v>
      </c>
      <c r="G1389" t="s">
        <v>35</v>
      </c>
      <c r="H1389" s="1">
        <v>45511</v>
      </c>
      <c r="I1389" s="1">
        <v>45519</v>
      </c>
      <c r="J1389" t="s">
        <v>37</v>
      </c>
      <c r="K1389" s="8">
        <f>Table2[[#This Row],[CurrentStock]]*Table2[[#This Row],[UnitPrice]]</f>
        <v>1646.47</v>
      </c>
      <c r="L1389" t="str">
        <f>IF(Table2[[#This Row],[CurrentStock]]&lt;=Table2[[#This Row],[ReorderLevel]], "Reorder Needed", "Okay")</f>
        <v>Okay</v>
      </c>
      <c r="M1389" t="str">
        <f>IF(Table2[[#This Row],[CurrentStock]]-Table2[[#This Row],[ReorderLevel]]&lt;0,Table2[[#This Row],[CurrentStock]]-Table2[[#This Row],[ReorderLevel]],"")</f>
        <v/>
      </c>
      <c r="N1389" t="str">
        <f>IF(Table2[[#This Row],[Stock Gap]]&lt;0, "Understock","Okay")</f>
        <v>Okay</v>
      </c>
      <c r="O1389" s="13" t="str">
        <f>IF(Table2[[#This Row],[Stock Gap]]&lt;0, "Yes", "No")</f>
        <v>No</v>
      </c>
      <c r="P1389" s="13" t="str">
        <f>IF(Table2[[#This Row],[CurrentStock]]&lt;Table2[[#This Row],[ReorderLevel]],"Reorder", "Okay")</f>
        <v>Okay</v>
      </c>
      <c r="Q1389" s="13" t="str">
        <f>IF(Table2[[#This Row],[CurrentStock]]&gt;Table2[[#This Row],[ReorderLevel]]*3, "Overstock", "Okay")</f>
        <v>Overstock</v>
      </c>
    </row>
    <row r="1390" spans="1:17" x14ac:dyDescent="0.35">
      <c r="A1390">
        <v>95970</v>
      </c>
      <c r="B1390" t="s">
        <v>15</v>
      </c>
      <c r="C1390" t="s">
        <v>29</v>
      </c>
      <c r="D1390">
        <v>228</v>
      </c>
      <c r="E1390">
        <v>50</v>
      </c>
      <c r="F1390" s="2">
        <v>264.83999999999997</v>
      </c>
      <c r="G1390" t="s">
        <v>34</v>
      </c>
      <c r="H1390" s="1">
        <v>45581</v>
      </c>
      <c r="I1390" s="1">
        <v>45619</v>
      </c>
      <c r="J1390" t="s">
        <v>36</v>
      </c>
      <c r="K1390" s="8">
        <f>Table2[[#This Row],[CurrentStock]]*Table2[[#This Row],[UnitPrice]]</f>
        <v>60383.519999999997</v>
      </c>
      <c r="L1390" t="str">
        <f>IF(Table2[[#This Row],[CurrentStock]]&lt;=Table2[[#This Row],[ReorderLevel]], "Reorder Needed", "Okay")</f>
        <v>Okay</v>
      </c>
      <c r="M1390" t="str">
        <f>IF(Table2[[#This Row],[CurrentStock]]-Table2[[#This Row],[ReorderLevel]]&lt;0,Table2[[#This Row],[CurrentStock]]-Table2[[#This Row],[ReorderLevel]],"")</f>
        <v/>
      </c>
      <c r="N1390" t="str">
        <f>IF(Table2[[#This Row],[Stock Gap]]&lt;0, "Understock","Okay")</f>
        <v>Okay</v>
      </c>
      <c r="O1390" s="13" t="str">
        <f>IF(Table2[[#This Row],[Stock Gap]]&lt;0, "Yes", "No")</f>
        <v>No</v>
      </c>
      <c r="P1390" s="13" t="str">
        <f>IF(Table2[[#This Row],[CurrentStock]]&lt;Table2[[#This Row],[ReorderLevel]],"Reorder", "Okay")</f>
        <v>Okay</v>
      </c>
      <c r="Q1390" s="13" t="str">
        <f>IF(Table2[[#This Row],[CurrentStock]]&gt;Table2[[#This Row],[ReorderLevel]]*3, "Overstock", "Okay")</f>
        <v>Overstock</v>
      </c>
    </row>
    <row r="1391" spans="1:17" x14ac:dyDescent="0.35">
      <c r="A1391">
        <v>16862</v>
      </c>
      <c r="B1391" t="s">
        <v>11</v>
      </c>
      <c r="C1391" t="s">
        <v>27</v>
      </c>
      <c r="D1391">
        <v>251</v>
      </c>
      <c r="E1391">
        <v>150</v>
      </c>
      <c r="F1391" s="2">
        <v>293.68</v>
      </c>
      <c r="G1391" t="s">
        <v>35</v>
      </c>
      <c r="H1391" s="1">
        <v>45363</v>
      </c>
      <c r="I1391" s="1">
        <v>45394</v>
      </c>
      <c r="J1391" t="s">
        <v>36</v>
      </c>
      <c r="K1391" s="8">
        <f>Table2[[#This Row],[CurrentStock]]*Table2[[#This Row],[UnitPrice]]</f>
        <v>73713.680000000008</v>
      </c>
      <c r="L1391" t="str">
        <f>IF(Table2[[#This Row],[CurrentStock]]&lt;=Table2[[#This Row],[ReorderLevel]], "Reorder Needed", "Okay")</f>
        <v>Okay</v>
      </c>
      <c r="M1391" t="str">
        <f>IF(Table2[[#This Row],[CurrentStock]]-Table2[[#This Row],[ReorderLevel]]&lt;0,Table2[[#This Row],[CurrentStock]]-Table2[[#This Row],[ReorderLevel]],"")</f>
        <v/>
      </c>
      <c r="N1391" t="str">
        <f>IF(Table2[[#This Row],[Stock Gap]]&lt;0, "Understock","Okay")</f>
        <v>Okay</v>
      </c>
      <c r="O1391" s="13" t="str">
        <f>IF(Table2[[#This Row],[Stock Gap]]&lt;0, "Yes", "No")</f>
        <v>No</v>
      </c>
      <c r="P1391" s="13" t="str">
        <f>IF(Table2[[#This Row],[CurrentStock]]&lt;Table2[[#This Row],[ReorderLevel]],"Reorder", "Okay")</f>
        <v>Okay</v>
      </c>
      <c r="Q1391" s="13" t="str">
        <f>IF(Table2[[#This Row],[CurrentStock]]&gt;Table2[[#This Row],[ReorderLevel]]*3, "Overstock", "Okay")</f>
        <v>Okay</v>
      </c>
    </row>
    <row r="1392" spans="1:17" x14ac:dyDescent="0.35">
      <c r="A1392">
        <v>53021</v>
      </c>
      <c r="B1392" t="s">
        <v>9</v>
      </c>
      <c r="C1392" t="s">
        <v>26</v>
      </c>
      <c r="D1392">
        <v>19</v>
      </c>
      <c r="E1392">
        <v>30</v>
      </c>
      <c r="F1392" s="2">
        <v>450.43</v>
      </c>
      <c r="G1392" t="s">
        <v>33</v>
      </c>
      <c r="H1392" s="1">
        <v>45438</v>
      </c>
      <c r="I1392" s="1">
        <v>45448</v>
      </c>
      <c r="J1392" t="s">
        <v>38</v>
      </c>
      <c r="K1392" s="8">
        <f>Table2[[#This Row],[CurrentStock]]*Table2[[#This Row],[UnitPrice]]</f>
        <v>8558.17</v>
      </c>
      <c r="L1392" t="str">
        <f>IF(Table2[[#This Row],[CurrentStock]]&lt;=Table2[[#This Row],[ReorderLevel]], "Reorder Needed", "Okay")</f>
        <v>Reorder Needed</v>
      </c>
      <c r="M1392" s="7">
        <f>IF(Table2[[#This Row],[CurrentStock]]-Table2[[#This Row],[ReorderLevel]]&lt;0,Table2[[#This Row],[CurrentStock]]-Table2[[#This Row],[ReorderLevel]],"")</f>
        <v>-11</v>
      </c>
      <c r="N1392" t="str">
        <f>IF(Table2[[#This Row],[Stock Gap]]&lt;0, "Understock","Okay")</f>
        <v>Understock</v>
      </c>
      <c r="O1392" s="13" t="str">
        <f>IF(Table2[[#This Row],[Stock Gap]]&lt;0, "Yes", "No")</f>
        <v>Yes</v>
      </c>
      <c r="P1392" s="13" t="str">
        <f>IF(Table2[[#This Row],[CurrentStock]]&lt;Table2[[#This Row],[ReorderLevel]],"Reorder", "Okay")</f>
        <v>Reorder</v>
      </c>
      <c r="Q1392" s="13" t="str">
        <f>IF(Table2[[#This Row],[CurrentStock]]&gt;Table2[[#This Row],[ReorderLevel]]*3, "Overstock", "Okay")</f>
        <v>Okay</v>
      </c>
    </row>
    <row r="1393" spans="1:17" x14ac:dyDescent="0.35">
      <c r="A1393">
        <v>50160</v>
      </c>
      <c r="B1393" t="s">
        <v>12</v>
      </c>
      <c r="C1393" t="s">
        <v>28</v>
      </c>
      <c r="D1393">
        <v>230</v>
      </c>
      <c r="E1393">
        <v>50</v>
      </c>
      <c r="F1393" s="2">
        <v>318.35000000000002</v>
      </c>
      <c r="G1393" t="s">
        <v>32</v>
      </c>
      <c r="H1393" s="1">
        <v>45554</v>
      </c>
      <c r="I1393" s="1">
        <v>45561</v>
      </c>
      <c r="J1393" t="s">
        <v>38</v>
      </c>
      <c r="K1393" s="8">
        <f>Table2[[#This Row],[CurrentStock]]*Table2[[#This Row],[UnitPrice]]</f>
        <v>73220.5</v>
      </c>
      <c r="L1393" t="str">
        <f>IF(Table2[[#This Row],[CurrentStock]]&lt;=Table2[[#This Row],[ReorderLevel]], "Reorder Needed", "Okay")</f>
        <v>Okay</v>
      </c>
      <c r="M1393" t="str">
        <f>IF(Table2[[#This Row],[CurrentStock]]-Table2[[#This Row],[ReorderLevel]]&lt;0,Table2[[#This Row],[CurrentStock]]-Table2[[#This Row],[ReorderLevel]],"")</f>
        <v/>
      </c>
      <c r="N1393" t="str">
        <f>IF(Table2[[#This Row],[Stock Gap]]&lt;0, "Understock","Okay")</f>
        <v>Okay</v>
      </c>
      <c r="O1393" s="13" t="str">
        <f>IF(Table2[[#This Row],[Stock Gap]]&lt;0, "Yes", "No")</f>
        <v>No</v>
      </c>
      <c r="P1393" s="13" t="str">
        <f>IF(Table2[[#This Row],[CurrentStock]]&lt;Table2[[#This Row],[ReorderLevel]],"Reorder", "Okay")</f>
        <v>Okay</v>
      </c>
      <c r="Q1393" s="13" t="str">
        <f>IF(Table2[[#This Row],[CurrentStock]]&gt;Table2[[#This Row],[ReorderLevel]]*3, "Overstock", "Okay")</f>
        <v>Overstock</v>
      </c>
    </row>
    <row r="1394" spans="1:17" x14ac:dyDescent="0.35">
      <c r="A1394">
        <v>23189</v>
      </c>
      <c r="B1394" t="s">
        <v>18</v>
      </c>
      <c r="C1394" t="s">
        <v>27</v>
      </c>
      <c r="D1394">
        <v>23</v>
      </c>
      <c r="E1394">
        <v>150</v>
      </c>
      <c r="F1394" s="2">
        <v>384.63</v>
      </c>
      <c r="G1394" t="s">
        <v>34</v>
      </c>
      <c r="H1394" s="1">
        <v>45473</v>
      </c>
      <c r="I1394" s="1">
        <v>45491</v>
      </c>
      <c r="J1394" t="s">
        <v>38</v>
      </c>
      <c r="K1394" s="8">
        <f>Table2[[#This Row],[CurrentStock]]*Table2[[#This Row],[UnitPrice]]</f>
        <v>8846.49</v>
      </c>
      <c r="L1394" t="str">
        <f>IF(Table2[[#This Row],[CurrentStock]]&lt;=Table2[[#This Row],[ReorderLevel]], "Reorder Needed", "Okay")</f>
        <v>Reorder Needed</v>
      </c>
      <c r="M1394" s="7">
        <f>IF(Table2[[#This Row],[CurrentStock]]-Table2[[#This Row],[ReorderLevel]]&lt;0,Table2[[#This Row],[CurrentStock]]-Table2[[#This Row],[ReorderLevel]],"")</f>
        <v>-127</v>
      </c>
      <c r="N1394" t="str">
        <f>IF(Table2[[#This Row],[Stock Gap]]&lt;0, "Understock","Okay")</f>
        <v>Understock</v>
      </c>
      <c r="O1394" s="13" t="str">
        <f>IF(Table2[[#This Row],[Stock Gap]]&lt;0, "Yes", "No")</f>
        <v>Yes</v>
      </c>
      <c r="P1394" s="13" t="str">
        <f>IF(Table2[[#This Row],[CurrentStock]]&lt;Table2[[#This Row],[ReorderLevel]],"Reorder", "Okay")</f>
        <v>Reorder</v>
      </c>
      <c r="Q1394" s="13" t="str">
        <f>IF(Table2[[#This Row],[CurrentStock]]&gt;Table2[[#This Row],[ReorderLevel]]*3, "Overstock", "Okay")</f>
        <v>Okay</v>
      </c>
    </row>
    <row r="1395" spans="1:17" x14ac:dyDescent="0.35">
      <c r="A1395">
        <v>78731</v>
      </c>
      <c r="B1395" t="s">
        <v>21</v>
      </c>
      <c r="C1395" t="s">
        <v>26</v>
      </c>
      <c r="D1395">
        <v>445</v>
      </c>
      <c r="E1395">
        <v>20</v>
      </c>
      <c r="F1395" s="2">
        <v>326.87</v>
      </c>
      <c r="G1395" t="s">
        <v>33</v>
      </c>
      <c r="H1395" s="1">
        <v>45330</v>
      </c>
      <c r="I1395" s="1">
        <v>45366</v>
      </c>
      <c r="J1395" t="s">
        <v>36</v>
      </c>
      <c r="K1395" s="8">
        <f>Table2[[#This Row],[CurrentStock]]*Table2[[#This Row],[UnitPrice]]</f>
        <v>145457.15</v>
      </c>
      <c r="L1395" t="str">
        <f>IF(Table2[[#This Row],[CurrentStock]]&lt;=Table2[[#This Row],[ReorderLevel]], "Reorder Needed", "Okay")</f>
        <v>Okay</v>
      </c>
      <c r="M1395" t="str">
        <f>IF(Table2[[#This Row],[CurrentStock]]-Table2[[#This Row],[ReorderLevel]]&lt;0,Table2[[#This Row],[CurrentStock]]-Table2[[#This Row],[ReorderLevel]],"")</f>
        <v/>
      </c>
      <c r="N1395" t="str">
        <f>IF(Table2[[#This Row],[Stock Gap]]&lt;0, "Understock","Okay")</f>
        <v>Okay</v>
      </c>
      <c r="O1395" s="13" t="str">
        <f>IF(Table2[[#This Row],[Stock Gap]]&lt;0, "Yes", "No")</f>
        <v>No</v>
      </c>
      <c r="P1395" s="13" t="str">
        <f>IF(Table2[[#This Row],[CurrentStock]]&lt;Table2[[#This Row],[ReorderLevel]],"Reorder", "Okay")</f>
        <v>Okay</v>
      </c>
      <c r="Q1395" s="13" t="str">
        <f>IF(Table2[[#This Row],[CurrentStock]]&gt;Table2[[#This Row],[ReorderLevel]]*3, "Overstock", "Okay")</f>
        <v>Overstock</v>
      </c>
    </row>
    <row r="1396" spans="1:17" x14ac:dyDescent="0.35">
      <c r="A1396">
        <v>92641</v>
      </c>
      <c r="B1396" t="s">
        <v>14</v>
      </c>
      <c r="C1396" t="s">
        <v>28</v>
      </c>
      <c r="D1396">
        <v>179</v>
      </c>
      <c r="E1396">
        <v>20</v>
      </c>
      <c r="F1396" s="2">
        <v>211.05</v>
      </c>
      <c r="G1396" t="s">
        <v>33</v>
      </c>
      <c r="H1396" s="1">
        <v>45564</v>
      </c>
      <c r="I1396" s="1">
        <v>45585</v>
      </c>
      <c r="J1396" t="s">
        <v>37</v>
      </c>
      <c r="K1396" s="8">
        <f>Table2[[#This Row],[CurrentStock]]*Table2[[#This Row],[UnitPrice]]</f>
        <v>37777.950000000004</v>
      </c>
      <c r="L1396" t="str">
        <f>IF(Table2[[#This Row],[CurrentStock]]&lt;=Table2[[#This Row],[ReorderLevel]], "Reorder Needed", "Okay")</f>
        <v>Okay</v>
      </c>
      <c r="M1396" t="str">
        <f>IF(Table2[[#This Row],[CurrentStock]]-Table2[[#This Row],[ReorderLevel]]&lt;0,Table2[[#This Row],[CurrentStock]]-Table2[[#This Row],[ReorderLevel]],"")</f>
        <v/>
      </c>
      <c r="N1396" t="str">
        <f>IF(Table2[[#This Row],[Stock Gap]]&lt;0, "Understock","Okay")</f>
        <v>Okay</v>
      </c>
      <c r="O1396" s="13" t="str">
        <f>IF(Table2[[#This Row],[Stock Gap]]&lt;0, "Yes", "No")</f>
        <v>No</v>
      </c>
      <c r="P1396" s="13" t="str">
        <f>IF(Table2[[#This Row],[CurrentStock]]&lt;Table2[[#This Row],[ReorderLevel]],"Reorder", "Okay")</f>
        <v>Okay</v>
      </c>
      <c r="Q1396" s="13" t="str">
        <f>IF(Table2[[#This Row],[CurrentStock]]&gt;Table2[[#This Row],[ReorderLevel]]*3, "Overstock", "Okay")</f>
        <v>Overstock</v>
      </c>
    </row>
    <row r="1397" spans="1:17" x14ac:dyDescent="0.35">
      <c r="A1397">
        <v>43262</v>
      </c>
      <c r="B1397" t="s">
        <v>23</v>
      </c>
      <c r="C1397" t="s">
        <v>30</v>
      </c>
      <c r="D1397">
        <v>406</v>
      </c>
      <c r="E1397">
        <v>20</v>
      </c>
      <c r="F1397" s="2">
        <v>109.59</v>
      </c>
      <c r="G1397" t="s">
        <v>33</v>
      </c>
      <c r="H1397" s="1">
        <v>45439</v>
      </c>
      <c r="I1397" s="1">
        <v>45465</v>
      </c>
      <c r="J1397" t="s">
        <v>37</v>
      </c>
      <c r="K1397" s="8">
        <f>Table2[[#This Row],[CurrentStock]]*Table2[[#This Row],[UnitPrice]]</f>
        <v>44493.54</v>
      </c>
      <c r="L1397" t="str">
        <f>IF(Table2[[#This Row],[CurrentStock]]&lt;=Table2[[#This Row],[ReorderLevel]], "Reorder Needed", "Okay")</f>
        <v>Okay</v>
      </c>
      <c r="M1397" t="str">
        <f>IF(Table2[[#This Row],[CurrentStock]]-Table2[[#This Row],[ReorderLevel]]&lt;0,Table2[[#This Row],[CurrentStock]]-Table2[[#This Row],[ReorderLevel]],"")</f>
        <v/>
      </c>
      <c r="N1397" t="str">
        <f>IF(Table2[[#This Row],[Stock Gap]]&lt;0, "Understock","Okay")</f>
        <v>Okay</v>
      </c>
      <c r="O1397" s="13" t="str">
        <f>IF(Table2[[#This Row],[Stock Gap]]&lt;0, "Yes", "No")</f>
        <v>No</v>
      </c>
      <c r="P1397" s="13" t="str">
        <f>IF(Table2[[#This Row],[CurrentStock]]&lt;Table2[[#This Row],[ReorderLevel]],"Reorder", "Okay")</f>
        <v>Okay</v>
      </c>
      <c r="Q1397" s="13" t="str">
        <f>IF(Table2[[#This Row],[CurrentStock]]&gt;Table2[[#This Row],[ReorderLevel]]*3, "Overstock", "Okay")</f>
        <v>Overstock</v>
      </c>
    </row>
    <row r="1398" spans="1:17" x14ac:dyDescent="0.35">
      <c r="A1398">
        <v>31725</v>
      </c>
      <c r="B1398" t="s">
        <v>18</v>
      </c>
      <c r="C1398" t="s">
        <v>27</v>
      </c>
      <c r="D1398">
        <v>66</v>
      </c>
      <c r="E1398">
        <v>30</v>
      </c>
      <c r="F1398" s="2">
        <v>87.97</v>
      </c>
      <c r="G1398" t="s">
        <v>31</v>
      </c>
      <c r="H1398" s="1">
        <v>45372</v>
      </c>
      <c r="I1398" s="1">
        <v>45395</v>
      </c>
      <c r="J1398" t="s">
        <v>36</v>
      </c>
      <c r="K1398" s="8">
        <f>Table2[[#This Row],[CurrentStock]]*Table2[[#This Row],[UnitPrice]]</f>
        <v>5806.0199999999995</v>
      </c>
      <c r="L1398" t="str">
        <f>IF(Table2[[#This Row],[CurrentStock]]&lt;=Table2[[#This Row],[ReorderLevel]], "Reorder Needed", "Okay")</f>
        <v>Okay</v>
      </c>
      <c r="M1398" t="str">
        <f>IF(Table2[[#This Row],[CurrentStock]]-Table2[[#This Row],[ReorderLevel]]&lt;0,Table2[[#This Row],[CurrentStock]]-Table2[[#This Row],[ReorderLevel]],"")</f>
        <v/>
      </c>
      <c r="N1398" t="str">
        <f>IF(Table2[[#This Row],[Stock Gap]]&lt;0, "Understock","Okay")</f>
        <v>Okay</v>
      </c>
      <c r="O1398" s="13" t="str">
        <f>IF(Table2[[#This Row],[Stock Gap]]&lt;0, "Yes", "No")</f>
        <v>No</v>
      </c>
      <c r="P1398" s="13" t="str">
        <f>IF(Table2[[#This Row],[CurrentStock]]&lt;Table2[[#This Row],[ReorderLevel]],"Reorder", "Okay")</f>
        <v>Okay</v>
      </c>
      <c r="Q1398" s="13" t="str">
        <f>IF(Table2[[#This Row],[CurrentStock]]&gt;Table2[[#This Row],[ReorderLevel]]*3, "Overstock", "Okay")</f>
        <v>Okay</v>
      </c>
    </row>
    <row r="1399" spans="1:17" x14ac:dyDescent="0.35">
      <c r="A1399">
        <v>23338</v>
      </c>
      <c r="B1399" t="s">
        <v>24</v>
      </c>
      <c r="C1399" t="s">
        <v>30</v>
      </c>
      <c r="D1399">
        <v>240</v>
      </c>
      <c r="E1399">
        <v>30</v>
      </c>
      <c r="F1399" s="2">
        <v>374.77</v>
      </c>
      <c r="G1399" t="s">
        <v>32</v>
      </c>
      <c r="H1399" s="1">
        <v>45568</v>
      </c>
      <c r="I1399" s="1">
        <v>45600</v>
      </c>
      <c r="J1399" t="s">
        <v>36</v>
      </c>
      <c r="K1399" s="8">
        <f>Table2[[#This Row],[CurrentStock]]*Table2[[#This Row],[UnitPrice]]</f>
        <v>89944.799999999988</v>
      </c>
      <c r="L1399" t="str">
        <f>IF(Table2[[#This Row],[CurrentStock]]&lt;=Table2[[#This Row],[ReorderLevel]], "Reorder Needed", "Okay")</f>
        <v>Okay</v>
      </c>
      <c r="M1399" t="str">
        <f>IF(Table2[[#This Row],[CurrentStock]]-Table2[[#This Row],[ReorderLevel]]&lt;0,Table2[[#This Row],[CurrentStock]]-Table2[[#This Row],[ReorderLevel]],"")</f>
        <v/>
      </c>
      <c r="N1399" t="str">
        <f>IF(Table2[[#This Row],[Stock Gap]]&lt;0, "Understock","Okay")</f>
        <v>Okay</v>
      </c>
      <c r="O1399" s="13" t="str">
        <f>IF(Table2[[#This Row],[Stock Gap]]&lt;0, "Yes", "No")</f>
        <v>No</v>
      </c>
      <c r="P1399" s="13" t="str">
        <f>IF(Table2[[#This Row],[CurrentStock]]&lt;Table2[[#This Row],[ReorderLevel]],"Reorder", "Okay")</f>
        <v>Okay</v>
      </c>
      <c r="Q1399" s="13" t="str">
        <f>IF(Table2[[#This Row],[CurrentStock]]&gt;Table2[[#This Row],[ReorderLevel]]*3, "Overstock", "Okay")</f>
        <v>Overstock</v>
      </c>
    </row>
    <row r="1400" spans="1:17" x14ac:dyDescent="0.35">
      <c r="A1400">
        <v>15349</v>
      </c>
      <c r="B1400" t="s">
        <v>12</v>
      </c>
      <c r="C1400" t="s">
        <v>28</v>
      </c>
      <c r="D1400">
        <v>238</v>
      </c>
      <c r="E1400">
        <v>80</v>
      </c>
      <c r="F1400" s="2">
        <v>77.02</v>
      </c>
      <c r="G1400" t="s">
        <v>34</v>
      </c>
      <c r="H1400" s="1">
        <v>45485</v>
      </c>
      <c r="I1400" s="1">
        <v>45503</v>
      </c>
      <c r="J1400" t="s">
        <v>37</v>
      </c>
      <c r="K1400" s="8">
        <f>Table2[[#This Row],[CurrentStock]]*Table2[[#This Row],[UnitPrice]]</f>
        <v>18330.759999999998</v>
      </c>
      <c r="L1400" t="str">
        <f>IF(Table2[[#This Row],[CurrentStock]]&lt;=Table2[[#This Row],[ReorderLevel]], "Reorder Needed", "Okay")</f>
        <v>Okay</v>
      </c>
      <c r="M1400" t="str">
        <f>IF(Table2[[#This Row],[CurrentStock]]-Table2[[#This Row],[ReorderLevel]]&lt;0,Table2[[#This Row],[CurrentStock]]-Table2[[#This Row],[ReorderLevel]],"")</f>
        <v/>
      </c>
      <c r="N1400" t="str">
        <f>IF(Table2[[#This Row],[Stock Gap]]&lt;0, "Understock","Okay")</f>
        <v>Okay</v>
      </c>
      <c r="O1400" s="13" t="str">
        <f>IF(Table2[[#This Row],[Stock Gap]]&lt;0, "Yes", "No")</f>
        <v>No</v>
      </c>
      <c r="P1400" s="13" t="str">
        <f>IF(Table2[[#This Row],[CurrentStock]]&lt;Table2[[#This Row],[ReorderLevel]],"Reorder", "Okay")</f>
        <v>Okay</v>
      </c>
      <c r="Q1400" s="13" t="str">
        <f>IF(Table2[[#This Row],[CurrentStock]]&gt;Table2[[#This Row],[ReorderLevel]]*3, "Overstock", "Okay")</f>
        <v>Okay</v>
      </c>
    </row>
    <row r="1401" spans="1:17" x14ac:dyDescent="0.35">
      <c r="A1401">
        <v>67427</v>
      </c>
      <c r="B1401" t="s">
        <v>23</v>
      </c>
      <c r="C1401" t="s">
        <v>30</v>
      </c>
      <c r="D1401">
        <v>374</v>
      </c>
      <c r="E1401">
        <v>50</v>
      </c>
      <c r="F1401" s="2">
        <v>66.040000000000006</v>
      </c>
      <c r="G1401" t="s">
        <v>32</v>
      </c>
      <c r="H1401" s="1">
        <v>45551</v>
      </c>
      <c r="I1401" s="1">
        <v>45585</v>
      </c>
      <c r="J1401" t="s">
        <v>36</v>
      </c>
      <c r="K1401" s="8">
        <f>Table2[[#This Row],[CurrentStock]]*Table2[[#This Row],[UnitPrice]]</f>
        <v>24698.960000000003</v>
      </c>
      <c r="L1401" t="str">
        <f>IF(Table2[[#This Row],[CurrentStock]]&lt;=Table2[[#This Row],[ReorderLevel]], "Reorder Needed", "Okay")</f>
        <v>Okay</v>
      </c>
      <c r="M1401" t="str">
        <f>IF(Table2[[#This Row],[CurrentStock]]-Table2[[#This Row],[ReorderLevel]]&lt;0,Table2[[#This Row],[CurrentStock]]-Table2[[#This Row],[ReorderLevel]],"")</f>
        <v/>
      </c>
      <c r="N1401" t="str">
        <f>IF(Table2[[#This Row],[Stock Gap]]&lt;0, "Understock","Okay")</f>
        <v>Okay</v>
      </c>
      <c r="O1401" s="13" t="str">
        <f>IF(Table2[[#This Row],[Stock Gap]]&lt;0, "Yes", "No")</f>
        <v>No</v>
      </c>
      <c r="P1401" s="13" t="str">
        <f>IF(Table2[[#This Row],[CurrentStock]]&lt;Table2[[#This Row],[ReorderLevel]],"Reorder", "Okay")</f>
        <v>Okay</v>
      </c>
      <c r="Q1401" s="13" t="str">
        <f>IF(Table2[[#This Row],[CurrentStock]]&gt;Table2[[#This Row],[ReorderLevel]]*3, "Overstock", "Okay")</f>
        <v>Overstock</v>
      </c>
    </row>
    <row r="1402" spans="1:17" x14ac:dyDescent="0.35">
      <c r="A1402">
        <v>52103</v>
      </c>
      <c r="B1402" t="s">
        <v>16</v>
      </c>
      <c r="C1402" t="s">
        <v>29</v>
      </c>
      <c r="D1402">
        <v>396</v>
      </c>
      <c r="E1402">
        <v>80</v>
      </c>
      <c r="F1402" s="2">
        <v>40.22</v>
      </c>
      <c r="G1402" t="s">
        <v>34</v>
      </c>
      <c r="H1402" s="1">
        <v>45469</v>
      </c>
      <c r="I1402" s="1">
        <v>45500</v>
      </c>
      <c r="J1402" t="s">
        <v>36</v>
      </c>
      <c r="K1402" s="8">
        <f>Table2[[#This Row],[CurrentStock]]*Table2[[#This Row],[UnitPrice]]</f>
        <v>15927.119999999999</v>
      </c>
      <c r="L1402" t="str">
        <f>IF(Table2[[#This Row],[CurrentStock]]&lt;=Table2[[#This Row],[ReorderLevel]], "Reorder Needed", "Okay")</f>
        <v>Okay</v>
      </c>
      <c r="M1402" t="str">
        <f>IF(Table2[[#This Row],[CurrentStock]]-Table2[[#This Row],[ReorderLevel]]&lt;0,Table2[[#This Row],[CurrentStock]]-Table2[[#This Row],[ReorderLevel]],"")</f>
        <v/>
      </c>
      <c r="N1402" t="str">
        <f>IF(Table2[[#This Row],[Stock Gap]]&lt;0, "Understock","Okay")</f>
        <v>Okay</v>
      </c>
      <c r="O1402" s="13" t="str">
        <f>IF(Table2[[#This Row],[Stock Gap]]&lt;0, "Yes", "No")</f>
        <v>No</v>
      </c>
      <c r="P1402" s="13" t="str">
        <f>IF(Table2[[#This Row],[CurrentStock]]&lt;Table2[[#This Row],[ReorderLevel]],"Reorder", "Okay")</f>
        <v>Okay</v>
      </c>
      <c r="Q1402" s="13" t="str">
        <f>IF(Table2[[#This Row],[CurrentStock]]&gt;Table2[[#This Row],[ReorderLevel]]*3, "Overstock", "Okay")</f>
        <v>Overstock</v>
      </c>
    </row>
    <row r="1403" spans="1:17" x14ac:dyDescent="0.35">
      <c r="A1403">
        <v>91991</v>
      </c>
      <c r="B1403" t="s">
        <v>24</v>
      </c>
      <c r="C1403" t="s">
        <v>30</v>
      </c>
      <c r="D1403">
        <v>270</v>
      </c>
      <c r="E1403">
        <v>80</v>
      </c>
      <c r="F1403" s="2">
        <v>143.71</v>
      </c>
      <c r="G1403" t="s">
        <v>33</v>
      </c>
      <c r="H1403" s="1">
        <v>45343</v>
      </c>
      <c r="I1403" s="1">
        <v>45371</v>
      </c>
      <c r="J1403" t="s">
        <v>36</v>
      </c>
      <c r="K1403" s="8">
        <f>Table2[[#This Row],[CurrentStock]]*Table2[[#This Row],[UnitPrice]]</f>
        <v>38801.700000000004</v>
      </c>
      <c r="L1403" t="str">
        <f>IF(Table2[[#This Row],[CurrentStock]]&lt;=Table2[[#This Row],[ReorderLevel]], "Reorder Needed", "Okay")</f>
        <v>Okay</v>
      </c>
      <c r="M1403" t="str">
        <f>IF(Table2[[#This Row],[CurrentStock]]-Table2[[#This Row],[ReorderLevel]]&lt;0,Table2[[#This Row],[CurrentStock]]-Table2[[#This Row],[ReorderLevel]],"")</f>
        <v/>
      </c>
      <c r="N1403" t="str">
        <f>IF(Table2[[#This Row],[Stock Gap]]&lt;0, "Understock","Okay")</f>
        <v>Okay</v>
      </c>
      <c r="O1403" s="13" t="str">
        <f>IF(Table2[[#This Row],[Stock Gap]]&lt;0, "Yes", "No")</f>
        <v>No</v>
      </c>
      <c r="P1403" s="13" t="str">
        <f>IF(Table2[[#This Row],[CurrentStock]]&lt;Table2[[#This Row],[ReorderLevel]],"Reorder", "Okay")</f>
        <v>Okay</v>
      </c>
      <c r="Q1403" s="13" t="str">
        <f>IF(Table2[[#This Row],[CurrentStock]]&gt;Table2[[#This Row],[ReorderLevel]]*3, "Overstock", "Okay")</f>
        <v>Overstock</v>
      </c>
    </row>
    <row r="1404" spans="1:17" x14ac:dyDescent="0.35">
      <c r="A1404">
        <v>23107</v>
      </c>
      <c r="B1404" t="s">
        <v>13</v>
      </c>
      <c r="C1404" t="s">
        <v>26</v>
      </c>
      <c r="D1404">
        <v>399</v>
      </c>
      <c r="E1404">
        <v>40</v>
      </c>
      <c r="F1404" s="2">
        <v>451.19</v>
      </c>
      <c r="G1404" t="s">
        <v>35</v>
      </c>
      <c r="H1404" s="1">
        <v>45540</v>
      </c>
      <c r="I1404" s="1">
        <v>45579</v>
      </c>
      <c r="J1404" t="s">
        <v>37</v>
      </c>
      <c r="K1404" s="8">
        <f>Table2[[#This Row],[CurrentStock]]*Table2[[#This Row],[UnitPrice]]</f>
        <v>180024.81</v>
      </c>
      <c r="L1404" t="str">
        <f>IF(Table2[[#This Row],[CurrentStock]]&lt;=Table2[[#This Row],[ReorderLevel]], "Reorder Needed", "Okay")</f>
        <v>Okay</v>
      </c>
      <c r="M1404" t="str">
        <f>IF(Table2[[#This Row],[CurrentStock]]-Table2[[#This Row],[ReorderLevel]]&lt;0,Table2[[#This Row],[CurrentStock]]-Table2[[#This Row],[ReorderLevel]],"")</f>
        <v/>
      </c>
      <c r="N1404" t="str">
        <f>IF(Table2[[#This Row],[Stock Gap]]&lt;0, "Understock","Okay")</f>
        <v>Okay</v>
      </c>
      <c r="O1404" s="13" t="str">
        <f>IF(Table2[[#This Row],[Stock Gap]]&lt;0, "Yes", "No")</f>
        <v>No</v>
      </c>
      <c r="P1404" s="13" t="str">
        <f>IF(Table2[[#This Row],[CurrentStock]]&lt;Table2[[#This Row],[ReorderLevel]],"Reorder", "Okay")</f>
        <v>Okay</v>
      </c>
      <c r="Q1404" s="13" t="str">
        <f>IF(Table2[[#This Row],[CurrentStock]]&gt;Table2[[#This Row],[ReorderLevel]]*3, "Overstock", "Okay")</f>
        <v>Overstock</v>
      </c>
    </row>
    <row r="1405" spans="1:17" x14ac:dyDescent="0.35">
      <c r="A1405">
        <v>89232</v>
      </c>
      <c r="B1405" t="s">
        <v>24</v>
      </c>
      <c r="C1405" t="s">
        <v>30</v>
      </c>
      <c r="D1405">
        <v>47</v>
      </c>
      <c r="E1405">
        <v>100</v>
      </c>
      <c r="F1405" s="2">
        <v>458.16</v>
      </c>
      <c r="G1405" t="s">
        <v>32</v>
      </c>
      <c r="H1405" s="1">
        <v>45468</v>
      </c>
      <c r="I1405" s="1">
        <v>45487</v>
      </c>
      <c r="J1405" t="s">
        <v>38</v>
      </c>
      <c r="K1405" s="8">
        <f>Table2[[#This Row],[CurrentStock]]*Table2[[#This Row],[UnitPrice]]</f>
        <v>21533.52</v>
      </c>
      <c r="L1405" t="str">
        <f>IF(Table2[[#This Row],[CurrentStock]]&lt;=Table2[[#This Row],[ReorderLevel]], "Reorder Needed", "Okay")</f>
        <v>Reorder Needed</v>
      </c>
      <c r="M1405" s="7">
        <f>IF(Table2[[#This Row],[CurrentStock]]-Table2[[#This Row],[ReorderLevel]]&lt;0,Table2[[#This Row],[CurrentStock]]-Table2[[#This Row],[ReorderLevel]],"")</f>
        <v>-53</v>
      </c>
      <c r="N1405" t="str">
        <f>IF(Table2[[#This Row],[Stock Gap]]&lt;0, "Understock","Okay")</f>
        <v>Understock</v>
      </c>
      <c r="O1405" s="13" t="str">
        <f>IF(Table2[[#This Row],[Stock Gap]]&lt;0, "Yes", "No")</f>
        <v>Yes</v>
      </c>
      <c r="P1405" s="13" t="str">
        <f>IF(Table2[[#This Row],[CurrentStock]]&lt;Table2[[#This Row],[ReorderLevel]],"Reorder", "Okay")</f>
        <v>Reorder</v>
      </c>
      <c r="Q1405" s="13" t="str">
        <f>IF(Table2[[#This Row],[CurrentStock]]&gt;Table2[[#This Row],[ReorderLevel]]*3, "Overstock", "Okay")</f>
        <v>Okay</v>
      </c>
    </row>
    <row r="1406" spans="1:17" x14ac:dyDescent="0.35">
      <c r="A1406">
        <v>32222</v>
      </c>
      <c r="B1406" t="s">
        <v>11</v>
      </c>
      <c r="C1406" t="s">
        <v>27</v>
      </c>
      <c r="D1406">
        <v>255</v>
      </c>
      <c r="E1406">
        <v>40</v>
      </c>
      <c r="F1406" s="2">
        <v>117.61</v>
      </c>
      <c r="G1406" t="s">
        <v>31</v>
      </c>
      <c r="H1406" s="1">
        <v>45489</v>
      </c>
      <c r="I1406" s="1">
        <v>45523</v>
      </c>
      <c r="J1406" t="s">
        <v>36</v>
      </c>
      <c r="K1406" s="8">
        <f>Table2[[#This Row],[CurrentStock]]*Table2[[#This Row],[UnitPrice]]</f>
        <v>29990.55</v>
      </c>
      <c r="L1406" t="str">
        <f>IF(Table2[[#This Row],[CurrentStock]]&lt;=Table2[[#This Row],[ReorderLevel]], "Reorder Needed", "Okay")</f>
        <v>Okay</v>
      </c>
      <c r="M1406" t="str">
        <f>IF(Table2[[#This Row],[CurrentStock]]-Table2[[#This Row],[ReorderLevel]]&lt;0,Table2[[#This Row],[CurrentStock]]-Table2[[#This Row],[ReorderLevel]],"")</f>
        <v/>
      </c>
      <c r="N1406" t="str">
        <f>IF(Table2[[#This Row],[Stock Gap]]&lt;0, "Understock","Okay")</f>
        <v>Okay</v>
      </c>
      <c r="O1406" s="13" t="str">
        <f>IF(Table2[[#This Row],[Stock Gap]]&lt;0, "Yes", "No")</f>
        <v>No</v>
      </c>
      <c r="P1406" s="13" t="str">
        <f>IF(Table2[[#This Row],[CurrentStock]]&lt;Table2[[#This Row],[ReorderLevel]],"Reorder", "Okay")</f>
        <v>Okay</v>
      </c>
      <c r="Q1406" s="13" t="str">
        <f>IF(Table2[[#This Row],[CurrentStock]]&gt;Table2[[#This Row],[ReorderLevel]]*3, "Overstock", "Okay")</f>
        <v>Overstock</v>
      </c>
    </row>
    <row r="1407" spans="1:17" x14ac:dyDescent="0.35">
      <c r="A1407">
        <v>20223</v>
      </c>
      <c r="B1407" t="s">
        <v>24</v>
      </c>
      <c r="C1407" t="s">
        <v>30</v>
      </c>
      <c r="D1407">
        <v>377</v>
      </c>
      <c r="E1407">
        <v>40</v>
      </c>
      <c r="F1407" s="2">
        <v>315.19</v>
      </c>
      <c r="G1407" t="s">
        <v>32</v>
      </c>
      <c r="H1407" s="1">
        <v>45459</v>
      </c>
      <c r="I1407" s="1">
        <v>45465</v>
      </c>
      <c r="J1407" t="s">
        <v>36</v>
      </c>
      <c r="K1407" s="8">
        <f>Table2[[#This Row],[CurrentStock]]*Table2[[#This Row],[UnitPrice]]</f>
        <v>118826.63</v>
      </c>
      <c r="L1407" t="str">
        <f>IF(Table2[[#This Row],[CurrentStock]]&lt;=Table2[[#This Row],[ReorderLevel]], "Reorder Needed", "Okay")</f>
        <v>Okay</v>
      </c>
      <c r="M1407" t="str">
        <f>IF(Table2[[#This Row],[CurrentStock]]-Table2[[#This Row],[ReorderLevel]]&lt;0,Table2[[#This Row],[CurrentStock]]-Table2[[#This Row],[ReorderLevel]],"")</f>
        <v/>
      </c>
      <c r="N1407" t="str">
        <f>IF(Table2[[#This Row],[Stock Gap]]&lt;0, "Understock","Okay")</f>
        <v>Okay</v>
      </c>
      <c r="O1407" s="13" t="str">
        <f>IF(Table2[[#This Row],[Stock Gap]]&lt;0, "Yes", "No")</f>
        <v>No</v>
      </c>
      <c r="P1407" s="13" t="str">
        <f>IF(Table2[[#This Row],[CurrentStock]]&lt;Table2[[#This Row],[ReorderLevel]],"Reorder", "Okay")</f>
        <v>Okay</v>
      </c>
      <c r="Q1407" s="13" t="str">
        <f>IF(Table2[[#This Row],[CurrentStock]]&gt;Table2[[#This Row],[ReorderLevel]]*3, "Overstock", "Okay")</f>
        <v>Overstock</v>
      </c>
    </row>
    <row r="1408" spans="1:17" x14ac:dyDescent="0.35">
      <c r="A1408">
        <v>23672</v>
      </c>
      <c r="B1408" t="s">
        <v>21</v>
      </c>
      <c r="C1408" t="s">
        <v>26</v>
      </c>
      <c r="D1408">
        <v>306</v>
      </c>
      <c r="E1408">
        <v>150</v>
      </c>
      <c r="F1408" s="2">
        <v>437.98</v>
      </c>
      <c r="G1408" t="s">
        <v>35</v>
      </c>
      <c r="H1408" s="1">
        <v>45386</v>
      </c>
      <c r="I1408" s="1">
        <v>45415</v>
      </c>
      <c r="J1408" t="s">
        <v>38</v>
      </c>
      <c r="K1408" s="8">
        <f>Table2[[#This Row],[CurrentStock]]*Table2[[#This Row],[UnitPrice]]</f>
        <v>134021.88</v>
      </c>
      <c r="L1408" t="str">
        <f>IF(Table2[[#This Row],[CurrentStock]]&lt;=Table2[[#This Row],[ReorderLevel]], "Reorder Needed", "Okay")</f>
        <v>Okay</v>
      </c>
      <c r="M1408" t="str">
        <f>IF(Table2[[#This Row],[CurrentStock]]-Table2[[#This Row],[ReorderLevel]]&lt;0,Table2[[#This Row],[CurrentStock]]-Table2[[#This Row],[ReorderLevel]],"")</f>
        <v/>
      </c>
      <c r="N1408" t="str">
        <f>IF(Table2[[#This Row],[Stock Gap]]&lt;0, "Understock","Okay")</f>
        <v>Okay</v>
      </c>
      <c r="O1408" s="13" t="str">
        <f>IF(Table2[[#This Row],[Stock Gap]]&lt;0, "Yes", "No")</f>
        <v>No</v>
      </c>
      <c r="P1408" s="13" t="str">
        <f>IF(Table2[[#This Row],[CurrentStock]]&lt;Table2[[#This Row],[ReorderLevel]],"Reorder", "Okay")</f>
        <v>Okay</v>
      </c>
      <c r="Q1408" s="13" t="str">
        <f>IF(Table2[[#This Row],[CurrentStock]]&gt;Table2[[#This Row],[ReorderLevel]]*3, "Overstock", "Okay")</f>
        <v>Okay</v>
      </c>
    </row>
    <row r="1409" spans="1:17" x14ac:dyDescent="0.35">
      <c r="A1409">
        <v>97594</v>
      </c>
      <c r="B1409" t="s">
        <v>16</v>
      </c>
      <c r="C1409" t="s">
        <v>29</v>
      </c>
      <c r="D1409">
        <v>64</v>
      </c>
      <c r="E1409">
        <v>50</v>
      </c>
      <c r="F1409" s="2">
        <v>341.59</v>
      </c>
      <c r="G1409" t="s">
        <v>33</v>
      </c>
      <c r="H1409" s="1">
        <v>45595</v>
      </c>
      <c r="I1409" s="1">
        <v>45620</v>
      </c>
      <c r="J1409" t="s">
        <v>36</v>
      </c>
      <c r="K1409" s="8">
        <f>Table2[[#This Row],[CurrentStock]]*Table2[[#This Row],[UnitPrice]]</f>
        <v>21861.759999999998</v>
      </c>
      <c r="L1409" t="str">
        <f>IF(Table2[[#This Row],[CurrentStock]]&lt;=Table2[[#This Row],[ReorderLevel]], "Reorder Needed", "Okay")</f>
        <v>Okay</v>
      </c>
      <c r="M1409" t="str">
        <f>IF(Table2[[#This Row],[CurrentStock]]-Table2[[#This Row],[ReorderLevel]]&lt;0,Table2[[#This Row],[CurrentStock]]-Table2[[#This Row],[ReorderLevel]],"")</f>
        <v/>
      </c>
      <c r="N1409" t="str">
        <f>IF(Table2[[#This Row],[Stock Gap]]&lt;0, "Understock","Okay")</f>
        <v>Okay</v>
      </c>
      <c r="O1409" s="13" t="str">
        <f>IF(Table2[[#This Row],[Stock Gap]]&lt;0, "Yes", "No")</f>
        <v>No</v>
      </c>
      <c r="P1409" s="13" t="str">
        <f>IF(Table2[[#This Row],[CurrentStock]]&lt;Table2[[#This Row],[ReorderLevel]],"Reorder", "Okay")</f>
        <v>Okay</v>
      </c>
      <c r="Q1409" s="13" t="str">
        <f>IF(Table2[[#This Row],[CurrentStock]]&gt;Table2[[#This Row],[ReorderLevel]]*3, "Overstock", "Okay")</f>
        <v>Okay</v>
      </c>
    </row>
    <row r="1410" spans="1:17" x14ac:dyDescent="0.35">
      <c r="A1410">
        <v>41335</v>
      </c>
      <c r="B1410" t="s">
        <v>25</v>
      </c>
      <c r="C1410" t="s">
        <v>29</v>
      </c>
      <c r="D1410">
        <v>154</v>
      </c>
      <c r="E1410">
        <v>40</v>
      </c>
      <c r="F1410" s="2">
        <v>126.2</v>
      </c>
      <c r="G1410" t="s">
        <v>33</v>
      </c>
      <c r="H1410" s="1">
        <v>45597</v>
      </c>
      <c r="I1410" s="1">
        <v>45636</v>
      </c>
      <c r="J1410" t="s">
        <v>37</v>
      </c>
      <c r="K1410" s="8">
        <f>Table2[[#This Row],[CurrentStock]]*Table2[[#This Row],[UnitPrice]]</f>
        <v>19434.8</v>
      </c>
      <c r="L1410" t="str">
        <f>IF(Table2[[#This Row],[CurrentStock]]&lt;=Table2[[#This Row],[ReorderLevel]], "Reorder Needed", "Okay")</f>
        <v>Okay</v>
      </c>
      <c r="M1410" t="str">
        <f>IF(Table2[[#This Row],[CurrentStock]]-Table2[[#This Row],[ReorderLevel]]&lt;0,Table2[[#This Row],[CurrentStock]]-Table2[[#This Row],[ReorderLevel]],"")</f>
        <v/>
      </c>
      <c r="N1410" t="str">
        <f>IF(Table2[[#This Row],[Stock Gap]]&lt;0, "Understock","Okay")</f>
        <v>Okay</v>
      </c>
      <c r="O1410" s="13" t="str">
        <f>IF(Table2[[#This Row],[Stock Gap]]&lt;0, "Yes", "No")</f>
        <v>No</v>
      </c>
      <c r="P1410" s="13" t="str">
        <f>IF(Table2[[#This Row],[CurrentStock]]&lt;Table2[[#This Row],[ReorderLevel]],"Reorder", "Okay")</f>
        <v>Okay</v>
      </c>
      <c r="Q1410" s="13" t="str">
        <f>IF(Table2[[#This Row],[CurrentStock]]&gt;Table2[[#This Row],[ReorderLevel]]*3, "Overstock", "Okay")</f>
        <v>Overstock</v>
      </c>
    </row>
    <row r="1411" spans="1:17" x14ac:dyDescent="0.35">
      <c r="A1411">
        <v>47116</v>
      </c>
      <c r="B1411" t="s">
        <v>23</v>
      </c>
      <c r="C1411" t="s">
        <v>30</v>
      </c>
      <c r="D1411">
        <v>243</v>
      </c>
      <c r="E1411">
        <v>20</v>
      </c>
      <c r="F1411" s="2">
        <v>362.84</v>
      </c>
      <c r="G1411" t="s">
        <v>35</v>
      </c>
      <c r="H1411" s="1">
        <v>45627</v>
      </c>
      <c r="I1411" s="1">
        <v>45655</v>
      </c>
      <c r="J1411" t="s">
        <v>37</v>
      </c>
      <c r="K1411" s="8">
        <f>Table2[[#This Row],[CurrentStock]]*Table2[[#This Row],[UnitPrice]]</f>
        <v>88170.12</v>
      </c>
      <c r="L1411" t="str">
        <f>IF(Table2[[#This Row],[CurrentStock]]&lt;=Table2[[#This Row],[ReorderLevel]], "Reorder Needed", "Okay")</f>
        <v>Okay</v>
      </c>
      <c r="M1411" t="str">
        <f>IF(Table2[[#This Row],[CurrentStock]]-Table2[[#This Row],[ReorderLevel]]&lt;0,Table2[[#This Row],[CurrentStock]]-Table2[[#This Row],[ReorderLevel]],"")</f>
        <v/>
      </c>
      <c r="N1411" t="str">
        <f>IF(Table2[[#This Row],[Stock Gap]]&lt;0, "Understock","Okay")</f>
        <v>Okay</v>
      </c>
      <c r="O1411" s="13" t="str">
        <f>IF(Table2[[#This Row],[Stock Gap]]&lt;0, "Yes", "No")</f>
        <v>No</v>
      </c>
      <c r="P1411" s="13" t="str">
        <f>IF(Table2[[#This Row],[CurrentStock]]&lt;Table2[[#This Row],[ReorderLevel]],"Reorder", "Okay")</f>
        <v>Okay</v>
      </c>
      <c r="Q1411" s="13" t="str">
        <f>IF(Table2[[#This Row],[CurrentStock]]&gt;Table2[[#This Row],[ReorderLevel]]*3, "Overstock", "Okay")</f>
        <v>Overstock</v>
      </c>
    </row>
    <row r="1412" spans="1:17" x14ac:dyDescent="0.35">
      <c r="A1412">
        <v>93100</v>
      </c>
      <c r="B1412" t="s">
        <v>11</v>
      </c>
      <c r="C1412" t="s">
        <v>27</v>
      </c>
      <c r="D1412">
        <v>302</v>
      </c>
      <c r="E1412">
        <v>150</v>
      </c>
      <c r="F1412" s="2">
        <v>287.33999999999997</v>
      </c>
      <c r="G1412" t="s">
        <v>35</v>
      </c>
      <c r="H1412" s="1">
        <v>45368</v>
      </c>
      <c r="I1412" s="1">
        <v>45395</v>
      </c>
      <c r="J1412" t="s">
        <v>36</v>
      </c>
      <c r="K1412" s="8">
        <f>Table2[[#This Row],[CurrentStock]]*Table2[[#This Row],[UnitPrice]]</f>
        <v>86776.68</v>
      </c>
      <c r="L1412" t="str">
        <f>IF(Table2[[#This Row],[CurrentStock]]&lt;=Table2[[#This Row],[ReorderLevel]], "Reorder Needed", "Okay")</f>
        <v>Okay</v>
      </c>
      <c r="M1412" t="str">
        <f>IF(Table2[[#This Row],[CurrentStock]]-Table2[[#This Row],[ReorderLevel]]&lt;0,Table2[[#This Row],[CurrentStock]]-Table2[[#This Row],[ReorderLevel]],"")</f>
        <v/>
      </c>
      <c r="N1412" t="str">
        <f>IF(Table2[[#This Row],[Stock Gap]]&lt;0, "Understock","Okay")</f>
        <v>Okay</v>
      </c>
      <c r="O1412" s="13" t="str">
        <f>IF(Table2[[#This Row],[Stock Gap]]&lt;0, "Yes", "No")</f>
        <v>No</v>
      </c>
      <c r="P1412" s="13" t="str">
        <f>IF(Table2[[#This Row],[CurrentStock]]&lt;Table2[[#This Row],[ReorderLevel]],"Reorder", "Okay")</f>
        <v>Okay</v>
      </c>
      <c r="Q1412" s="13" t="str">
        <f>IF(Table2[[#This Row],[CurrentStock]]&gt;Table2[[#This Row],[ReorderLevel]]*3, "Overstock", "Okay")</f>
        <v>Okay</v>
      </c>
    </row>
    <row r="1413" spans="1:17" x14ac:dyDescent="0.35">
      <c r="A1413">
        <v>38004</v>
      </c>
      <c r="B1413" t="s">
        <v>9</v>
      </c>
      <c r="C1413" t="s">
        <v>26</v>
      </c>
      <c r="D1413">
        <v>28</v>
      </c>
      <c r="E1413">
        <v>30</v>
      </c>
      <c r="F1413" s="2">
        <v>149.33000000000001</v>
      </c>
      <c r="G1413" t="s">
        <v>35</v>
      </c>
      <c r="H1413" s="1">
        <v>45397</v>
      </c>
      <c r="I1413" s="1">
        <v>45404</v>
      </c>
      <c r="J1413" t="s">
        <v>36</v>
      </c>
      <c r="K1413" s="8">
        <f>Table2[[#This Row],[CurrentStock]]*Table2[[#This Row],[UnitPrice]]</f>
        <v>4181.2400000000007</v>
      </c>
      <c r="L1413" t="str">
        <f>IF(Table2[[#This Row],[CurrentStock]]&lt;=Table2[[#This Row],[ReorderLevel]], "Reorder Needed", "Okay")</f>
        <v>Reorder Needed</v>
      </c>
      <c r="M1413" s="7">
        <f>IF(Table2[[#This Row],[CurrentStock]]-Table2[[#This Row],[ReorderLevel]]&lt;0,Table2[[#This Row],[CurrentStock]]-Table2[[#This Row],[ReorderLevel]],"")</f>
        <v>-2</v>
      </c>
      <c r="N1413" t="str">
        <f>IF(Table2[[#This Row],[Stock Gap]]&lt;0, "Understock","Okay")</f>
        <v>Understock</v>
      </c>
      <c r="O1413" s="13" t="str">
        <f>IF(Table2[[#This Row],[Stock Gap]]&lt;0, "Yes", "No")</f>
        <v>Yes</v>
      </c>
      <c r="P1413" s="13" t="str">
        <f>IF(Table2[[#This Row],[CurrentStock]]&lt;Table2[[#This Row],[ReorderLevel]],"Reorder", "Okay")</f>
        <v>Reorder</v>
      </c>
      <c r="Q1413" s="13" t="str">
        <f>IF(Table2[[#This Row],[CurrentStock]]&gt;Table2[[#This Row],[ReorderLevel]]*3, "Overstock", "Okay")</f>
        <v>Okay</v>
      </c>
    </row>
    <row r="1414" spans="1:17" x14ac:dyDescent="0.35">
      <c r="A1414">
        <v>85955</v>
      </c>
      <c r="B1414" t="s">
        <v>25</v>
      </c>
      <c r="C1414" t="s">
        <v>29</v>
      </c>
      <c r="D1414">
        <v>1</v>
      </c>
      <c r="E1414">
        <v>20</v>
      </c>
      <c r="F1414" s="2">
        <v>337.7</v>
      </c>
      <c r="G1414" t="s">
        <v>35</v>
      </c>
      <c r="H1414" s="1">
        <v>45612</v>
      </c>
      <c r="I1414" s="1">
        <v>45636</v>
      </c>
      <c r="J1414" t="s">
        <v>36</v>
      </c>
      <c r="K1414" s="8">
        <f>Table2[[#This Row],[CurrentStock]]*Table2[[#This Row],[UnitPrice]]</f>
        <v>337.7</v>
      </c>
      <c r="L1414" t="str">
        <f>IF(Table2[[#This Row],[CurrentStock]]&lt;=Table2[[#This Row],[ReorderLevel]], "Reorder Needed", "Okay")</f>
        <v>Reorder Needed</v>
      </c>
      <c r="M1414" s="7">
        <f>IF(Table2[[#This Row],[CurrentStock]]-Table2[[#This Row],[ReorderLevel]]&lt;0,Table2[[#This Row],[CurrentStock]]-Table2[[#This Row],[ReorderLevel]],"")</f>
        <v>-19</v>
      </c>
      <c r="N1414" t="str">
        <f>IF(Table2[[#This Row],[Stock Gap]]&lt;0, "Understock","Okay")</f>
        <v>Understock</v>
      </c>
      <c r="O1414" s="13" t="str">
        <f>IF(Table2[[#This Row],[Stock Gap]]&lt;0, "Yes", "No")</f>
        <v>Yes</v>
      </c>
      <c r="P1414" s="13" t="str">
        <f>IF(Table2[[#This Row],[CurrentStock]]&lt;Table2[[#This Row],[ReorderLevel]],"Reorder", "Okay")</f>
        <v>Reorder</v>
      </c>
      <c r="Q1414" s="13" t="str">
        <f>IF(Table2[[#This Row],[CurrentStock]]&gt;Table2[[#This Row],[ReorderLevel]]*3, "Overstock", "Okay")</f>
        <v>Okay</v>
      </c>
    </row>
    <row r="1415" spans="1:17" x14ac:dyDescent="0.35">
      <c r="A1415">
        <v>14860</v>
      </c>
      <c r="B1415" t="s">
        <v>12</v>
      </c>
      <c r="C1415" t="s">
        <v>28</v>
      </c>
      <c r="D1415">
        <v>122</v>
      </c>
      <c r="E1415">
        <v>40</v>
      </c>
      <c r="F1415" s="2">
        <v>400.79</v>
      </c>
      <c r="G1415" t="s">
        <v>32</v>
      </c>
      <c r="H1415" s="1">
        <v>45592</v>
      </c>
      <c r="I1415" s="1">
        <v>45615</v>
      </c>
      <c r="J1415" t="s">
        <v>36</v>
      </c>
      <c r="K1415" s="8">
        <f>Table2[[#This Row],[CurrentStock]]*Table2[[#This Row],[UnitPrice]]</f>
        <v>48896.380000000005</v>
      </c>
      <c r="L1415" t="str">
        <f>IF(Table2[[#This Row],[CurrentStock]]&lt;=Table2[[#This Row],[ReorderLevel]], "Reorder Needed", "Okay")</f>
        <v>Okay</v>
      </c>
      <c r="M1415" t="str">
        <f>IF(Table2[[#This Row],[CurrentStock]]-Table2[[#This Row],[ReorderLevel]]&lt;0,Table2[[#This Row],[CurrentStock]]-Table2[[#This Row],[ReorderLevel]],"")</f>
        <v/>
      </c>
      <c r="N1415" t="str">
        <f>IF(Table2[[#This Row],[Stock Gap]]&lt;0, "Understock","Okay")</f>
        <v>Okay</v>
      </c>
      <c r="O1415" s="13" t="str">
        <f>IF(Table2[[#This Row],[Stock Gap]]&lt;0, "Yes", "No")</f>
        <v>No</v>
      </c>
      <c r="P1415" s="13" t="str">
        <f>IF(Table2[[#This Row],[CurrentStock]]&lt;Table2[[#This Row],[ReorderLevel]],"Reorder", "Okay")</f>
        <v>Okay</v>
      </c>
      <c r="Q1415" s="13" t="str">
        <f>IF(Table2[[#This Row],[CurrentStock]]&gt;Table2[[#This Row],[ReorderLevel]]*3, "Overstock", "Okay")</f>
        <v>Overstock</v>
      </c>
    </row>
    <row r="1416" spans="1:17" x14ac:dyDescent="0.35">
      <c r="A1416">
        <v>54293</v>
      </c>
      <c r="B1416" t="s">
        <v>18</v>
      </c>
      <c r="C1416" t="s">
        <v>27</v>
      </c>
      <c r="D1416">
        <v>390</v>
      </c>
      <c r="E1416">
        <v>50</v>
      </c>
      <c r="F1416" s="2">
        <v>140.49</v>
      </c>
      <c r="G1416" t="s">
        <v>34</v>
      </c>
      <c r="H1416" s="1">
        <v>45591</v>
      </c>
      <c r="I1416" s="1">
        <v>45614</v>
      </c>
      <c r="J1416" t="s">
        <v>37</v>
      </c>
      <c r="K1416" s="8">
        <f>Table2[[#This Row],[CurrentStock]]*Table2[[#This Row],[UnitPrice]]</f>
        <v>54791.100000000006</v>
      </c>
      <c r="L1416" t="str">
        <f>IF(Table2[[#This Row],[CurrentStock]]&lt;=Table2[[#This Row],[ReorderLevel]], "Reorder Needed", "Okay")</f>
        <v>Okay</v>
      </c>
      <c r="M1416" t="str">
        <f>IF(Table2[[#This Row],[CurrentStock]]-Table2[[#This Row],[ReorderLevel]]&lt;0,Table2[[#This Row],[CurrentStock]]-Table2[[#This Row],[ReorderLevel]],"")</f>
        <v/>
      </c>
      <c r="N1416" t="str">
        <f>IF(Table2[[#This Row],[Stock Gap]]&lt;0, "Understock","Okay")</f>
        <v>Okay</v>
      </c>
      <c r="O1416" s="13" t="str">
        <f>IF(Table2[[#This Row],[Stock Gap]]&lt;0, "Yes", "No")</f>
        <v>No</v>
      </c>
      <c r="P1416" s="13" t="str">
        <f>IF(Table2[[#This Row],[CurrentStock]]&lt;Table2[[#This Row],[ReorderLevel]],"Reorder", "Okay")</f>
        <v>Okay</v>
      </c>
      <c r="Q1416" s="13" t="str">
        <f>IF(Table2[[#This Row],[CurrentStock]]&gt;Table2[[#This Row],[ReorderLevel]]*3, "Overstock", "Okay")</f>
        <v>Overstock</v>
      </c>
    </row>
    <row r="1417" spans="1:17" x14ac:dyDescent="0.35">
      <c r="A1417">
        <v>64240</v>
      </c>
      <c r="B1417" t="s">
        <v>11</v>
      </c>
      <c r="C1417" t="s">
        <v>27</v>
      </c>
      <c r="D1417">
        <v>420</v>
      </c>
      <c r="E1417">
        <v>40</v>
      </c>
      <c r="F1417" s="2">
        <v>492.16</v>
      </c>
      <c r="G1417" t="s">
        <v>35</v>
      </c>
      <c r="H1417" s="1">
        <v>45613</v>
      </c>
      <c r="I1417" s="1">
        <v>45638</v>
      </c>
      <c r="J1417" t="s">
        <v>38</v>
      </c>
      <c r="K1417" s="8">
        <f>Table2[[#This Row],[CurrentStock]]*Table2[[#This Row],[UnitPrice]]</f>
        <v>206707.20000000001</v>
      </c>
      <c r="L1417" t="str">
        <f>IF(Table2[[#This Row],[CurrentStock]]&lt;=Table2[[#This Row],[ReorderLevel]], "Reorder Needed", "Okay")</f>
        <v>Okay</v>
      </c>
      <c r="M1417" t="str">
        <f>IF(Table2[[#This Row],[CurrentStock]]-Table2[[#This Row],[ReorderLevel]]&lt;0,Table2[[#This Row],[CurrentStock]]-Table2[[#This Row],[ReorderLevel]],"")</f>
        <v/>
      </c>
      <c r="N1417" t="str">
        <f>IF(Table2[[#This Row],[Stock Gap]]&lt;0, "Understock","Okay")</f>
        <v>Okay</v>
      </c>
      <c r="O1417" s="13" t="str">
        <f>IF(Table2[[#This Row],[Stock Gap]]&lt;0, "Yes", "No")</f>
        <v>No</v>
      </c>
      <c r="P1417" s="13" t="str">
        <f>IF(Table2[[#This Row],[CurrentStock]]&lt;Table2[[#This Row],[ReorderLevel]],"Reorder", "Okay")</f>
        <v>Okay</v>
      </c>
      <c r="Q1417" s="13" t="str">
        <f>IF(Table2[[#This Row],[CurrentStock]]&gt;Table2[[#This Row],[ReorderLevel]]*3, "Overstock", "Okay")</f>
        <v>Overstock</v>
      </c>
    </row>
    <row r="1418" spans="1:17" x14ac:dyDescent="0.35">
      <c r="A1418">
        <v>84486</v>
      </c>
      <c r="B1418" t="s">
        <v>23</v>
      </c>
      <c r="C1418" t="s">
        <v>30</v>
      </c>
      <c r="D1418">
        <v>385</v>
      </c>
      <c r="E1418">
        <v>150</v>
      </c>
      <c r="F1418" s="2">
        <v>296</v>
      </c>
      <c r="G1418" t="s">
        <v>31</v>
      </c>
      <c r="H1418" s="1">
        <v>45569</v>
      </c>
      <c r="I1418" s="1">
        <v>45584</v>
      </c>
      <c r="J1418" t="s">
        <v>36</v>
      </c>
      <c r="K1418" s="8">
        <f>Table2[[#This Row],[CurrentStock]]*Table2[[#This Row],[UnitPrice]]</f>
        <v>113960</v>
      </c>
      <c r="L1418" t="str">
        <f>IF(Table2[[#This Row],[CurrentStock]]&lt;=Table2[[#This Row],[ReorderLevel]], "Reorder Needed", "Okay")</f>
        <v>Okay</v>
      </c>
      <c r="M1418" t="str">
        <f>IF(Table2[[#This Row],[CurrentStock]]-Table2[[#This Row],[ReorderLevel]]&lt;0,Table2[[#This Row],[CurrentStock]]-Table2[[#This Row],[ReorderLevel]],"")</f>
        <v/>
      </c>
      <c r="N1418" t="str">
        <f>IF(Table2[[#This Row],[Stock Gap]]&lt;0, "Understock","Okay")</f>
        <v>Okay</v>
      </c>
      <c r="O1418" s="13" t="str">
        <f>IF(Table2[[#This Row],[Stock Gap]]&lt;0, "Yes", "No")</f>
        <v>No</v>
      </c>
      <c r="P1418" s="13" t="str">
        <f>IF(Table2[[#This Row],[CurrentStock]]&lt;Table2[[#This Row],[ReorderLevel]],"Reorder", "Okay")</f>
        <v>Okay</v>
      </c>
      <c r="Q1418" s="13" t="str">
        <f>IF(Table2[[#This Row],[CurrentStock]]&gt;Table2[[#This Row],[ReorderLevel]]*3, "Overstock", "Okay")</f>
        <v>Okay</v>
      </c>
    </row>
    <row r="1419" spans="1:17" x14ac:dyDescent="0.35">
      <c r="A1419">
        <v>57458</v>
      </c>
      <c r="B1419" t="s">
        <v>9</v>
      </c>
      <c r="C1419" t="s">
        <v>26</v>
      </c>
      <c r="D1419">
        <v>326</v>
      </c>
      <c r="E1419">
        <v>20</v>
      </c>
      <c r="F1419" s="2">
        <v>358.16</v>
      </c>
      <c r="G1419" t="s">
        <v>33</v>
      </c>
      <c r="H1419" s="1">
        <v>45430</v>
      </c>
      <c r="I1419" s="1">
        <v>45440</v>
      </c>
      <c r="J1419" t="s">
        <v>37</v>
      </c>
      <c r="K1419" s="8">
        <f>Table2[[#This Row],[CurrentStock]]*Table2[[#This Row],[UnitPrice]]</f>
        <v>116760.16</v>
      </c>
      <c r="L1419" t="str">
        <f>IF(Table2[[#This Row],[CurrentStock]]&lt;=Table2[[#This Row],[ReorderLevel]], "Reorder Needed", "Okay")</f>
        <v>Okay</v>
      </c>
      <c r="M1419" t="str">
        <f>IF(Table2[[#This Row],[CurrentStock]]-Table2[[#This Row],[ReorderLevel]]&lt;0,Table2[[#This Row],[CurrentStock]]-Table2[[#This Row],[ReorderLevel]],"")</f>
        <v/>
      </c>
      <c r="N1419" t="str">
        <f>IF(Table2[[#This Row],[Stock Gap]]&lt;0, "Understock","Okay")</f>
        <v>Okay</v>
      </c>
      <c r="O1419" s="13" t="str">
        <f>IF(Table2[[#This Row],[Stock Gap]]&lt;0, "Yes", "No")</f>
        <v>No</v>
      </c>
      <c r="P1419" s="13" t="str">
        <f>IF(Table2[[#This Row],[CurrentStock]]&lt;Table2[[#This Row],[ReorderLevel]],"Reorder", "Okay")</f>
        <v>Okay</v>
      </c>
      <c r="Q1419" s="13" t="str">
        <f>IF(Table2[[#This Row],[CurrentStock]]&gt;Table2[[#This Row],[ReorderLevel]]*3, "Overstock", "Okay")</f>
        <v>Overstock</v>
      </c>
    </row>
    <row r="1420" spans="1:17" x14ac:dyDescent="0.35">
      <c r="A1420">
        <v>28394</v>
      </c>
      <c r="B1420" t="s">
        <v>25</v>
      </c>
      <c r="C1420" t="s">
        <v>29</v>
      </c>
      <c r="D1420">
        <v>473</v>
      </c>
      <c r="E1420">
        <v>30</v>
      </c>
      <c r="F1420" s="2">
        <v>183.36</v>
      </c>
      <c r="G1420" t="s">
        <v>32</v>
      </c>
      <c r="H1420" s="1">
        <v>45385</v>
      </c>
      <c r="I1420" s="1">
        <v>45417</v>
      </c>
      <c r="J1420" t="s">
        <v>37</v>
      </c>
      <c r="K1420" s="8">
        <f>Table2[[#This Row],[CurrentStock]]*Table2[[#This Row],[UnitPrice]]</f>
        <v>86729.280000000013</v>
      </c>
      <c r="L1420" t="str">
        <f>IF(Table2[[#This Row],[CurrentStock]]&lt;=Table2[[#This Row],[ReorderLevel]], "Reorder Needed", "Okay")</f>
        <v>Okay</v>
      </c>
      <c r="M1420" t="str">
        <f>IF(Table2[[#This Row],[CurrentStock]]-Table2[[#This Row],[ReorderLevel]]&lt;0,Table2[[#This Row],[CurrentStock]]-Table2[[#This Row],[ReorderLevel]],"")</f>
        <v/>
      </c>
      <c r="N1420" t="str">
        <f>IF(Table2[[#This Row],[Stock Gap]]&lt;0, "Understock","Okay")</f>
        <v>Okay</v>
      </c>
      <c r="O1420" s="13" t="str">
        <f>IF(Table2[[#This Row],[Stock Gap]]&lt;0, "Yes", "No")</f>
        <v>No</v>
      </c>
      <c r="P1420" s="13" t="str">
        <f>IF(Table2[[#This Row],[CurrentStock]]&lt;Table2[[#This Row],[ReorderLevel]],"Reorder", "Okay")</f>
        <v>Okay</v>
      </c>
      <c r="Q1420" s="13" t="str">
        <f>IF(Table2[[#This Row],[CurrentStock]]&gt;Table2[[#This Row],[ReorderLevel]]*3, "Overstock", "Okay")</f>
        <v>Overstock</v>
      </c>
    </row>
    <row r="1421" spans="1:17" x14ac:dyDescent="0.35">
      <c r="A1421">
        <v>66624</v>
      </c>
      <c r="B1421" t="s">
        <v>22</v>
      </c>
      <c r="C1421" t="s">
        <v>29</v>
      </c>
      <c r="D1421">
        <v>132</v>
      </c>
      <c r="E1421">
        <v>20</v>
      </c>
      <c r="F1421" s="2">
        <v>461.5</v>
      </c>
      <c r="G1421" t="s">
        <v>32</v>
      </c>
      <c r="H1421" s="1">
        <v>45573</v>
      </c>
      <c r="I1421" s="1">
        <v>45604</v>
      </c>
      <c r="J1421" t="s">
        <v>36</v>
      </c>
      <c r="K1421" s="8">
        <f>Table2[[#This Row],[CurrentStock]]*Table2[[#This Row],[UnitPrice]]</f>
        <v>60918</v>
      </c>
      <c r="L1421" t="str">
        <f>IF(Table2[[#This Row],[CurrentStock]]&lt;=Table2[[#This Row],[ReorderLevel]], "Reorder Needed", "Okay")</f>
        <v>Okay</v>
      </c>
      <c r="M1421" t="str">
        <f>IF(Table2[[#This Row],[CurrentStock]]-Table2[[#This Row],[ReorderLevel]]&lt;0,Table2[[#This Row],[CurrentStock]]-Table2[[#This Row],[ReorderLevel]],"")</f>
        <v/>
      </c>
      <c r="N1421" t="str">
        <f>IF(Table2[[#This Row],[Stock Gap]]&lt;0, "Understock","Okay")</f>
        <v>Okay</v>
      </c>
      <c r="O1421" s="13" t="str">
        <f>IF(Table2[[#This Row],[Stock Gap]]&lt;0, "Yes", "No")</f>
        <v>No</v>
      </c>
      <c r="P1421" s="13" t="str">
        <f>IF(Table2[[#This Row],[CurrentStock]]&lt;Table2[[#This Row],[ReorderLevel]],"Reorder", "Okay")</f>
        <v>Okay</v>
      </c>
      <c r="Q1421" s="13" t="str">
        <f>IF(Table2[[#This Row],[CurrentStock]]&gt;Table2[[#This Row],[ReorderLevel]]*3, "Overstock", "Okay")</f>
        <v>Overstock</v>
      </c>
    </row>
    <row r="1422" spans="1:17" x14ac:dyDescent="0.35">
      <c r="A1422">
        <v>85801</v>
      </c>
      <c r="B1422" t="s">
        <v>11</v>
      </c>
      <c r="C1422" t="s">
        <v>27</v>
      </c>
      <c r="D1422">
        <v>347</v>
      </c>
      <c r="E1422">
        <v>30</v>
      </c>
      <c r="F1422" s="2">
        <v>498.53</v>
      </c>
      <c r="G1422" t="s">
        <v>33</v>
      </c>
      <c r="H1422" s="1">
        <v>45474</v>
      </c>
      <c r="I1422" s="1">
        <v>45495</v>
      </c>
      <c r="J1422" t="s">
        <v>36</v>
      </c>
      <c r="K1422" s="8">
        <f>Table2[[#This Row],[CurrentStock]]*Table2[[#This Row],[UnitPrice]]</f>
        <v>172989.91</v>
      </c>
      <c r="L1422" t="str">
        <f>IF(Table2[[#This Row],[CurrentStock]]&lt;=Table2[[#This Row],[ReorderLevel]], "Reorder Needed", "Okay")</f>
        <v>Okay</v>
      </c>
      <c r="M1422" t="str">
        <f>IF(Table2[[#This Row],[CurrentStock]]-Table2[[#This Row],[ReorderLevel]]&lt;0,Table2[[#This Row],[CurrentStock]]-Table2[[#This Row],[ReorderLevel]],"")</f>
        <v/>
      </c>
      <c r="N1422" t="str">
        <f>IF(Table2[[#This Row],[Stock Gap]]&lt;0, "Understock","Okay")</f>
        <v>Okay</v>
      </c>
      <c r="O1422" s="13" t="str">
        <f>IF(Table2[[#This Row],[Stock Gap]]&lt;0, "Yes", "No")</f>
        <v>No</v>
      </c>
      <c r="P1422" s="13" t="str">
        <f>IF(Table2[[#This Row],[CurrentStock]]&lt;Table2[[#This Row],[ReorderLevel]],"Reorder", "Okay")</f>
        <v>Okay</v>
      </c>
      <c r="Q1422" s="13" t="str">
        <f>IF(Table2[[#This Row],[CurrentStock]]&gt;Table2[[#This Row],[ReorderLevel]]*3, "Overstock", "Okay")</f>
        <v>Overstock</v>
      </c>
    </row>
    <row r="1423" spans="1:17" x14ac:dyDescent="0.35">
      <c r="A1423">
        <v>73797</v>
      </c>
      <c r="B1423" t="s">
        <v>25</v>
      </c>
      <c r="C1423" t="s">
        <v>29</v>
      </c>
      <c r="D1423">
        <v>216</v>
      </c>
      <c r="E1423">
        <v>80</v>
      </c>
      <c r="F1423" s="2">
        <v>86.2</v>
      </c>
      <c r="G1423" t="s">
        <v>31</v>
      </c>
      <c r="H1423" s="1">
        <v>45535</v>
      </c>
      <c r="I1423" s="1">
        <v>45569</v>
      </c>
      <c r="J1423" t="s">
        <v>37</v>
      </c>
      <c r="K1423" s="8">
        <f>Table2[[#This Row],[CurrentStock]]*Table2[[#This Row],[UnitPrice]]</f>
        <v>18619.2</v>
      </c>
      <c r="L1423" t="str">
        <f>IF(Table2[[#This Row],[CurrentStock]]&lt;=Table2[[#This Row],[ReorderLevel]], "Reorder Needed", "Okay")</f>
        <v>Okay</v>
      </c>
      <c r="M1423" t="str">
        <f>IF(Table2[[#This Row],[CurrentStock]]-Table2[[#This Row],[ReorderLevel]]&lt;0,Table2[[#This Row],[CurrentStock]]-Table2[[#This Row],[ReorderLevel]],"")</f>
        <v/>
      </c>
      <c r="N1423" t="str">
        <f>IF(Table2[[#This Row],[Stock Gap]]&lt;0, "Understock","Okay")</f>
        <v>Okay</v>
      </c>
      <c r="O1423" s="13" t="str">
        <f>IF(Table2[[#This Row],[Stock Gap]]&lt;0, "Yes", "No")</f>
        <v>No</v>
      </c>
      <c r="P1423" s="13" t="str">
        <f>IF(Table2[[#This Row],[CurrentStock]]&lt;Table2[[#This Row],[ReorderLevel]],"Reorder", "Okay")</f>
        <v>Okay</v>
      </c>
      <c r="Q1423" s="13" t="str">
        <f>IF(Table2[[#This Row],[CurrentStock]]&gt;Table2[[#This Row],[ReorderLevel]]*3, "Overstock", "Okay")</f>
        <v>Okay</v>
      </c>
    </row>
    <row r="1424" spans="1:17" x14ac:dyDescent="0.35">
      <c r="A1424">
        <v>14123</v>
      </c>
      <c r="B1424" t="s">
        <v>19</v>
      </c>
      <c r="C1424" t="s">
        <v>28</v>
      </c>
      <c r="D1424">
        <v>267</v>
      </c>
      <c r="E1424">
        <v>100</v>
      </c>
      <c r="F1424" s="2">
        <v>244.6</v>
      </c>
      <c r="G1424" t="s">
        <v>33</v>
      </c>
      <c r="H1424" s="1">
        <v>45390</v>
      </c>
      <c r="I1424" s="1">
        <v>45411</v>
      </c>
      <c r="J1424" t="s">
        <v>38</v>
      </c>
      <c r="K1424" s="8">
        <f>Table2[[#This Row],[CurrentStock]]*Table2[[#This Row],[UnitPrice]]</f>
        <v>65308.2</v>
      </c>
      <c r="L1424" t="str">
        <f>IF(Table2[[#This Row],[CurrentStock]]&lt;=Table2[[#This Row],[ReorderLevel]], "Reorder Needed", "Okay")</f>
        <v>Okay</v>
      </c>
      <c r="M1424" t="str">
        <f>IF(Table2[[#This Row],[CurrentStock]]-Table2[[#This Row],[ReorderLevel]]&lt;0,Table2[[#This Row],[CurrentStock]]-Table2[[#This Row],[ReorderLevel]],"")</f>
        <v/>
      </c>
      <c r="N1424" t="str">
        <f>IF(Table2[[#This Row],[Stock Gap]]&lt;0, "Understock","Okay")</f>
        <v>Okay</v>
      </c>
      <c r="O1424" s="13" t="str">
        <f>IF(Table2[[#This Row],[Stock Gap]]&lt;0, "Yes", "No")</f>
        <v>No</v>
      </c>
      <c r="P1424" s="13" t="str">
        <f>IF(Table2[[#This Row],[CurrentStock]]&lt;Table2[[#This Row],[ReorderLevel]],"Reorder", "Okay")</f>
        <v>Okay</v>
      </c>
      <c r="Q1424" s="13" t="str">
        <f>IF(Table2[[#This Row],[CurrentStock]]&gt;Table2[[#This Row],[ReorderLevel]]*3, "Overstock", "Okay")</f>
        <v>Okay</v>
      </c>
    </row>
    <row r="1425" spans="1:17" x14ac:dyDescent="0.35">
      <c r="A1425">
        <v>39992</v>
      </c>
      <c r="B1425" t="s">
        <v>12</v>
      </c>
      <c r="C1425" t="s">
        <v>28</v>
      </c>
      <c r="D1425">
        <v>450</v>
      </c>
      <c r="E1425">
        <v>100</v>
      </c>
      <c r="F1425" s="2">
        <v>498.97</v>
      </c>
      <c r="G1425" t="s">
        <v>32</v>
      </c>
      <c r="H1425" s="1">
        <v>45613</v>
      </c>
      <c r="I1425" s="1">
        <v>45631</v>
      </c>
      <c r="J1425" t="s">
        <v>37</v>
      </c>
      <c r="K1425" s="8">
        <f>Table2[[#This Row],[CurrentStock]]*Table2[[#This Row],[UnitPrice]]</f>
        <v>224536.5</v>
      </c>
      <c r="L1425" t="str">
        <f>IF(Table2[[#This Row],[CurrentStock]]&lt;=Table2[[#This Row],[ReorderLevel]], "Reorder Needed", "Okay")</f>
        <v>Okay</v>
      </c>
      <c r="M1425" t="str">
        <f>IF(Table2[[#This Row],[CurrentStock]]-Table2[[#This Row],[ReorderLevel]]&lt;0,Table2[[#This Row],[CurrentStock]]-Table2[[#This Row],[ReorderLevel]],"")</f>
        <v/>
      </c>
      <c r="N1425" t="str">
        <f>IF(Table2[[#This Row],[Stock Gap]]&lt;0, "Understock","Okay")</f>
        <v>Okay</v>
      </c>
      <c r="O1425" s="13" t="str">
        <f>IF(Table2[[#This Row],[Stock Gap]]&lt;0, "Yes", "No")</f>
        <v>No</v>
      </c>
      <c r="P1425" s="13" t="str">
        <f>IF(Table2[[#This Row],[CurrentStock]]&lt;Table2[[#This Row],[ReorderLevel]],"Reorder", "Okay")</f>
        <v>Okay</v>
      </c>
      <c r="Q1425" s="13" t="str">
        <f>IF(Table2[[#This Row],[CurrentStock]]&gt;Table2[[#This Row],[ReorderLevel]]*3, "Overstock", "Okay")</f>
        <v>Overstock</v>
      </c>
    </row>
    <row r="1426" spans="1:17" x14ac:dyDescent="0.35">
      <c r="A1426">
        <v>60672</v>
      </c>
      <c r="B1426" t="s">
        <v>21</v>
      </c>
      <c r="C1426" t="s">
        <v>26</v>
      </c>
      <c r="D1426">
        <v>12</v>
      </c>
      <c r="E1426">
        <v>30</v>
      </c>
      <c r="F1426" s="2">
        <v>211.61</v>
      </c>
      <c r="G1426" t="s">
        <v>35</v>
      </c>
      <c r="H1426" s="1">
        <v>45373</v>
      </c>
      <c r="I1426" s="1">
        <v>45386</v>
      </c>
      <c r="J1426" t="s">
        <v>36</v>
      </c>
      <c r="K1426" s="8">
        <f>Table2[[#This Row],[CurrentStock]]*Table2[[#This Row],[UnitPrice]]</f>
        <v>2539.3200000000002</v>
      </c>
      <c r="L1426" t="str">
        <f>IF(Table2[[#This Row],[CurrentStock]]&lt;=Table2[[#This Row],[ReorderLevel]], "Reorder Needed", "Okay")</f>
        <v>Reorder Needed</v>
      </c>
      <c r="M1426" s="7">
        <f>IF(Table2[[#This Row],[CurrentStock]]-Table2[[#This Row],[ReorderLevel]]&lt;0,Table2[[#This Row],[CurrentStock]]-Table2[[#This Row],[ReorderLevel]],"")</f>
        <v>-18</v>
      </c>
      <c r="N1426" t="str">
        <f>IF(Table2[[#This Row],[Stock Gap]]&lt;0, "Understock","Okay")</f>
        <v>Understock</v>
      </c>
      <c r="O1426" s="13" t="str">
        <f>IF(Table2[[#This Row],[Stock Gap]]&lt;0, "Yes", "No")</f>
        <v>Yes</v>
      </c>
      <c r="P1426" s="13" t="str">
        <f>IF(Table2[[#This Row],[CurrentStock]]&lt;Table2[[#This Row],[ReorderLevel]],"Reorder", "Okay")</f>
        <v>Reorder</v>
      </c>
      <c r="Q1426" s="13" t="str">
        <f>IF(Table2[[#This Row],[CurrentStock]]&gt;Table2[[#This Row],[ReorderLevel]]*3, "Overstock", "Okay")</f>
        <v>Okay</v>
      </c>
    </row>
    <row r="1427" spans="1:17" x14ac:dyDescent="0.35">
      <c r="A1427">
        <v>68390</v>
      </c>
      <c r="B1427" t="s">
        <v>16</v>
      </c>
      <c r="C1427" t="s">
        <v>29</v>
      </c>
      <c r="D1427">
        <v>39</v>
      </c>
      <c r="E1427">
        <v>40</v>
      </c>
      <c r="F1427" s="2">
        <v>216.42</v>
      </c>
      <c r="G1427" t="s">
        <v>35</v>
      </c>
      <c r="H1427" s="1">
        <v>45399</v>
      </c>
      <c r="I1427" s="1">
        <v>45436</v>
      </c>
      <c r="J1427" t="s">
        <v>38</v>
      </c>
      <c r="K1427" s="8">
        <f>Table2[[#This Row],[CurrentStock]]*Table2[[#This Row],[UnitPrice]]</f>
        <v>8440.3799999999992</v>
      </c>
      <c r="L1427" t="str">
        <f>IF(Table2[[#This Row],[CurrentStock]]&lt;=Table2[[#This Row],[ReorderLevel]], "Reorder Needed", "Okay")</f>
        <v>Reorder Needed</v>
      </c>
      <c r="M1427" s="7">
        <f>IF(Table2[[#This Row],[CurrentStock]]-Table2[[#This Row],[ReorderLevel]]&lt;0,Table2[[#This Row],[CurrentStock]]-Table2[[#This Row],[ReorderLevel]],"")</f>
        <v>-1</v>
      </c>
      <c r="N1427" t="str">
        <f>IF(Table2[[#This Row],[Stock Gap]]&lt;0, "Understock","Okay")</f>
        <v>Understock</v>
      </c>
      <c r="O1427" s="13" t="str">
        <f>IF(Table2[[#This Row],[Stock Gap]]&lt;0, "Yes", "No")</f>
        <v>Yes</v>
      </c>
      <c r="P1427" s="13" t="str">
        <f>IF(Table2[[#This Row],[CurrentStock]]&lt;Table2[[#This Row],[ReorderLevel]],"Reorder", "Okay")</f>
        <v>Reorder</v>
      </c>
      <c r="Q1427" s="13" t="str">
        <f>IF(Table2[[#This Row],[CurrentStock]]&gt;Table2[[#This Row],[ReorderLevel]]*3, "Overstock", "Okay")</f>
        <v>Okay</v>
      </c>
    </row>
    <row r="1428" spans="1:17" x14ac:dyDescent="0.35">
      <c r="A1428">
        <v>32873</v>
      </c>
      <c r="B1428" t="s">
        <v>25</v>
      </c>
      <c r="C1428" t="s">
        <v>29</v>
      </c>
      <c r="D1428">
        <v>461</v>
      </c>
      <c r="E1428">
        <v>100</v>
      </c>
      <c r="F1428" s="2">
        <v>214.13</v>
      </c>
      <c r="G1428" t="s">
        <v>34</v>
      </c>
      <c r="H1428" s="1">
        <v>45649</v>
      </c>
      <c r="I1428" s="1">
        <v>45679</v>
      </c>
      <c r="J1428" t="s">
        <v>36</v>
      </c>
      <c r="K1428" s="8">
        <f>Table2[[#This Row],[CurrentStock]]*Table2[[#This Row],[UnitPrice]]</f>
        <v>98713.93</v>
      </c>
      <c r="L1428" t="str">
        <f>IF(Table2[[#This Row],[CurrentStock]]&lt;=Table2[[#This Row],[ReorderLevel]], "Reorder Needed", "Okay")</f>
        <v>Okay</v>
      </c>
      <c r="M1428" t="str">
        <f>IF(Table2[[#This Row],[CurrentStock]]-Table2[[#This Row],[ReorderLevel]]&lt;0,Table2[[#This Row],[CurrentStock]]-Table2[[#This Row],[ReorderLevel]],"")</f>
        <v/>
      </c>
      <c r="N1428" t="str">
        <f>IF(Table2[[#This Row],[Stock Gap]]&lt;0, "Understock","Okay")</f>
        <v>Okay</v>
      </c>
      <c r="O1428" s="13" t="str">
        <f>IF(Table2[[#This Row],[Stock Gap]]&lt;0, "Yes", "No")</f>
        <v>No</v>
      </c>
      <c r="P1428" s="13" t="str">
        <f>IF(Table2[[#This Row],[CurrentStock]]&lt;Table2[[#This Row],[ReorderLevel]],"Reorder", "Okay")</f>
        <v>Okay</v>
      </c>
      <c r="Q1428" s="13" t="str">
        <f>IF(Table2[[#This Row],[CurrentStock]]&gt;Table2[[#This Row],[ReorderLevel]]*3, "Overstock", "Okay")</f>
        <v>Overstock</v>
      </c>
    </row>
    <row r="1429" spans="1:17" x14ac:dyDescent="0.35">
      <c r="A1429">
        <v>31330</v>
      </c>
      <c r="B1429" t="s">
        <v>9</v>
      </c>
      <c r="C1429" t="s">
        <v>26</v>
      </c>
      <c r="D1429">
        <v>145</v>
      </c>
      <c r="E1429">
        <v>100</v>
      </c>
      <c r="F1429" s="2">
        <v>308.66000000000003</v>
      </c>
      <c r="G1429" t="s">
        <v>33</v>
      </c>
      <c r="H1429" s="1">
        <v>45432</v>
      </c>
      <c r="I1429" s="1">
        <v>45460</v>
      </c>
      <c r="J1429" t="s">
        <v>37</v>
      </c>
      <c r="K1429" s="8">
        <f>Table2[[#This Row],[CurrentStock]]*Table2[[#This Row],[UnitPrice]]</f>
        <v>44755.700000000004</v>
      </c>
      <c r="L1429" t="str">
        <f>IF(Table2[[#This Row],[CurrentStock]]&lt;=Table2[[#This Row],[ReorderLevel]], "Reorder Needed", "Okay")</f>
        <v>Okay</v>
      </c>
      <c r="M1429" t="str">
        <f>IF(Table2[[#This Row],[CurrentStock]]-Table2[[#This Row],[ReorderLevel]]&lt;0,Table2[[#This Row],[CurrentStock]]-Table2[[#This Row],[ReorderLevel]],"")</f>
        <v/>
      </c>
      <c r="N1429" t="str">
        <f>IF(Table2[[#This Row],[Stock Gap]]&lt;0, "Understock","Okay")</f>
        <v>Okay</v>
      </c>
      <c r="O1429" s="13" t="str">
        <f>IF(Table2[[#This Row],[Stock Gap]]&lt;0, "Yes", "No")</f>
        <v>No</v>
      </c>
      <c r="P1429" s="13" t="str">
        <f>IF(Table2[[#This Row],[CurrentStock]]&lt;Table2[[#This Row],[ReorderLevel]],"Reorder", "Okay")</f>
        <v>Okay</v>
      </c>
      <c r="Q1429" s="13" t="str">
        <f>IF(Table2[[#This Row],[CurrentStock]]&gt;Table2[[#This Row],[ReorderLevel]]*3, "Overstock", "Okay")</f>
        <v>Okay</v>
      </c>
    </row>
    <row r="1430" spans="1:17" x14ac:dyDescent="0.35">
      <c r="A1430">
        <v>52269</v>
      </c>
      <c r="B1430" t="s">
        <v>11</v>
      </c>
      <c r="C1430" t="s">
        <v>27</v>
      </c>
      <c r="D1430">
        <v>13</v>
      </c>
      <c r="E1430">
        <v>100</v>
      </c>
      <c r="F1430" s="2">
        <v>391.36</v>
      </c>
      <c r="G1430" t="s">
        <v>32</v>
      </c>
      <c r="H1430" s="1">
        <v>45634</v>
      </c>
      <c r="I1430" s="1">
        <v>45668</v>
      </c>
      <c r="J1430" t="s">
        <v>38</v>
      </c>
      <c r="K1430" s="8">
        <f>Table2[[#This Row],[CurrentStock]]*Table2[[#This Row],[UnitPrice]]</f>
        <v>5087.68</v>
      </c>
      <c r="L1430" t="str">
        <f>IF(Table2[[#This Row],[CurrentStock]]&lt;=Table2[[#This Row],[ReorderLevel]], "Reorder Needed", "Okay")</f>
        <v>Reorder Needed</v>
      </c>
      <c r="M1430" s="7">
        <f>IF(Table2[[#This Row],[CurrentStock]]-Table2[[#This Row],[ReorderLevel]]&lt;0,Table2[[#This Row],[CurrentStock]]-Table2[[#This Row],[ReorderLevel]],"")</f>
        <v>-87</v>
      </c>
      <c r="N1430" t="str">
        <f>IF(Table2[[#This Row],[Stock Gap]]&lt;0, "Understock","Okay")</f>
        <v>Understock</v>
      </c>
      <c r="O1430" s="13" t="str">
        <f>IF(Table2[[#This Row],[Stock Gap]]&lt;0, "Yes", "No")</f>
        <v>Yes</v>
      </c>
      <c r="P1430" s="13" t="str">
        <f>IF(Table2[[#This Row],[CurrentStock]]&lt;Table2[[#This Row],[ReorderLevel]],"Reorder", "Okay")</f>
        <v>Reorder</v>
      </c>
      <c r="Q1430" s="13" t="str">
        <f>IF(Table2[[#This Row],[CurrentStock]]&gt;Table2[[#This Row],[ReorderLevel]]*3, "Overstock", "Okay")</f>
        <v>Okay</v>
      </c>
    </row>
    <row r="1431" spans="1:17" x14ac:dyDescent="0.35">
      <c r="A1431">
        <v>41821</v>
      </c>
      <c r="B1431" t="s">
        <v>11</v>
      </c>
      <c r="C1431" t="s">
        <v>27</v>
      </c>
      <c r="D1431">
        <v>56</v>
      </c>
      <c r="E1431">
        <v>30</v>
      </c>
      <c r="F1431" s="2">
        <v>415.61</v>
      </c>
      <c r="G1431" t="s">
        <v>32</v>
      </c>
      <c r="H1431" s="1">
        <v>45389</v>
      </c>
      <c r="I1431" s="1">
        <v>45409</v>
      </c>
      <c r="J1431" t="s">
        <v>38</v>
      </c>
      <c r="K1431" s="8">
        <f>Table2[[#This Row],[CurrentStock]]*Table2[[#This Row],[UnitPrice]]</f>
        <v>23274.16</v>
      </c>
      <c r="L1431" t="str">
        <f>IF(Table2[[#This Row],[CurrentStock]]&lt;=Table2[[#This Row],[ReorderLevel]], "Reorder Needed", "Okay")</f>
        <v>Okay</v>
      </c>
      <c r="M1431" t="str">
        <f>IF(Table2[[#This Row],[CurrentStock]]-Table2[[#This Row],[ReorderLevel]]&lt;0,Table2[[#This Row],[CurrentStock]]-Table2[[#This Row],[ReorderLevel]],"")</f>
        <v/>
      </c>
      <c r="N1431" t="str">
        <f>IF(Table2[[#This Row],[Stock Gap]]&lt;0, "Understock","Okay")</f>
        <v>Okay</v>
      </c>
      <c r="O1431" s="13" t="str">
        <f>IF(Table2[[#This Row],[Stock Gap]]&lt;0, "Yes", "No")</f>
        <v>No</v>
      </c>
      <c r="P1431" s="13" t="str">
        <f>IF(Table2[[#This Row],[CurrentStock]]&lt;Table2[[#This Row],[ReorderLevel]],"Reorder", "Okay")</f>
        <v>Okay</v>
      </c>
      <c r="Q1431" s="13" t="str">
        <f>IF(Table2[[#This Row],[CurrentStock]]&gt;Table2[[#This Row],[ReorderLevel]]*3, "Overstock", "Okay")</f>
        <v>Okay</v>
      </c>
    </row>
    <row r="1432" spans="1:17" x14ac:dyDescent="0.35">
      <c r="A1432">
        <v>92427</v>
      </c>
      <c r="B1432" t="s">
        <v>23</v>
      </c>
      <c r="C1432" t="s">
        <v>30</v>
      </c>
      <c r="D1432">
        <v>54</v>
      </c>
      <c r="E1432">
        <v>50</v>
      </c>
      <c r="F1432" s="2">
        <v>57.91</v>
      </c>
      <c r="G1432" t="s">
        <v>34</v>
      </c>
      <c r="H1432" s="1">
        <v>45459</v>
      </c>
      <c r="I1432" s="1">
        <v>45488</v>
      </c>
      <c r="J1432" t="s">
        <v>37</v>
      </c>
      <c r="K1432" s="8">
        <f>Table2[[#This Row],[CurrentStock]]*Table2[[#This Row],[UnitPrice]]</f>
        <v>3127.14</v>
      </c>
      <c r="L1432" t="str">
        <f>IF(Table2[[#This Row],[CurrentStock]]&lt;=Table2[[#This Row],[ReorderLevel]], "Reorder Needed", "Okay")</f>
        <v>Okay</v>
      </c>
      <c r="M1432" t="str">
        <f>IF(Table2[[#This Row],[CurrentStock]]-Table2[[#This Row],[ReorderLevel]]&lt;0,Table2[[#This Row],[CurrentStock]]-Table2[[#This Row],[ReorderLevel]],"")</f>
        <v/>
      </c>
      <c r="N1432" t="str">
        <f>IF(Table2[[#This Row],[Stock Gap]]&lt;0, "Understock","Okay")</f>
        <v>Okay</v>
      </c>
      <c r="O1432" s="13" t="str">
        <f>IF(Table2[[#This Row],[Stock Gap]]&lt;0, "Yes", "No")</f>
        <v>No</v>
      </c>
      <c r="P1432" s="13" t="str">
        <f>IF(Table2[[#This Row],[CurrentStock]]&lt;Table2[[#This Row],[ReorderLevel]],"Reorder", "Okay")</f>
        <v>Okay</v>
      </c>
      <c r="Q1432" s="13" t="str">
        <f>IF(Table2[[#This Row],[CurrentStock]]&gt;Table2[[#This Row],[ReorderLevel]]*3, "Overstock", "Okay")</f>
        <v>Okay</v>
      </c>
    </row>
    <row r="1433" spans="1:17" x14ac:dyDescent="0.35">
      <c r="A1433">
        <v>19117</v>
      </c>
      <c r="B1433" t="s">
        <v>22</v>
      </c>
      <c r="C1433" t="s">
        <v>29</v>
      </c>
      <c r="D1433">
        <v>373</v>
      </c>
      <c r="E1433">
        <v>30</v>
      </c>
      <c r="F1433" s="2">
        <v>385.85</v>
      </c>
      <c r="G1433" t="s">
        <v>31</v>
      </c>
      <c r="H1433" s="1">
        <v>45554</v>
      </c>
      <c r="I1433" s="1">
        <v>45588</v>
      </c>
      <c r="J1433" t="s">
        <v>37</v>
      </c>
      <c r="K1433" s="8">
        <f>Table2[[#This Row],[CurrentStock]]*Table2[[#This Row],[UnitPrice]]</f>
        <v>143922.05000000002</v>
      </c>
      <c r="L1433" t="str">
        <f>IF(Table2[[#This Row],[CurrentStock]]&lt;=Table2[[#This Row],[ReorderLevel]], "Reorder Needed", "Okay")</f>
        <v>Okay</v>
      </c>
      <c r="M1433" t="str">
        <f>IF(Table2[[#This Row],[CurrentStock]]-Table2[[#This Row],[ReorderLevel]]&lt;0,Table2[[#This Row],[CurrentStock]]-Table2[[#This Row],[ReorderLevel]],"")</f>
        <v/>
      </c>
      <c r="N1433" t="str">
        <f>IF(Table2[[#This Row],[Stock Gap]]&lt;0, "Understock","Okay")</f>
        <v>Okay</v>
      </c>
      <c r="O1433" s="13" t="str">
        <f>IF(Table2[[#This Row],[Stock Gap]]&lt;0, "Yes", "No")</f>
        <v>No</v>
      </c>
      <c r="P1433" s="13" t="str">
        <f>IF(Table2[[#This Row],[CurrentStock]]&lt;Table2[[#This Row],[ReorderLevel]],"Reorder", "Okay")</f>
        <v>Okay</v>
      </c>
      <c r="Q1433" s="13" t="str">
        <f>IF(Table2[[#This Row],[CurrentStock]]&gt;Table2[[#This Row],[ReorderLevel]]*3, "Overstock", "Okay")</f>
        <v>Overstock</v>
      </c>
    </row>
    <row r="1434" spans="1:17" x14ac:dyDescent="0.35">
      <c r="A1434">
        <v>80949</v>
      </c>
      <c r="B1434" t="s">
        <v>19</v>
      </c>
      <c r="C1434" t="s">
        <v>28</v>
      </c>
      <c r="D1434">
        <v>160</v>
      </c>
      <c r="E1434">
        <v>100</v>
      </c>
      <c r="F1434" s="2">
        <v>193.22</v>
      </c>
      <c r="G1434" t="s">
        <v>33</v>
      </c>
      <c r="H1434" s="1">
        <v>45319</v>
      </c>
      <c r="I1434" s="1">
        <v>45337</v>
      </c>
      <c r="J1434" t="s">
        <v>36</v>
      </c>
      <c r="K1434" s="8">
        <f>Table2[[#This Row],[CurrentStock]]*Table2[[#This Row],[UnitPrice]]</f>
        <v>30915.200000000001</v>
      </c>
      <c r="L1434" t="str">
        <f>IF(Table2[[#This Row],[CurrentStock]]&lt;=Table2[[#This Row],[ReorderLevel]], "Reorder Needed", "Okay")</f>
        <v>Okay</v>
      </c>
      <c r="M1434" t="str">
        <f>IF(Table2[[#This Row],[CurrentStock]]-Table2[[#This Row],[ReorderLevel]]&lt;0,Table2[[#This Row],[CurrentStock]]-Table2[[#This Row],[ReorderLevel]],"")</f>
        <v/>
      </c>
      <c r="N1434" t="str">
        <f>IF(Table2[[#This Row],[Stock Gap]]&lt;0, "Understock","Okay")</f>
        <v>Okay</v>
      </c>
      <c r="O1434" s="13" t="str">
        <f>IF(Table2[[#This Row],[Stock Gap]]&lt;0, "Yes", "No")</f>
        <v>No</v>
      </c>
      <c r="P1434" s="13" t="str">
        <f>IF(Table2[[#This Row],[CurrentStock]]&lt;Table2[[#This Row],[ReorderLevel]],"Reorder", "Okay")</f>
        <v>Okay</v>
      </c>
      <c r="Q1434" s="13" t="str">
        <f>IF(Table2[[#This Row],[CurrentStock]]&gt;Table2[[#This Row],[ReorderLevel]]*3, "Overstock", "Okay")</f>
        <v>Okay</v>
      </c>
    </row>
    <row r="1435" spans="1:17" x14ac:dyDescent="0.35">
      <c r="A1435">
        <v>86586</v>
      </c>
      <c r="B1435" t="s">
        <v>21</v>
      </c>
      <c r="C1435" t="s">
        <v>26</v>
      </c>
      <c r="D1435">
        <v>96</v>
      </c>
      <c r="E1435">
        <v>100</v>
      </c>
      <c r="F1435" s="2">
        <v>254.1</v>
      </c>
      <c r="G1435" t="s">
        <v>31</v>
      </c>
      <c r="H1435" s="1">
        <v>45562</v>
      </c>
      <c r="I1435" s="1">
        <v>45569</v>
      </c>
      <c r="J1435" t="s">
        <v>38</v>
      </c>
      <c r="K1435" s="8">
        <f>Table2[[#This Row],[CurrentStock]]*Table2[[#This Row],[UnitPrice]]</f>
        <v>24393.599999999999</v>
      </c>
      <c r="L1435" t="str">
        <f>IF(Table2[[#This Row],[CurrentStock]]&lt;=Table2[[#This Row],[ReorderLevel]], "Reorder Needed", "Okay")</f>
        <v>Reorder Needed</v>
      </c>
      <c r="M1435" s="7">
        <f>IF(Table2[[#This Row],[CurrentStock]]-Table2[[#This Row],[ReorderLevel]]&lt;0,Table2[[#This Row],[CurrentStock]]-Table2[[#This Row],[ReorderLevel]],"")</f>
        <v>-4</v>
      </c>
      <c r="N1435" t="str">
        <f>IF(Table2[[#This Row],[Stock Gap]]&lt;0, "Understock","Okay")</f>
        <v>Understock</v>
      </c>
      <c r="O1435" s="13" t="str">
        <f>IF(Table2[[#This Row],[Stock Gap]]&lt;0, "Yes", "No")</f>
        <v>Yes</v>
      </c>
      <c r="P1435" s="13" t="str">
        <f>IF(Table2[[#This Row],[CurrentStock]]&lt;Table2[[#This Row],[ReorderLevel]],"Reorder", "Okay")</f>
        <v>Reorder</v>
      </c>
      <c r="Q1435" s="13" t="str">
        <f>IF(Table2[[#This Row],[CurrentStock]]&gt;Table2[[#This Row],[ReorderLevel]]*3, "Overstock", "Okay")</f>
        <v>Okay</v>
      </c>
    </row>
    <row r="1436" spans="1:17" x14ac:dyDescent="0.35">
      <c r="A1436">
        <v>81458</v>
      </c>
      <c r="B1436" t="s">
        <v>23</v>
      </c>
      <c r="C1436" t="s">
        <v>30</v>
      </c>
      <c r="D1436">
        <v>387</v>
      </c>
      <c r="E1436">
        <v>30</v>
      </c>
      <c r="F1436" s="2">
        <v>398.75</v>
      </c>
      <c r="G1436" t="s">
        <v>32</v>
      </c>
      <c r="H1436" s="1">
        <v>45549</v>
      </c>
      <c r="I1436" s="1">
        <v>45570</v>
      </c>
      <c r="J1436" t="s">
        <v>38</v>
      </c>
      <c r="K1436" s="8">
        <f>Table2[[#This Row],[CurrentStock]]*Table2[[#This Row],[UnitPrice]]</f>
        <v>154316.25</v>
      </c>
      <c r="L1436" t="str">
        <f>IF(Table2[[#This Row],[CurrentStock]]&lt;=Table2[[#This Row],[ReorderLevel]], "Reorder Needed", "Okay")</f>
        <v>Okay</v>
      </c>
      <c r="M1436" t="str">
        <f>IF(Table2[[#This Row],[CurrentStock]]-Table2[[#This Row],[ReorderLevel]]&lt;0,Table2[[#This Row],[CurrentStock]]-Table2[[#This Row],[ReorderLevel]],"")</f>
        <v/>
      </c>
      <c r="N1436" t="str">
        <f>IF(Table2[[#This Row],[Stock Gap]]&lt;0, "Understock","Okay")</f>
        <v>Okay</v>
      </c>
      <c r="O1436" s="13" t="str">
        <f>IF(Table2[[#This Row],[Stock Gap]]&lt;0, "Yes", "No")</f>
        <v>No</v>
      </c>
      <c r="P1436" s="13" t="str">
        <f>IF(Table2[[#This Row],[CurrentStock]]&lt;Table2[[#This Row],[ReorderLevel]],"Reorder", "Okay")</f>
        <v>Okay</v>
      </c>
      <c r="Q1436" s="13" t="str">
        <f>IF(Table2[[#This Row],[CurrentStock]]&gt;Table2[[#This Row],[ReorderLevel]]*3, "Overstock", "Okay")</f>
        <v>Overstock</v>
      </c>
    </row>
    <row r="1437" spans="1:17" x14ac:dyDescent="0.35">
      <c r="A1437">
        <v>91748</v>
      </c>
      <c r="B1437" t="s">
        <v>18</v>
      </c>
      <c r="C1437" t="s">
        <v>27</v>
      </c>
      <c r="D1437">
        <v>20</v>
      </c>
      <c r="E1437">
        <v>150</v>
      </c>
      <c r="F1437" s="2">
        <v>101.11</v>
      </c>
      <c r="G1437" t="s">
        <v>35</v>
      </c>
      <c r="H1437" s="1">
        <v>45417</v>
      </c>
      <c r="I1437" s="1">
        <v>45442</v>
      </c>
      <c r="J1437" t="s">
        <v>37</v>
      </c>
      <c r="K1437" s="8">
        <f>Table2[[#This Row],[CurrentStock]]*Table2[[#This Row],[UnitPrice]]</f>
        <v>2022.2</v>
      </c>
      <c r="L1437" t="str">
        <f>IF(Table2[[#This Row],[CurrentStock]]&lt;=Table2[[#This Row],[ReorderLevel]], "Reorder Needed", "Okay")</f>
        <v>Reorder Needed</v>
      </c>
      <c r="M1437" s="7">
        <f>IF(Table2[[#This Row],[CurrentStock]]-Table2[[#This Row],[ReorderLevel]]&lt;0,Table2[[#This Row],[CurrentStock]]-Table2[[#This Row],[ReorderLevel]],"")</f>
        <v>-130</v>
      </c>
      <c r="N1437" t="str">
        <f>IF(Table2[[#This Row],[Stock Gap]]&lt;0, "Understock","Okay")</f>
        <v>Understock</v>
      </c>
      <c r="O1437" s="13" t="str">
        <f>IF(Table2[[#This Row],[Stock Gap]]&lt;0, "Yes", "No")</f>
        <v>Yes</v>
      </c>
      <c r="P1437" s="13" t="str">
        <f>IF(Table2[[#This Row],[CurrentStock]]&lt;Table2[[#This Row],[ReorderLevel]],"Reorder", "Okay")</f>
        <v>Reorder</v>
      </c>
      <c r="Q1437" s="13" t="str">
        <f>IF(Table2[[#This Row],[CurrentStock]]&gt;Table2[[#This Row],[ReorderLevel]]*3, "Overstock", "Okay")</f>
        <v>Okay</v>
      </c>
    </row>
    <row r="1438" spans="1:17" x14ac:dyDescent="0.35">
      <c r="A1438">
        <v>94553</v>
      </c>
      <c r="B1438" t="s">
        <v>15</v>
      </c>
      <c r="C1438" t="s">
        <v>29</v>
      </c>
      <c r="D1438">
        <v>200</v>
      </c>
      <c r="E1438">
        <v>80</v>
      </c>
      <c r="F1438" s="2">
        <v>324.97000000000003</v>
      </c>
      <c r="G1438" t="s">
        <v>31</v>
      </c>
      <c r="H1438" s="1">
        <v>45363</v>
      </c>
      <c r="I1438" s="1">
        <v>45401</v>
      </c>
      <c r="J1438" t="s">
        <v>36</v>
      </c>
      <c r="K1438" s="8">
        <f>Table2[[#This Row],[CurrentStock]]*Table2[[#This Row],[UnitPrice]]</f>
        <v>64994.000000000007</v>
      </c>
      <c r="L1438" t="str">
        <f>IF(Table2[[#This Row],[CurrentStock]]&lt;=Table2[[#This Row],[ReorderLevel]], "Reorder Needed", "Okay")</f>
        <v>Okay</v>
      </c>
      <c r="M1438" t="str">
        <f>IF(Table2[[#This Row],[CurrentStock]]-Table2[[#This Row],[ReorderLevel]]&lt;0,Table2[[#This Row],[CurrentStock]]-Table2[[#This Row],[ReorderLevel]],"")</f>
        <v/>
      </c>
      <c r="N1438" t="str">
        <f>IF(Table2[[#This Row],[Stock Gap]]&lt;0, "Understock","Okay")</f>
        <v>Okay</v>
      </c>
      <c r="O1438" s="13" t="str">
        <f>IF(Table2[[#This Row],[Stock Gap]]&lt;0, "Yes", "No")</f>
        <v>No</v>
      </c>
      <c r="P1438" s="13" t="str">
        <f>IF(Table2[[#This Row],[CurrentStock]]&lt;Table2[[#This Row],[ReorderLevel]],"Reorder", "Okay")</f>
        <v>Okay</v>
      </c>
      <c r="Q1438" s="13" t="str">
        <f>IF(Table2[[#This Row],[CurrentStock]]&gt;Table2[[#This Row],[ReorderLevel]]*3, "Overstock", "Okay")</f>
        <v>Okay</v>
      </c>
    </row>
    <row r="1439" spans="1:17" x14ac:dyDescent="0.35">
      <c r="A1439">
        <v>92762</v>
      </c>
      <c r="B1439" t="s">
        <v>17</v>
      </c>
      <c r="C1439" t="s">
        <v>27</v>
      </c>
      <c r="D1439">
        <v>37</v>
      </c>
      <c r="E1439">
        <v>50</v>
      </c>
      <c r="F1439" s="2">
        <v>306.3</v>
      </c>
      <c r="G1439" t="s">
        <v>32</v>
      </c>
      <c r="H1439" s="1">
        <v>45532</v>
      </c>
      <c r="I1439" s="1">
        <v>45570</v>
      </c>
      <c r="J1439" t="s">
        <v>37</v>
      </c>
      <c r="K1439" s="8">
        <f>Table2[[#This Row],[CurrentStock]]*Table2[[#This Row],[UnitPrice]]</f>
        <v>11333.1</v>
      </c>
      <c r="L1439" t="str">
        <f>IF(Table2[[#This Row],[CurrentStock]]&lt;=Table2[[#This Row],[ReorderLevel]], "Reorder Needed", "Okay")</f>
        <v>Reorder Needed</v>
      </c>
      <c r="M1439" s="7">
        <f>IF(Table2[[#This Row],[CurrentStock]]-Table2[[#This Row],[ReorderLevel]]&lt;0,Table2[[#This Row],[CurrentStock]]-Table2[[#This Row],[ReorderLevel]],"")</f>
        <v>-13</v>
      </c>
      <c r="N1439" t="str">
        <f>IF(Table2[[#This Row],[Stock Gap]]&lt;0, "Understock","Okay")</f>
        <v>Understock</v>
      </c>
      <c r="O1439" s="13" t="str">
        <f>IF(Table2[[#This Row],[Stock Gap]]&lt;0, "Yes", "No")</f>
        <v>Yes</v>
      </c>
      <c r="P1439" s="13" t="str">
        <f>IF(Table2[[#This Row],[CurrentStock]]&lt;Table2[[#This Row],[ReorderLevel]],"Reorder", "Okay")</f>
        <v>Reorder</v>
      </c>
      <c r="Q1439" s="13" t="str">
        <f>IF(Table2[[#This Row],[CurrentStock]]&gt;Table2[[#This Row],[ReorderLevel]]*3, "Overstock", "Okay")</f>
        <v>Okay</v>
      </c>
    </row>
    <row r="1440" spans="1:17" x14ac:dyDescent="0.35">
      <c r="A1440">
        <v>65916</v>
      </c>
      <c r="B1440" t="s">
        <v>13</v>
      </c>
      <c r="C1440" t="s">
        <v>26</v>
      </c>
      <c r="D1440">
        <v>42</v>
      </c>
      <c r="E1440">
        <v>30</v>
      </c>
      <c r="F1440" s="2">
        <v>92.49</v>
      </c>
      <c r="G1440" t="s">
        <v>34</v>
      </c>
      <c r="H1440" s="1">
        <v>45460</v>
      </c>
      <c r="I1440" s="1">
        <v>45484</v>
      </c>
      <c r="J1440" t="s">
        <v>36</v>
      </c>
      <c r="K1440" s="8">
        <f>Table2[[#This Row],[CurrentStock]]*Table2[[#This Row],[UnitPrice]]</f>
        <v>3884.58</v>
      </c>
      <c r="L1440" t="str">
        <f>IF(Table2[[#This Row],[CurrentStock]]&lt;=Table2[[#This Row],[ReorderLevel]], "Reorder Needed", "Okay")</f>
        <v>Okay</v>
      </c>
      <c r="M1440" t="str">
        <f>IF(Table2[[#This Row],[CurrentStock]]-Table2[[#This Row],[ReorderLevel]]&lt;0,Table2[[#This Row],[CurrentStock]]-Table2[[#This Row],[ReorderLevel]],"")</f>
        <v/>
      </c>
      <c r="N1440" t="str">
        <f>IF(Table2[[#This Row],[Stock Gap]]&lt;0, "Understock","Okay")</f>
        <v>Okay</v>
      </c>
      <c r="O1440" s="13" t="str">
        <f>IF(Table2[[#This Row],[Stock Gap]]&lt;0, "Yes", "No")</f>
        <v>No</v>
      </c>
      <c r="P1440" s="13" t="str">
        <f>IF(Table2[[#This Row],[CurrentStock]]&lt;Table2[[#This Row],[ReorderLevel]],"Reorder", "Okay")</f>
        <v>Okay</v>
      </c>
      <c r="Q1440" s="13" t="str">
        <f>IF(Table2[[#This Row],[CurrentStock]]&gt;Table2[[#This Row],[ReorderLevel]]*3, "Overstock", "Okay")</f>
        <v>Okay</v>
      </c>
    </row>
    <row r="1441" spans="1:17" x14ac:dyDescent="0.35">
      <c r="A1441">
        <v>64499</v>
      </c>
      <c r="B1441" t="s">
        <v>20</v>
      </c>
      <c r="C1441" t="s">
        <v>30</v>
      </c>
      <c r="D1441">
        <v>22</v>
      </c>
      <c r="E1441">
        <v>150</v>
      </c>
      <c r="F1441" s="2">
        <v>323.16000000000003</v>
      </c>
      <c r="G1441" t="s">
        <v>32</v>
      </c>
      <c r="H1441" s="1">
        <v>45650</v>
      </c>
      <c r="I1441" s="1">
        <v>45689</v>
      </c>
      <c r="J1441" t="s">
        <v>38</v>
      </c>
      <c r="K1441" s="8">
        <f>Table2[[#This Row],[CurrentStock]]*Table2[[#This Row],[UnitPrice]]</f>
        <v>7109.52</v>
      </c>
      <c r="L1441" t="str">
        <f>IF(Table2[[#This Row],[CurrentStock]]&lt;=Table2[[#This Row],[ReorderLevel]], "Reorder Needed", "Okay")</f>
        <v>Reorder Needed</v>
      </c>
      <c r="M1441" s="7">
        <f>IF(Table2[[#This Row],[CurrentStock]]-Table2[[#This Row],[ReorderLevel]]&lt;0,Table2[[#This Row],[CurrentStock]]-Table2[[#This Row],[ReorderLevel]],"")</f>
        <v>-128</v>
      </c>
      <c r="N1441" t="str">
        <f>IF(Table2[[#This Row],[Stock Gap]]&lt;0, "Understock","Okay")</f>
        <v>Understock</v>
      </c>
      <c r="O1441" s="13" t="str">
        <f>IF(Table2[[#This Row],[Stock Gap]]&lt;0, "Yes", "No")</f>
        <v>Yes</v>
      </c>
      <c r="P1441" s="13" t="str">
        <f>IF(Table2[[#This Row],[CurrentStock]]&lt;Table2[[#This Row],[ReorderLevel]],"Reorder", "Okay")</f>
        <v>Reorder</v>
      </c>
      <c r="Q1441" s="13" t="str">
        <f>IF(Table2[[#This Row],[CurrentStock]]&gt;Table2[[#This Row],[ReorderLevel]]*3, "Overstock", "Okay")</f>
        <v>Okay</v>
      </c>
    </row>
    <row r="1442" spans="1:17" x14ac:dyDescent="0.35">
      <c r="A1442">
        <v>98131</v>
      </c>
      <c r="B1442" t="s">
        <v>25</v>
      </c>
      <c r="C1442" t="s">
        <v>29</v>
      </c>
      <c r="D1442">
        <v>253</v>
      </c>
      <c r="E1442">
        <v>100</v>
      </c>
      <c r="F1442" s="2">
        <v>176.32</v>
      </c>
      <c r="G1442" t="s">
        <v>33</v>
      </c>
      <c r="H1442" s="1">
        <v>45478</v>
      </c>
      <c r="I1442" s="1">
        <v>45486</v>
      </c>
      <c r="J1442" t="s">
        <v>37</v>
      </c>
      <c r="K1442" s="8">
        <f>Table2[[#This Row],[CurrentStock]]*Table2[[#This Row],[UnitPrice]]</f>
        <v>44608.959999999999</v>
      </c>
      <c r="L1442" t="str">
        <f>IF(Table2[[#This Row],[CurrentStock]]&lt;=Table2[[#This Row],[ReorderLevel]], "Reorder Needed", "Okay")</f>
        <v>Okay</v>
      </c>
      <c r="M1442" t="str">
        <f>IF(Table2[[#This Row],[CurrentStock]]-Table2[[#This Row],[ReorderLevel]]&lt;0,Table2[[#This Row],[CurrentStock]]-Table2[[#This Row],[ReorderLevel]],"")</f>
        <v/>
      </c>
      <c r="N1442" t="str">
        <f>IF(Table2[[#This Row],[Stock Gap]]&lt;0, "Understock","Okay")</f>
        <v>Okay</v>
      </c>
      <c r="O1442" s="13" t="str">
        <f>IF(Table2[[#This Row],[Stock Gap]]&lt;0, "Yes", "No")</f>
        <v>No</v>
      </c>
      <c r="P1442" s="13" t="str">
        <f>IF(Table2[[#This Row],[CurrentStock]]&lt;Table2[[#This Row],[ReorderLevel]],"Reorder", "Okay")</f>
        <v>Okay</v>
      </c>
      <c r="Q1442" s="13" t="str">
        <f>IF(Table2[[#This Row],[CurrentStock]]&gt;Table2[[#This Row],[ReorderLevel]]*3, "Overstock", "Okay")</f>
        <v>Okay</v>
      </c>
    </row>
    <row r="1443" spans="1:17" x14ac:dyDescent="0.35">
      <c r="A1443">
        <v>13447</v>
      </c>
      <c r="B1443" t="s">
        <v>16</v>
      </c>
      <c r="C1443" t="s">
        <v>29</v>
      </c>
      <c r="D1443">
        <v>152</v>
      </c>
      <c r="E1443">
        <v>100</v>
      </c>
      <c r="F1443" s="2">
        <v>238.61</v>
      </c>
      <c r="G1443" t="s">
        <v>31</v>
      </c>
      <c r="H1443" s="1">
        <v>45453</v>
      </c>
      <c r="I1443" s="1">
        <v>45479</v>
      </c>
      <c r="J1443" t="s">
        <v>37</v>
      </c>
      <c r="K1443" s="8">
        <f>Table2[[#This Row],[CurrentStock]]*Table2[[#This Row],[UnitPrice]]</f>
        <v>36268.720000000001</v>
      </c>
      <c r="L1443" t="str">
        <f>IF(Table2[[#This Row],[CurrentStock]]&lt;=Table2[[#This Row],[ReorderLevel]], "Reorder Needed", "Okay")</f>
        <v>Okay</v>
      </c>
      <c r="M1443" t="str">
        <f>IF(Table2[[#This Row],[CurrentStock]]-Table2[[#This Row],[ReorderLevel]]&lt;0,Table2[[#This Row],[CurrentStock]]-Table2[[#This Row],[ReorderLevel]],"")</f>
        <v/>
      </c>
      <c r="N1443" t="str">
        <f>IF(Table2[[#This Row],[Stock Gap]]&lt;0, "Understock","Okay")</f>
        <v>Okay</v>
      </c>
      <c r="O1443" s="13" t="str">
        <f>IF(Table2[[#This Row],[Stock Gap]]&lt;0, "Yes", "No")</f>
        <v>No</v>
      </c>
      <c r="P1443" s="13" t="str">
        <f>IF(Table2[[#This Row],[CurrentStock]]&lt;Table2[[#This Row],[ReorderLevel]],"Reorder", "Okay")</f>
        <v>Okay</v>
      </c>
      <c r="Q1443" s="13" t="str">
        <f>IF(Table2[[#This Row],[CurrentStock]]&gt;Table2[[#This Row],[ReorderLevel]]*3, "Overstock", "Okay")</f>
        <v>Okay</v>
      </c>
    </row>
    <row r="1444" spans="1:17" x14ac:dyDescent="0.35">
      <c r="A1444">
        <v>93205</v>
      </c>
      <c r="B1444" t="s">
        <v>24</v>
      </c>
      <c r="C1444" t="s">
        <v>30</v>
      </c>
      <c r="D1444">
        <v>291</v>
      </c>
      <c r="E1444">
        <v>150</v>
      </c>
      <c r="F1444" s="2">
        <v>412.26</v>
      </c>
      <c r="G1444" t="s">
        <v>32</v>
      </c>
      <c r="H1444" s="1">
        <v>45413</v>
      </c>
      <c r="I1444" s="1">
        <v>45449</v>
      </c>
      <c r="J1444" t="s">
        <v>38</v>
      </c>
      <c r="K1444" s="8">
        <f>Table2[[#This Row],[CurrentStock]]*Table2[[#This Row],[UnitPrice]]</f>
        <v>119967.66</v>
      </c>
      <c r="L1444" t="str">
        <f>IF(Table2[[#This Row],[CurrentStock]]&lt;=Table2[[#This Row],[ReorderLevel]], "Reorder Needed", "Okay")</f>
        <v>Okay</v>
      </c>
      <c r="M1444" t="str">
        <f>IF(Table2[[#This Row],[CurrentStock]]-Table2[[#This Row],[ReorderLevel]]&lt;0,Table2[[#This Row],[CurrentStock]]-Table2[[#This Row],[ReorderLevel]],"")</f>
        <v/>
      </c>
      <c r="N1444" t="str">
        <f>IF(Table2[[#This Row],[Stock Gap]]&lt;0, "Understock","Okay")</f>
        <v>Okay</v>
      </c>
      <c r="O1444" s="13" t="str">
        <f>IF(Table2[[#This Row],[Stock Gap]]&lt;0, "Yes", "No")</f>
        <v>No</v>
      </c>
      <c r="P1444" s="13" t="str">
        <f>IF(Table2[[#This Row],[CurrentStock]]&lt;Table2[[#This Row],[ReorderLevel]],"Reorder", "Okay")</f>
        <v>Okay</v>
      </c>
      <c r="Q1444" s="13" t="str">
        <f>IF(Table2[[#This Row],[CurrentStock]]&gt;Table2[[#This Row],[ReorderLevel]]*3, "Overstock", "Okay")</f>
        <v>Okay</v>
      </c>
    </row>
    <row r="1445" spans="1:17" x14ac:dyDescent="0.35">
      <c r="A1445">
        <v>97185</v>
      </c>
      <c r="B1445" t="s">
        <v>12</v>
      </c>
      <c r="C1445" t="s">
        <v>28</v>
      </c>
      <c r="D1445">
        <v>410</v>
      </c>
      <c r="E1445">
        <v>20</v>
      </c>
      <c r="F1445" s="2">
        <v>340.16</v>
      </c>
      <c r="G1445" t="s">
        <v>33</v>
      </c>
      <c r="H1445" s="1">
        <v>45316</v>
      </c>
      <c r="I1445" s="1">
        <v>45342</v>
      </c>
      <c r="J1445" t="s">
        <v>37</v>
      </c>
      <c r="K1445" s="8">
        <f>Table2[[#This Row],[CurrentStock]]*Table2[[#This Row],[UnitPrice]]</f>
        <v>139465.60000000001</v>
      </c>
      <c r="L1445" t="str">
        <f>IF(Table2[[#This Row],[CurrentStock]]&lt;=Table2[[#This Row],[ReorderLevel]], "Reorder Needed", "Okay")</f>
        <v>Okay</v>
      </c>
      <c r="M1445" t="str">
        <f>IF(Table2[[#This Row],[CurrentStock]]-Table2[[#This Row],[ReorderLevel]]&lt;0,Table2[[#This Row],[CurrentStock]]-Table2[[#This Row],[ReorderLevel]],"")</f>
        <v/>
      </c>
      <c r="N1445" t="str">
        <f>IF(Table2[[#This Row],[Stock Gap]]&lt;0, "Understock","Okay")</f>
        <v>Okay</v>
      </c>
      <c r="O1445" s="13" t="str">
        <f>IF(Table2[[#This Row],[Stock Gap]]&lt;0, "Yes", "No")</f>
        <v>No</v>
      </c>
      <c r="P1445" s="13" t="str">
        <f>IF(Table2[[#This Row],[CurrentStock]]&lt;Table2[[#This Row],[ReorderLevel]],"Reorder", "Okay")</f>
        <v>Okay</v>
      </c>
      <c r="Q1445" s="13" t="str">
        <f>IF(Table2[[#This Row],[CurrentStock]]&gt;Table2[[#This Row],[ReorderLevel]]*3, "Overstock", "Okay")</f>
        <v>Overstock</v>
      </c>
    </row>
    <row r="1446" spans="1:17" x14ac:dyDescent="0.35">
      <c r="A1446">
        <v>52477</v>
      </c>
      <c r="B1446" t="s">
        <v>19</v>
      </c>
      <c r="C1446" t="s">
        <v>28</v>
      </c>
      <c r="D1446">
        <v>422</v>
      </c>
      <c r="E1446">
        <v>20</v>
      </c>
      <c r="F1446" s="2">
        <v>166.99</v>
      </c>
      <c r="G1446" t="s">
        <v>35</v>
      </c>
      <c r="H1446" s="1">
        <v>45365</v>
      </c>
      <c r="I1446" s="1">
        <v>45403</v>
      </c>
      <c r="J1446" t="s">
        <v>38</v>
      </c>
      <c r="K1446" s="8">
        <f>Table2[[#This Row],[CurrentStock]]*Table2[[#This Row],[UnitPrice]]</f>
        <v>70469.78</v>
      </c>
      <c r="L1446" t="str">
        <f>IF(Table2[[#This Row],[CurrentStock]]&lt;=Table2[[#This Row],[ReorderLevel]], "Reorder Needed", "Okay")</f>
        <v>Okay</v>
      </c>
      <c r="M1446" t="str">
        <f>IF(Table2[[#This Row],[CurrentStock]]-Table2[[#This Row],[ReorderLevel]]&lt;0,Table2[[#This Row],[CurrentStock]]-Table2[[#This Row],[ReorderLevel]],"")</f>
        <v/>
      </c>
      <c r="N1446" t="str">
        <f>IF(Table2[[#This Row],[Stock Gap]]&lt;0, "Understock","Okay")</f>
        <v>Okay</v>
      </c>
      <c r="O1446" s="13" t="str">
        <f>IF(Table2[[#This Row],[Stock Gap]]&lt;0, "Yes", "No")</f>
        <v>No</v>
      </c>
      <c r="P1446" s="13" t="str">
        <f>IF(Table2[[#This Row],[CurrentStock]]&lt;Table2[[#This Row],[ReorderLevel]],"Reorder", "Okay")</f>
        <v>Okay</v>
      </c>
      <c r="Q1446" s="13" t="str">
        <f>IF(Table2[[#This Row],[CurrentStock]]&gt;Table2[[#This Row],[ReorderLevel]]*3, "Overstock", "Okay")</f>
        <v>Overstock</v>
      </c>
    </row>
    <row r="1447" spans="1:17" x14ac:dyDescent="0.35">
      <c r="A1447">
        <v>78774</v>
      </c>
      <c r="B1447" t="s">
        <v>22</v>
      </c>
      <c r="C1447" t="s">
        <v>29</v>
      </c>
      <c r="D1447">
        <v>424</v>
      </c>
      <c r="E1447">
        <v>80</v>
      </c>
      <c r="F1447" s="2">
        <v>264.38</v>
      </c>
      <c r="G1447" t="s">
        <v>31</v>
      </c>
      <c r="H1447" s="1">
        <v>45433</v>
      </c>
      <c r="I1447" s="1">
        <v>45446</v>
      </c>
      <c r="J1447" t="s">
        <v>37</v>
      </c>
      <c r="K1447" s="8">
        <f>Table2[[#This Row],[CurrentStock]]*Table2[[#This Row],[UnitPrice]]</f>
        <v>112097.12</v>
      </c>
      <c r="L1447" t="str">
        <f>IF(Table2[[#This Row],[CurrentStock]]&lt;=Table2[[#This Row],[ReorderLevel]], "Reorder Needed", "Okay")</f>
        <v>Okay</v>
      </c>
      <c r="M1447" t="str">
        <f>IF(Table2[[#This Row],[CurrentStock]]-Table2[[#This Row],[ReorderLevel]]&lt;0,Table2[[#This Row],[CurrentStock]]-Table2[[#This Row],[ReorderLevel]],"")</f>
        <v/>
      </c>
      <c r="N1447" t="str">
        <f>IF(Table2[[#This Row],[Stock Gap]]&lt;0, "Understock","Okay")</f>
        <v>Okay</v>
      </c>
      <c r="O1447" s="13" t="str">
        <f>IF(Table2[[#This Row],[Stock Gap]]&lt;0, "Yes", "No")</f>
        <v>No</v>
      </c>
      <c r="P1447" s="13" t="str">
        <f>IF(Table2[[#This Row],[CurrentStock]]&lt;Table2[[#This Row],[ReorderLevel]],"Reorder", "Okay")</f>
        <v>Okay</v>
      </c>
      <c r="Q1447" s="13" t="str">
        <f>IF(Table2[[#This Row],[CurrentStock]]&gt;Table2[[#This Row],[ReorderLevel]]*3, "Overstock", "Okay")</f>
        <v>Overstock</v>
      </c>
    </row>
    <row r="1448" spans="1:17" x14ac:dyDescent="0.35">
      <c r="A1448">
        <v>84237</v>
      </c>
      <c r="B1448" t="s">
        <v>18</v>
      </c>
      <c r="C1448" t="s">
        <v>27</v>
      </c>
      <c r="D1448">
        <v>18</v>
      </c>
      <c r="E1448">
        <v>30</v>
      </c>
      <c r="F1448" s="2">
        <v>220.84</v>
      </c>
      <c r="G1448" t="s">
        <v>31</v>
      </c>
      <c r="H1448" s="1">
        <v>45466</v>
      </c>
      <c r="I1448" s="1">
        <v>45489</v>
      </c>
      <c r="J1448" t="s">
        <v>38</v>
      </c>
      <c r="K1448" s="8">
        <f>Table2[[#This Row],[CurrentStock]]*Table2[[#This Row],[UnitPrice]]</f>
        <v>3975.12</v>
      </c>
      <c r="L1448" t="str">
        <f>IF(Table2[[#This Row],[CurrentStock]]&lt;=Table2[[#This Row],[ReorderLevel]], "Reorder Needed", "Okay")</f>
        <v>Reorder Needed</v>
      </c>
      <c r="M1448" s="7">
        <f>IF(Table2[[#This Row],[CurrentStock]]-Table2[[#This Row],[ReorderLevel]]&lt;0,Table2[[#This Row],[CurrentStock]]-Table2[[#This Row],[ReorderLevel]],"")</f>
        <v>-12</v>
      </c>
      <c r="N1448" t="str">
        <f>IF(Table2[[#This Row],[Stock Gap]]&lt;0, "Understock","Okay")</f>
        <v>Understock</v>
      </c>
      <c r="O1448" s="13" t="str">
        <f>IF(Table2[[#This Row],[Stock Gap]]&lt;0, "Yes", "No")</f>
        <v>Yes</v>
      </c>
      <c r="P1448" s="13" t="str">
        <f>IF(Table2[[#This Row],[CurrentStock]]&lt;Table2[[#This Row],[ReorderLevel]],"Reorder", "Okay")</f>
        <v>Reorder</v>
      </c>
      <c r="Q1448" s="13" t="str">
        <f>IF(Table2[[#This Row],[CurrentStock]]&gt;Table2[[#This Row],[ReorderLevel]]*3, "Overstock", "Okay")</f>
        <v>Okay</v>
      </c>
    </row>
    <row r="1449" spans="1:17" x14ac:dyDescent="0.35">
      <c r="A1449">
        <v>10434</v>
      </c>
      <c r="B1449" t="s">
        <v>14</v>
      </c>
      <c r="C1449" t="s">
        <v>28</v>
      </c>
      <c r="D1449">
        <v>80</v>
      </c>
      <c r="E1449">
        <v>100</v>
      </c>
      <c r="F1449" s="2">
        <v>29.76</v>
      </c>
      <c r="G1449" t="s">
        <v>35</v>
      </c>
      <c r="H1449" s="1">
        <v>45574</v>
      </c>
      <c r="I1449" s="1">
        <v>45597</v>
      </c>
      <c r="J1449" t="s">
        <v>37</v>
      </c>
      <c r="K1449" s="8">
        <f>Table2[[#This Row],[CurrentStock]]*Table2[[#This Row],[UnitPrice]]</f>
        <v>2380.8000000000002</v>
      </c>
      <c r="L1449" t="str">
        <f>IF(Table2[[#This Row],[CurrentStock]]&lt;=Table2[[#This Row],[ReorderLevel]], "Reorder Needed", "Okay")</f>
        <v>Reorder Needed</v>
      </c>
      <c r="M1449" s="7">
        <f>IF(Table2[[#This Row],[CurrentStock]]-Table2[[#This Row],[ReorderLevel]]&lt;0,Table2[[#This Row],[CurrentStock]]-Table2[[#This Row],[ReorderLevel]],"")</f>
        <v>-20</v>
      </c>
      <c r="N1449" t="str">
        <f>IF(Table2[[#This Row],[Stock Gap]]&lt;0, "Understock","Okay")</f>
        <v>Understock</v>
      </c>
      <c r="O1449" s="13" t="str">
        <f>IF(Table2[[#This Row],[Stock Gap]]&lt;0, "Yes", "No")</f>
        <v>Yes</v>
      </c>
      <c r="P1449" s="13" t="str">
        <f>IF(Table2[[#This Row],[CurrentStock]]&lt;Table2[[#This Row],[ReorderLevel]],"Reorder", "Okay")</f>
        <v>Reorder</v>
      </c>
      <c r="Q1449" s="13" t="str">
        <f>IF(Table2[[#This Row],[CurrentStock]]&gt;Table2[[#This Row],[ReorderLevel]]*3, "Overstock", "Okay")</f>
        <v>Okay</v>
      </c>
    </row>
    <row r="1450" spans="1:17" x14ac:dyDescent="0.35">
      <c r="A1450">
        <v>49593</v>
      </c>
      <c r="B1450" t="s">
        <v>19</v>
      </c>
      <c r="C1450" t="s">
        <v>28</v>
      </c>
      <c r="D1450">
        <v>93</v>
      </c>
      <c r="E1450">
        <v>20</v>
      </c>
      <c r="F1450" s="2">
        <v>425.13</v>
      </c>
      <c r="G1450" t="s">
        <v>33</v>
      </c>
      <c r="H1450" s="1">
        <v>45477</v>
      </c>
      <c r="I1450" s="1">
        <v>45489</v>
      </c>
      <c r="J1450" t="s">
        <v>38</v>
      </c>
      <c r="K1450" s="8">
        <f>Table2[[#This Row],[CurrentStock]]*Table2[[#This Row],[UnitPrice]]</f>
        <v>39537.089999999997</v>
      </c>
      <c r="L1450" t="str">
        <f>IF(Table2[[#This Row],[CurrentStock]]&lt;=Table2[[#This Row],[ReorderLevel]], "Reorder Needed", "Okay")</f>
        <v>Okay</v>
      </c>
      <c r="M1450" t="str">
        <f>IF(Table2[[#This Row],[CurrentStock]]-Table2[[#This Row],[ReorderLevel]]&lt;0,Table2[[#This Row],[CurrentStock]]-Table2[[#This Row],[ReorderLevel]],"")</f>
        <v/>
      </c>
      <c r="N1450" t="str">
        <f>IF(Table2[[#This Row],[Stock Gap]]&lt;0, "Understock","Okay")</f>
        <v>Okay</v>
      </c>
      <c r="O1450" s="13" t="str">
        <f>IF(Table2[[#This Row],[Stock Gap]]&lt;0, "Yes", "No")</f>
        <v>No</v>
      </c>
      <c r="P1450" s="13" t="str">
        <f>IF(Table2[[#This Row],[CurrentStock]]&lt;Table2[[#This Row],[ReorderLevel]],"Reorder", "Okay")</f>
        <v>Okay</v>
      </c>
      <c r="Q1450" s="13" t="str">
        <f>IF(Table2[[#This Row],[CurrentStock]]&gt;Table2[[#This Row],[ReorderLevel]]*3, "Overstock", "Okay")</f>
        <v>Overstock</v>
      </c>
    </row>
    <row r="1451" spans="1:17" x14ac:dyDescent="0.35">
      <c r="A1451">
        <v>20596</v>
      </c>
      <c r="B1451" t="s">
        <v>22</v>
      </c>
      <c r="C1451" t="s">
        <v>29</v>
      </c>
      <c r="D1451">
        <v>273</v>
      </c>
      <c r="E1451">
        <v>30</v>
      </c>
      <c r="F1451" s="2">
        <v>17.66</v>
      </c>
      <c r="G1451" t="s">
        <v>31</v>
      </c>
      <c r="H1451" s="1">
        <v>45503</v>
      </c>
      <c r="I1451" s="1">
        <v>45523</v>
      </c>
      <c r="J1451" t="s">
        <v>38</v>
      </c>
      <c r="K1451" s="8">
        <f>Table2[[#This Row],[CurrentStock]]*Table2[[#This Row],[UnitPrice]]</f>
        <v>4821.18</v>
      </c>
      <c r="L1451" t="str">
        <f>IF(Table2[[#This Row],[CurrentStock]]&lt;=Table2[[#This Row],[ReorderLevel]], "Reorder Needed", "Okay")</f>
        <v>Okay</v>
      </c>
      <c r="M1451" t="str">
        <f>IF(Table2[[#This Row],[CurrentStock]]-Table2[[#This Row],[ReorderLevel]]&lt;0,Table2[[#This Row],[CurrentStock]]-Table2[[#This Row],[ReorderLevel]],"")</f>
        <v/>
      </c>
      <c r="N1451" t="str">
        <f>IF(Table2[[#This Row],[Stock Gap]]&lt;0, "Understock","Okay")</f>
        <v>Okay</v>
      </c>
      <c r="O1451" s="13" t="str">
        <f>IF(Table2[[#This Row],[Stock Gap]]&lt;0, "Yes", "No")</f>
        <v>No</v>
      </c>
      <c r="P1451" s="13" t="str">
        <f>IF(Table2[[#This Row],[CurrentStock]]&lt;Table2[[#This Row],[ReorderLevel]],"Reorder", "Okay")</f>
        <v>Okay</v>
      </c>
      <c r="Q1451" s="13" t="str">
        <f>IF(Table2[[#This Row],[CurrentStock]]&gt;Table2[[#This Row],[ReorderLevel]]*3, "Overstock", "Okay")</f>
        <v>Overstock</v>
      </c>
    </row>
    <row r="1452" spans="1:17" x14ac:dyDescent="0.35">
      <c r="A1452">
        <v>55810</v>
      </c>
      <c r="B1452" t="s">
        <v>12</v>
      </c>
      <c r="C1452" t="s">
        <v>28</v>
      </c>
      <c r="D1452">
        <v>255</v>
      </c>
      <c r="E1452">
        <v>30</v>
      </c>
      <c r="F1452" s="2">
        <v>297.11</v>
      </c>
      <c r="G1452" t="s">
        <v>34</v>
      </c>
      <c r="H1452" s="1">
        <v>45570</v>
      </c>
      <c r="I1452" s="1">
        <v>45578</v>
      </c>
      <c r="J1452" t="s">
        <v>36</v>
      </c>
      <c r="K1452" s="8">
        <f>Table2[[#This Row],[CurrentStock]]*Table2[[#This Row],[UnitPrice]]</f>
        <v>75763.05</v>
      </c>
      <c r="L1452" t="str">
        <f>IF(Table2[[#This Row],[CurrentStock]]&lt;=Table2[[#This Row],[ReorderLevel]], "Reorder Needed", "Okay")</f>
        <v>Okay</v>
      </c>
      <c r="M1452" t="str">
        <f>IF(Table2[[#This Row],[CurrentStock]]-Table2[[#This Row],[ReorderLevel]]&lt;0,Table2[[#This Row],[CurrentStock]]-Table2[[#This Row],[ReorderLevel]],"")</f>
        <v/>
      </c>
      <c r="N1452" t="str">
        <f>IF(Table2[[#This Row],[Stock Gap]]&lt;0, "Understock","Okay")</f>
        <v>Okay</v>
      </c>
      <c r="O1452" s="13" t="str">
        <f>IF(Table2[[#This Row],[Stock Gap]]&lt;0, "Yes", "No")</f>
        <v>No</v>
      </c>
      <c r="P1452" s="13" t="str">
        <f>IF(Table2[[#This Row],[CurrentStock]]&lt;Table2[[#This Row],[ReorderLevel]],"Reorder", "Okay")</f>
        <v>Okay</v>
      </c>
      <c r="Q1452" s="13" t="str">
        <f>IF(Table2[[#This Row],[CurrentStock]]&gt;Table2[[#This Row],[ReorderLevel]]*3, "Overstock", "Okay")</f>
        <v>Overstock</v>
      </c>
    </row>
    <row r="1453" spans="1:17" x14ac:dyDescent="0.35">
      <c r="A1453">
        <v>28615</v>
      </c>
      <c r="B1453" t="s">
        <v>9</v>
      </c>
      <c r="C1453" t="s">
        <v>26</v>
      </c>
      <c r="D1453">
        <v>215</v>
      </c>
      <c r="E1453">
        <v>80</v>
      </c>
      <c r="F1453" s="2">
        <v>229.23</v>
      </c>
      <c r="G1453" t="s">
        <v>34</v>
      </c>
      <c r="H1453" s="1">
        <v>45346</v>
      </c>
      <c r="I1453" s="1">
        <v>45366</v>
      </c>
      <c r="J1453" t="s">
        <v>38</v>
      </c>
      <c r="K1453" s="8">
        <f>Table2[[#This Row],[CurrentStock]]*Table2[[#This Row],[UnitPrice]]</f>
        <v>49284.45</v>
      </c>
      <c r="L1453" t="str">
        <f>IF(Table2[[#This Row],[CurrentStock]]&lt;=Table2[[#This Row],[ReorderLevel]], "Reorder Needed", "Okay")</f>
        <v>Okay</v>
      </c>
      <c r="M1453" t="str">
        <f>IF(Table2[[#This Row],[CurrentStock]]-Table2[[#This Row],[ReorderLevel]]&lt;0,Table2[[#This Row],[CurrentStock]]-Table2[[#This Row],[ReorderLevel]],"")</f>
        <v/>
      </c>
      <c r="N1453" t="str">
        <f>IF(Table2[[#This Row],[Stock Gap]]&lt;0, "Understock","Okay")</f>
        <v>Okay</v>
      </c>
      <c r="O1453" s="13" t="str">
        <f>IF(Table2[[#This Row],[Stock Gap]]&lt;0, "Yes", "No")</f>
        <v>No</v>
      </c>
      <c r="P1453" s="13" t="str">
        <f>IF(Table2[[#This Row],[CurrentStock]]&lt;Table2[[#This Row],[ReorderLevel]],"Reorder", "Okay")</f>
        <v>Okay</v>
      </c>
      <c r="Q1453" s="13" t="str">
        <f>IF(Table2[[#This Row],[CurrentStock]]&gt;Table2[[#This Row],[ReorderLevel]]*3, "Overstock", "Okay")</f>
        <v>Okay</v>
      </c>
    </row>
    <row r="1454" spans="1:17" x14ac:dyDescent="0.35">
      <c r="A1454">
        <v>15700</v>
      </c>
      <c r="B1454" t="s">
        <v>18</v>
      </c>
      <c r="C1454" t="s">
        <v>27</v>
      </c>
      <c r="D1454">
        <v>428</v>
      </c>
      <c r="E1454">
        <v>20</v>
      </c>
      <c r="F1454" s="2">
        <v>391.23</v>
      </c>
      <c r="G1454" t="s">
        <v>34</v>
      </c>
      <c r="H1454" s="1">
        <v>45516</v>
      </c>
      <c r="I1454" s="1">
        <v>45521</v>
      </c>
      <c r="J1454" t="s">
        <v>38</v>
      </c>
      <c r="K1454" s="8">
        <f>Table2[[#This Row],[CurrentStock]]*Table2[[#This Row],[UnitPrice]]</f>
        <v>167446.44</v>
      </c>
      <c r="L1454" t="str">
        <f>IF(Table2[[#This Row],[CurrentStock]]&lt;=Table2[[#This Row],[ReorderLevel]], "Reorder Needed", "Okay")</f>
        <v>Okay</v>
      </c>
      <c r="M1454" t="str">
        <f>IF(Table2[[#This Row],[CurrentStock]]-Table2[[#This Row],[ReorderLevel]]&lt;0,Table2[[#This Row],[CurrentStock]]-Table2[[#This Row],[ReorderLevel]],"")</f>
        <v/>
      </c>
      <c r="N1454" t="str">
        <f>IF(Table2[[#This Row],[Stock Gap]]&lt;0, "Understock","Okay")</f>
        <v>Okay</v>
      </c>
      <c r="O1454" s="13" t="str">
        <f>IF(Table2[[#This Row],[Stock Gap]]&lt;0, "Yes", "No")</f>
        <v>No</v>
      </c>
      <c r="P1454" s="13" t="str">
        <f>IF(Table2[[#This Row],[CurrentStock]]&lt;Table2[[#This Row],[ReorderLevel]],"Reorder", "Okay")</f>
        <v>Okay</v>
      </c>
      <c r="Q1454" s="13" t="str">
        <f>IF(Table2[[#This Row],[CurrentStock]]&gt;Table2[[#This Row],[ReorderLevel]]*3, "Overstock", "Okay")</f>
        <v>Overstock</v>
      </c>
    </row>
    <row r="1455" spans="1:17" x14ac:dyDescent="0.35">
      <c r="A1455">
        <v>70611</v>
      </c>
      <c r="B1455" t="s">
        <v>9</v>
      </c>
      <c r="C1455" t="s">
        <v>26</v>
      </c>
      <c r="D1455">
        <v>281</v>
      </c>
      <c r="E1455">
        <v>50</v>
      </c>
      <c r="F1455" s="2">
        <v>269.42</v>
      </c>
      <c r="G1455" t="s">
        <v>31</v>
      </c>
      <c r="H1455" s="1">
        <v>45425</v>
      </c>
      <c r="I1455" s="1">
        <v>45456</v>
      </c>
      <c r="J1455" t="s">
        <v>36</v>
      </c>
      <c r="K1455" s="8">
        <f>Table2[[#This Row],[CurrentStock]]*Table2[[#This Row],[UnitPrice]]</f>
        <v>75707.02</v>
      </c>
      <c r="L1455" t="str">
        <f>IF(Table2[[#This Row],[CurrentStock]]&lt;=Table2[[#This Row],[ReorderLevel]], "Reorder Needed", "Okay")</f>
        <v>Okay</v>
      </c>
      <c r="M1455" t="str">
        <f>IF(Table2[[#This Row],[CurrentStock]]-Table2[[#This Row],[ReorderLevel]]&lt;0,Table2[[#This Row],[CurrentStock]]-Table2[[#This Row],[ReorderLevel]],"")</f>
        <v/>
      </c>
      <c r="N1455" t="str">
        <f>IF(Table2[[#This Row],[Stock Gap]]&lt;0, "Understock","Okay")</f>
        <v>Okay</v>
      </c>
      <c r="O1455" s="13" t="str">
        <f>IF(Table2[[#This Row],[Stock Gap]]&lt;0, "Yes", "No")</f>
        <v>No</v>
      </c>
      <c r="P1455" s="13" t="str">
        <f>IF(Table2[[#This Row],[CurrentStock]]&lt;Table2[[#This Row],[ReorderLevel]],"Reorder", "Okay")</f>
        <v>Okay</v>
      </c>
      <c r="Q1455" s="13" t="str">
        <f>IF(Table2[[#This Row],[CurrentStock]]&gt;Table2[[#This Row],[ReorderLevel]]*3, "Overstock", "Okay")</f>
        <v>Overstock</v>
      </c>
    </row>
    <row r="1456" spans="1:17" x14ac:dyDescent="0.35">
      <c r="A1456">
        <v>37685</v>
      </c>
      <c r="B1456" t="s">
        <v>24</v>
      </c>
      <c r="C1456" t="s">
        <v>30</v>
      </c>
      <c r="D1456">
        <v>386</v>
      </c>
      <c r="E1456">
        <v>100</v>
      </c>
      <c r="F1456" s="2">
        <v>40.15</v>
      </c>
      <c r="G1456" t="s">
        <v>35</v>
      </c>
      <c r="H1456" s="1">
        <v>45321</v>
      </c>
      <c r="I1456" s="1">
        <v>45346</v>
      </c>
      <c r="J1456" t="s">
        <v>38</v>
      </c>
      <c r="K1456" s="8">
        <f>Table2[[#This Row],[CurrentStock]]*Table2[[#This Row],[UnitPrice]]</f>
        <v>15497.9</v>
      </c>
      <c r="L1456" t="str">
        <f>IF(Table2[[#This Row],[CurrentStock]]&lt;=Table2[[#This Row],[ReorderLevel]], "Reorder Needed", "Okay")</f>
        <v>Okay</v>
      </c>
      <c r="M1456" t="str">
        <f>IF(Table2[[#This Row],[CurrentStock]]-Table2[[#This Row],[ReorderLevel]]&lt;0,Table2[[#This Row],[CurrentStock]]-Table2[[#This Row],[ReorderLevel]],"")</f>
        <v/>
      </c>
      <c r="N1456" t="str">
        <f>IF(Table2[[#This Row],[Stock Gap]]&lt;0, "Understock","Okay")</f>
        <v>Okay</v>
      </c>
      <c r="O1456" s="13" t="str">
        <f>IF(Table2[[#This Row],[Stock Gap]]&lt;0, "Yes", "No")</f>
        <v>No</v>
      </c>
      <c r="P1456" s="13" t="str">
        <f>IF(Table2[[#This Row],[CurrentStock]]&lt;Table2[[#This Row],[ReorderLevel]],"Reorder", "Okay")</f>
        <v>Okay</v>
      </c>
      <c r="Q1456" s="13" t="str">
        <f>IF(Table2[[#This Row],[CurrentStock]]&gt;Table2[[#This Row],[ReorderLevel]]*3, "Overstock", "Okay")</f>
        <v>Overstock</v>
      </c>
    </row>
    <row r="1457" spans="1:17" x14ac:dyDescent="0.35">
      <c r="A1457">
        <v>16584</v>
      </c>
      <c r="B1457" t="s">
        <v>23</v>
      </c>
      <c r="C1457" t="s">
        <v>30</v>
      </c>
      <c r="D1457">
        <v>111</v>
      </c>
      <c r="E1457">
        <v>100</v>
      </c>
      <c r="F1457" s="2">
        <v>216.78</v>
      </c>
      <c r="G1457" t="s">
        <v>35</v>
      </c>
      <c r="H1457" s="1">
        <v>45436</v>
      </c>
      <c r="I1457" s="1">
        <v>45458</v>
      </c>
      <c r="J1457" t="s">
        <v>38</v>
      </c>
      <c r="K1457" s="8">
        <f>Table2[[#This Row],[CurrentStock]]*Table2[[#This Row],[UnitPrice]]</f>
        <v>24062.58</v>
      </c>
      <c r="L1457" t="str">
        <f>IF(Table2[[#This Row],[CurrentStock]]&lt;=Table2[[#This Row],[ReorderLevel]], "Reorder Needed", "Okay")</f>
        <v>Okay</v>
      </c>
      <c r="M1457" t="str">
        <f>IF(Table2[[#This Row],[CurrentStock]]-Table2[[#This Row],[ReorderLevel]]&lt;0,Table2[[#This Row],[CurrentStock]]-Table2[[#This Row],[ReorderLevel]],"")</f>
        <v/>
      </c>
      <c r="N1457" t="str">
        <f>IF(Table2[[#This Row],[Stock Gap]]&lt;0, "Understock","Okay")</f>
        <v>Okay</v>
      </c>
      <c r="O1457" s="13" t="str">
        <f>IF(Table2[[#This Row],[Stock Gap]]&lt;0, "Yes", "No")</f>
        <v>No</v>
      </c>
      <c r="P1457" s="13" t="str">
        <f>IF(Table2[[#This Row],[CurrentStock]]&lt;Table2[[#This Row],[ReorderLevel]],"Reorder", "Okay")</f>
        <v>Okay</v>
      </c>
      <c r="Q1457" s="13" t="str">
        <f>IF(Table2[[#This Row],[CurrentStock]]&gt;Table2[[#This Row],[ReorderLevel]]*3, "Overstock", "Okay")</f>
        <v>Okay</v>
      </c>
    </row>
    <row r="1458" spans="1:17" x14ac:dyDescent="0.35">
      <c r="A1458">
        <v>98377</v>
      </c>
      <c r="B1458" t="s">
        <v>21</v>
      </c>
      <c r="C1458" t="s">
        <v>26</v>
      </c>
      <c r="D1458">
        <v>495</v>
      </c>
      <c r="E1458">
        <v>50</v>
      </c>
      <c r="F1458" s="2">
        <v>89.58</v>
      </c>
      <c r="G1458" t="s">
        <v>31</v>
      </c>
      <c r="H1458" s="1">
        <v>45492</v>
      </c>
      <c r="I1458" s="1">
        <v>45497</v>
      </c>
      <c r="J1458" t="s">
        <v>37</v>
      </c>
      <c r="K1458" s="8">
        <f>Table2[[#This Row],[CurrentStock]]*Table2[[#This Row],[UnitPrice]]</f>
        <v>44342.1</v>
      </c>
      <c r="L1458" t="str">
        <f>IF(Table2[[#This Row],[CurrentStock]]&lt;=Table2[[#This Row],[ReorderLevel]], "Reorder Needed", "Okay")</f>
        <v>Okay</v>
      </c>
      <c r="M1458" t="str">
        <f>IF(Table2[[#This Row],[CurrentStock]]-Table2[[#This Row],[ReorderLevel]]&lt;0,Table2[[#This Row],[CurrentStock]]-Table2[[#This Row],[ReorderLevel]],"")</f>
        <v/>
      </c>
      <c r="N1458" t="str">
        <f>IF(Table2[[#This Row],[Stock Gap]]&lt;0, "Understock","Okay")</f>
        <v>Okay</v>
      </c>
      <c r="O1458" s="13" t="str">
        <f>IF(Table2[[#This Row],[Stock Gap]]&lt;0, "Yes", "No")</f>
        <v>No</v>
      </c>
      <c r="P1458" s="13" t="str">
        <f>IF(Table2[[#This Row],[CurrentStock]]&lt;Table2[[#This Row],[ReorderLevel]],"Reorder", "Okay")</f>
        <v>Okay</v>
      </c>
      <c r="Q1458" s="13" t="str">
        <f>IF(Table2[[#This Row],[CurrentStock]]&gt;Table2[[#This Row],[ReorderLevel]]*3, "Overstock", "Okay")</f>
        <v>Overstock</v>
      </c>
    </row>
    <row r="1459" spans="1:17" x14ac:dyDescent="0.35">
      <c r="A1459">
        <v>32333</v>
      </c>
      <c r="B1459" t="s">
        <v>15</v>
      </c>
      <c r="C1459" t="s">
        <v>29</v>
      </c>
      <c r="D1459">
        <v>392</v>
      </c>
      <c r="E1459">
        <v>100</v>
      </c>
      <c r="F1459" s="2">
        <v>109.58</v>
      </c>
      <c r="G1459" t="s">
        <v>31</v>
      </c>
      <c r="H1459" s="1">
        <v>45602</v>
      </c>
      <c r="I1459" s="1">
        <v>45625</v>
      </c>
      <c r="J1459" t="s">
        <v>37</v>
      </c>
      <c r="K1459" s="8">
        <f>Table2[[#This Row],[CurrentStock]]*Table2[[#This Row],[UnitPrice]]</f>
        <v>42955.360000000001</v>
      </c>
      <c r="L1459" t="str">
        <f>IF(Table2[[#This Row],[CurrentStock]]&lt;=Table2[[#This Row],[ReorderLevel]], "Reorder Needed", "Okay")</f>
        <v>Okay</v>
      </c>
      <c r="M1459" t="str">
        <f>IF(Table2[[#This Row],[CurrentStock]]-Table2[[#This Row],[ReorderLevel]]&lt;0,Table2[[#This Row],[CurrentStock]]-Table2[[#This Row],[ReorderLevel]],"")</f>
        <v/>
      </c>
      <c r="N1459" t="str">
        <f>IF(Table2[[#This Row],[Stock Gap]]&lt;0, "Understock","Okay")</f>
        <v>Okay</v>
      </c>
      <c r="O1459" s="13" t="str">
        <f>IF(Table2[[#This Row],[Stock Gap]]&lt;0, "Yes", "No")</f>
        <v>No</v>
      </c>
      <c r="P1459" s="13" t="str">
        <f>IF(Table2[[#This Row],[CurrentStock]]&lt;Table2[[#This Row],[ReorderLevel]],"Reorder", "Okay")</f>
        <v>Okay</v>
      </c>
      <c r="Q1459" s="13" t="str">
        <f>IF(Table2[[#This Row],[CurrentStock]]&gt;Table2[[#This Row],[ReorderLevel]]*3, "Overstock", "Okay")</f>
        <v>Overstock</v>
      </c>
    </row>
    <row r="1460" spans="1:17" x14ac:dyDescent="0.35">
      <c r="A1460">
        <v>72303</v>
      </c>
      <c r="B1460" t="s">
        <v>10</v>
      </c>
      <c r="C1460" t="s">
        <v>26</v>
      </c>
      <c r="D1460">
        <v>26</v>
      </c>
      <c r="E1460">
        <v>100</v>
      </c>
      <c r="F1460" s="2">
        <v>429.85</v>
      </c>
      <c r="G1460" t="s">
        <v>32</v>
      </c>
      <c r="H1460" s="1">
        <v>45639</v>
      </c>
      <c r="I1460" s="1">
        <v>45674</v>
      </c>
      <c r="J1460" t="s">
        <v>37</v>
      </c>
      <c r="K1460" s="8">
        <f>Table2[[#This Row],[CurrentStock]]*Table2[[#This Row],[UnitPrice]]</f>
        <v>11176.1</v>
      </c>
      <c r="L1460" t="str">
        <f>IF(Table2[[#This Row],[CurrentStock]]&lt;=Table2[[#This Row],[ReorderLevel]], "Reorder Needed", "Okay")</f>
        <v>Reorder Needed</v>
      </c>
      <c r="M1460" s="7">
        <f>IF(Table2[[#This Row],[CurrentStock]]-Table2[[#This Row],[ReorderLevel]]&lt;0,Table2[[#This Row],[CurrentStock]]-Table2[[#This Row],[ReorderLevel]],"")</f>
        <v>-74</v>
      </c>
      <c r="N1460" t="str">
        <f>IF(Table2[[#This Row],[Stock Gap]]&lt;0, "Understock","Okay")</f>
        <v>Understock</v>
      </c>
      <c r="O1460" s="13" t="str">
        <f>IF(Table2[[#This Row],[Stock Gap]]&lt;0, "Yes", "No")</f>
        <v>Yes</v>
      </c>
      <c r="P1460" s="13" t="str">
        <f>IF(Table2[[#This Row],[CurrentStock]]&lt;Table2[[#This Row],[ReorderLevel]],"Reorder", "Okay")</f>
        <v>Reorder</v>
      </c>
      <c r="Q1460" s="13" t="str">
        <f>IF(Table2[[#This Row],[CurrentStock]]&gt;Table2[[#This Row],[ReorderLevel]]*3, "Overstock", "Okay")</f>
        <v>Okay</v>
      </c>
    </row>
    <row r="1461" spans="1:17" x14ac:dyDescent="0.35">
      <c r="A1461">
        <v>63013</v>
      </c>
      <c r="B1461" t="s">
        <v>24</v>
      </c>
      <c r="C1461" t="s">
        <v>30</v>
      </c>
      <c r="D1461">
        <v>293</v>
      </c>
      <c r="E1461">
        <v>100</v>
      </c>
      <c r="F1461" s="2">
        <v>28.06</v>
      </c>
      <c r="G1461" t="s">
        <v>32</v>
      </c>
      <c r="H1461" s="1">
        <v>45482</v>
      </c>
      <c r="I1461" s="1">
        <v>45501</v>
      </c>
      <c r="J1461" t="s">
        <v>38</v>
      </c>
      <c r="K1461" s="8">
        <f>Table2[[#This Row],[CurrentStock]]*Table2[[#This Row],[UnitPrice]]</f>
        <v>8221.58</v>
      </c>
      <c r="L1461" t="str">
        <f>IF(Table2[[#This Row],[CurrentStock]]&lt;=Table2[[#This Row],[ReorderLevel]], "Reorder Needed", "Okay")</f>
        <v>Okay</v>
      </c>
      <c r="M1461" t="str">
        <f>IF(Table2[[#This Row],[CurrentStock]]-Table2[[#This Row],[ReorderLevel]]&lt;0,Table2[[#This Row],[CurrentStock]]-Table2[[#This Row],[ReorderLevel]],"")</f>
        <v/>
      </c>
      <c r="N1461" t="str">
        <f>IF(Table2[[#This Row],[Stock Gap]]&lt;0, "Understock","Okay")</f>
        <v>Okay</v>
      </c>
      <c r="O1461" s="13" t="str">
        <f>IF(Table2[[#This Row],[Stock Gap]]&lt;0, "Yes", "No")</f>
        <v>No</v>
      </c>
      <c r="P1461" s="13" t="str">
        <f>IF(Table2[[#This Row],[CurrentStock]]&lt;Table2[[#This Row],[ReorderLevel]],"Reorder", "Okay")</f>
        <v>Okay</v>
      </c>
      <c r="Q1461" s="13" t="str">
        <f>IF(Table2[[#This Row],[CurrentStock]]&gt;Table2[[#This Row],[ReorderLevel]]*3, "Overstock", "Okay")</f>
        <v>Okay</v>
      </c>
    </row>
    <row r="1462" spans="1:17" x14ac:dyDescent="0.35">
      <c r="A1462">
        <v>67389</v>
      </c>
      <c r="B1462" t="s">
        <v>14</v>
      </c>
      <c r="C1462" t="s">
        <v>28</v>
      </c>
      <c r="D1462">
        <v>97</v>
      </c>
      <c r="E1462">
        <v>50</v>
      </c>
      <c r="F1462" s="2">
        <v>453.45</v>
      </c>
      <c r="G1462" t="s">
        <v>33</v>
      </c>
      <c r="H1462" s="1">
        <v>45593</v>
      </c>
      <c r="I1462" s="1">
        <v>45625</v>
      </c>
      <c r="J1462" t="s">
        <v>38</v>
      </c>
      <c r="K1462" s="8">
        <f>Table2[[#This Row],[CurrentStock]]*Table2[[#This Row],[UnitPrice]]</f>
        <v>43984.65</v>
      </c>
      <c r="L1462" t="str">
        <f>IF(Table2[[#This Row],[CurrentStock]]&lt;=Table2[[#This Row],[ReorderLevel]], "Reorder Needed", "Okay")</f>
        <v>Okay</v>
      </c>
      <c r="M1462" t="str">
        <f>IF(Table2[[#This Row],[CurrentStock]]-Table2[[#This Row],[ReorderLevel]]&lt;0,Table2[[#This Row],[CurrentStock]]-Table2[[#This Row],[ReorderLevel]],"")</f>
        <v/>
      </c>
      <c r="N1462" t="str">
        <f>IF(Table2[[#This Row],[Stock Gap]]&lt;0, "Understock","Okay")</f>
        <v>Okay</v>
      </c>
      <c r="O1462" s="13" t="str">
        <f>IF(Table2[[#This Row],[Stock Gap]]&lt;0, "Yes", "No")</f>
        <v>No</v>
      </c>
      <c r="P1462" s="13" t="str">
        <f>IF(Table2[[#This Row],[CurrentStock]]&lt;Table2[[#This Row],[ReorderLevel]],"Reorder", "Okay")</f>
        <v>Okay</v>
      </c>
      <c r="Q1462" s="13" t="str">
        <f>IF(Table2[[#This Row],[CurrentStock]]&gt;Table2[[#This Row],[ReorderLevel]]*3, "Overstock", "Okay")</f>
        <v>Okay</v>
      </c>
    </row>
    <row r="1463" spans="1:17" x14ac:dyDescent="0.35">
      <c r="A1463">
        <v>40580</v>
      </c>
      <c r="B1463" t="s">
        <v>21</v>
      </c>
      <c r="C1463" t="s">
        <v>26</v>
      </c>
      <c r="D1463">
        <v>160</v>
      </c>
      <c r="E1463">
        <v>50</v>
      </c>
      <c r="F1463" s="2">
        <v>495.45</v>
      </c>
      <c r="G1463" t="s">
        <v>31</v>
      </c>
      <c r="H1463" s="1">
        <v>45343</v>
      </c>
      <c r="I1463" s="1">
        <v>45364</v>
      </c>
      <c r="J1463" t="s">
        <v>37</v>
      </c>
      <c r="K1463" s="8">
        <f>Table2[[#This Row],[CurrentStock]]*Table2[[#This Row],[UnitPrice]]</f>
        <v>79272</v>
      </c>
      <c r="L1463" t="str">
        <f>IF(Table2[[#This Row],[CurrentStock]]&lt;=Table2[[#This Row],[ReorderLevel]], "Reorder Needed", "Okay")</f>
        <v>Okay</v>
      </c>
      <c r="M1463" t="str">
        <f>IF(Table2[[#This Row],[CurrentStock]]-Table2[[#This Row],[ReorderLevel]]&lt;0,Table2[[#This Row],[CurrentStock]]-Table2[[#This Row],[ReorderLevel]],"")</f>
        <v/>
      </c>
      <c r="N1463" t="str">
        <f>IF(Table2[[#This Row],[Stock Gap]]&lt;0, "Understock","Okay")</f>
        <v>Okay</v>
      </c>
      <c r="O1463" s="13" t="str">
        <f>IF(Table2[[#This Row],[Stock Gap]]&lt;0, "Yes", "No")</f>
        <v>No</v>
      </c>
      <c r="P1463" s="13" t="str">
        <f>IF(Table2[[#This Row],[CurrentStock]]&lt;Table2[[#This Row],[ReorderLevel]],"Reorder", "Okay")</f>
        <v>Okay</v>
      </c>
      <c r="Q1463" s="13" t="str">
        <f>IF(Table2[[#This Row],[CurrentStock]]&gt;Table2[[#This Row],[ReorderLevel]]*3, "Overstock", "Okay")</f>
        <v>Overstock</v>
      </c>
    </row>
    <row r="1464" spans="1:17" x14ac:dyDescent="0.35">
      <c r="A1464">
        <v>99100</v>
      </c>
      <c r="B1464" t="s">
        <v>21</v>
      </c>
      <c r="C1464" t="s">
        <v>26</v>
      </c>
      <c r="D1464">
        <v>356</v>
      </c>
      <c r="E1464">
        <v>40</v>
      </c>
      <c r="F1464" s="2">
        <v>321.61</v>
      </c>
      <c r="G1464" t="s">
        <v>31</v>
      </c>
      <c r="H1464" s="1">
        <v>45492</v>
      </c>
      <c r="I1464" s="1">
        <v>45502</v>
      </c>
      <c r="J1464" t="s">
        <v>38</v>
      </c>
      <c r="K1464" s="8">
        <f>Table2[[#This Row],[CurrentStock]]*Table2[[#This Row],[UnitPrice]]</f>
        <v>114493.16</v>
      </c>
      <c r="L1464" t="str">
        <f>IF(Table2[[#This Row],[CurrentStock]]&lt;=Table2[[#This Row],[ReorderLevel]], "Reorder Needed", "Okay")</f>
        <v>Okay</v>
      </c>
      <c r="M1464" t="str">
        <f>IF(Table2[[#This Row],[CurrentStock]]-Table2[[#This Row],[ReorderLevel]]&lt;0,Table2[[#This Row],[CurrentStock]]-Table2[[#This Row],[ReorderLevel]],"")</f>
        <v/>
      </c>
      <c r="N1464" t="str">
        <f>IF(Table2[[#This Row],[Stock Gap]]&lt;0, "Understock","Okay")</f>
        <v>Okay</v>
      </c>
      <c r="O1464" s="13" t="str">
        <f>IF(Table2[[#This Row],[Stock Gap]]&lt;0, "Yes", "No")</f>
        <v>No</v>
      </c>
      <c r="P1464" s="13" t="str">
        <f>IF(Table2[[#This Row],[CurrentStock]]&lt;Table2[[#This Row],[ReorderLevel]],"Reorder", "Okay")</f>
        <v>Okay</v>
      </c>
      <c r="Q1464" s="13" t="str">
        <f>IF(Table2[[#This Row],[CurrentStock]]&gt;Table2[[#This Row],[ReorderLevel]]*3, "Overstock", "Okay")</f>
        <v>Overstock</v>
      </c>
    </row>
    <row r="1465" spans="1:17" x14ac:dyDescent="0.35">
      <c r="A1465">
        <v>32444</v>
      </c>
      <c r="B1465" t="s">
        <v>13</v>
      </c>
      <c r="C1465" t="s">
        <v>26</v>
      </c>
      <c r="D1465">
        <v>243</v>
      </c>
      <c r="E1465">
        <v>50</v>
      </c>
      <c r="F1465" s="2">
        <v>50.08</v>
      </c>
      <c r="G1465" t="s">
        <v>32</v>
      </c>
      <c r="H1465" s="1">
        <v>45327</v>
      </c>
      <c r="I1465" s="1">
        <v>45339</v>
      </c>
      <c r="J1465" t="s">
        <v>38</v>
      </c>
      <c r="K1465" s="8">
        <f>Table2[[#This Row],[CurrentStock]]*Table2[[#This Row],[UnitPrice]]</f>
        <v>12169.439999999999</v>
      </c>
      <c r="L1465" t="str">
        <f>IF(Table2[[#This Row],[CurrentStock]]&lt;=Table2[[#This Row],[ReorderLevel]], "Reorder Needed", "Okay")</f>
        <v>Okay</v>
      </c>
      <c r="M1465" t="str">
        <f>IF(Table2[[#This Row],[CurrentStock]]-Table2[[#This Row],[ReorderLevel]]&lt;0,Table2[[#This Row],[CurrentStock]]-Table2[[#This Row],[ReorderLevel]],"")</f>
        <v/>
      </c>
      <c r="N1465" t="str">
        <f>IF(Table2[[#This Row],[Stock Gap]]&lt;0, "Understock","Okay")</f>
        <v>Okay</v>
      </c>
      <c r="O1465" s="13" t="str">
        <f>IF(Table2[[#This Row],[Stock Gap]]&lt;0, "Yes", "No")</f>
        <v>No</v>
      </c>
      <c r="P1465" s="13" t="str">
        <f>IF(Table2[[#This Row],[CurrentStock]]&lt;Table2[[#This Row],[ReorderLevel]],"Reorder", "Okay")</f>
        <v>Okay</v>
      </c>
      <c r="Q1465" s="13" t="str">
        <f>IF(Table2[[#This Row],[CurrentStock]]&gt;Table2[[#This Row],[ReorderLevel]]*3, "Overstock", "Okay")</f>
        <v>Overstock</v>
      </c>
    </row>
    <row r="1466" spans="1:17" x14ac:dyDescent="0.35">
      <c r="A1466">
        <v>96058</v>
      </c>
      <c r="B1466" t="s">
        <v>11</v>
      </c>
      <c r="C1466" t="s">
        <v>27</v>
      </c>
      <c r="D1466">
        <v>192</v>
      </c>
      <c r="E1466">
        <v>80</v>
      </c>
      <c r="F1466" s="2">
        <v>165.98</v>
      </c>
      <c r="G1466" t="s">
        <v>35</v>
      </c>
      <c r="H1466" s="1">
        <v>45323</v>
      </c>
      <c r="I1466" s="1">
        <v>45361</v>
      </c>
      <c r="J1466" t="s">
        <v>37</v>
      </c>
      <c r="K1466" s="8">
        <f>Table2[[#This Row],[CurrentStock]]*Table2[[#This Row],[UnitPrice]]</f>
        <v>31868.159999999996</v>
      </c>
      <c r="L1466" t="str">
        <f>IF(Table2[[#This Row],[CurrentStock]]&lt;=Table2[[#This Row],[ReorderLevel]], "Reorder Needed", "Okay")</f>
        <v>Okay</v>
      </c>
      <c r="M1466" t="str">
        <f>IF(Table2[[#This Row],[CurrentStock]]-Table2[[#This Row],[ReorderLevel]]&lt;0,Table2[[#This Row],[CurrentStock]]-Table2[[#This Row],[ReorderLevel]],"")</f>
        <v/>
      </c>
      <c r="N1466" t="str">
        <f>IF(Table2[[#This Row],[Stock Gap]]&lt;0, "Understock","Okay")</f>
        <v>Okay</v>
      </c>
      <c r="O1466" s="13" t="str">
        <f>IF(Table2[[#This Row],[Stock Gap]]&lt;0, "Yes", "No")</f>
        <v>No</v>
      </c>
      <c r="P1466" s="13" t="str">
        <f>IF(Table2[[#This Row],[CurrentStock]]&lt;Table2[[#This Row],[ReorderLevel]],"Reorder", "Okay")</f>
        <v>Okay</v>
      </c>
      <c r="Q1466" s="13" t="str">
        <f>IF(Table2[[#This Row],[CurrentStock]]&gt;Table2[[#This Row],[ReorderLevel]]*3, "Overstock", "Okay")</f>
        <v>Okay</v>
      </c>
    </row>
    <row r="1467" spans="1:17" x14ac:dyDescent="0.35">
      <c r="A1467">
        <v>28227</v>
      </c>
      <c r="B1467" t="s">
        <v>15</v>
      </c>
      <c r="C1467" t="s">
        <v>29</v>
      </c>
      <c r="D1467">
        <v>62</v>
      </c>
      <c r="E1467">
        <v>40</v>
      </c>
      <c r="F1467" s="2">
        <v>74.33</v>
      </c>
      <c r="G1467" t="s">
        <v>34</v>
      </c>
      <c r="H1467" s="1">
        <v>45392</v>
      </c>
      <c r="I1467" s="1">
        <v>45424</v>
      </c>
      <c r="J1467" t="s">
        <v>38</v>
      </c>
      <c r="K1467" s="8">
        <f>Table2[[#This Row],[CurrentStock]]*Table2[[#This Row],[UnitPrice]]</f>
        <v>4608.46</v>
      </c>
      <c r="L1467" t="str">
        <f>IF(Table2[[#This Row],[CurrentStock]]&lt;=Table2[[#This Row],[ReorderLevel]], "Reorder Needed", "Okay")</f>
        <v>Okay</v>
      </c>
      <c r="M1467" t="str">
        <f>IF(Table2[[#This Row],[CurrentStock]]-Table2[[#This Row],[ReorderLevel]]&lt;0,Table2[[#This Row],[CurrentStock]]-Table2[[#This Row],[ReorderLevel]],"")</f>
        <v/>
      </c>
      <c r="N1467" t="str">
        <f>IF(Table2[[#This Row],[Stock Gap]]&lt;0, "Understock","Okay")</f>
        <v>Okay</v>
      </c>
      <c r="O1467" s="13" t="str">
        <f>IF(Table2[[#This Row],[Stock Gap]]&lt;0, "Yes", "No")</f>
        <v>No</v>
      </c>
      <c r="P1467" s="13" t="str">
        <f>IF(Table2[[#This Row],[CurrentStock]]&lt;Table2[[#This Row],[ReorderLevel]],"Reorder", "Okay")</f>
        <v>Okay</v>
      </c>
      <c r="Q1467" s="13" t="str">
        <f>IF(Table2[[#This Row],[CurrentStock]]&gt;Table2[[#This Row],[ReorderLevel]]*3, "Overstock", "Okay")</f>
        <v>Okay</v>
      </c>
    </row>
    <row r="1468" spans="1:17" x14ac:dyDescent="0.35">
      <c r="A1468">
        <v>31711</v>
      </c>
      <c r="B1468" t="s">
        <v>18</v>
      </c>
      <c r="C1468" t="s">
        <v>27</v>
      </c>
      <c r="D1468">
        <v>195</v>
      </c>
      <c r="E1468">
        <v>100</v>
      </c>
      <c r="F1468" s="2">
        <v>148.91999999999999</v>
      </c>
      <c r="G1468" t="s">
        <v>33</v>
      </c>
      <c r="H1468" s="1">
        <v>45555</v>
      </c>
      <c r="I1468" s="1">
        <v>45583</v>
      </c>
      <c r="J1468" t="s">
        <v>37</v>
      </c>
      <c r="K1468" s="8">
        <f>Table2[[#This Row],[CurrentStock]]*Table2[[#This Row],[UnitPrice]]</f>
        <v>29039.399999999998</v>
      </c>
      <c r="L1468" t="str">
        <f>IF(Table2[[#This Row],[CurrentStock]]&lt;=Table2[[#This Row],[ReorderLevel]], "Reorder Needed", "Okay")</f>
        <v>Okay</v>
      </c>
      <c r="M1468" t="str">
        <f>IF(Table2[[#This Row],[CurrentStock]]-Table2[[#This Row],[ReorderLevel]]&lt;0,Table2[[#This Row],[CurrentStock]]-Table2[[#This Row],[ReorderLevel]],"")</f>
        <v/>
      </c>
      <c r="N1468" t="str">
        <f>IF(Table2[[#This Row],[Stock Gap]]&lt;0, "Understock","Okay")</f>
        <v>Okay</v>
      </c>
      <c r="O1468" s="13" t="str">
        <f>IF(Table2[[#This Row],[Stock Gap]]&lt;0, "Yes", "No")</f>
        <v>No</v>
      </c>
      <c r="P1468" s="13" t="str">
        <f>IF(Table2[[#This Row],[CurrentStock]]&lt;Table2[[#This Row],[ReorderLevel]],"Reorder", "Okay")</f>
        <v>Okay</v>
      </c>
      <c r="Q1468" s="13" t="str">
        <f>IF(Table2[[#This Row],[CurrentStock]]&gt;Table2[[#This Row],[ReorderLevel]]*3, "Overstock", "Okay")</f>
        <v>Okay</v>
      </c>
    </row>
    <row r="1469" spans="1:17" x14ac:dyDescent="0.35">
      <c r="A1469">
        <v>64583</v>
      </c>
      <c r="B1469" t="s">
        <v>23</v>
      </c>
      <c r="C1469" t="s">
        <v>30</v>
      </c>
      <c r="D1469">
        <v>341</v>
      </c>
      <c r="E1469">
        <v>100</v>
      </c>
      <c r="F1469" s="2">
        <v>32.51</v>
      </c>
      <c r="G1469" t="s">
        <v>35</v>
      </c>
      <c r="H1469" s="1">
        <v>45303</v>
      </c>
      <c r="I1469" s="1">
        <v>45325</v>
      </c>
      <c r="J1469" t="s">
        <v>36</v>
      </c>
      <c r="K1469" s="8">
        <f>Table2[[#This Row],[CurrentStock]]*Table2[[#This Row],[UnitPrice]]</f>
        <v>11085.91</v>
      </c>
      <c r="L1469" t="str">
        <f>IF(Table2[[#This Row],[CurrentStock]]&lt;=Table2[[#This Row],[ReorderLevel]], "Reorder Needed", "Okay")</f>
        <v>Okay</v>
      </c>
      <c r="M1469" t="str">
        <f>IF(Table2[[#This Row],[CurrentStock]]-Table2[[#This Row],[ReorderLevel]]&lt;0,Table2[[#This Row],[CurrentStock]]-Table2[[#This Row],[ReorderLevel]],"")</f>
        <v/>
      </c>
      <c r="N1469" t="str">
        <f>IF(Table2[[#This Row],[Stock Gap]]&lt;0, "Understock","Okay")</f>
        <v>Okay</v>
      </c>
      <c r="O1469" s="13" t="str">
        <f>IF(Table2[[#This Row],[Stock Gap]]&lt;0, "Yes", "No")</f>
        <v>No</v>
      </c>
      <c r="P1469" s="13" t="str">
        <f>IF(Table2[[#This Row],[CurrentStock]]&lt;Table2[[#This Row],[ReorderLevel]],"Reorder", "Okay")</f>
        <v>Okay</v>
      </c>
      <c r="Q1469" s="13" t="str">
        <f>IF(Table2[[#This Row],[CurrentStock]]&gt;Table2[[#This Row],[ReorderLevel]]*3, "Overstock", "Okay")</f>
        <v>Overstock</v>
      </c>
    </row>
    <row r="1470" spans="1:17" x14ac:dyDescent="0.35">
      <c r="A1470">
        <v>72257</v>
      </c>
      <c r="B1470" t="s">
        <v>23</v>
      </c>
      <c r="C1470" t="s">
        <v>30</v>
      </c>
      <c r="D1470">
        <v>104</v>
      </c>
      <c r="E1470">
        <v>100</v>
      </c>
      <c r="F1470" s="2">
        <v>378.77</v>
      </c>
      <c r="G1470" t="s">
        <v>35</v>
      </c>
      <c r="H1470" s="1">
        <v>45460</v>
      </c>
      <c r="I1470" s="1">
        <v>45465</v>
      </c>
      <c r="J1470" t="s">
        <v>36</v>
      </c>
      <c r="K1470" s="8">
        <f>Table2[[#This Row],[CurrentStock]]*Table2[[#This Row],[UnitPrice]]</f>
        <v>39392.080000000002</v>
      </c>
      <c r="L1470" t="str">
        <f>IF(Table2[[#This Row],[CurrentStock]]&lt;=Table2[[#This Row],[ReorderLevel]], "Reorder Needed", "Okay")</f>
        <v>Okay</v>
      </c>
      <c r="M1470" t="str">
        <f>IF(Table2[[#This Row],[CurrentStock]]-Table2[[#This Row],[ReorderLevel]]&lt;0,Table2[[#This Row],[CurrentStock]]-Table2[[#This Row],[ReorderLevel]],"")</f>
        <v/>
      </c>
      <c r="N1470" t="str">
        <f>IF(Table2[[#This Row],[Stock Gap]]&lt;0, "Understock","Okay")</f>
        <v>Okay</v>
      </c>
      <c r="O1470" s="13" t="str">
        <f>IF(Table2[[#This Row],[Stock Gap]]&lt;0, "Yes", "No")</f>
        <v>No</v>
      </c>
      <c r="P1470" s="13" t="str">
        <f>IF(Table2[[#This Row],[CurrentStock]]&lt;Table2[[#This Row],[ReorderLevel]],"Reorder", "Okay")</f>
        <v>Okay</v>
      </c>
      <c r="Q1470" s="13" t="str">
        <f>IF(Table2[[#This Row],[CurrentStock]]&gt;Table2[[#This Row],[ReorderLevel]]*3, "Overstock", "Okay")</f>
        <v>Okay</v>
      </c>
    </row>
    <row r="1471" spans="1:17" x14ac:dyDescent="0.35">
      <c r="A1471">
        <v>34408</v>
      </c>
      <c r="B1471" t="s">
        <v>11</v>
      </c>
      <c r="C1471" t="s">
        <v>27</v>
      </c>
      <c r="D1471">
        <v>27</v>
      </c>
      <c r="E1471">
        <v>100</v>
      </c>
      <c r="F1471" s="2">
        <v>41.71</v>
      </c>
      <c r="G1471" t="s">
        <v>32</v>
      </c>
      <c r="H1471" s="1">
        <v>45332</v>
      </c>
      <c r="I1471" s="1">
        <v>45348</v>
      </c>
      <c r="J1471" t="s">
        <v>37</v>
      </c>
      <c r="K1471" s="8">
        <f>Table2[[#This Row],[CurrentStock]]*Table2[[#This Row],[UnitPrice]]</f>
        <v>1126.17</v>
      </c>
      <c r="L1471" t="str">
        <f>IF(Table2[[#This Row],[CurrentStock]]&lt;=Table2[[#This Row],[ReorderLevel]], "Reorder Needed", "Okay")</f>
        <v>Reorder Needed</v>
      </c>
      <c r="M1471" s="7">
        <f>IF(Table2[[#This Row],[CurrentStock]]-Table2[[#This Row],[ReorderLevel]]&lt;0,Table2[[#This Row],[CurrentStock]]-Table2[[#This Row],[ReorderLevel]],"")</f>
        <v>-73</v>
      </c>
      <c r="N1471" t="str">
        <f>IF(Table2[[#This Row],[Stock Gap]]&lt;0, "Understock","Okay")</f>
        <v>Understock</v>
      </c>
      <c r="O1471" s="13" t="str">
        <f>IF(Table2[[#This Row],[Stock Gap]]&lt;0, "Yes", "No")</f>
        <v>Yes</v>
      </c>
      <c r="P1471" s="13" t="str">
        <f>IF(Table2[[#This Row],[CurrentStock]]&lt;Table2[[#This Row],[ReorderLevel]],"Reorder", "Okay")</f>
        <v>Reorder</v>
      </c>
      <c r="Q1471" s="13" t="str">
        <f>IF(Table2[[#This Row],[CurrentStock]]&gt;Table2[[#This Row],[ReorderLevel]]*3, "Overstock", "Okay")</f>
        <v>Okay</v>
      </c>
    </row>
    <row r="1472" spans="1:17" x14ac:dyDescent="0.35">
      <c r="A1472">
        <v>94731</v>
      </c>
      <c r="B1472" t="s">
        <v>15</v>
      </c>
      <c r="C1472" t="s">
        <v>29</v>
      </c>
      <c r="D1472">
        <v>417</v>
      </c>
      <c r="E1472">
        <v>150</v>
      </c>
      <c r="F1472" s="2">
        <v>414.34</v>
      </c>
      <c r="G1472" t="s">
        <v>35</v>
      </c>
      <c r="H1472" s="1">
        <v>45530</v>
      </c>
      <c r="I1472" s="1">
        <v>45541</v>
      </c>
      <c r="J1472" t="s">
        <v>37</v>
      </c>
      <c r="K1472" s="8">
        <f>Table2[[#This Row],[CurrentStock]]*Table2[[#This Row],[UnitPrice]]</f>
        <v>172779.78</v>
      </c>
      <c r="L1472" t="str">
        <f>IF(Table2[[#This Row],[CurrentStock]]&lt;=Table2[[#This Row],[ReorderLevel]], "Reorder Needed", "Okay")</f>
        <v>Okay</v>
      </c>
      <c r="M1472" t="str">
        <f>IF(Table2[[#This Row],[CurrentStock]]-Table2[[#This Row],[ReorderLevel]]&lt;0,Table2[[#This Row],[CurrentStock]]-Table2[[#This Row],[ReorderLevel]],"")</f>
        <v/>
      </c>
      <c r="N1472" t="str">
        <f>IF(Table2[[#This Row],[Stock Gap]]&lt;0, "Understock","Okay")</f>
        <v>Okay</v>
      </c>
      <c r="O1472" s="13" t="str">
        <f>IF(Table2[[#This Row],[Stock Gap]]&lt;0, "Yes", "No")</f>
        <v>No</v>
      </c>
      <c r="P1472" s="13" t="str">
        <f>IF(Table2[[#This Row],[CurrentStock]]&lt;Table2[[#This Row],[ReorderLevel]],"Reorder", "Okay")</f>
        <v>Okay</v>
      </c>
      <c r="Q1472" s="13" t="str">
        <f>IF(Table2[[#This Row],[CurrentStock]]&gt;Table2[[#This Row],[ReorderLevel]]*3, "Overstock", "Okay")</f>
        <v>Okay</v>
      </c>
    </row>
    <row r="1473" spans="1:17" x14ac:dyDescent="0.35">
      <c r="A1473">
        <v>47869</v>
      </c>
      <c r="B1473" t="s">
        <v>10</v>
      </c>
      <c r="C1473" t="s">
        <v>26</v>
      </c>
      <c r="D1473">
        <v>307</v>
      </c>
      <c r="E1473">
        <v>150</v>
      </c>
      <c r="F1473" s="2">
        <v>271.72000000000003</v>
      </c>
      <c r="G1473" t="s">
        <v>32</v>
      </c>
      <c r="H1473" s="1">
        <v>45317</v>
      </c>
      <c r="I1473" s="1">
        <v>45347</v>
      </c>
      <c r="J1473" t="s">
        <v>38</v>
      </c>
      <c r="K1473" s="8">
        <f>Table2[[#This Row],[CurrentStock]]*Table2[[#This Row],[UnitPrice]]</f>
        <v>83418.040000000008</v>
      </c>
      <c r="L1473" t="str">
        <f>IF(Table2[[#This Row],[CurrentStock]]&lt;=Table2[[#This Row],[ReorderLevel]], "Reorder Needed", "Okay")</f>
        <v>Okay</v>
      </c>
      <c r="M1473" t="str">
        <f>IF(Table2[[#This Row],[CurrentStock]]-Table2[[#This Row],[ReorderLevel]]&lt;0,Table2[[#This Row],[CurrentStock]]-Table2[[#This Row],[ReorderLevel]],"")</f>
        <v/>
      </c>
      <c r="N1473" t="str">
        <f>IF(Table2[[#This Row],[Stock Gap]]&lt;0, "Understock","Okay")</f>
        <v>Okay</v>
      </c>
      <c r="O1473" s="13" t="str">
        <f>IF(Table2[[#This Row],[Stock Gap]]&lt;0, "Yes", "No")</f>
        <v>No</v>
      </c>
      <c r="P1473" s="13" t="str">
        <f>IF(Table2[[#This Row],[CurrentStock]]&lt;Table2[[#This Row],[ReorderLevel]],"Reorder", "Okay")</f>
        <v>Okay</v>
      </c>
      <c r="Q1473" s="13" t="str">
        <f>IF(Table2[[#This Row],[CurrentStock]]&gt;Table2[[#This Row],[ReorderLevel]]*3, "Overstock", "Okay")</f>
        <v>Okay</v>
      </c>
    </row>
    <row r="1474" spans="1:17" x14ac:dyDescent="0.35">
      <c r="A1474">
        <v>11711</v>
      </c>
      <c r="B1474" t="s">
        <v>23</v>
      </c>
      <c r="C1474" t="s">
        <v>30</v>
      </c>
      <c r="D1474">
        <v>244</v>
      </c>
      <c r="E1474">
        <v>100</v>
      </c>
      <c r="F1474" s="2">
        <v>224.97</v>
      </c>
      <c r="G1474" t="s">
        <v>32</v>
      </c>
      <c r="H1474" s="1">
        <v>45496</v>
      </c>
      <c r="I1474" s="1">
        <v>45527</v>
      </c>
      <c r="J1474" t="s">
        <v>38</v>
      </c>
      <c r="K1474" s="8">
        <f>Table2[[#This Row],[CurrentStock]]*Table2[[#This Row],[UnitPrice]]</f>
        <v>54892.68</v>
      </c>
      <c r="L1474" t="str">
        <f>IF(Table2[[#This Row],[CurrentStock]]&lt;=Table2[[#This Row],[ReorderLevel]], "Reorder Needed", "Okay")</f>
        <v>Okay</v>
      </c>
      <c r="M1474" t="str">
        <f>IF(Table2[[#This Row],[CurrentStock]]-Table2[[#This Row],[ReorderLevel]]&lt;0,Table2[[#This Row],[CurrentStock]]-Table2[[#This Row],[ReorderLevel]],"")</f>
        <v/>
      </c>
      <c r="N1474" t="str">
        <f>IF(Table2[[#This Row],[Stock Gap]]&lt;0, "Understock","Okay")</f>
        <v>Okay</v>
      </c>
      <c r="O1474" s="13" t="str">
        <f>IF(Table2[[#This Row],[Stock Gap]]&lt;0, "Yes", "No")</f>
        <v>No</v>
      </c>
      <c r="P1474" s="13" t="str">
        <f>IF(Table2[[#This Row],[CurrentStock]]&lt;Table2[[#This Row],[ReorderLevel]],"Reorder", "Okay")</f>
        <v>Okay</v>
      </c>
      <c r="Q1474" s="13" t="str">
        <f>IF(Table2[[#This Row],[CurrentStock]]&gt;Table2[[#This Row],[ReorderLevel]]*3, "Overstock", "Okay")</f>
        <v>Okay</v>
      </c>
    </row>
    <row r="1475" spans="1:17" x14ac:dyDescent="0.35">
      <c r="A1475">
        <v>26220</v>
      </c>
      <c r="B1475" t="s">
        <v>11</v>
      </c>
      <c r="C1475" t="s">
        <v>27</v>
      </c>
      <c r="D1475">
        <v>22</v>
      </c>
      <c r="E1475">
        <v>150</v>
      </c>
      <c r="F1475" s="2">
        <v>454.9</v>
      </c>
      <c r="G1475" t="s">
        <v>34</v>
      </c>
      <c r="H1475" s="1">
        <v>45318</v>
      </c>
      <c r="I1475" s="1">
        <v>45346</v>
      </c>
      <c r="J1475" t="s">
        <v>37</v>
      </c>
      <c r="K1475" s="8">
        <f>Table2[[#This Row],[CurrentStock]]*Table2[[#This Row],[UnitPrice]]</f>
        <v>10007.799999999999</v>
      </c>
      <c r="L1475" t="str">
        <f>IF(Table2[[#This Row],[CurrentStock]]&lt;=Table2[[#This Row],[ReorderLevel]], "Reorder Needed", "Okay")</f>
        <v>Reorder Needed</v>
      </c>
      <c r="M1475" s="7">
        <f>IF(Table2[[#This Row],[CurrentStock]]-Table2[[#This Row],[ReorderLevel]]&lt;0,Table2[[#This Row],[CurrentStock]]-Table2[[#This Row],[ReorderLevel]],"")</f>
        <v>-128</v>
      </c>
      <c r="N1475" t="str">
        <f>IF(Table2[[#This Row],[Stock Gap]]&lt;0, "Understock","Okay")</f>
        <v>Understock</v>
      </c>
      <c r="O1475" s="13" t="str">
        <f>IF(Table2[[#This Row],[Stock Gap]]&lt;0, "Yes", "No")</f>
        <v>Yes</v>
      </c>
      <c r="P1475" s="13" t="str">
        <f>IF(Table2[[#This Row],[CurrentStock]]&lt;Table2[[#This Row],[ReorderLevel]],"Reorder", "Okay")</f>
        <v>Reorder</v>
      </c>
      <c r="Q1475" s="13" t="str">
        <f>IF(Table2[[#This Row],[CurrentStock]]&gt;Table2[[#This Row],[ReorderLevel]]*3, "Overstock", "Okay")</f>
        <v>Okay</v>
      </c>
    </row>
    <row r="1476" spans="1:17" x14ac:dyDescent="0.35">
      <c r="A1476">
        <v>85205</v>
      </c>
      <c r="B1476" t="s">
        <v>12</v>
      </c>
      <c r="C1476" t="s">
        <v>28</v>
      </c>
      <c r="D1476">
        <v>91</v>
      </c>
      <c r="E1476">
        <v>40</v>
      </c>
      <c r="F1476" s="2">
        <v>354.12</v>
      </c>
      <c r="G1476" t="s">
        <v>34</v>
      </c>
      <c r="H1476" s="1">
        <v>45591</v>
      </c>
      <c r="I1476" s="1">
        <v>45602</v>
      </c>
      <c r="J1476" t="s">
        <v>36</v>
      </c>
      <c r="K1476" s="8">
        <f>Table2[[#This Row],[CurrentStock]]*Table2[[#This Row],[UnitPrice]]</f>
        <v>32224.920000000002</v>
      </c>
      <c r="L1476" t="str">
        <f>IF(Table2[[#This Row],[CurrentStock]]&lt;=Table2[[#This Row],[ReorderLevel]], "Reorder Needed", "Okay")</f>
        <v>Okay</v>
      </c>
      <c r="M1476" t="str">
        <f>IF(Table2[[#This Row],[CurrentStock]]-Table2[[#This Row],[ReorderLevel]]&lt;0,Table2[[#This Row],[CurrentStock]]-Table2[[#This Row],[ReorderLevel]],"")</f>
        <v/>
      </c>
      <c r="N1476" t="str">
        <f>IF(Table2[[#This Row],[Stock Gap]]&lt;0, "Understock","Okay")</f>
        <v>Okay</v>
      </c>
      <c r="O1476" s="13" t="str">
        <f>IF(Table2[[#This Row],[Stock Gap]]&lt;0, "Yes", "No")</f>
        <v>No</v>
      </c>
      <c r="P1476" s="13" t="str">
        <f>IF(Table2[[#This Row],[CurrentStock]]&lt;Table2[[#This Row],[ReorderLevel]],"Reorder", "Okay")</f>
        <v>Okay</v>
      </c>
      <c r="Q1476" s="13" t="str">
        <f>IF(Table2[[#This Row],[CurrentStock]]&gt;Table2[[#This Row],[ReorderLevel]]*3, "Overstock", "Okay")</f>
        <v>Okay</v>
      </c>
    </row>
    <row r="1477" spans="1:17" x14ac:dyDescent="0.35">
      <c r="A1477">
        <v>69453</v>
      </c>
      <c r="B1477" t="s">
        <v>19</v>
      </c>
      <c r="C1477" t="s">
        <v>28</v>
      </c>
      <c r="D1477">
        <v>358</v>
      </c>
      <c r="E1477">
        <v>100</v>
      </c>
      <c r="F1477" s="2">
        <v>462.69</v>
      </c>
      <c r="G1477" t="s">
        <v>34</v>
      </c>
      <c r="H1477" s="1">
        <v>45633</v>
      </c>
      <c r="I1477" s="1">
        <v>45671</v>
      </c>
      <c r="J1477" t="s">
        <v>36</v>
      </c>
      <c r="K1477" s="8">
        <f>Table2[[#This Row],[CurrentStock]]*Table2[[#This Row],[UnitPrice]]</f>
        <v>165643.01999999999</v>
      </c>
      <c r="L1477" t="str">
        <f>IF(Table2[[#This Row],[CurrentStock]]&lt;=Table2[[#This Row],[ReorderLevel]], "Reorder Needed", "Okay")</f>
        <v>Okay</v>
      </c>
      <c r="M1477" t="str">
        <f>IF(Table2[[#This Row],[CurrentStock]]-Table2[[#This Row],[ReorderLevel]]&lt;0,Table2[[#This Row],[CurrentStock]]-Table2[[#This Row],[ReorderLevel]],"")</f>
        <v/>
      </c>
      <c r="N1477" t="str">
        <f>IF(Table2[[#This Row],[Stock Gap]]&lt;0, "Understock","Okay")</f>
        <v>Okay</v>
      </c>
      <c r="O1477" s="13" t="str">
        <f>IF(Table2[[#This Row],[Stock Gap]]&lt;0, "Yes", "No")</f>
        <v>No</v>
      </c>
      <c r="P1477" s="13" t="str">
        <f>IF(Table2[[#This Row],[CurrentStock]]&lt;Table2[[#This Row],[ReorderLevel]],"Reorder", "Okay")</f>
        <v>Okay</v>
      </c>
      <c r="Q1477" s="13" t="str">
        <f>IF(Table2[[#This Row],[CurrentStock]]&gt;Table2[[#This Row],[ReorderLevel]]*3, "Overstock", "Okay")</f>
        <v>Overstock</v>
      </c>
    </row>
    <row r="1478" spans="1:17" x14ac:dyDescent="0.35">
      <c r="A1478">
        <v>52287</v>
      </c>
      <c r="B1478" t="s">
        <v>20</v>
      </c>
      <c r="C1478" t="s">
        <v>30</v>
      </c>
      <c r="D1478">
        <v>315</v>
      </c>
      <c r="E1478">
        <v>30</v>
      </c>
      <c r="F1478" s="2">
        <v>68.5</v>
      </c>
      <c r="G1478" t="s">
        <v>35</v>
      </c>
      <c r="H1478" s="1">
        <v>45638</v>
      </c>
      <c r="I1478" s="1">
        <v>45656</v>
      </c>
      <c r="J1478" t="s">
        <v>36</v>
      </c>
      <c r="K1478" s="8">
        <f>Table2[[#This Row],[CurrentStock]]*Table2[[#This Row],[UnitPrice]]</f>
        <v>21577.5</v>
      </c>
      <c r="L1478" t="str">
        <f>IF(Table2[[#This Row],[CurrentStock]]&lt;=Table2[[#This Row],[ReorderLevel]], "Reorder Needed", "Okay")</f>
        <v>Okay</v>
      </c>
      <c r="M1478" t="str">
        <f>IF(Table2[[#This Row],[CurrentStock]]-Table2[[#This Row],[ReorderLevel]]&lt;0,Table2[[#This Row],[CurrentStock]]-Table2[[#This Row],[ReorderLevel]],"")</f>
        <v/>
      </c>
      <c r="N1478" t="str">
        <f>IF(Table2[[#This Row],[Stock Gap]]&lt;0, "Understock","Okay")</f>
        <v>Okay</v>
      </c>
      <c r="O1478" s="13" t="str">
        <f>IF(Table2[[#This Row],[Stock Gap]]&lt;0, "Yes", "No")</f>
        <v>No</v>
      </c>
      <c r="P1478" s="13" t="str">
        <f>IF(Table2[[#This Row],[CurrentStock]]&lt;Table2[[#This Row],[ReorderLevel]],"Reorder", "Okay")</f>
        <v>Okay</v>
      </c>
      <c r="Q1478" s="13" t="str">
        <f>IF(Table2[[#This Row],[CurrentStock]]&gt;Table2[[#This Row],[ReorderLevel]]*3, "Overstock", "Okay")</f>
        <v>Overstock</v>
      </c>
    </row>
    <row r="1479" spans="1:17" x14ac:dyDescent="0.35">
      <c r="A1479">
        <v>59625</v>
      </c>
      <c r="B1479" t="s">
        <v>10</v>
      </c>
      <c r="C1479" t="s">
        <v>26</v>
      </c>
      <c r="D1479">
        <v>219</v>
      </c>
      <c r="E1479">
        <v>150</v>
      </c>
      <c r="F1479" s="2">
        <v>365.06</v>
      </c>
      <c r="G1479" t="s">
        <v>33</v>
      </c>
      <c r="H1479" s="1">
        <v>45508</v>
      </c>
      <c r="I1479" s="1">
        <v>45516</v>
      </c>
      <c r="J1479" t="s">
        <v>38</v>
      </c>
      <c r="K1479" s="8">
        <f>Table2[[#This Row],[CurrentStock]]*Table2[[#This Row],[UnitPrice]]</f>
        <v>79948.14</v>
      </c>
      <c r="L1479" t="str">
        <f>IF(Table2[[#This Row],[CurrentStock]]&lt;=Table2[[#This Row],[ReorderLevel]], "Reorder Needed", "Okay")</f>
        <v>Okay</v>
      </c>
      <c r="M1479" t="str">
        <f>IF(Table2[[#This Row],[CurrentStock]]-Table2[[#This Row],[ReorderLevel]]&lt;0,Table2[[#This Row],[CurrentStock]]-Table2[[#This Row],[ReorderLevel]],"")</f>
        <v/>
      </c>
      <c r="N1479" t="str">
        <f>IF(Table2[[#This Row],[Stock Gap]]&lt;0, "Understock","Okay")</f>
        <v>Okay</v>
      </c>
      <c r="O1479" s="13" t="str">
        <f>IF(Table2[[#This Row],[Stock Gap]]&lt;0, "Yes", "No")</f>
        <v>No</v>
      </c>
      <c r="P1479" s="13" t="str">
        <f>IF(Table2[[#This Row],[CurrentStock]]&lt;Table2[[#This Row],[ReorderLevel]],"Reorder", "Okay")</f>
        <v>Okay</v>
      </c>
      <c r="Q1479" s="13" t="str">
        <f>IF(Table2[[#This Row],[CurrentStock]]&gt;Table2[[#This Row],[ReorderLevel]]*3, "Overstock", "Okay")</f>
        <v>Okay</v>
      </c>
    </row>
    <row r="1480" spans="1:17" x14ac:dyDescent="0.35">
      <c r="A1480">
        <v>58786</v>
      </c>
      <c r="B1480" t="s">
        <v>19</v>
      </c>
      <c r="C1480" t="s">
        <v>28</v>
      </c>
      <c r="D1480">
        <v>16</v>
      </c>
      <c r="E1480">
        <v>150</v>
      </c>
      <c r="F1480" s="2">
        <v>37.18</v>
      </c>
      <c r="G1480" t="s">
        <v>32</v>
      </c>
      <c r="H1480" s="1">
        <v>45353</v>
      </c>
      <c r="I1480" s="1">
        <v>45362</v>
      </c>
      <c r="J1480" t="s">
        <v>37</v>
      </c>
      <c r="K1480" s="8">
        <f>Table2[[#This Row],[CurrentStock]]*Table2[[#This Row],[UnitPrice]]</f>
        <v>594.88</v>
      </c>
      <c r="L1480" t="str">
        <f>IF(Table2[[#This Row],[CurrentStock]]&lt;=Table2[[#This Row],[ReorderLevel]], "Reorder Needed", "Okay")</f>
        <v>Reorder Needed</v>
      </c>
      <c r="M1480" s="7">
        <f>IF(Table2[[#This Row],[CurrentStock]]-Table2[[#This Row],[ReorderLevel]]&lt;0,Table2[[#This Row],[CurrentStock]]-Table2[[#This Row],[ReorderLevel]],"")</f>
        <v>-134</v>
      </c>
      <c r="N1480" t="str">
        <f>IF(Table2[[#This Row],[Stock Gap]]&lt;0, "Understock","Okay")</f>
        <v>Understock</v>
      </c>
      <c r="O1480" s="13" t="str">
        <f>IF(Table2[[#This Row],[Stock Gap]]&lt;0, "Yes", "No")</f>
        <v>Yes</v>
      </c>
      <c r="P1480" s="13" t="str">
        <f>IF(Table2[[#This Row],[CurrentStock]]&lt;Table2[[#This Row],[ReorderLevel]],"Reorder", "Okay")</f>
        <v>Reorder</v>
      </c>
      <c r="Q1480" s="13" t="str">
        <f>IF(Table2[[#This Row],[CurrentStock]]&gt;Table2[[#This Row],[ReorderLevel]]*3, "Overstock", "Okay")</f>
        <v>Okay</v>
      </c>
    </row>
    <row r="1481" spans="1:17" x14ac:dyDescent="0.35">
      <c r="A1481">
        <v>56489</v>
      </c>
      <c r="B1481" t="s">
        <v>11</v>
      </c>
      <c r="C1481" t="s">
        <v>27</v>
      </c>
      <c r="D1481">
        <v>430</v>
      </c>
      <c r="E1481">
        <v>150</v>
      </c>
      <c r="F1481" s="2">
        <v>147.16999999999999</v>
      </c>
      <c r="G1481" t="s">
        <v>34</v>
      </c>
      <c r="H1481" s="1">
        <v>45521</v>
      </c>
      <c r="I1481" s="1">
        <v>45550</v>
      </c>
      <c r="J1481" t="s">
        <v>37</v>
      </c>
      <c r="K1481" s="8">
        <f>Table2[[#This Row],[CurrentStock]]*Table2[[#This Row],[UnitPrice]]</f>
        <v>63283.099999999991</v>
      </c>
      <c r="L1481" t="str">
        <f>IF(Table2[[#This Row],[CurrentStock]]&lt;=Table2[[#This Row],[ReorderLevel]], "Reorder Needed", "Okay")</f>
        <v>Okay</v>
      </c>
      <c r="M1481" t="str">
        <f>IF(Table2[[#This Row],[CurrentStock]]-Table2[[#This Row],[ReorderLevel]]&lt;0,Table2[[#This Row],[CurrentStock]]-Table2[[#This Row],[ReorderLevel]],"")</f>
        <v/>
      </c>
      <c r="N1481" t="str">
        <f>IF(Table2[[#This Row],[Stock Gap]]&lt;0, "Understock","Okay")</f>
        <v>Okay</v>
      </c>
      <c r="O1481" s="13" t="str">
        <f>IF(Table2[[#This Row],[Stock Gap]]&lt;0, "Yes", "No")</f>
        <v>No</v>
      </c>
      <c r="P1481" s="13" t="str">
        <f>IF(Table2[[#This Row],[CurrentStock]]&lt;Table2[[#This Row],[ReorderLevel]],"Reorder", "Okay")</f>
        <v>Okay</v>
      </c>
      <c r="Q1481" s="13" t="str">
        <f>IF(Table2[[#This Row],[CurrentStock]]&gt;Table2[[#This Row],[ReorderLevel]]*3, "Overstock", "Okay")</f>
        <v>Okay</v>
      </c>
    </row>
    <row r="1482" spans="1:17" x14ac:dyDescent="0.35">
      <c r="A1482">
        <v>17802</v>
      </c>
      <c r="B1482" t="s">
        <v>20</v>
      </c>
      <c r="C1482" t="s">
        <v>30</v>
      </c>
      <c r="D1482">
        <v>249</v>
      </c>
      <c r="E1482">
        <v>20</v>
      </c>
      <c r="F1482" s="2">
        <v>51.96</v>
      </c>
      <c r="G1482" t="s">
        <v>32</v>
      </c>
      <c r="H1482" s="1">
        <v>45567</v>
      </c>
      <c r="I1482" s="1">
        <v>45581</v>
      </c>
      <c r="J1482" t="s">
        <v>36</v>
      </c>
      <c r="K1482" s="8">
        <f>Table2[[#This Row],[CurrentStock]]*Table2[[#This Row],[UnitPrice]]</f>
        <v>12938.04</v>
      </c>
      <c r="L1482" t="str">
        <f>IF(Table2[[#This Row],[CurrentStock]]&lt;=Table2[[#This Row],[ReorderLevel]], "Reorder Needed", "Okay")</f>
        <v>Okay</v>
      </c>
      <c r="M1482" t="str">
        <f>IF(Table2[[#This Row],[CurrentStock]]-Table2[[#This Row],[ReorderLevel]]&lt;0,Table2[[#This Row],[CurrentStock]]-Table2[[#This Row],[ReorderLevel]],"")</f>
        <v/>
      </c>
      <c r="N1482" t="str">
        <f>IF(Table2[[#This Row],[Stock Gap]]&lt;0, "Understock","Okay")</f>
        <v>Okay</v>
      </c>
      <c r="O1482" s="13" t="str">
        <f>IF(Table2[[#This Row],[Stock Gap]]&lt;0, "Yes", "No")</f>
        <v>No</v>
      </c>
      <c r="P1482" s="13" t="str">
        <f>IF(Table2[[#This Row],[CurrentStock]]&lt;Table2[[#This Row],[ReorderLevel]],"Reorder", "Okay")</f>
        <v>Okay</v>
      </c>
      <c r="Q1482" s="13" t="str">
        <f>IF(Table2[[#This Row],[CurrentStock]]&gt;Table2[[#This Row],[ReorderLevel]]*3, "Overstock", "Okay")</f>
        <v>Overstock</v>
      </c>
    </row>
    <row r="1483" spans="1:17" x14ac:dyDescent="0.35">
      <c r="A1483">
        <v>50324</v>
      </c>
      <c r="B1483" t="s">
        <v>21</v>
      </c>
      <c r="C1483" t="s">
        <v>26</v>
      </c>
      <c r="D1483">
        <v>39</v>
      </c>
      <c r="E1483">
        <v>20</v>
      </c>
      <c r="F1483" s="2">
        <v>92.64</v>
      </c>
      <c r="G1483" t="s">
        <v>32</v>
      </c>
      <c r="H1483" s="1">
        <v>45362</v>
      </c>
      <c r="I1483" s="1">
        <v>45375</v>
      </c>
      <c r="J1483" t="s">
        <v>37</v>
      </c>
      <c r="K1483" s="8">
        <f>Table2[[#This Row],[CurrentStock]]*Table2[[#This Row],[UnitPrice]]</f>
        <v>3612.96</v>
      </c>
      <c r="L1483" t="str">
        <f>IF(Table2[[#This Row],[CurrentStock]]&lt;=Table2[[#This Row],[ReorderLevel]], "Reorder Needed", "Okay")</f>
        <v>Okay</v>
      </c>
      <c r="M1483" t="str">
        <f>IF(Table2[[#This Row],[CurrentStock]]-Table2[[#This Row],[ReorderLevel]]&lt;0,Table2[[#This Row],[CurrentStock]]-Table2[[#This Row],[ReorderLevel]],"")</f>
        <v/>
      </c>
      <c r="N1483" t="str">
        <f>IF(Table2[[#This Row],[Stock Gap]]&lt;0, "Understock","Okay")</f>
        <v>Okay</v>
      </c>
      <c r="O1483" s="13" t="str">
        <f>IF(Table2[[#This Row],[Stock Gap]]&lt;0, "Yes", "No")</f>
        <v>No</v>
      </c>
      <c r="P1483" s="13" t="str">
        <f>IF(Table2[[#This Row],[CurrentStock]]&lt;Table2[[#This Row],[ReorderLevel]],"Reorder", "Okay")</f>
        <v>Okay</v>
      </c>
      <c r="Q1483" s="13" t="str">
        <f>IF(Table2[[#This Row],[CurrentStock]]&gt;Table2[[#This Row],[ReorderLevel]]*3, "Overstock", "Okay")</f>
        <v>Okay</v>
      </c>
    </row>
    <row r="1484" spans="1:17" x14ac:dyDescent="0.35">
      <c r="A1484">
        <v>73140</v>
      </c>
      <c r="B1484" t="s">
        <v>14</v>
      </c>
      <c r="C1484" t="s">
        <v>28</v>
      </c>
      <c r="D1484">
        <v>344</v>
      </c>
      <c r="E1484">
        <v>20</v>
      </c>
      <c r="F1484" s="2">
        <v>108.92</v>
      </c>
      <c r="G1484" t="s">
        <v>35</v>
      </c>
      <c r="H1484" s="1">
        <v>45430</v>
      </c>
      <c r="I1484" s="1">
        <v>45451</v>
      </c>
      <c r="J1484" t="s">
        <v>38</v>
      </c>
      <c r="K1484" s="8">
        <f>Table2[[#This Row],[CurrentStock]]*Table2[[#This Row],[UnitPrice]]</f>
        <v>37468.480000000003</v>
      </c>
      <c r="L1484" t="str">
        <f>IF(Table2[[#This Row],[CurrentStock]]&lt;=Table2[[#This Row],[ReorderLevel]], "Reorder Needed", "Okay")</f>
        <v>Okay</v>
      </c>
      <c r="M1484" t="str">
        <f>IF(Table2[[#This Row],[CurrentStock]]-Table2[[#This Row],[ReorderLevel]]&lt;0,Table2[[#This Row],[CurrentStock]]-Table2[[#This Row],[ReorderLevel]],"")</f>
        <v/>
      </c>
      <c r="N1484" t="str">
        <f>IF(Table2[[#This Row],[Stock Gap]]&lt;0, "Understock","Okay")</f>
        <v>Okay</v>
      </c>
      <c r="O1484" s="13" t="str">
        <f>IF(Table2[[#This Row],[Stock Gap]]&lt;0, "Yes", "No")</f>
        <v>No</v>
      </c>
      <c r="P1484" s="13" t="str">
        <f>IF(Table2[[#This Row],[CurrentStock]]&lt;Table2[[#This Row],[ReorderLevel]],"Reorder", "Okay")</f>
        <v>Okay</v>
      </c>
      <c r="Q1484" s="13" t="str">
        <f>IF(Table2[[#This Row],[CurrentStock]]&gt;Table2[[#This Row],[ReorderLevel]]*3, "Overstock", "Okay")</f>
        <v>Overstock</v>
      </c>
    </row>
    <row r="1485" spans="1:17" x14ac:dyDescent="0.35">
      <c r="A1485">
        <v>78344</v>
      </c>
      <c r="B1485" t="s">
        <v>19</v>
      </c>
      <c r="C1485" t="s">
        <v>28</v>
      </c>
      <c r="D1485">
        <v>361</v>
      </c>
      <c r="E1485">
        <v>80</v>
      </c>
      <c r="F1485" s="2">
        <v>329.95</v>
      </c>
      <c r="G1485" t="s">
        <v>32</v>
      </c>
      <c r="H1485" s="1">
        <v>45489</v>
      </c>
      <c r="I1485" s="1">
        <v>45514</v>
      </c>
      <c r="J1485" t="s">
        <v>38</v>
      </c>
      <c r="K1485" s="8">
        <f>Table2[[#This Row],[CurrentStock]]*Table2[[#This Row],[UnitPrice]]</f>
        <v>119111.95</v>
      </c>
      <c r="L1485" t="str">
        <f>IF(Table2[[#This Row],[CurrentStock]]&lt;=Table2[[#This Row],[ReorderLevel]], "Reorder Needed", "Okay")</f>
        <v>Okay</v>
      </c>
      <c r="M1485" t="str">
        <f>IF(Table2[[#This Row],[CurrentStock]]-Table2[[#This Row],[ReorderLevel]]&lt;0,Table2[[#This Row],[CurrentStock]]-Table2[[#This Row],[ReorderLevel]],"")</f>
        <v/>
      </c>
      <c r="N1485" t="str">
        <f>IF(Table2[[#This Row],[Stock Gap]]&lt;0, "Understock","Okay")</f>
        <v>Okay</v>
      </c>
      <c r="O1485" s="13" t="str">
        <f>IF(Table2[[#This Row],[Stock Gap]]&lt;0, "Yes", "No")</f>
        <v>No</v>
      </c>
      <c r="P1485" s="13" t="str">
        <f>IF(Table2[[#This Row],[CurrentStock]]&lt;Table2[[#This Row],[ReorderLevel]],"Reorder", "Okay")</f>
        <v>Okay</v>
      </c>
      <c r="Q1485" s="13" t="str">
        <f>IF(Table2[[#This Row],[CurrentStock]]&gt;Table2[[#This Row],[ReorderLevel]]*3, "Overstock", "Okay")</f>
        <v>Overstock</v>
      </c>
    </row>
    <row r="1486" spans="1:17" x14ac:dyDescent="0.35">
      <c r="A1486">
        <v>39236</v>
      </c>
      <c r="B1486" t="s">
        <v>23</v>
      </c>
      <c r="C1486" t="s">
        <v>30</v>
      </c>
      <c r="D1486">
        <v>463</v>
      </c>
      <c r="E1486">
        <v>20</v>
      </c>
      <c r="F1486" s="2">
        <v>377.47</v>
      </c>
      <c r="G1486" t="s">
        <v>35</v>
      </c>
      <c r="H1486" s="1">
        <v>45573</v>
      </c>
      <c r="I1486" s="1">
        <v>45596</v>
      </c>
      <c r="J1486" t="s">
        <v>36</v>
      </c>
      <c r="K1486" s="8">
        <f>Table2[[#This Row],[CurrentStock]]*Table2[[#This Row],[UnitPrice]]</f>
        <v>174768.61000000002</v>
      </c>
      <c r="L1486" t="str">
        <f>IF(Table2[[#This Row],[CurrentStock]]&lt;=Table2[[#This Row],[ReorderLevel]], "Reorder Needed", "Okay")</f>
        <v>Okay</v>
      </c>
      <c r="M1486" t="str">
        <f>IF(Table2[[#This Row],[CurrentStock]]-Table2[[#This Row],[ReorderLevel]]&lt;0,Table2[[#This Row],[CurrentStock]]-Table2[[#This Row],[ReorderLevel]],"")</f>
        <v/>
      </c>
      <c r="N1486" t="str">
        <f>IF(Table2[[#This Row],[Stock Gap]]&lt;0, "Understock","Okay")</f>
        <v>Okay</v>
      </c>
      <c r="O1486" s="13" t="str">
        <f>IF(Table2[[#This Row],[Stock Gap]]&lt;0, "Yes", "No")</f>
        <v>No</v>
      </c>
      <c r="P1486" s="13" t="str">
        <f>IF(Table2[[#This Row],[CurrentStock]]&lt;Table2[[#This Row],[ReorderLevel]],"Reorder", "Okay")</f>
        <v>Okay</v>
      </c>
      <c r="Q1486" s="13" t="str">
        <f>IF(Table2[[#This Row],[CurrentStock]]&gt;Table2[[#This Row],[ReorderLevel]]*3, "Overstock", "Okay")</f>
        <v>Overstock</v>
      </c>
    </row>
    <row r="1487" spans="1:17" x14ac:dyDescent="0.35">
      <c r="A1487">
        <v>76084</v>
      </c>
      <c r="B1487" t="s">
        <v>25</v>
      </c>
      <c r="C1487" t="s">
        <v>29</v>
      </c>
      <c r="D1487">
        <v>360</v>
      </c>
      <c r="E1487">
        <v>80</v>
      </c>
      <c r="F1487" s="2">
        <v>129.84</v>
      </c>
      <c r="G1487" t="s">
        <v>34</v>
      </c>
      <c r="H1487" s="1">
        <v>45372</v>
      </c>
      <c r="I1487" s="1">
        <v>45377</v>
      </c>
      <c r="J1487" t="s">
        <v>38</v>
      </c>
      <c r="K1487" s="8">
        <f>Table2[[#This Row],[CurrentStock]]*Table2[[#This Row],[UnitPrice]]</f>
        <v>46742.400000000001</v>
      </c>
      <c r="L1487" t="str">
        <f>IF(Table2[[#This Row],[CurrentStock]]&lt;=Table2[[#This Row],[ReorderLevel]], "Reorder Needed", "Okay")</f>
        <v>Okay</v>
      </c>
      <c r="M1487" t="str">
        <f>IF(Table2[[#This Row],[CurrentStock]]-Table2[[#This Row],[ReorderLevel]]&lt;0,Table2[[#This Row],[CurrentStock]]-Table2[[#This Row],[ReorderLevel]],"")</f>
        <v/>
      </c>
      <c r="N1487" t="str">
        <f>IF(Table2[[#This Row],[Stock Gap]]&lt;0, "Understock","Okay")</f>
        <v>Okay</v>
      </c>
      <c r="O1487" s="13" t="str">
        <f>IF(Table2[[#This Row],[Stock Gap]]&lt;0, "Yes", "No")</f>
        <v>No</v>
      </c>
      <c r="P1487" s="13" t="str">
        <f>IF(Table2[[#This Row],[CurrentStock]]&lt;Table2[[#This Row],[ReorderLevel]],"Reorder", "Okay")</f>
        <v>Okay</v>
      </c>
      <c r="Q1487" s="13" t="str">
        <f>IF(Table2[[#This Row],[CurrentStock]]&gt;Table2[[#This Row],[ReorderLevel]]*3, "Overstock", "Okay")</f>
        <v>Overstock</v>
      </c>
    </row>
    <row r="1488" spans="1:17" x14ac:dyDescent="0.35">
      <c r="A1488">
        <v>21467</v>
      </c>
      <c r="B1488" t="s">
        <v>20</v>
      </c>
      <c r="C1488" t="s">
        <v>30</v>
      </c>
      <c r="D1488">
        <v>58</v>
      </c>
      <c r="E1488">
        <v>20</v>
      </c>
      <c r="F1488" s="2">
        <v>250.39</v>
      </c>
      <c r="G1488" t="s">
        <v>31</v>
      </c>
      <c r="H1488" s="1">
        <v>45584</v>
      </c>
      <c r="I1488" s="1">
        <v>45619</v>
      </c>
      <c r="J1488" t="s">
        <v>38</v>
      </c>
      <c r="K1488" s="8">
        <f>Table2[[#This Row],[CurrentStock]]*Table2[[#This Row],[UnitPrice]]</f>
        <v>14522.619999999999</v>
      </c>
      <c r="L1488" t="str">
        <f>IF(Table2[[#This Row],[CurrentStock]]&lt;=Table2[[#This Row],[ReorderLevel]], "Reorder Needed", "Okay")</f>
        <v>Okay</v>
      </c>
      <c r="M1488" t="str">
        <f>IF(Table2[[#This Row],[CurrentStock]]-Table2[[#This Row],[ReorderLevel]]&lt;0,Table2[[#This Row],[CurrentStock]]-Table2[[#This Row],[ReorderLevel]],"")</f>
        <v/>
      </c>
      <c r="N1488" t="str">
        <f>IF(Table2[[#This Row],[Stock Gap]]&lt;0, "Understock","Okay")</f>
        <v>Okay</v>
      </c>
      <c r="O1488" s="13" t="str">
        <f>IF(Table2[[#This Row],[Stock Gap]]&lt;0, "Yes", "No")</f>
        <v>No</v>
      </c>
      <c r="P1488" s="13" t="str">
        <f>IF(Table2[[#This Row],[CurrentStock]]&lt;Table2[[#This Row],[ReorderLevel]],"Reorder", "Okay")</f>
        <v>Okay</v>
      </c>
      <c r="Q1488" s="13" t="str">
        <f>IF(Table2[[#This Row],[CurrentStock]]&gt;Table2[[#This Row],[ReorderLevel]]*3, "Overstock", "Okay")</f>
        <v>Okay</v>
      </c>
    </row>
    <row r="1489" spans="1:17" x14ac:dyDescent="0.35">
      <c r="A1489">
        <v>79537</v>
      </c>
      <c r="B1489" t="s">
        <v>16</v>
      </c>
      <c r="C1489" t="s">
        <v>29</v>
      </c>
      <c r="D1489">
        <v>19</v>
      </c>
      <c r="E1489">
        <v>80</v>
      </c>
      <c r="F1489" s="2">
        <v>224.04</v>
      </c>
      <c r="G1489" t="s">
        <v>35</v>
      </c>
      <c r="H1489" s="1">
        <v>45337</v>
      </c>
      <c r="I1489" s="1">
        <v>45372</v>
      </c>
      <c r="J1489" t="s">
        <v>37</v>
      </c>
      <c r="K1489" s="8">
        <f>Table2[[#This Row],[CurrentStock]]*Table2[[#This Row],[UnitPrice]]</f>
        <v>4256.76</v>
      </c>
      <c r="L1489" t="str">
        <f>IF(Table2[[#This Row],[CurrentStock]]&lt;=Table2[[#This Row],[ReorderLevel]], "Reorder Needed", "Okay")</f>
        <v>Reorder Needed</v>
      </c>
      <c r="M1489" s="7">
        <f>IF(Table2[[#This Row],[CurrentStock]]-Table2[[#This Row],[ReorderLevel]]&lt;0,Table2[[#This Row],[CurrentStock]]-Table2[[#This Row],[ReorderLevel]],"")</f>
        <v>-61</v>
      </c>
      <c r="N1489" t="str">
        <f>IF(Table2[[#This Row],[Stock Gap]]&lt;0, "Understock","Okay")</f>
        <v>Understock</v>
      </c>
      <c r="O1489" s="13" t="str">
        <f>IF(Table2[[#This Row],[Stock Gap]]&lt;0, "Yes", "No")</f>
        <v>Yes</v>
      </c>
      <c r="P1489" s="13" t="str">
        <f>IF(Table2[[#This Row],[CurrentStock]]&lt;Table2[[#This Row],[ReorderLevel]],"Reorder", "Okay")</f>
        <v>Reorder</v>
      </c>
      <c r="Q1489" s="13" t="str">
        <f>IF(Table2[[#This Row],[CurrentStock]]&gt;Table2[[#This Row],[ReorderLevel]]*3, "Overstock", "Okay")</f>
        <v>Okay</v>
      </c>
    </row>
    <row r="1490" spans="1:17" x14ac:dyDescent="0.35">
      <c r="A1490">
        <v>19236</v>
      </c>
      <c r="B1490" t="s">
        <v>18</v>
      </c>
      <c r="C1490" t="s">
        <v>27</v>
      </c>
      <c r="D1490">
        <v>202</v>
      </c>
      <c r="E1490">
        <v>20</v>
      </c>
      <c r="F1490" s="2">
        <v>336.32</v>
      </c>
      <c r="G1490" t="s">
        <v>32</v>
      </c>
      <c r="H1490" s="1">
        <v>45465</v>
      </c>
      <c r="I1490" s="1">
        <v>45478</v>
      </c>
      <c r="J1490" t="s">
        <v>38</v>
      </c>
      <c r="K1490" s="8">
        <f>Table2[[#This Row],[CurrentStock]]*Table2[[#This Row],[UnitPrice]]</f>
        <v>67936.639999999999</v>
      </c>
      <c r="L1490" t="str">
        <f>IF(Table2[[#This Row],[CurrentStock]]&lt;=Table2[[#This Row],[ReorderLevel]], "Reorder Needed", "Okay")</f>
        <v>Okay</v>
      </c>
      <c r="M1490" t="str">
        <f>IF(Table2[[#This Row],[CurrentStock]]-Table2[[#This Row],[ReorderLevel]]&lt;0,Table2[[#This Row],[CurrentStock]]-Table2[[#This Row],[ReorderLevel]],"")</f>
        <v/>
      </c>
      <c r="N1490" t="str">
        <f>IF(Table2[[#This Row],[Stock Gap]]&lt;0, "Understock","Okay")</f>
        <v>Okay</v>
      </c>
      <c r="O1490" s="13" t="str">
        <f>IF(Table2[[#This Row],[Stock Gap]]&lt;0, "Yes", "No")</f>
        <v>No</v>
      </c>
      <c r="P1490" s="13" t="str">
        <f>IF(Table2[[#This Row],[CurrentStock]]&lt;Table2[[#This Row],[ReorderLevel]],"Reorder", "Okay")</f>
        <v>Okay</v>
      </c>
      <c r="Q1490" s="13" t="str">
        <f>IF(Table2[[#This Row],[CurrentStock]]&gt;Table2[[#This Row],[ReorderLevel]]*3, "Overstock", "Okay")</f>
        <v>Overstock</v>
      </c>
    </row>
    <row r="1491" spans="1:17" x14ac:dyDescent="0.35">
      <c r="A1491">
        <v>30096</v>
      </c>
      <c r="B1491" t="s">
        <v>15</v>
      </c>
      <c r="C1491" t="s">
        <v>29</v>
      </c>
      <c r="D1491">
        <v>328</v>
      </c>
      <c r="E1491">
        <v>80</v>
      </c>
      <c r="F1491" s="2">
        <v>191.54</v>
      </c>
      <c r="G1491" t="s">
        <v>35</v>
      </c>
      <c r="H1491" s="1">
        <v>45459</v>
      </c>
      <c r="I1491" s="1">
        <v>45474</v>
      </c>
      <c r="J1491" t="s">
        <v>38</v>
      </c>
      <c r="K1491" s="8">
        <f>Table2[[#This Row],[CurrentStock]]*Table2[[#This Row],[UnitPrice]]</f>
        <v>62825.119999999995</v>
      </c>
      <c r="L1491" t="str">
        <f>IF(Table2[[#This Row],[CurrentStock]]&lt;=Table2[[#This Row],[ReorderLevel]], "Reorder Needed", "Okay")</f>
        <v>Okay</v>
      </c>
      <c r="M1491" t="str">
        <f>IF(Table2[[#This Row],[CurrentStock]]-Table2[[#This Row],[ReorderLevel]]&lt;0,Table2[[#This Row],[CurrentStock]]-Table2[[#This Row],[ReorderLevel]],"")</f>
        <v/>
      </c>
      <c r="N1491" t="str">
        <f>IF(Table2[[#This Row],[Stock Gap]]&lt;0, "Understock","Okay")</f>
        <v>Okay</v>
      </c>
      <c r="O1491" s="13" t="str">
        <f>IF(Table2[[#This Row],[Stock Gap]]&lt;0, "Yes", "No")</f>
        <v>No</v>
      </c>
      <c r="P1491" s="13" t="str">
        <f>IF(Table2[[#This Row],[CurrentStock]]&lt;Table2[[#This Row],[ReorderLevel]],"Reorder", "Okay")</f>
        <v>Okay</v>
      </c>
      <c r="Q1491" s="13" t="str">
        <f>IF(Table2[[#This Row],[CurrentStock]]&gt;Table2[[#This Row],[ReorderLevel]]*3, "Overstock", "Okay")</f>
        <v>Overstock</v>
      </c>
    </row>
    <row r="1492" spans="1:17" x14ac:dyDescent="0.35">
      <c r="A1492">
        <v>88229</v>
      </c>
      <c r="B1492" t="s">
        <v>11</v>
      </c>
      <c r="C1492" t="s">
        <v>27</v>
      </c>
      <c r="D1492">
        <v>317</v>
      </c>
      <c r="E1492">
        <v>100</v>
      </c>
      <c r="F1492" s="2">
        <v>177.61</v>
      </c>
      <c r="G1492" t="s">
        <v>32</v>
      </c>
      <c r="H1492" s="1">
        <v>45593</v>
      </c>
      <c r="I1492" s="1">
        <v>45602</v>
      </c>
      <c r="J1492" t="s">
        <v>36</v>
      </c>
      <c r="K1492" s="8">
        <f>Table2[[#This Row],[CurrentStock]]*Table2[[#This Row],[UnitPrice]]</f>
        <v>56302.37</v>
      </c>
      <c r="L1492" t="str">
        <f>IF(Table2[[#This Row],[CurrentStock]]&lt;=Table2[[#This Row],[ReorderLevel]], "Reorder Needed", "Okay")</f>
        <v>Okay</v>
      </c>
      <c r="M1492" t="str">
        <f>IF(Table2[[#This Row],[CurrentStock]]-Table2[[#This Row],[ReorderLevel]]&lt;0,Table2[[#This Row],[CurrentStock]]-Table2[[#This Row],[ReorderLevel]],"")</f>
        <v/>
      </c>
      <c r="N1492" t="str">
        <f>IF(Table2[[#This Row],[Stock Gap]]&lt;0, "Understock","Okay")</f>
        <v>Okay</v>
      </c>
      <c r="O1492" s="13" t="str">
        <f>IF(Table2[[#This Row],[Stock Gap]]&lt;0, "Yes", "No")</f>
        <v>No</v>
      </c>
      <c r="P1492" s="13" t="str">
        <f>IF(Table2[[#This Row],[CurrentStock]]&lt;Table2[[#This Row],[ReorderLevel]],"Reorder", "Okay")</f>
        <v>Okay</v>
      </c>
      <c r="Q1492" s="13" t="str">
        <f>IF(Table2[[#This Row],[CurrentStock]]&gt;Table2[[#This Row],[ReorderLevel]]*3, "Overstock", "Okay")</f>
        <v>Overstock</v>
      </c>
    </row>
    <row r="1493" spans="1:17" x14ac:dyDescent="0.35">
      <c r="A1493">
        <v>50178</v>
      </c>
      <c r="B1493" t="s">
        <v>14</v>
      </c>
      <c r="C1493" t="s">
        <v>28</v>
      </c>
      <c r="D1493">
        <v>494</v>
      </c>
      <c r="E1493">
        <v>150</v>
      </c>
      <c r="F1493" s="2">
        <v>330.65</v>
      </c>
      <c r="G1493" t="s">
        <v>33</v>
      </c>
      <c r="H1493" s="1">
        <v>45322</v>
      </c>
      <c r="I1493" s="1">
        <v>45338</v>
      </c>
      <c r="J1493" t="s">
        <v>38</v>
      </c>
      <c r="K1493" s="8">
        <f>Table2[[#This Row],[CurrentStock]]*Table2[[#This Row],[UnitPrice]]</f>
        <v>163341.09999999998</v>
      </c>
      <c r="L1493" t="str">
        <f>IF(Table2[[#This Row],[CurrentStock]]&lt;=Table2[[#This Row],[ReorderLevel]], "Reorder Needed", "Okay")</f>
        <v>Okay</v>
      </c>
      <c r="M1493" t="str">
        <f>IF(Table2[[#This Row],[CurrentStock]]-Table2[[#This Row],[ReorderLevel]]&lt;0,Table2[[#This Row],[CurrentStock]]-Table2[[#This Row],[ReorderLevel]],"")</f>
        <v/>
      </c>
      <c r="N1493" t="str">
        <f>IF(Table2[[#This Row],[Stock Gap]]&lt;0, "Understock","Okay")</f>
        <v>Okay</v>
      </c>
      <c r="O1493" s="13" t="str">
        <f>IF(Table2[[#This Row],[Stock Gap]]&lt;0, "Yes", "No")</f>
        <v>No</v>
      </c>
      <c r="P1493" s="13" t="str">
        <f>IF(Table2[[#This Row],[CurrentStock]]&lt;Table2[[#This Row],[ReorderLevel]],"Reorder", "Okay")</f>
        <v>Okay</v>
      </c>
      <c r="Q1493" s="13" t="str">
        <f>IF(Table2[[#This Row],[CurrentStock]]&gt;Table2[[#This Row],[ReorderLevel]]*3, "Overstock", "Okay")</f>
        <v>Overstock</v>
      </c>
    </row>
    <row r="1494" spans="1:17" x14ac:dyDescent="0.35">
      <c r="A1494">
        <v>82354</v>
      </c>
      <c r="B1494" t="s">
        <v>14</v>
      </c>
      <c r="C1494" t="s">
        <v>28</v>
      </c>
      <c r="D1494">
        <v>307</v>
      </c>
      <c r="E1494">
        <v>80</v>
      </c>
      <c r="F1494" s="2">
        <v>164.01</v>
      </c>
      <c r="G1494" t="s">
        <v>35</v>
      </c>
      <c r="H1494" s="1">
        <v>45572</v>
      </c>
      <c r="I1494" s="1">
        <v>45611</v>
      </c>
      <c r="J1494" t="s">
        <v>38</v>
      </c>
      <c r="K1494" s="8">
        <f>Table2[[#This Row],[CurrentStock]]*Table2[[#This Row],[UnitPrice]]</f>
        <v>50351.07</v>
      </c>
      <c r="L1494" t="str">
        <f>IF(Table2[[#This Row],[CurrentStock]]&lt;=Table2[[#This Row],[ReorderLevel]], "Reorder Needed", "Okay")</f>
        <v>Okay</v>
      </c>
      <c r="M1494" t="str">
        <f>IF(Table2[[#This Row],[CurrentStock]]-Table2[[#This Row],[ReorderLevel]]&lt;0,Table2[[#This Row],[CurrentStock]]-Table2[[#This Row],[ReorderLevel]],"")</f>
        <v/>
      </c>
      <c r="N1494" t="str">
        <f>IF(Table2[[#This Row],[Stock Gap]]&lt;0, "Understock","Okay")</f>
        <v>Okay</v>
      </c>
      <c r="O1494" s="13" t="str">
        <f>IF(Table2[[#This Row],[Stock Gap]]&lt;0, "Yes", "No")</f>
        <v>No</v>
      </c>
      <c r="P1494" s="13" t="str">
        <f>IF(Table2[[#This Row],[CurrentStock]]&lt;Table2[[#This Row],[ReorderLevel]],"Reorder", "Okay")</f>
        <v>Okay</v>
      </c>
      <c r="Q1494" s="13" t="str">
        <f>IF(Table2[[#This Row],[CurrentStock]]&gt;Table2[[#This Row],[ReorderLevel]]*3, "Overstock", "Okay")</f>
        <v>Overstock</v>
      </c>
    </row>
    <row r="1495" spans="1:17" x14ac:dyDescent="0.35">
      <c r="A1495">
        <v>78099</v>
      </c>
      <c r="B1495" t="s">
        <v>12</v>
      </c>
      <c r="C1495" t="s">
        <v>28</v>
      </c>
      <c r="D1495">
        <v>222</v>
      </c>
      <c r="E1495">
        <v>80</v>
      </c>
      <c r="F1495" s="2">
        <v>362.51</v>
      </c>
      <c r="G1495" t="s">
        <v>32</v>
      </c>
      <c r="H1495" s="1">
        <v>45483</v>
      </c>
      <c r="I1495" s="1">
        <v>45507</v>
      </c>
      <c r="J1495" t="s">
        <v>37</v>
      </c>
      <c r="K1495" s="8">
        <f>Table2[[#This Row],[CurrentStock]]*Table2[[#This Row],[UnitPrice]]</f>
        <v>80477.22</v>
      </c>
      <c r="L1495" t="str">
        <f>IF(Table2[[#This Row],[CurrentStock]]&lt;=Table2[[#This Row],[ReorderLevel]], "Reorder Needed", "Okay")</f>
        <v>Okay</v>
      </c>
      <c r="M1495" t="str">
        <f>IF(Table2[[#This Row],[CurrentStock]]-Table2[[#This Row],[ReorderLevel]]&lt;0,Table2[[#This Row],[CurrentStock]]-Table2[[#This Row],[ReorderLevel]],"")</f>
        <v/>
      </c>
      <c r="N1495" t="str">
        <f>IF(Table2[[#This Row],[Stock Gap]]&lt;0, "Understock","Okay")</f>
        <v>Okay</v>
      </c>
      <c r="O1495" s="13" t="str">
        <f>IF(Table2[[#This Row],[Stock Gap]]&lt;0, "Yes", "No")</f>
        <v>No</v>
      </c>
      <c r="P1495" s="13" t="str">
        <f>IF(Table2[[#This Row],[CurrentStock]]&lt;Table2[[#This Row],[ReorderLevel]],"Reorder", "Okay")</f>
        <v>Okay</v>
      </c>
      <c r="Q1495" s="13" t="str">
        <f>IF(Table2[[#This Row],[CurrentStock]]&gt;Table2[[#This Row],[ReorderLevel]]*3, "Overstock", "Okay")</f>
        <v>Okay</v>
      </c>
    </row>
    <row r="1496" spans="1:17" x14ac:dyDescent="0.35">
      <c r="A1496">
        <v>26442</v>
      </c>
      <c r="B1496" t="s">
        <v>10</v>
      </c>
      <c r="C1496" t="s">
        <v>26</v>
      </c>
      <c r="D1496">
        <v>121</v>
      </c>
      <c r="E1496">
        <v>20</v>
      </c>
      <c r="F1496" s="2">
        <v>350.24</v>
      </c>
      <c r="G1496" t="s">
        <v>35</v>
      </c>
      <c r="H1496" s="1">
        <v>45649</v>
      </c>
      <c r="I1496" s="1">
        <v>45678</v>
      </c>
      <c r="J1496" t="s">
        <v>36</v>
      </c>
      <c r="K1496" s="8">
        <f>Table2[[#This Row],[CurrentStock]]*Table2[[#This Row],[UnitPrice]]</f>
        <v>42379.040000000001</v>
      </c>
      <c r="L1496" t="str">
        <f>IF(Table2[[#This Row],[CurrentStock]]&lt;=Table2[[#This Row],[ReorderLevel]], "Reorder Needed", "Okay")</f>
        <v>Okay</v>
      </c>
      <c r="M1496" t="str">
        <f>IF(Table2[[#This Row],[CurrentStock]]-Table2[[#This Row],[ReorderLevel]]&lt;0,Table2[[#This Row],[CurrentStock]]-Table2[[#This Row],[ReorderLevel]],"")</f>
        <v/>
      </c>
      <c r="N1496" t="str">
        <f>IF(Table2[[#This Row],[Stock Gap]]&lt;0, "Understock","Okay")</f>
        <v>Okay</v>
      </c>
      <c r="O1496" s="13" t="str">
        <f>IF(Table2[[#This Row],[Stock Gap]]&lt;0, "Yes", "No")</f>
        <v>No</v>
      </c>
      <c r="P1496" s="13" t="str">
        <f>IF(Table2[[#This Row],[CurrentStock]]&lt;Table2[[#This Row],[ReorderLevel]],"Reorder", "Okay")</f>
        <v>Okay</v>
      </c>
      <c r="Q1496" s="13" t="str">
        <f>IF(Table2[[#This Row],[CurrentStock]]&gt;Table2[[#This Row],[ReorderLevel]]*3, "Overstock", "Okay")</f>
        <v>Overstock</v>
      </c>
    </row>
    <row r="1497" spans="1:17" x14ac:dyDescent="0.35">
      <c r="A1497">
        <v>49309</v>
      </c>
      <c r="B1497" t="s">
        <v>15</v>
      </c>
      <c r="C1497" t="s">
        <v>29</v>
      </c>
      <c r="D1497">
        <v>269</v>
      </c>
      <c r="E1497">
        <v>150</v>
      </c>
      <c r="F1497" s="2">
        <v>65.2</v>
      </c>
      <c r="G1497" t="s">
        <v>34</v>
      </c>
      <c r="H1497" s="1">
        <v>45294</v>
      </c>
      <c r="I1497" s="1">
        <v>45314</v>
      </c>
      <c r="J1497" t="s">
        <v>37</v>
      </c>
      <c r="K1497" s="8">
        <f>Table2[[#This Row],[CurrentStock]]*Table2[[#This Row],[UnitPrice]]</f>
        <v>17538.8</v>
      </c>
      <c r="L1497" t="str">
        <f>IF(Table2[[#This Row],[CurrentStock]]&lt;=Table2[[#This Row],[ReorderLevel]], "Reorder Needed", "Okay")</f>
        <v>Okay</v>
      </c>
      <c r="M1497" t="str">
        <f>IF(Table2[[#This Row],[CurrentStock]]-Table2[[#This Row],[ReorderLevel]]&lt;0,Table2[[#This Row],[CurrentStock]]-Table2[[#This Row],[ReorderLevel]],"")</f>
        <v/>
      </c>
      <c r="N1497" t="str">
        <f>IF(Table2[[#This Row],[Stock Gap]]&lt;0, "Understock","Okay")</f>
        <v>Okay</v>
      </c>
      <c r="O1497" s="13" t="str">
        <f>IF(Table2[[#This Row],[Stock Gap]]&lt;0, "Yes", "No")</f>
        <v>No</v>
      </c>
      <c r="P1497" s="13" t="str">
        <f>IF(Table2[[#This Row],[CurrentStock]]&lt;Table2[[#This Row],[ReorderLevel]],"Reorder", "Okay")</f>
        <v>Okay</v>
      </c>
      <c r="Q1497" s="13" t="str">
        <f>IF(Table2[[#This Row],[CurrentStock]]&gt;Table2[[#This Row],[ReorderLevel]]*3, "Overstock", "Okay")</f>
        <v>Okay</v>
      </c>
    </row>
    <row r="1498" spans="1:17" x14ac:dyDescent="0.35">
      <c r="A1498">
        <v>37215</v>
      </c>
      <c r="B1498" t="s">
        <v>15</v>
      </c>
      <c r="C1498" t="s">
        <v>29</v>
      </c>
      <c r="D1498">
        <v>435</v>
      </c>
      <c r="E1498">
        <v>30</v>
      </c>
      <c r="F1498" s="2">
        <v>203.84</v>
      </c>
      <c r="G1498" t="s">
        <v>32</v>
      </c>
      <c r="H1498" s="1">
        <v>45643</v>
      </c>
      <c r="I1498" s="1">
        <v>45652</v>
      </c>
      <c r="J1498" t="s">
        <v>38</v>
      </c>
      <c r="K1498" s="8">
        <f>Table2[[#This Row],[CurrentStock]]*Table2[[#This Row],[UnitPrice]]</f>
        <v>88670.400000000009</v>
      </c>
      <c r="L1498" t="str">
        <f>IF(Table2[[#This Row],[CurrentStock]]&lt;=Table2[[#This Row],[ReorderLevel]], "Reorder Needed", "Okay")</f>
        <v>Okay</v>
      </c>
      <c r="M1498" t="str">
        <f>IF(Table2[[#This Row],[CurrentStock]]-Table2[[#This Row],[ReorderLevel]]&lt;0,Table2[[#This Row],[CurrentStock]]-Table2[[#This Row],[ReorderLevel]],"")</f>
        <v/>
      </c>
      <c r="N1498" t="str">
        <f>IF(Table2[[#This Row],[Stock Gap]]&lt;0, "Understock","Okay")</f>
        <v>Okay</v>
      </c>
      <c r="O1498" s="13" t="str">
        <f>IF(Table2[[#This Row],[Stock Gap]]&lt;0, "Yes", "No")</f>
        <v>No</v>
      </c>
      <c r="P1498" s="13" t="str">
        <f>IF(Table2[[#This Row],[CurrentStock]]&lt;Table2[[#This Row],[ReorderLevel]],"Reorder", "Okay")</f>
        <v>Okay</v>
      </c>
      <c r="Q1498" s="13" t="str">
        <f>IF(Table2[[#This Row],[CurrentStock]]&gt;Table2[[#This Row],[ReorderLevel]]*3, "Overstock", "Okay")</f>
        <v>Overstock</v>
      </c>
    </row>
    <row r="1499" spans="1:17" x14ac:dyDescent="0.35">
      <c r="A1499">
        <v>26772</v>
      </c>
      <c r="B1499" t="s">
        <v>24</v>
      </c>
      <c r="C1499" t="s">
        <v>30</v>
      </c>
      <c r="D1499">
        <v>269</v>
      </c>
      <c r="E1499">
        <v>150</v>
      </c>
      <c r="F1499" s="2">
        <v>252.98</v>
      </c>
      <c r="G1499" t="s">
        <v>31</v>
      </c>
      <c r="H1499" s="1">
        <v>45588</v>
      </c>
      <c r="I1499" s="1">
        <v>45606</v>
      </c>
      <c r="J1499" t="s">
        <v>36</v>
      </c>
      <c r="K1499" s="8">
        <f>Table2[[#This Row],[CurrentStock]]*Table2[[#This Row],[UnitPrice]]</f>
        <v>68051.62</v>
      </c>
      <c r="L1499" t="str">
        <f>IF(Table2[[#This Row],[CurrentStock]]&lt;=Table2[[#This Row],[ReorderLevel]], "Reorder Needed", "Okay")</f>
        <v>Okay</v>
      </c>
      <c r="M1499" t="str">
        <f>IF(Table2[[#This Row],[CurrentStock]]-Table2[[#This Row],[ReorderLevel]]&lt;0,Table2[[#This Row],[CurrentStock]]-Table2[[#This Row],[ReorderLevel]],"")</f>
        <v/>
      </c>
      <c r="N1499" t="str">
        <f>IF(Table2[[#This Row],[Stock Gap]]&lt;0, "Understock","Okay")</f>
        <v>Okay</v>
      </c>
      <c r="O1499" s="13" t="str">
        <f>IF(Table2[[#This Row],[Stock Gap]]&lt;0, "Yes", "No")</f>
        <v>No</v>
      </c>
      <c r="P1499" s="13" t="str">
        <f>IF(Table2[[#This Row],[CurrentStock]]&lt;Table2[[#This Row],[ReorderLevel]],"Reorder", "Okay")</f>
        <v>Okay</v>
      </c>
      <c r="Q1499" s="13" t="str">
        <f>IF(Table2[[#This Row],[CurrentStock]]&gt;Table2[[#This Row],[ReorderLevel]]*3, "Overstock", "Okay")</f>
        <v>Okay</v>
      </c>
    </row>
    <row r="1500" spans="1:17" x14ac:dyDescent="0.35">
      <c r="A1500">
        <v>35874</v>
      </c>
      <c r="B1500" t="s">
        <v>15</v>
      </c>
      <c r="C1500" t="s">
        <v>29</v>
      </c>
      <c r="D1500">
        <v>260</v>
      </c>
      <c r="E1500">
        <v>20</v>
      </c>
      <c r="F1500" s="2">
        <v>382.93</v>
      </c>
      <c r="G1500" t="s">
        <v>32</v>
      </c>
      <c r="H1500" s="1">
        <v>45327</v>
      </c>
      <c r="I1500" s="1">
        <v>45346</v>
      </c>
      <c r="J1500" t="s">
        <v>36</v>
      </c>
      <c r="K1500" s="8">
        <f>Table2[[#This Row],[CurrentStock]]*Table2[[#This Row],[UnitPrice]]</f>
        <v>99561.8</v>
      </c>
      <c r="L1500" t="str">
        <f>IF(Table2[[#This Row],[CurrentStock]]&lt;=Table2[[#This Row],[ReorderLevel]], "Reorder Needed", "Okay")</f>
        <v>Okay</v>
      </c>
      <c r="M1500" t="str">
        <f>IF(Table2[[#This Row],[CurrentStock]]-Table2[[#This Row],[ReorderLevel]]&lt;0,Table2[[#This Row],[CurrentStock]]-Table2[[#This Row],[ReorderLevel]],"")</f>
        <v/>
      </c>
      <c r="N1500" t="str">
        <f>IF(Table2[[#This Row],[Stock Gap]]&lt;0, "Understock","Okay")</f>
        <v>Okay</v>
      </c>
      <c r="O1500" s="13" t="str">
        <f>IF(Table2[[#This Row],[Stock Gap]]&lt;0, "Yes", "No")</f>
        <v>No</v>
      </c>
      <c r="P1500" s="13" t="str">
        <f>IF(Table2[[#This Row],[CurrentStock]]&lt;Table2[[#This Row],[ReorderLevel]],"Reorder", "Okay")</f>
        <v>Okay</v>
      </c>
      <c r="Q1500" s="13" t="str">
        <f>IF(Table2[[#This Row],[CurrentStock]]&gt;Table2[[#This Row],[ReorderLevel]]*3, "Overstock", "Okay")</f>
        <v>Overstock</v>
      </c>
    </row>
    <row r="1501" spans="1:17" x14ac:dyDescent="0.35">
      <c r="A1501">
        <v>42735</v>
      </c>
      <c r="B1501" t="s">
        <v>9</v>
      </c>
      <c r="C1501" t="s">
        <v>26</v>
      </c>
      <c r="D1501">
        <v>439</v>
      </c>
      <c r="E1501">
        <v>20</v>
      </c>
      <c r="F1501" s="2">
        <v>219.06</v>
      </c>
      <c r="G1501" t="s">
        <v>32</v>
      </c>
      <c r="H1501" s="1">
        <v>45501</v>
      </c>
      <c r="I1501" s="1">
        <v>45523</v>
      </c>
      <c r="J1501" t="s">
        <v>38</v>
      </c>
      <c r="K1501" s="8">
        <f>Table2[[#This Row],[CurrentStock]]*Table2[[#This Row],[UnitPrice]]</f>
        <v>96167.34</v>
      </c>
      <c r="L1501" t="str">
        <f>IF(Table2[[#This Row],[CurrentStock]]&lt;=Table2[[#This Row],[ReorderLevel]], "Reorder Needed", "Okay")</f>
        <v>Okay</v>
      </c>
      <c r="M1501" t="str">
        <f>IF(Table2[[#This Row],[CurrentStock]]-Table2[[#This Row],[ReorderLevel]]&lt;0,Table2[[#This Row],[CurrentStock]]-Table2[[#This Row],[ReorderLevel]],"")</f>
        <v/>
      </c>
      <c r="N1501" t="str">
        <f>IF(Table2[[#This Row],[Stock Gap]]&lt;0, "Understock","Okay")</f>
        <v>Okay</v>
      </c>
      <c r="O1501" s="13" t="str">
        <f>IF(Table2[[#This Row],[Stock Gap]]&lt;0, "Yes", "No")</f>
        <v>No</v>
      </c>
      <c r="P1501" s="13" t="str">
        <f>IF(Table2[[#This Row],[CurrentStock]]&lt;Table2[[#This Row],[ReorderLevel]],"Reorder", "Okay")</f>
        <v>Okay</v>
      </c>
      <c r="Q1501" s="13" t="str">
        <f>IF(Table2[[#This Row],[CurrentStock]]&gt;Table2[[#This Row],[ReorderLevel]]*3, "Overstock", "Okay")</f>
        <v>Overstock</v>
      </c>
    </row>
    <row r="1502" spans="1:17" x14ac:dyDescent="0.35">
      <c r="A1502">
        <v>20068</v>
      </c>
      <c r="B1502" t="s">
        <v>24</v>
      </c>
      <c r="C1502" t="s">
        <v>30</v>
      </c>
      <c r="D1502">
        <v>464</v>
      </c>
      <c r="E1502">
        <v>150</v>
      </c>
      <c r="F1502" s="2">
        <v>144.04</v>
      </c>
      <c r="G1502" t="s">
        <v>31</v>
      </c>
      <c r="H1502" s="1">
        <v>45301</v>
      </c>
      <c r="I1502" s="1">
        <v>45310</v>
      </c>
      <c r="J1502" t="s">
        <v>37</v>
      </c>
      <c r="K1502" s="8">
        <f>Table2[[#This Row],[CurrentStock]]*Table2[[#This Row],[UnitPrice]]</f>
        <v>66834.559999999998</v>
      </c>
      <c r="L1502" t="str">
        <f>IF(Table2[[#This Row],[CurrentStock]]&lt;=Table2[[#This Row],[ReorderLevel]], "Reorder Needed", "Okay")</f>
        <v>Okay</v>
      </c>
      <c r="M1502" t="str">
        <f>IF(Table2[[#This Row],[CurrentStock]]-Table2[[#This Row],[ReorderLevel]]&lt;0,Table2[[#This Row],[CurrentStock]]-Table2[[#This Row],[ReorderLevel]],"")</f>
        <v/>
      </c>
      <c r="N1502" t="str">
        <f>IF(Table2[[#This Row],[Stock Gap]]&lt;0, "Understock","Okay")</f>
        <v>Okay</v>
      </c>
      <c r="O1502" s="13" t="str">
        <f>IF(Table2[[#This Row],[Stock Gap]]&lt;0, "Yes", "No")</f>
        <v>No</v>
      </c>
      <c r="P1502" s="13" t="str">
        <f>IF(Table2[[#This Row],[CurrentStock]]&lt;Table2[[#This Row],[ReorderLevel]],"Reorder", "Okay")</f>
        <v>Okay</v>
      </c>
      <c r="Q1502" s="13" t="str">
        <f>IF(Table2[[#This Row],[CurrentStock]]&gt;Table2[[#This Row],[ReorderLevel]]*3, "Overstock", "Okay")</f>
        <v>Overstock</v>
      </c>
    </row>
    <row r="1503" spans="1:17" x14ac:dyDescent="0.35">
      <c r="A1503">
        <v>30773</v>
      </c>
      <c r="B1503" t="s">
        <v>16</v>
      </c>
      <c r="C1503" t="s">
        <v>29</v>
      </c>
      <c r="D1503">
        <v>482</v>
      </c>
      <c r="E1503">
        <v>100</v>
      </c>
      <c r="F1503" s="2">
        <v>481.19</v>
      </c>
      <c r="G1503" t="s">
        <v>33</v>
      </c>
      <c r="H1503" s="1">
        <v>45309</v>
      </c>
      <c r="I1503" s="1">
        <v>45342</v>
      </c>
      <c r="J1503" t="s">
        <v>37</v>
      </c>
      <c r="K1503" s="8">
        <f>Table2[[#This Row],[CurrentStock]]*Table2[[#This Row],[UnitPrice]]</f>
        <v>231933.58</v>
      </c>
      <c r="L1503" t="str">
        <f>IF(Table2[[#This Row],[CurrentStock]]&lt;=Table2[[#This Row],[ReorderLevel]], "Reorder Needed", "Okay")</f>
        <v>Okay</v>
      </c>
      <c r="M1503" t="str">
        <f>IF(Table2[[#This Row],[CurrentStock]]-Table2[[#This Row],[ReorderLevel]]&lt;0,Table2[[#This Row],[CurrentStock]]-Table2[[#This Row],[ReorderLevel]],"")</f>
        <v/>
      </c>
      <c r="N1503" t="str">
        <f>IF(Table2[[#This Row],[Stock Gap]]&lt;0, "Understock","Okay")</f>
        <v>Okay</v>
      </c>
      <c r="O1503" s="13" t="str">
        <f>IF(Table2[[#This Row],[Stock Gap]]&lt;0, "Yes", "No")</f>
        <v>No</v>
      </c>
      <c r="P1503" s="13" t="str">
        <f>IF(Table2[[#This Row],[CurrentStock]]&lt;Table2[[#This Row],[ReorderLevel]],"Reorder", "Okay")</f>
        <v>Okay</v>
      </c>
      <c r="Q1503" s="13" t="str">
        <f>IF(Table2[[#This Row],[CurrentStock]]&gt;Table2[[#This Row],[ReorderLevel]]*3, "Overstock", "Okay")</f>
        <v>Overstock</v>
      </c>
    </row>
    <row r="1504" spans="1:17" x14ac:dyDescent="0.35">
      <c r="A1504">
        <v>61869</v>
      </c>
      <c r="B1504" t="s">
        <v>21</v>
      </c>
      <c r="C1504" t="s">
        <v>26</v>
      </c>
      <c r="D1504">
        <v>18</v>
      </c>
      <c r="E1504">
        <v>50</v>
      </c>
      <c r="F1504" s="2">
        <v>121.05</v>
      </c>
      <c r="G1504" t="s">
        <v>31</v>
      </c>
      <c r="H1504" s="1">
        <v>45432</v>
      </c>
      <c r="I1504" s="1">
        <v>45466</v>
      </c>
      <c r="J1504" t="s">
        <v>38</v>
      </c>
      <c r="K1504" s="8">
        <f>Table2[[#This Row],[CurrentStock]]*Table2[[#This Row],[UnitPrice]]</f>
        <v>2178.9</v>
      </c>
      <c r="L1504" t="str">
        <f>IF(Table2[[#This Row],[CurrentStock]]&lt;=Table2[[#This Row],[ReorderLevel]], "Reorder Needed", "Okay")</f>
        <v>Reorder Needed</v>
      </c>
      <c r="M1504" s="7">
        <f>IF(Table2[[#This Row],[CurrentStock]]-Table2[[#This Row],[ReorderLevel]]&lt;0,Table2[[#This Row],[CurrentStock]]-Table2[[#This Row],[ReorderLevel]],"")</f>
        <v>-32</v>
      </c>
      <c r="N1504" t="str">
        <f>IF(Table2[[#This Row],[Stock Gap]]&lt;0, "Understock","Okay")</f>
        <v>Understock</v>
      </c>
      <c r="O1504" s="13" t="str">
        <f>IF(Table2[[#This Row],[Stock Gap]]&lt;0, "Yes", "No")</f>
        <v>Yes</v>
      </c>
      <c r="P1504" s="13" t="str">
        <f>IF(Table2[[#This Row],[CurrentStock]]&lt;Table2[[#This Row],[ReorderLevel]],"Reorder", "Okay")</f>
        <v>Reorder</v>
      </c>
      <c r="Q1504" s="13" t="str">
        <f>IF(Table2[[#This Row],[CurrentStock]]&gt;Table2[[#This Row],[ReorderLevel]]*3, "Overstock", "Okay")</f>
        <v>Okay</v>
      </c>
    </row>
    <row r="1505" spans="1:17" x14ac:dyDescent="0.35">
      <c r="A1505">
        <v>97110</v>
      </c>
      <c r="B1505" t="s">
        <v>9</v>
      </c>
      <c r="C1505" t="s">
        <v>26</v>
      </c>
      <c r="D1505">
        <v>360</v>
      </c>
      <c r="E1505">
        <v>20</v>
      </c>
      <c r="F1505" s="2">
        <v>249.84</v>
      </c>
      <c r="G1505" t="s">
        <v>34</v>
      </c>
      <c r="H1505" s="1">
        <v>45629</v>
      </c>
      <c r="I1505" s="1">
        <v>45652</v>
      </c>
      <c r="J1505" t="s">
        <v>37</v>
      </c>
      <c r="K1505" s="8">
        <f>Table2[[#This Row],[CurrentStock]]*Table2[[#This Row],[UnitPrice]]</f>
        <v>89942.399999999994</v>
      </c>
      <c r="L1505" t="str">
        <f>IF(Table2[[#This Row],[CurrentStock]]&lt;=Table2[[#This Row],[ReorderLevel]], "Reorder Needed", "Okay")</f>
        <v>Okay</v>
      </c>
      <c r="M1505" t="str">
        <f>IF(Table2[[#This Row],[CurrentStock]]-Table2[[#This Row],[ReorderLevel]]&lt;0,Table2[[#This Row],[CurrentStock]]-Table2[[#This Row],[ReorderLevel]],"")</f>
        <v/>
      </c>
      <c r="N1505" t="str">
        <f>IF(Table2[[#This Row],[Stock Gap]]&lt;0, "Understock","Okay")</f>
        <v>Okay</v>
      </c>
      <c r="O1505" s="13" t="str">
        <f>IF(Table2[[#This Row],[Stock Gap]]&lt;0, "Yes", "No")</f>
        <v>No</v>
      </c>
      <c r="P1505" s="13" t="str">
        <f>IF(Table2[[#This Row],[CurrentStock]]&lt;Table2[[#This Row],[ReorderLevel]],"Reorder", "Okay")</f>
        <v>Okay</v>
      </c>
      <c r="Q1505" s="13" t="str">
        <f>IF(Table2[[#This Row],[CurrentStock]]&gt;Table2[[#This Row],[ReorderLevel]]*3, "Overstock", "Okay")</f>
        <v>Overstock</v>
      </c>
    </row>
    <row r="1506" spans="1:17" x14ac:dyDescent="0.35">
      <c r="A1506">
        <v>28728</v>
      </c>
      <c r="B1506" t="s">
        <v>11</v>
      </c>
      <c r="C1506" t="s">
        <v>27</v>
      </c>
      <c r="D1506">
        <v>470</v>
      </c>
      <c r="E1506">
        <v>50</v>
      </c>
      <c r="F1506" s="2">
        <v>329.84</v>
      </c>
      <c r="G1506" t="s">
        <v>33</v>
      </c>
      <c r="H1506" s="1">
        <v>45551</v>
      </c>
      <c r="I1506" s="1">
        <v>45560</v>
      </c>
      <c r="J1506" t="s">
        <v>37</v>
      </c>
      <c r="K1506" s="8">
        <f>Table2[[#This Row],[CurrentStock]]*Table2[[#This Row],[UnitPrice]]</f>
        <v>155024.79999999999</v>
      </c>
      <c r="L1506" t="str">
        <f>IF(Table2[[#This Row],[CurrentStock]]&lt;=Table2[[#This Row],[ReorderLevel]], "Reorder Needed", "Okay")</f>
        <v>Okay</v>
      </c>
      <c r="M1506" t="str">
        <f>IF(Table2[[#This Row],[CurrentStock]]-Table2[[#This Row],[ReorderLevel]]&lt;0,Table2[[#This Row],[CurrentStock]]-Table2[[#This Row],[ReorderLevel]],"")</f>
        <v/>
      </c>
      <c r="N1506" t="str">
        <f>IF(Table2[[#This Row],[Stock Gap]]&lt;0, "Understock","Okay")</f>
        <v>Okay</v>
      </c>
      <c r="O1506" s="13" t="str">
        <f>IF(Table2[[#This Row],[Stock Gap]]&lt;0, "Yes", "No")</f>
        <v>No</v>
      </c>
      <c r="P1506" s="13" t="str">
        <f>IF(Table2[[#This Row],[CurrentStock]]&lt;Table2[[#This Row],[ReorderLevel]],"Reorder", "Okay")</f>
        <v>Okay</v>
      </c>
      <c r="Q1506" s="13" t="str">
        <f>IF(Table2[[#This Row],[CurrentStock]]&gt;Table2[[#This Row],[ReorderLevel]]*3, "Overstock", "Okay")</f>
        <v>Overstock</v>
      </c>
    </row>
    <row r="1507" spans="1:17" x14ac:dyDescent="0.35">
      <c r="A1507">
        <v>72651</v>
      </c>
      <c r="B1507" t="s">
        <v>25</v>
      </c>
      <c r="C1507" t="s">
        <v>29</v>
      </c>
      <c r="D1507">
        <v>444</v>
      </c>
      <c r="E1507">
        <v>40</v>
      </c>
      <c r="F1507" s="2">
        <v>94.11</v>
      </c>
      <c r="G1507" t="s">
        <v>34</v>
      </c>
      <c r="H1507" s="1">
        <v>45304</v>
      </c>
      <c r="I1507" s="1">
        <v>45322</v>
      </c>
      <c r="J1507" t="s">
        <v>37</v>
      </c>
      <c r="K1507" s="8">
        <f>Table2[[#This Row],[CurrentStock]]*Table2[[#This Row],[UnitPrice]]</f>
        <v>41784.839999999997</v>
      </c>
      <c r="L1507" t="str">
        <f>IF(Table2[[#This Row],[CurrentStock]]&lt;=Table2[[#This Row],[ReorderLevel]], "Reorder Needed", "Okay")</f>
        <v>Okay</v>
      </c>
      <c r="M1507" t="str">
        <f>IF(Table2[[#This Row],[CurrentStock]]-Table2[[#This Row],[ReorderLevel]]&lt;0,Table2[[#This Row],[CurrentStock]]-Table2[[#This Row],[ReorderLevel]],"")</f>
        <v/>
      </c>
      <c r="N1507" t="str">
        <f>IF(Table2[[#This Row],[Stock Gap]]&lt;0, "Understock","Okay")</f>
        <v>Okay</v>
      </c>
      <c r="O1507" s="13" t="str">
        <f>IF(Table2[[#This Row],[Stock Gap]]&lt;0, "Yes", "No")</f>
        <v>No</v>
      </c>
      <c r="P1507" s="13" t="str">
        <f>IF(Table2[[#This Row],[CurrentStock]]&lt;Table2[[#This Row],[ReorderLevel]],"Reorder", "Okay")</f>
        <v>Okay</v>
      </c>
      <c r="Q1507" s="13" t="str">
        <f>IF(Table2[[#This Row],[CurrentStock]]&gt;Table2[[#This Row],[ReorderLevel]]*3, "Overstock", "Okay")</f>
        <v>Overstock</v>
      </c>
    </row>
    <row r="1508" spans="1:17" x14ac:dyDescent="0.35">
      <c r="A1508">
        <v>32286</v>
      </c>
      <c r="B1508" t="s">
        <v>24</v>
      </c>
      <c r="C1508" t="s">
        <v>30</v>
      </c>
      <c r="D1508">
        <v>427</v>
      </c>
      <c r="E1508">
        <v>50</v>
      </c>
      <c r="F1508" s="2">
        <v>57.66</v>
      </c>
      <c r="G1508" t="s">
        <v>32</v>
      </c>
      <c r="H1508" s="1">
        <v>45490</v>
      </c>
      <c r="I1508" s="1">
        <v>45508</v>
      </c>
      <c r="J1508" t="s">
        <v>38</v>
      </c>
      <c r="K1508" s="8">
        <f>Table2[[#This Row],[CurrentStock]]*Table2[[#This Row],[UnitPrice]]</f>
        <v>24620.82</v>
      </c>
      <c r="L1508" t="str">
        <f>IF(Table2[[#This Row],[CurrentStock]]&lt;=Table2[[#This Row],[ReorderLevel]], "Reorder Needed", "Okay")</f>
        <v>Okay</v>
      </c>
      <c r="M1508" t="str">
        <f>IF(Table2[[#This Row],[CurrentStock]]-Table2[[#This Row],[ReorderLevel]]&lt;0,Table2[[#This Row],[CurrentStock]]-Table2[[#This Row],[ReorderLevel]],"")</f>
        <v/>
      </c>
      <c r="N1508" t="str">
        <f>IF(Table2[[#This Row],[Stock Gap]]&lt;0, "Understock","Okay")</f>
        <v>Okay</v>
      </c>
      <c r="O1508" s="13" t="str">
        <f>IF(Table2[[#This Row],[Stock Gap]]&lt;0, "Yes", "No")</f>
        <v>No</v>
      </c>
      <c r="P1508" s="13" t="str">
        <f>IF(Table2[[#This Row],[CurrentStock]]&lt;Table2[[#This Row],[ReorderLevel]],"Reorder", "Okay")</f>
        <v>Okay</v>
      </c>
      <c r="Q1508" s="13" t="str">
        <f>IF(Table2[[#This Row],[CurrentStock]]&gt;Table2[[#This Row],[ReorderLevel]]*3, "Overstock", "Okay")</f>
        <v>Overstock</v>
      </c>
    </row>
    <row r="1509" spans="1:17" x14ac:dyDescent="0.35">
      <c r="A1509">
        <v>19321</v>
      </c>
      <c r="B1509" t="s">
        <v>24</v>
      </c>
      <c r="C1509" t="s">
        <v>30</v>
      </c>
      <c r="D1509">
        <v>235</v>
      </c>
      <c r="E1509">
        <v>80</v>
      </c>
      <c r="F1509" s="2">
        <v>210.15</v>
      </c>
      <c r="G1509" t="s">
        <v>34</v>
      </c>
      <c r="H1509" s="1">
        <v>45326</v>
      </c>
      <c r="I1509" s="1">
        <v>45353</v>
      </c>
      <c r="J1509" t="s">
        <v>38</v>
      </c>
      <c r="K1509" s="8">
        <f>Table2[[#This Row],[CurrentStock]]*Table2[[#This Row],[UnitPrice]]</f>
        <v>49385.25</v>
      </c>
      <c r="L1509" t="str">
        <f>IF(Table2[[#This Row],[CurrentStock]]&lt;=Table2[[#This Row],[ReorderLevel]], "Reorder Needed", "Okay")</f>
        <v>Okay</v>
      </c>
      <c r="M1509" t="str">
        <f>IF(Table2[[#This Row],[CurrentStock]]-Table2[[#This Row],[ReorderLevel]]&lt;0,Table2[[#This Row],[CurrentStock]]-Table2[[#This Row],[ReorderLevel]],"")</f>
        <v/>
      </c>
      <c r="N1509" t="str">
        <f>IF(Table2[[#This Row],[Stock Gap]]&lt;0, "Understock","Okay")</f>
        <v>Okay</v>
      </c>
      <c r="O1509" s="13" t="str">
        <f>IF(Table2[[#This Row],[Stock Gap]]&lt;0, "Yes", "No")</f>
        <v>No</v>
      </c>
      <c r="P1509" s="13" t="str">
        <f>IF(Table2[[#This Row],[CurrentStock]]&lt;Table2[[#This Row],[ReorderLevel]],"Reorder", "Okay")</f>
        <v>Okay</v>
      </c>
      <c r="Q1509" s="13" t="str">
        <f>IF(Table2[[#This Row],[CurrentStock]]&gt;Table2[[#This Row],[ReorderLevel]]*3, "Overstock", "Okay")</f>
        <v>Okay</v>
      </c>
    </row>
    <row r="1510" spans="1:17" x14ac:dyDescent="0.35">
      <c r="A1510">
        <v>35727</v>
      </c>
      <c r="B1510" t="s">
        <v>12</v>
      </c>
      <c r="C1510" t="s">
        <v>28</v>
      </c>
      <c r="D1510">
        <v>99</v>
      </c>
      <c r="E1510">
        <v>80</v>
      </c>
      <c r="F1510" s="2">
        <v>20.85</v>
      </c>
      <c r="G1510" t="s">
        <v>35</v>
      </c>
      <c r="H1510" s="1">
        <v>45486</v>
      </c>
      <c r="I1510" s="1">
        <v>45498</v>
      </c>
      <c r="J1510" t="s">
        <v>37</v>
      </c>
      <c r="K1510" s="8">
        <f>Table2[[#This Row],[CurrentStock]]*Table2[[#This Row],[UnitPrice]]</f>
        <v>2064.15</v>
      </c>
      <c r="L1510" t="str">
        <f>IF(Table2[[#This Row],[CurrentStock]]&lt;=Table2[[#This Row],[ReorderLevel]], "Reorder Needed", "Okay")</f>
        <v>Okay</v>
      </c>
      <c r="M1510" t="str">
        <f>IF(Table2[[#This Row],[CurrentStock]]-Table2[[#This Row],[ReorderLevel]]&lt;0,Table2[[#This Row],[CurrentStock]]-Table2[[#This Row],[ReorderLevel]],"")</f>
        <v/>
      </c>
      <c r="N1510" t="str">
        <f>IF(Table2[[#This Row],[Stock Gap]]&lt;0, "Understock","Okay")</f>
        <v>Okay</v>
      </c>
      <c r="O1510" s="13" t="str">
        <f>IF(Table2[[#This Row],[Stock Gap]]&lt;0, "Yes", "No")</f>
        <v>No</v>
      </c>
      <c r="P1510" s="13" t="str">
        <f>IF(Table2[[#This Row],[CurrentStock]]&lt;Table2[[#This Row],[ReorderLevel]],"Reorder", "Okay")</f>
        <v>Okay</v>
      </c>
      <c r="Q1510" s="13" t="str">
        <f>IF(Table2[[#This Row],[CurrentStock]]&gt;Table2[[#This Row],[ReorderLevel]]*3, "Overstock", "Okay")</f>
        <v>Okay</v>
      </c>
    </row>
    <row r="1511" spans="1:17" x14ac:dyDescent="0.35">
      <c r="A1511">
        <v>20796</v>
      </c>
      <c r="B1511" t="s">
        <v>23</v>
      </c>
      <c r="C1511" t="s">
        <v>30</v>
      </c>
      <c r="D1511">
        <v>389</v>
      </c>
      <c r="E1511">
        <v>50</v>
      </c>
      <c r="F1511" s="2">
        <v>429.86</v>
      </c>
      <c r="G1511" t="s">
        <v>32</v>
      </c>
      <c r="H1511" s="1">
        <v>45327</v>
      </c>
      <c r="I1511" s="1">
        <v>45363</v>
      </c>
      <c r="J1511" t="s">
        <v>36</v>
      </c>
      <c r="K1511" s="8">
        <f>Table2[[#This Row],[CurrentStock]]*Table2[[#This Row],[UnitPrice]]</f>
        <v>167215.54</v>
      </c>
      <c r="L1511" t="str">
        <f>IF(Table2[[#This Row],[CurrentStock]]&lt;=Table2[[#This Row],[ReorderLevel]], "Reorder Needed", "Okay")</f>
        <v>Okay</v>
      </c>
      <c r="M1511" t="str">
        <f>IF(Table2[[#This Row],[CurrentStock]]-Table2[[#This Row],[ReorderLevel]]&lt;0,Table2[[#This Row],[CurrentStock]]-Table2[[#This Row],[ReorderLevel]],"")</f>
        <v/>
      </c>
      <c r="N1511" t="str">
        <f>IF(Table2[[#This Row],[Stock Gap]]&lt;0, "Understock","Okay")</f>
        <v>Okay</v>
      </c>
      <c r="O1511" s="13" t="str">
        <f>IF(Table2[[#This Row],[Stock Gap]]&lt;0, "Yes", "No")</f>
        <v>No</v>
      </c>
      <c r="P1511" s="13" t="str">
        <f>IF(Table2[[#This Row],[CurrentStock]]&lt;Table2[[#This Row],[ReorderLevel]],"Reorder", "Okay")</f>
        <v>Okay</v>
      </c>
      <c r="Q1511" s="13" t="str">
        <f>IF(Table2[[#This Row],[CurrentStock]]&gt;Table2[[#This Row],[ReorderLevel]]*3, "Overstock", "Okay")</f>
        <v>Overstock</v>
      </c>
    </row>
    <row r="1512" spans="1:17" x14ac:dyDescent="0.35">
      <c r="A1512">
        <v>69402</v>
      </c>
      <c r="B1512" t="s">
        <v>18</v>
      </c>
      <c r="C1512" t="s">
        <v>27</v>
      </c>
      <c r="D1512">
        <v>86</v>
      </c>
      <c r="E1512">
        <v>30</v>
      </c>
      <c r="F1512" s="2">
        <v>456.33</v>
      </c>
      <c r="G1512" t="s">
        <v>32</v>
      </c>
      <c r="H1512" s="1">
        <v>45421</v>
      </c>
      <c r="I1512" s="1">
        <v>45428</v>
      </c>
      <c r="J1512" t="s">
        <v>37</v>
      </c>
      <c r="K1512" s="8">
        <f>Table2[[#This Row],[CurrentStock]]*Table2[[#This Row],[UnitPrice]]</f>
        <v>39244.379999999997</v>
      </c>
      <c r="L1512" t="str">
        <f>IF(Table2[[#This Row],[CurrentStock]]&lt;=Table2[[#This Row],[ReorderLevel]], "Reorder Needed", "Okay")</f>
        <v>Okay</v>
      </c>
      <c r="M1512" t="str">
        <f>IF(Table2[[#This Row],[CurrentStock]]-Table2[[#This Row],[ReorderLevel]]&lt;0,Table2[[#This Row],[CurrentStock]]-Table2[[#This Row],[ReorderLevel]],"")</f>
        <v/>
      </c>
      <c r="N1512" t="str">
        <f>IF(Table2[[#This Row],[Stock Gap]]&lt;0, "Understock","Okay")</f>
        <v>Okay</v>
      </c>
      <c r="O1512" s="13" t="str">
        <f>IF(Table2[[#This Row],[Stock Gap]]&lt;0, "Yes", "No")</f>
        <v>No</v>
      </c>
      <c r="P1512" s="13" t="str">
        <f>IF(Table2[[#This Row],[CurrentStock]]&lt;Table2[[#This Row],[ReorderLevel]],"Reorder", "Okay")</f>
        <v>Okay</v>
      </c>
      <c r="Q1512" s="13" t="str">
        <f>IF(Table2[[#This Row],[CurrentStock]]&gt;Table2[[#This Row],[ReorderLevel]]*3, "Overstock", "Okay")</f>
        <v>Okay</v>
      </c>
    </row>
    <row r="1513" spans="1:17" x14ac:dyDescent="0.35">
      <c r="A1513">
        <v>56303</v>
      </c>
      <c r="B1513" t="s">
        <v>14</v>
      </c>
      <c r="C1513" t="s">
        <v>28</v>
      </c>
      <c r="D1513">
        <v>398</v>
      </c>
      <c r="E1513">
        <v>40</v>
      </c>
      <c r="F1513" s="2">
        <v>499.84</v>
      </c>
      <c r="G1513" t="s">
        <v>34</v>
      </c>
      <c r="H1513" s="1">
        <v>45639</v>
      </c>
      <c r="I1513" s="1">
        <v>45671</v>
      </c>
      <c r="J1513" t="s">
        <v>36</v>
      </c>
      <c r="K1513" s="8">
        <f>Table2[[#This Row],[CurrentStock]]*Table2[[#This Row],[UnitPrice]]</f>
        <v>198936.31999999998</v>
      </c>
      <c r="L1513" t="str">
        <f>IF(Table2[[#This Row],[CurrentStock]]&lt;=Table2[[#This Row],[ReorderLevel]], "Reorder Needed", "Okay")</f>
        <v>Okay</v>
      </c>
      <c r="M1513" t="str">
        <f>IF(Table2[[#This Row],[CurrentStock]]-Table2[[#This Row],[ReorderLevel]]&lt;0,Table2[[#This Row],[CurrentStock]]-Table2[[#This Row],[ReorderLevel]],"")</f>
        <v/>
      </c>
      <c r="N1513" t="str">
        <f>IF(Table2[[#This Row],[Stock Gap]]&lt;0, "Understock","Okay")</f>
        <v>Okay</v>
      </c>
      <c r="O1513" s="13" t="str">
        <f>IF(Table2[[#This Row],[Stock Gap]]&lt;0, "Yes", "No")</f>
        <v>No</v>
      </c>
      <c r="P1513" s="13" t="str">
        <f>IF(Table2[[#This Row],[CurrentStock]]&lt;Table2[[#This Row],[ReorderLevel]],"Reorder", "Okay")</f>
        <v>Okay</v>
      </c>
      <c r="Q1513" s="13" t="str">
        <f>IF(Table2[[#This Row],[CurrentStock]]&gt;Table2[[#This Row],[ReorderLevel]]*3, "Overstock", "Okay")</f>
        <v>Overstock</v>
      </c>
    </row>
    <row r="1514" spans="1:17" x14ac:dyDescent="0.35">
      <c r="A1514">
        <v>97267</v>
      </c>
      <c r="B1514" t="s">
        <v>12</v>
      </c>
      <c r="C1514" t="s">
        <v>28</v>
      </c>
      <c r="D1514">
        <v>347</v>
      </c>
      <c r="E1514">
        <v>20</v>
      </c>
      <c r="F1514" s="2">
        <v>204.77</v>
      </c>
      <c r="G1514" t="s">
        <v>32</v>
      </c>
      <c r="H1514" s="1">
        <v>45333</v>
      </c>
      <c r="I1514" s="1">
        <v>45371</v>
      </c>
      <c r="J1514" t="s">
        <v>38</v>
      </c>
      <c r="K1514" s="8">
        <f>Table2[[#This Row],[CurrentStock]]*Table2[[#This Row],[UnitPrice]]</f>
        <v>71055.19</v>
      </c>
      <c r="L1514" t="str">
        <f>IF(Table2[[#This Row],[CurrentStock]]&lt;=Table2[[#This Row],[ReorderLevel]], "Reorder Needed", "Okay")</f>
        <v>Okay</v>
      </c>
      <c r="M1514" t="str">
        <f>IF(Table2[[#This Row],[CurrentStock]]-Table2[[#This Row],[ReorderLevel]]&lt;0,Table2[[#This Row],[CurrentStock]]-Table2[[#This Row],[ReorderLevel]],"")</f>
        <v/>
      </c>
      <c r="N1514" t="str">
        <f>IF(Table2[[#This Row],[Stock Gap]]&lt;0, "Understock","Okay")</f>
        <v>Okay</v>
      </c>
      <c r="O1514" s="13" t="str">
        <f>IF(Table2[[#This Row],[Stock Gap]]&lt;0, "Yes", "No")</f>
        <v>No</v>
      </c>
      <c r="P1514" s="13" t="str">
        <f>IF(Table2[[#This Row],[CurrentStock]]&lt;Table2[[#This Row],[ReorderLevel]],"Reorder", "Okay")</f>
        <v>Okay</v>
      </c>
      <c r="Q1514" s="13" t="str">
        <f>IF(Table2[[#This Row],[CurrentStock]]&gt;Table2[[#This Row],[ReorderLevel]]*3, "Overstock", "Okay")</f>
        <v>Overstock</v>
      </c>
    </row>
    <row r="1515" spans="1:17" x14ac:dyDescent="0.35">
      <c r="A1515">
        <v>73967</v>
      </c>
      <c r="B1515" t="s">
        <v>15</v>
      </c>
      <c r="C1515" t="s">
        <v>29</v>
      </c>
      <c r="D1515">
        <v>388</v>
      </c>
      <c r="E1515">
        <v>50</v>
      </c>
      <c r="F1515" s="2">
        <v>449.04</v>
      </c>
      <c r="G1515" t="s">
        <v>32</v>
      </c>
      <c r="H1515" s="1">
        <v>45366</v>
      </c>
      <c r="I1515" s="1">
        <v>45400</v>
      </c>
      <c r="J1515" t="s">
        <v>38</v>
      </c>
      <c r="K1515" s="8">
        <f>Table2[[#This Row],[CurrentStock]]*Table2[[#This Row],[UnitPrice]]</f>
        <v>174227.52000000002</v>
      </c>
      <c r="L1515" t="str">
        <f>IF(Table2[[#This Row],[CurrentStock]]&lt;=Table2[[#This Row],[ReorderLevel]], "Reorder Needed", "Okay")</f>
        <v>Okay</v>
      </c>
      <c r="M1515" t="str">
        <f>IF(Table2[[#This Row],[CurrentStock]]-Table2[[#This Row],[ReorderLevel]]&lt;0,Table2[[#This Row],[CurrentStock]]-Table2[[#This Row],[ReorderLevel]],"")</f>
        <v/>
      </c>
      <c r="N1515" t="str">
        <f>IF(Table2[[#This Row],[Stock Gap]]&lt;0, "Understock","Okay")</f>
        <v>Okay</v>
      </c>
      <c r="O1515" s="13" t="str">
        <f>IF(Table2[[#This Row],[Stock Gap]]&lt;0, "Yes", "No")</f>
        <v>No</v>
      </c>
      <c r="P1515" s="13" t="str">
        <f>IF(Table2[[#This Row],[CurrentStock]]&lt;Table2[[#This Row],[ReorderLevel]],"Reorder", "Okay")</f>
        <v>Okay</v>
      </c>
      <c r="Q1515" s="13" t="str">
        <f>IF(Table2[[#This Row],[CurrentStock]]&gt;Table2[[#This Row],[ReorderLevel]]*3, "Overstock", "Okay")</f>
        <v>Overstock</v>
      </c>
    </row>
    <row r="1516" spans="1:17" x14ac:dyDescent="0.35">
      <c r="A1516">
        <v>15539</v>
      </c>
      <c r="B1516" t="s">
        <v>13</v>
      </c>
      <c r="C1516" t="s">
        <v>26</v>
      </c>
      <c r="D1516">
        <v>469</v>
      </c>
      <c r="E1516">
        <v>150</v>
      </c>
      <c r="F1516" s="2">
        <v>197.75</v>
      </c>
      <c r="G1516" t="s">
        <v>34</v>
      </c>
      <c r="H1516" s="1">
        <v>45387</v>
      </c>
      <c r="I1516" s="1">
        <v>45419</v>
      </c>
      <c r="J1516" t="s">
        <v>36</v>
      </c>
      <c r="K1516" s="8">
        <f>Table2[[#This Row],[CurrentStock]]*Table2[[#This Row],[UnitPrice]]</f>
        <v>92744.75</v>
      </c>
      <c r="L1516" t="str">
        <f>IF(Table2[[#This Row],[CurrentStock]]&lt;=Table2[[#This Row],[ReorderLevel]], "Reorder Needed", "Okay")</f>
        <v>Okay</v>
      </c>
      <c r="M1516" t="str">
        <f>IF(Table2[[#This Row],[CurrentStock]]-Table2[[#This Row],[ReorderLevel]]&lt;0,Table2[[#This Row],[CurrentStock]]-Table2[[#This Row],[ReorderLevel]],"")</f>
        <v/>
      </c>
      <c r="N1516" t="str">
        <f>IF(Table2[[#This Row],[Stock Gap]]&lt;0, "Understock","Okay")</f>
        <v>Okay</v>
      </c>
      <c r="O1516" s="13" t="str">
        <f>IF(Table2[[#This Row],[Stock Gap]]&lt;0, "Yes", "No")</f>
        <v>No</v>
      </c>
      <c r="P1516" s="13" t="str">
        <f>IF(Table2[[#This Row],[CurrentStock]]&lt;Table2[[#This Row],[ReorderLevel]],"Reorder", "Okay")</f>
        <v>Okay</v>
      </c>
      <c r="Q1516" s="13" t="str">
        <f>IF(Table2[[#This Row],[CurrentStock]]&gt;Table2[[#This Row],[ReorderLevel]]*3, "Overstock", "Okay")</f>
        <v>Overstock</v>
      </c>
    </row>
    <row r="1517" spans="1:17" x14ac:dyDescent="0.35">
      <c r="A1517">
        <v>94766</v>
      </c>
      <c r="B1517" t="s">
        <v>9</v>
      </c>
      <c r="C1517" t="s">
        <v>26</v>
      </c>
      <c r="D1517">
        <v>249</v>
      </c>
      <c r="E1517">
        <v>100</v>
      </c>
      <c r="F1517" s="2">
        <v>346.49</v>
      </c>
      <c r="G1517" t="s">
        <v>31</v>
      </c>
      <c r="H1517" s="1">
        <v>45475</v>
      </c>
      <c r="I1517" s="1">
        <v>45483</v>
      </c>
      <c r="J1517" t="s">
        <v>38</v>
      </c>
      <c r="K1517" s="8">
        <f>Table2[[#This Row],[CurrentStock]]*Table2[[#This Row],[UnitPrice]]</f>
        <v>86276.010000000009</v>
      </c>
      <c r="L1517" t="str">
        <f>IF(Table2[[#This Row],[CurrentStock]]&lt;=Table2[[#This Row],[ReorderLevel]], "Reorder Needed", "Okay")</f>
        <v>Okay</v>
      </c>
      <c r="M1517" t="str">
        <f>IF(Table2[[#This Row],[CurrentStock]]-Table2[[#This Row],[ReorderLevel]]&lt;0,Table2[[#This Row],[CurrentStock]]-Table2[[#This Row],[ReorderLevel]],"")</f>
        <v/>
      </c>
      <c r="N1517" t="str">
        <f>IF(Table2[[#This Row],[Stock Gap]]&lt;0, "Understock","Okay")</f>
        <v>Okay</v>
      </c>
      <c r="O1517" s="13" t="str">
        <f>IF(Table2[[#This Row],[Stock Gap]]&lt;0, "Yes", "No")</f>
        <v>No</v>
      </c>
      <c r="P1517" s="13" t="str">
        <f>IF(Table2[[#This Row],[CurrentStock]]&lt;Table2[[#This Row],[ReorderLevel]],"Reorder", "Okay")</f>
        <v>Okay</v>
      </c>
      <c r="Q1517" s="13" t="str">
        <f>IF(Table2[[#This Row],[CurrentStock]]&gt;Table2[[#This Row],[ReorderLevel]]*3, "Overstock", "Okay")</f>
        <v>Okay</v>
      </c>
    </row>
    <row r="1518" spans="1:17" x14ac:dyDescent="0.35">
      <c r="A1518">
        <v>37912</v>
      </c>
      <c r="B1518" t="s">
        <v>17</v>
      </c>
      <c r="C1518" t="s">
        <v>27</v>
      </c>
      <c r="D1518">
        <v>68</v>
      </c>
      <c r="E1518">
        <v>100</v>
      </c>
      <c r="F1518" s="2">
        <v>331.96</v>
      </c>
      <c r="G1518" t="s">
        <v>33</v>
      </c>
      <c r="H1518" s="1">
        <v>45638</v>
      </c>
      <c r="I1518" s="1">
        <v>45650</v>
      </c>
      <c r="J1518" t="s">
        <v>36</v>
      </c>
      <c r="K1518" s="8">
        <f>Table2[[#This Row],[CurrentStock]]*Table2[[#This Row],[UnitPrice]]</f>
        <v>22573.279999999999</v>
      </c>
      <c r="L1518" t="str">
        <f>IF(Table2[[#This Row],[CurrentStock]]&lt;=Table2[[#This Row],[ReorderLevel]], "Reorder Needed", "Okay")</f>
        <v>Reorder Needed</v>
      </c>
      <c r="M1518" s="7">
        <f>IF(Table2[[#This Row],[CurrentStock]]-Table2[[#This Row],[ReorderLevel]]&lt;0,Table2[[#This Row],[CurrentStock]]-Table2[[#This Row],[ReorderLevel]],"")</f>
        <v>-32</v>
      </c>
      <c r="N1518" t="str">
        <f>IF(Table2[[#This Row],[Stock Gap]]&lt;0, "Understock","Okay")</f>
        <v>Understock</v>
      </c>
      <c r="O1518" s="13" t="str">
        <f>IF(Table2[[#This Row],[Stock Gap]]&lt;0, "Yes", "No")</f>
        <v>Yes</v>
      </c>
      <c r="P1518" s="13" t="str">
        <f>IF(Table2[[#This Row],[CurrentStock]]&lt;Table2[[#This Row],[ReorderLevel]],"Reorder", "Okay")</f>
        <v>Reorder</v>
      </c>
      <c r="Q1518" s="13" t="str">
        <f>IF(Table2[[#This Row],[CurrentStock]]&gt;Table2[[#This Row],[ReorderLevel]]*3, "Overstock", "Okay")</f>
        <v>Okay</v>
      </c>
    </row>
    <row r="1519" spans="1:17" x14ac:dyDescent="0.35">
      <c r="A1519">
        <v>14090</v>
      </c>
      <c r="B1519" t="s">
        <v>18</v>
      </c>
      <c r="C1519" t="s">
        <v>27</v>
      </c>
      <c r="D1519">
        <v>223</v>
      </c>
      <c r="E1519">
        <v>150</v>
      </c>
      <c r="F1519" s="2">
        <v>377.71</v>
      </c>
      <c r="G1519" t="s">
        <v>31</v>
      </c>
      <c r="H1519" s="1">
        <v>45456</v>
      </c>
      <c r="I1519" s="1">
        <v>45479</v>
      </c>
      <c r="J1519" t="s">
        <v>36</v>
      </c>
      <c r="K1519" s="8">
        <f>Table2[[#This Row],[CurrentStock]]*Table2[[#This Row],[UnitPrice]]</f>
        <v>84229.33</v>
      </c>
      <c r="L1519" t="str">
        <f>IF(Table2[[#This Row],[CurrentStock]]&lt;=Table2[[#This Row],[ReorderLevel]], "Reorder Needed", "Okay")</f>
        <v>Okay</v>
      </c>
      <c r="M1519" t="str">
        <f>IF(Table2[[#This Row],[CurrentStock]]-Table2[[#This Row],[ReorderLevel]]&lt;0,Table2[[#This Row],[CurrentStock]]-Table2[[#This Row],[ReorderLevel]],"")</f>
        <v/>
      </c>
      <c r="N1519" t="str">
        <f>IF(Table2[[#This Row],[Stock Gap]]&lt;0, "Understock","Okay")</f>
        <v>Okay</v>
      </c>
      <c r="O1519" s="13" t="str">
        <f>IF(Table2[[#This Row],[Stock Gap]]&lt;0, "Yes", "No")</f>
        <v>No</v>
      </c>
      <c r="P1519" s="13" t="str">
        <f>IF(Table2[[#This Row],[CurrentStock]]&lt;Table2[[#This Row],[ReorderLevel]],"Reorder", "Okay")</f>
        <v>Okay</v>
      </c>
      <c r="Q1519" s="13" t="str">
        <f>IF(Table2[[#This Row],[CurrentStock]]&gt;Table2[[#This Row],[ReorderLevel]]*3, "Overstock", "Okay")</f>
        <v>Okay</v>
      </c>
    </row>
    <row r="1520" spans="1:17" x14ac:dyDescent="0.35">
      <c r="A1520">
        <v>84062</v>
      </c>
      <c r="B1520" t="s">
        <v>9</v>
      </c>
      <c r="C1520" t="s">
        <v>26</v>
      </c>
      <c r="D1520">
        <v>489</v>
      </c>
      <c r="E1520">
        <v>40</v>
      </c>
      <c r="F1520" s="2">
        <v>160.82</v>
      </c>
      <c r="G1520" t="s">
        <v>32</v>
      </c>
      <c r="H1520" s="1">
        <v>45450</v>
      </c>
      <c r="I1520" s="1">
        <v>45465</v>
      </c>
      <c r="J1520" t="s">
        <v>37</v>
      </c>
      <c r="K1520" s="8">
        <f>Table2[[#This Row],[CurrentStock]]*Table2[[#This Row],[UnitPrice]]</f>
        <v>78640.98</v>
      </c>
      <c r="L1520" t="str">
        <f>IF(Table2[[#This Row],[CurrentStock]]&lt;=Table2[[#This Row],[ReorderLevel]], "Reorder Needed", "Okay")</f>
        <v>Okay</v>
      </c>
      <c r="M1520" t="str">
        <f>IF(Table2[[#This Row],[CurrentStock]]-Table2[[#This Row],[ReorderLevel]]&lt;0,Table2[[#This Row],[CurrentStock]]-Table2[[#This Row],[ReorderLevel]],"")</f>
        <v/>
      </c>
      <c r="N1520" t="str">
        <f>IF(Table2[[#This Row],[Stock Gap]]&lt;0, "Understock","Okay")</f>
        <v>Okay</v>
      </c>
      <c r="O1520" s="13" t="str">
        <f>IF(Table2[[#This Row],[Stock Gap]]&lt;0, "Yes", "No")</f>
        <v>No</v>
      </c>
      <c r="P1520" s="13" t="str">
        <f>IF(Table2[[#This Row],[CurrentStock]]&lt;Table2[[#This Row],[ReorderLevel]],"Reorder", "Okay")</f>
        <v>Okay</v>
      </c>
      <c r="Q1520" s="13" t="str">
        <f>IF(Table2[[#This Row],[CurrentStock]]&gt;Table2[[#This Row],[ReorderLevel]]*3, "Overstock", "Okay")</f>
        <v>Overstock</v>
      </c>
    </row>
    <row r="1521" spans="1:17" x14ac:dyDescent="0.35">
      <c r="A1521">
        <v>81857</v>
      </c>
      <c r="B1521" t="s">
        <v>14</v>
      </c>
      <c r="C1521" t="s">
        <v>28</v>
      </c>
      <c r="D1521">
        <v>386</v>
      </c>
      <c r="E1521">
        <v>30</v>
      </c>
      <c r="F1521" s="2">
        <v>181.71</v>
      </c>
      <c r="G1521" t="s">
        <v>34</v>
      </c>
      <c r="H1521" s="1">
        <v>45439</v>
      </c>
      <c r="I1521" s="1">
        <v>45472</v>
      </c>
      <c r="J1521" t="s">
        <v>37</v>
      </c>
      <c r="K1521" s="8">
        <f>Table2[[#This Row],[CurrentStock]]*Table2[[#This Row],[UnitPrice]]</f>
        <v>70140.06</v>
      </c>
      <c r="L1521" t="str">
        <f>IF(Table2[[#This Row],[CurrentStock]]&lt;=Table2[[#This Row],[ReorderLevel]], "Reorder Needed", "Okay")</f>
        <v>Okay</v>
      </c>
      <c r="M1521" t="str">
        <f>IF(Table2[[#This Row],[CurrentStock]]-Table2[[#This Row],[ReorderLevel]]&lt;0,Table2[[#This Row],[CurrentStock]]-Table2[[#This Row],[ReorderLevel]],"")</f>
        <v/>
      </c>
      <c r="N1521" t="str">
        <f>IF(Table2[[#This Row],[Stock Gap]]&lt;0, "Understock","Okay")</f>
        <v>Okay</v>
      </c>
      <c r="O1521" s="13" t="str">
        <f>IF(Table2[[#This Row],[Stock Gap]]&lt;0, "Yes", "No")</f>
        <v>No</v>
      </c>
      <c r="P1521" s="13" t="str">
        <f>IF(Table2[[#This Row],[CurrentStock]]&lt;Table2[[#This Row],[ReorderLevel]],"Reorder", "Okay")</f>
        <v>Okay</v>
      </c>
      <c r="Q1521" s="13" t="str">
        <f>IF(Table2[[#This Row],[CurrentStock]]&gt;Table2[[#This Row],[ReorderLevel]]*3, "Overstock", "Okay")</f>
        <v>Overstock</v>
      </c>
    </row>
    <row r="1522" spans="1:17" x14ac:dyDescent="0.35">
      <c r="A1522">
        <v>66878</v>
      </c>
      <c r="B1522" t="s">
        <v>23</v>
      </c>
      <c r="C1522" t="s">
        <v>30</v>
      </c>
      <c r="D1522">
        <v>246</v>
      </c>
      <c r="E1522">
        <v>100</v>
      </c>
      <c r="F1522" s="2">
        <v>336.86</v>
      </c>
      <c r="G1522" t="s">
        <v>32</v>
      </c>
      <c r="H1522" s="1">
        <v>45643</v>
      </c>
      <c r="I1522" s="1">
        <v>45657</v>
      </c>
      <c r="J1522" t="s">
        <v>37</v>
      </c>
      <c r="K1522" s="8">
        <f>Table2[[#This Row],[CurrentStock]]*Table2[[#This Row],[UnitPrice]]</f>
        <v>82867.56</v>
      </c>
      <c r="L1522" t="str">
        <f>IF(Table2[[#This Row],[CurrentStock]]&lt;=Table2[[#This Row],[ReorderLevel]], "Reorder Needed", "Okay")</f>
        <v>Okay</v>
      </c>
      <c r="M1522" t="str">
        <f>IF(Table2[[#This Row],[CurrentStock]]-Table2[[#This Row],[ReorderLevel]]&lt;0,Table2[[#This Row],[CurrentStock]]-Table2[[#This Row],[ReorderLevel]],"")</f>
        <v/>
      </c>
      <c r="N1522" t="str">
        <f>IF(Table2[[#This Row],[Stock Gap]]&lt;0, "Understock","Okay")</f>
        <v>Okay</v>
      </c>
      <c r="O1522" s="13" t="str">
        <f>IF(Table2[[#This Row],[Stock Gap]]&lt;0, "Yes", "No")</f>
        <v>No</v>
      </c>
      <c r="P1522" s="13" t="str">
        <f>IF(Table2[[#This Row],[CurrentStock]]&lt;Table2[[#This Row],[ReorderLevel]],"Reorder", "Okay")</f>
        <v>Okay</v>
      </c>
      <c r="Q1522" s="13" t="str">
        <f>IF(Table2[[#This Row],[CurrentStock]]&gt;Table2[[#This Row],[ReorderLevel]]*3, "Overstock", "Okay")</f>
        <v>Okay</v>
      </c>
    </row>
    <row r="1523" spans="1:17" x14ac:dyDescent="0.35">
      <c r="A1523">
        <v>95827</v>
      </c>
      <c r="B1523" t="s">
        <v>10</v>
      </c>
      <c r="C1523" t="s">
        <v>26</v>
      </c>
      <c r="D1523">
        <v>112</v>
      </c>
      <c r="E1523">
        <v>50</v>
      </c>
      <c r="F1523" s="2">
        <v>354.58</v>
      </c>
      <c r="G1523" t="s">
        <v>34</v>
      </c>
      <c r="H1523" s="1">
        <v>45344</v>
      </c>
      <c r="I1523" s="1">
        <v>45350</v>
      </c>
      <c r="J1523" t="s">
        <v>37</v>
      </c>
      <c r="K1523" s="8">
        <f>Table2[[#This Row],[CurrentStock]]*Table2[[#This Row],[UnitPrice]]</f>
        <v>39712.959999999999</v>
      </c>
      <c r="L1523" t="str">
        <f>IF(Table2[[#This Row],[CurrentStock]]&lt;=Table2[[#This Row],[ReorderLevel]], "Reorder Needed", "Okay")</f>
        <v>Okay</v>
      </c>
      <c r="M1523" t="str">
        <f>IF(Table2[[#This Row],[CurrentStock]]-Table2[[#This Row],[ReorderLevel]]&lt;0,Table2[[#This Row],[CurrentStock]]-Table2[[#This Row],[ReorderLevel]],"")</f>
        <v/>
      </c>
      <c r="N1523" t="str">
        <f>IF(Table2[[#This Row],[Stock Gap]]&lt;0, "Understock","Okay")</f>
        <v>Okay</v>
      </c>
      <c r="O1523" s="13" t="str">
        <f>IF(Table2[[#This Row],[Stock Gap]]&lt;0, "Yes", "No")</f>
        <v>No</v>
      </c>
      <c r="P1523" s="13" t="str">
        <f>IF(Table2[[#This Row],[CurrentStock]]&lt;Table2[[#This Row],[ReorderLevel]],"Reorder", "Okay")</f>
        <v>Okay</v>
      </c>
      <c r="Q1523" s="13" t="str">
        <f>IF(Table2[[#This Row],[CurrentStock]]&gt;Table2[[#This Row],[ReorderLevel]]*3, "Overstock", "Okay")</f>
        <v>Okay</v>
      </c>
    </row>
    <row r="1524" spans="1:17" x14ac:dyDescent="0.35">
      <c r="A1524">
        <v>66614</v>
      </c>
      <c r="B1524" t="s">
        <v>17</v>
      </c>
      <c r="C1524" t="s">
        <v>27</v>
      </c>
      <c r="D1524">
        <v>197</v>
      </c>
      <c r="E1524">
        <v>150</v>
      </c>
      <c r="F1524" s="2">
        <v>12.66</v>
      </c>
      <c r="G1524" t="s">
        <v>31</v>
      </c>
      <c r="H1524" s="1">
        <v>45354</v>
      </c>
      <c r="I1524" s="1">
        <v>45359</v>
      </c>
      <c r="J1524" t="s">
        <v>36</v>
      </c>
      <c r="K1524" s="8">
        <f>Table2[[#This Row],[CurrentStock]]*Table2[[#This Row],[UnitPrice]]</f>
        <v>2494.02</v>
      </c>
      <c r="L1524" t="str">
        <f>IF(Table2[[#This Row],[CurrentStock]]&lt;=Table2[[#This Row],[ReorderLevel]], "Reorder Needed", "Okay")</f>
        <v>Okay</v>
      </c>
      <c r="M1524" t="str">
        <f>IF(Table2[[#This Row],[CurrentStock]]-Table2[[#This Row],[ReorderLevel]]&lt;0,Table2[[#This Row],[CurrentStock]]-Table2[[#This Row],[ReorderLevel]],"")</f>
        <v/>
      </c>
      <c r="N1524" t="str">
        <f>IF(Table2[[#This Row],[Stock Gap]]&lt;0, "Understock","Okay")</f>
        <v>Okay</v>
      </c>
      <c r="O1524" s="13" t="str">
        <f>IF(Table2[[#This Row],[Stock Gap]]&lt;0, "Yes", "No")</f>
        <v>No</v>
      </c>
      <c r="P1524" s="13" t="str">
        <f>IF(Table2[[#This Row],[CurrentStock]]&lt;Table2[[#This Row],[ReorderLevel]],"Reorder", "Okay")</f>
        <v>Okay</v>
      </c>
      <c r="Q1524" s="13" t="str">
        <f>IF(Table2[[#This Row],[CurrentStock]]&gt;Table2[[#This Row],[ReorderLevel]]*3, "Overstock", "Okay")</f>
        <v>Okay</v>
      </c>
    </row>
    <row r="1525" spans="1:17" x14ac:dyDescent="0.35">
      <c r="A1525">
        <v>85499</v>
      </c>
      <c r="B1525" t="s">
        <v>20</v>
      </c>
      <c r="C1525" t="s">
        <v>30</v>
      </c>
      <c r="D1525">
        <v>332</v>
      </c>
      <c r="E1525">
        <v>50</v>
      </c>
      <c r="F1525" s="2">
        <v>137.33000000000001</v>
      </c>
      <c r="G1525" t="s">
        <v>31</v>
      </c>
      <c r="H1525" s="1">
        <v>45577</v>
      </c>
      <c r="I1525" s="1">
        <v>45601</v>
      </c>
      <c r="J1525" t="s">
        <v>38</v>
      </c>
      <c r="K1525" s="8">
        <f>Table2[[#This Row],[CurrentStock]]*Table2[[#This Row],[UnitPrice]]</f>
        <v>45593.560000000005</v>
      </c>
      <c r="L1525" t="str">
        <f>IF(Table2[[#This Row],[CurrentStock]]&lt;=Table2[[#This Row],[ReorderLevel]], "Reorder Needed", "Okay")</f>
        <v>Okay</v>
      </c>
      <c r="M1525" t="str">
        <f>IF(Table2[[#This Row],[CurrentStock]]-Table2[[#This Row],[ReorderLevel]]&lt;0,Table2[[#This Row],[CurrentStock]]-Table2[[#This Row],[ReorderLevel]],"")</f>
        <v/>
      </c>
      <c r="N1525" t="str">
        <f>IF(Table2[[#This Row],[Stock Gap]]&lt;0, "Understock","Okay")</f>
        <v>Okay</v>
      </c>
      <c r="O1525" s="13" t="str">
        <f>IF(Table2[[#This Row],[Stock Gap]]&lt;0, "Yes", "No")</f>
        <v>No</v>
      </c>
      <c r="P1525" s="13" t="str">
        <f>IF(Table2[[#This Row],[CurrentStock]]&lt;Table2[[#This Row],[ReorderLevel]],"Reorder", "Okay")</f>
        <v>Okay</v>
      </c>
      <c r="Q1525" s="13" t="str">
        <f>IF(Table2[[#This Row],[CurrentStock]]&gt;Table2[[#This Row],[ReorderLevel]]*3, "Overstock", "Okay")</f>
        <v>Overstock</v>
      </c>
    </row>
    <row r="1526" spans="1:17" x14ac:dyDescent="0.35">
      <c r="A1526">
        <v>76600</v>
      </c>
      <c r="B1526" t="s">
        <v>14</v>
      </c>
      <c r="C1526" t="s">
        <v>28</v>
      </c>
      <c r="D1526">
        <v>51</v>
      </c>
      <c r="E1526">
        <v>150</v>
      </c>
      <c r="F1526" s="2">
        <v>65.56</v>
      </c>
      <c r="G1526" t="s">
        <v>34</v>
      </c>
      <c r="H1526" s="1">
        <v>45396</v>
      </c>
      <c r="I1526" s="1">
        <v>45434</v>
      </c>
      <c r="J1526" t="s">
        <v>36</v>
      </c>
      <c r="K1526" s="8">
        <f>Table2[[#This Row],[CurrentStock]]*Table2[[#This Row],[UnitPrice]]</f>
        <v>3343.56</v>
      </c>
      <c r="L1526" t="str">
        <f>IF(Table2[[#This Row],[CurrentStock]]&lt;=Table2[[#This Row],[ReorderLevel]], "Reorder Needed", "Okay")</f>
        <v>Reorder Needed</v>
      </c>
      <c r="M1526" s="7">
        <f>IF(Table2[[#This Row],[CurrentStock]]-Table2[[#This Row],[ReorderLevel]]&lt;0,Table2[[#This Row],[CurrentStock]]-Table2[[#This Row],[ReorderLevel]],"")</f>
        <v>-99</v>
      </c>
      <c r="N1526" t="str">
        <f>IF(Table2[[#This Row],[Stock Gap]]&lt;0, "Understock","Okay")</f>
        <v>Understock</v>
      </c>
      <c r="O1526" s="13" t="str">
        <f>IF(Table2[[#This Row],[Stock Gap]]&lt;0, "Yes", "No")</f>
        <v>Yes</v>
      </c>
      <c r="P1526" s="13" t="str">
        <f>IF(Table2[[#This Row],[CurrentStock]]&lt;Table2[[#This Row],[ReorderLevel]],"Reorder", "Okay")</f>
        <v>Reorder</v>
      </c>
      <c r="Q1526" s="13" t="str">
        <f>IF(Table2[[#This Row],[CurrentStock]]&gt;Table2[[#This Row],[ReorderLevel]]*3, "Overstock", "Okay")</f>
        <v>Okay</v>
      </c>
    </row>
    <row r="1527" spans="1:17" x14ac:dyDescent="0.35">
      <c r="A1527">
        <v>62433</v>
      </c>
      <c r="B1527" t="s">
        <v>11</v>
      </c>
      <c r="C1527" t="s">
        <v>27</v>
      </c>
      <c r="D1527">
        <v>334</v>
      </c>
      <c r="E1527">
        <v>20</v>
      </c>
      <c r="F1527" s="2">
        <v>16.43</v>
      </c>
      <c r="G1527" t="s">
        <v>32</v>
      </c>
      <c r="H1527" s="1">
        <v>45643</v>
      </c>
      <c r="I1527" s="1">
        <v>45680</v>
      </c>
      <c r="J1527" t="s">
        <v>38</v>
      </c>
      <c r="K1527" s="8">
        <f>Table2[[#This Row],[CurrentStock]]*Table2[[#This Row],[UnitPrice]]</f>
        <v>5487.62</v>
      </c>
      <c r="L1527" t="str">
        <f>IF(Table2[[#This Row],[CurrentStock]]&lt;=Table2[[#This Row],[ReorderLevel]], "Reorder Needed", "Okay")</f>
        <v>Okay</v>
      </c>
      <c r="M1527" t="str">
        <f>IF(Table2[[#This Row],[CurrentStock]]-Table2[[#This Row],[ReorderLevel]]&lt;0,Table2[[#This Row],[CurrentStock]]-Table2[[#This Row],[ReorderLevel]],"")</f>
        <v/>
      </c>
      <c r="N1527" t="str">
        <f>IF(Table2[[#This Row],[Stock Gap]]&lt;0, "Understock","Okay")</f>
        <v>Okay</v>
      </c>
      <c r="O1527" s="13" t="str">
        <f>IF(Table2[[#This Row],[Stock Gap]]&lt;0, "Yes", "No")</f>
        <v>No</v>
      </c>
      <c r="P1527" s="13" t="str">
        <f>IF(Table2[[#This Row],[CurrentStock]]&lt;Table2[[#This Row],[ReorderLevel]],"Reorder", "Okay")</f>
        <v>Okay</v>
      </c>
      <c r="Q1527" s="13" t="str">
        <f>IF(Table2[[#This Row],[CurrentStock]]&gt;Table2[[#This Row],[ReorderLevel]]*3, "Overstock", "Okay")</f>
        <v>Overstock</v>
      </c>
    </row>
    <row r="1528" spans="1:17" x14ac:dyDescent="0.35">
      <c r="A1528">
        <v>61782</v>
      </c>
      <c r="B1528" t="s">
        <v>9</v>
      </c>
      <c r="C1528" t="s">
        <v>26</v>
      </c>
      <c r="D1528">
        <v>406</v>
      </c>
      <c r="E1528">
        <v>80</v>
      </c>
      <c r="F1528" s="2">
        <v>189.28</v>
      </c>
      <c r="G1528" t="s">
        <v>34</v>
      </c>
      <c r="H1528" s="1">
        <v>45436</v>
      </c>
      <c r="I1528" s="1">
        <v>45471</v>
      </c>
      <c r="J1528" t="s">
        <v>38</v>
      </c>
      <c r="K1528" s="8">
        <f>Table2[[#This Row],[CurrentStock]]*Table2[[#This Row],[UnitPrice]]</f>
        <v>76847.680000000008</v>
      </c>
      <c r="L1528" t="str">
        <f>IF(Table2[[#This Row],[CurrentStock]]&lt;=Table2[[#This Row],[ReorderLevel]], "Reorder Needed", "Okay")</f>
        <v>Okay</v>
      </c>
      <c r="M1528" t="str">
        <f>IF(Table2[[#This Row],[CurrentStock]]-Table2[[#This Row],[ReorderLevel]]&lt;0,Table2[[#This Row],[CurrentStock]]-Table2[[#This Row],[ReorderLevel]],"")</f>
        <v/>
      </c>
      <c r="N1528" t="str">
        <f>IF(Table2[[#This Row],[Stock Gap]]&lt;0, "Understock","Okay")</f>
        <v>Okay</v>
      </c>
      <c r="O1528" s="13" t="str">
        <f>IF(Table2[[#This Row],[Stock Gap]]&lt;0, "Yes", "No")</f>
        <v>No</v>
      </c>
      <c r="P1528" s="13" t="str">
        <f>IF(Table2[[#This Row],[CurrentStock]]&lt;Table2[[#This Row],[ReorderLevel]],"Reorder", "Okay")</f>
        <v>Okay</v>
      </c>
      <c r="Q1528" s="13" t="str">
        <f>IF(Table2[[#This Row],[CurrentStock]]&gt;Table2[[#This Row],[ReorderLevel]]*3, "Overstock", "Okay")</f>
        <v>Overstock</v>
      </c>
    </row>
    <row r="1529" spans="1:17" x14ac:dyDescent="0.35">
      <c r="A1529">
        <v>60021</v>
      </c>
      <c r="B1529" t="s">
        <v>22</v>
      </c>
      <c r="C1529" t="s">
        <v>29</v>
      </c>
      <c r="D1529">
        <v>270</v>
      </c>
      <c r="E1529">
        <v>80</v>
      </c>
      <c r="F1529" s="2">
        <v>327.33999999999997</v>
      </c>
      <c r="G1529" t="s">
        <v>32</v>
      </c>
      <c r="H1529" s="1">
        <v>45444</v>
      </c>
      <c r="I1529" s="1">
        <v>45469</v>
      </c>
      <c r="J1529" t="s">
        <v>37</v>
      </c>
      <c r="K1529" s="8">
        <f>Table2[[#This Row],[CurrentStock]]*Table2[[#This Row],[UnitPrice]]</f>
        <v>88381.799999999988</v>
      </c>
      <c r="L1529" t="str">
        <f>IF(Table2[[#This Row],[CurrentStock]]&lt;=Table2[[#This Row],[ReorderLevel]], "Reorder Needed", "Okay")</f>
        <v>Okay</v>
      </c>
      <c r="M1529" t="str">
        <f>IF(Table2[[#This Row],[CurrentStock]]-Table2[[#This Row],[ReorderLevel]]&lt;0,Table2[[#This Row],[CurrentStock]]-Table2[[#This Row],[ReorderLevel]],"")</f>
        <v/>
      </c>
      <c r="N1529" t="str">
        <f>IF(Table2[[#This Row],[Stock Gap]]&lt;0, "Understock","Okay")</f>
        <v>Okay</v>
      </c>
      <c r="O1529" s="13" t="str">
        <f>IF(Table2[[#This Row],[Stock Gap]]&lt;0, "Yes", "No")</f>
        <v>No</v>
      </c>
      <c r="P1529" s="13" t="str">
        <f>IF(Table2[[#This Row],[CurrentStock]]&lt;Table2[[#This Row],[ReorderLevel]],"Reorder", "Okay")</f>
        <v>Okay</v>
      </c>
      <c r="Q1529" s="13" t="str">
        <f>IF(Table2[[#This Row],[CurrentStock]]&gt;Table2[[#This Row],[ReorderLevel]]*3, "Overstock", "Okay")</f>
        <v>Overstock</v>
      </c>
    </row>
    <row r="1530" spans="1:17" x14ac:dyDescent="0.35">
      <c r="A1530">
        <v>65822</v>
      </c>
      <c r="B1530" t="s">
        <v>17</v>
      </c>
      <c r="C1530" t="s">
        <v>27</v>
      </c>
      <c r="D1530">
        <v>451</v>
      </c>
      <c r="E1530">
        <v>50</v>
      </c>
      <c r="F1530" s="2">
        <v>187.29</v>
      </c>
      <c r="G1530" t="s">
        <v>33</v>
      </c>
      <c r="H1530" s="1">
        <v>45509</v>
      </c>
      <c r="I1530" s="1">
        <v>45547</v>
      </c>
      <c r="J1530" t="s">
        <v>38</v>
      </c>
      <c r="K1530" s="8">
        <f>Table2[[#This Row],[CurrentStock]]*Table2[[#This Row],[UnitPrice]]</f>
        <v>84467.79</v>
      </c>
      <c r="L1530" t="str">
        <f>IF(Table2[[#This Row],[CurrentStock]]&lt;=Table2[[#This Row],[ReorderLevel]], "Reorder Needed", "Okay")</f>
        <v>Okay</v>
      </c>
      <c r="M1530" t="str">
        <f>IF(Table2[[#This Row],[CurrentStock]]-Table2[[#This Row],[ReorderLevel]]&lt;0,Table2[[#This Row],[CurrentStock]]-Table2[[#This Row],[ReorderLevel]],"")</f>
        <v/>
      </c>
      <c r="N1530" t="str">
        <f>IF(Table2[[#This Row],[Stock Gap]]&lt;0, "Understock","Okay")</f>
        <v>Okay</v>
      </c>
      <c r="O1530" s="13" t="str">
        <f>IF(Table2[[#This Row],[Stock Gap]]&lt;0, "Yes", "No")</f>
        <v>No</v>
      </c>
      <c r="P1530" s="13" t="str">
        <f>IF(Table2[[#This Row],[CurrentStock]]&lt;Table2[[#This Row],[ReorderLevel]],"Reorder", "Okay")</f>
        <v>Okay</v>
      </c>
      <c r="Q1530" s="13" t="str">
        <f>IF(Table2[[#This Row],[CurrentStock]]&gt;Table2[[#This Row],[ReorderLevel]]*3, "Overstock", "Okay")</f>
        <v>Overstock</v>
      </c>
    </row>
    <row r="1531" spans="1:17" x14ac:dyDescent="0.35">
      <c r="A1531">
        <v>17925</v>
      </c>
      <c r="B1531" t="s">
        <v>21</v>
      </c>
      <c r="C1531" t="s">
        <v>26</v>
      </c>
      <c r="D1531">
        <v>264</v>
      </c>
      <c r="E1531">
        <v>150</v>
      </c>
      <c r="F1531" s="2">
        <v>70.010000000000005</v>
      </c>
      <c r="G1531" t="s">
        <v>33</v>
      </c>
      <c r="H1531" s="1">
        <v>45498</v>
      </c>
      <c r="I1531" s="1">
        <v>45511</v>
      </c>
      <c r="J1531" t="s">
        <v>36</v>
      </c>
      <c r="K1531" s="8">
        <f>Table2[[#This Row],[CurrentStock]]*Table2[[#This Row],[UnitPrice]]</f>
        <v>18482.640000000003</v>
      </c>
      <c r="L1531" t="str">
        <f>IF(Table2[[#This Row],[CurrentStock]]&lt;=Table2[[#This Row],[ReorderLevel]], "Reorder Needed", "Okay")</f>
        <v>Okay</v>
      </c>
      <c r="M1531" t="str">
        <f>IF(Table2[[#This Row],[CurrentStock]]-Table2[[#This Row],[ReorderLevel]]&lt;0,Table2[[#This Row],[CurrentStock]]-Table2[[#This Row],[ReorderLevel]],"")</f>
        <v/>
      </c>
      <c r="N1531" t="str">
        <f>IF(Table2[[#This Row],[Stock Gap]]&lt;0, "Understock","Okay")</f>
        <v>Okay</v>
      </c>
      <c r="O1531" s="13" t="str">
        <f>IF(Table2[[#This Row],[Stock Gap]]&lt;0, "Yes", "No")</f>
        <v>No</v>
      </c>
      <c r="P1531" s="13" t="str">
        <f>IF(Table2[[#This Row],[CurrentStock]]&lt;Table2[[#This Row],[ReorderLevel]],"Reorder", "Okay")</f>
        <v>Okay</v>
      </c>
      <c r="Q1531" s="13" t="str">
        <f>IF(Table2[[#This Row],[CurrentStock]]&gt;Table2[[#This Row],[ReorderLevel]]*3, "Overstock", "Okay")</f>
        <v>Okay</v>
      </c>
    </row>
    <row r="1532" spans="1:17" x14ac:dyDescent="0.35">
      <c r="A1532">
        <v>17883</v>
      </c>
      <c r="B1532" t="s">
        <v>14</v>
      </c>
      <c r="C1532" t="s">
        <v>28</v>
      </c>
      <c r="D1532">
        <v>18</v>
      </c>
      <c r="E1532">
        <v>50</v>
      </c>
      <c r="F1532" s="2">
        <v>385.63</v>
      </c>
      <c r="G1532" t="s">
        <v>35</v>
      </c>
      <c r="H1532" s="1">
        <v>45532</v>
      </c>
      <c r="I1532" s="1">
        <v>45543</v>
      </c>
      <c r="J1532" t="s">
        <v>38</v>
      </c>
      <c r="K1532" s="8">
        <f>Table2[[#This Row],[CurrentStock]]*Table2[[#This Row],[UnitPrice]]</f>
        <v>6941.34</v>
      </c>
      <c r="L1532" t="str">
        <f>IF(Table2[[#This Row],[CurrentStock]]&lt;=Table2[[#This Row],[ReorderLevel]], "Reorder Needed", "Okay")</f>
        <v>Reorder Needed</v>
      </c>
      <c r="M1532" s="7">
        <f>IF(Table2[[#This Row],[CurrentStock]]-Table2[[#This Row],[ReorderLevel]]&lt;0,Table2[[#This Row],[CurrentStock]]-Table2[[#This Row],[ReorderLevel]],"")</f>
        <v>-32</v>
      </c>
      <c r="N1532" t="str">
        <f>IF(Table2[[#This Row],[Stock Gap]]&lt;0, "Understock","Okay")</f>
        <v>Understock</v>
      </c>
      <c r="O1532" s="13" t="str">
        <f>IF(Table2[[#This Row],[Stock Gap]]&lt;0, "Yes", "No")</f>
        <v>Yes</v>
      </c>
      <c r="P1532" s="13" t="str">
        <f>IF(Table2[[#This Row],[CurrentStock]]&lt;Table2[[#This Row],[ReorderLevel]],"Reorder", "Okay")</f>
        <v>Reorder</v>
      </c>
      <c r="Q1532" s="13" t="str">
        <f>IF(Table2[[#This Row],[CurrentStock]]&gt;Table2[[#This Row],[ReorderLevel]]*3, "Overstock", "Okay")</f>
        <v>Okay</v>
      </c>
    </row>
    <row r="1533" spans="1:17" x14ac:dyDescent="0.35">
      <c r="A1533">
        <v>80543</v>
      </c>
      <c r="B1533" t="s">
        <v>12</v>
      </c>
      <c r="C1533" t="s">
        <v>28</v>
      </c>
      <c r="D1533">
        <v>306</v>
      </c>
      <c r="E1533">
        <v>50</v>
      </c>
      <c r="F1533" s="2">
        <v>296.32</v>
      </c>
      <c r="G1533" t="s">
        <v>33</v>
      </c>
      <c r="H1533" s="1">
        <v>45360</v>
      </c>
      <c r="I1533" s="1">
        <v>45368</v>
      </c>
      <c r="J1533" t="s">
        <v>38</v>
      </c>
      <c r="K1533" s="8">
        <f>Table2[[#This Row],[CurrentStock]]*Table2[[#This Row],[UnitPrice]]</f>
        <v>90673.919999999998</v>
      </c>
      <c r="L1533" t="str">
        <f>IF(Table2[[#This Row],[CurrentStock]]&lt;=Table2[[#This Row],[ReorderLevel]], "Reorder Needed", "Okay")</f>
        <v>Okay</v>
      </c>
      <c r="M1533" t="str">
        <f>IF(Table2[[#This Row],[CurrentStock]]-Table2[[#This Row],[ReorderLevel]]&lt;0,Table2[[#This Row],[CurrentStock]]-Table2[[#This Row],[ReorderLevel]],"")</f>
        <v/>
      </c>
      <c r="N1533" t="str">
        <f>IF(Table2[[#This Row],[Stock Gap]]&lt;0, "Understock","Okay")</f>
        <v>Okay</v>
      </c>
      <c r="O1533" s="13" t="str">
        <f>IF(Table2[[#This Row],[Stock Gap]]&lt;0, "Yes", "No")</f>
        <v>No</v>
      </c>
      <c r="P1533" s="13" t="str">
        <f>IF(Table2[[#This Row],[CurrentStock]]&lt;Table2[[#This Row],[ReorderLevel]],"Reorder", "Okay")</f>
        <v>Okay</v>
      </c>
      <c r="Q1533" s="13" t="str">
        <f>IF(Table2[[#This Row],[CurrentStock]]&gt;Table2[[#This Row],[ReorderLevel]]*3, "Overstock", "Okay")</f>
        <v>Overstock</v>
      </c>
    </row>
    <row r="1534" spans="1:17" x14ac:dyDescent="0.35">
      <c r="A1534">
        <v>63634</v>
      </c>
      <c r="B1534" t="s">
        <v>18</v>
      </c>
      <c r="C1534" t="s">
        <v>27</v>
      </c>
      <c r="D1534">
        <v>5</v>
      </c>
      <c r="E1534">
        <v>40</v>
      </c>
      <c r="F1534" s="2">
        <v>56.52</v>
      </c>
      <c r="G1534" t="s">
        <v>33</v>
      </c>
      <c r="H1534" s="1">
        <v>45358</v>
      </c>
      <c r="I1534" s="1">
        <v>45373</v>
      </c>
      <c r="J1534" t="s">
        <v>38</v>
      </c>
      <c r="K1534" s="8">
        <f>Table2[[#This Row],[CurrentStock]]*Table2[[#This Row],[UnitPrice]]</f>
        <v>282.60000000000002</v>
      </c>
      <c r="L1534" t="str">
        <f>IF(Table2[[#This Row],[CurrentStock]]&lt;=Table2[[#This Row],[ReorderLevel]], "Reorder Needed", "Okay")</f>
        <v>Reorder Needed</v>
      </c>
      <c r="M1534" s="7">
        <f>IF(Table2[[#This Row],[CurrentStock]]-Table2[[#This Row],[ReorderLevel]]&lt;0,Table2[[#This Row],[CurrentStock]]-Table2[[#This Row],[ReorderLevel]],"")</f>
        <v>-35</v>
      </c>
      <c r="N1534" t="str">
        <f>IF(Table2[[#This Row],[Stock Gap]]&lt;0, "Understock","Okay")</f>
        <v>Understock</v>
      </c>
      <c r="O1534" s="13" t="str">
        <f>IF(Table2[[#This Row],[Stock Gap]]&lt;0, "Yes", "No")</f>
        <v>Yes</v>
      </c>
      <c r="P1534" s="13" t="str">
        <f>IF(Table2[[#This Row],[CurrentStock]]&lt;Table2[[#This Row],[ReorderLevel]],"Reorder", "Okay")</f>
        <v>Reorder</v>
      </c>
      <c r="Q1534" s="13" t="str">
        <f>IF(Table2[[#This Row],[CurrentStock]]&gt;Table2[[#This Row],[ReorderLevel]]*3, "Overstock", "Okay")</f>
        <v>Okay</v>
      </c>
    </row>
    <row r="1535" spans="1:17" x14ac:dyDescent="0.35">
      <c r="A1535">
        <v>31143</v>
      </c>
      <c r="B1535" t="s">
        <v>23</v>
      </c>
      <c r="C1535" t="s">
        <v>30</v>
      </c>
      <c r="D1535">
        <v>431</v>
      </c>
      <c r="E1535">
        <v>40</v>
      </c>
      <c r="F1535" s="2">
        <v>108.7</v>
      </c>
      <c r="G1535" t="s">
        <v>33</v>
      </c>
      <c r="H1535" s="1">
        <v>45431</v>
      </c>
      <c r="I1535" s="1">
        <v>45448</v>
      </c>
      <c r="J1535" t="s">
        <v>36</v>
      </c>
      <c r="K1535" s="8">
        <f>Table2[[#This Row],[CurrentStock]]*Table2[[#This Row],[UnitPrice]]</f>
        <v>46849.700000000004</v>
      </c>
      <c r="L1535" t="str">
        <f>IF(Table2[[#This Row],[CurrentStock]]&lt;=Table2[[#This Row],[ReorderLevel]], "Reorder Needed", "Okay")</f>
        <v>Okay</v>
      </c>
      <c r="M1535" t="str">
        <f>IF(Table2[[#This Row],[CurrentStock]]-Table2[[#This Row],[ReorderLevel]]&lt;0,Table2[[#This Row],[CurrentStock]]-Table2[[#This Row],[ReorderLevel]],"")</f>
        <v/>
      </c>
      <c r="N1535" t="str">
        <f>IF(Table2[[#This Row],[Stock Gap]]&lt;0, "Understock","Okay")</f>
        <v>Okay</v>
      </c>
      <c r="O1535" s="13" t="str">
        <f>IF(Table2[[#This Row],[Stock Gap]]&lt;0, "Yes", "No")</f>
        <v>No</v>
      </c>
      <c r="P1535" s="13" t="str">
        <f>IF(Table2[[#This Row],[CurrentStock]]&lt;Table2[[#This Row],[ReorderLevel]],"Reorder", "Okay")</f>
        <v>Okay</v>
      </c>
      <c r="Q1535" s="13" t="str">
        <f>IF(Table2[[#This Row],[CurrentStock]]&gt;Table2[[#This Row],[ReorderLevel]]*3, "Overstock", "Okay")</f>
        <v>Overstock</v>
      </c>
    </row>
    <row r="1536" spans="1:17" x14ac:dyDescent="0.35">
      <c r="A1536">
        <v>60235</v>
      </c>
      <c r="B1536" t="s">
        <v>25</v>
      </c>
      <c r="C1536" t="s">
        <v>29</v>
      </c>
      <c r="D1536">
        <v>375</v>
      </c>
      <c r="E1536">
        <v>50</v>
      </c>
      <c r="F1536" s="2">
        <v>478.49</v>
      </c>
      <c r="G1536" t="s">
        <v>31</v>
      </c>
      <c r="H1536" s="1">
        <v>45495</v>
      </c>
      <c r="I1536" s="1">
        <v>45520</v>
      </c>
      <c r="J1536" t="s">
        <v>36</v>
      </c>
      <c r="K1536" s="8">
        <f>Table2[[#This Row],[CurrentStock]]*Table2[[#This Row],[UnitPrice]]</f>
        <v>179433.75</v>
      </c>
      <c r="L1536" t="str">
        <f>IF(Table2[[#This Row],[CurrentStock]]&lt;=Table2[[#This Row],[ReorderLevel]], "Reorder Needed", "Okay")</f>
        <v>Okay</v>
      </c>
      <c r="M1536" t="str">
        <f>IF(Table2[[#This Row],[CurrentStock]]-Table2[[#This Row],[ReorderLevel]]&lt;0,Table2[[#This Row],[CurrentStock]]-Table2[[#This Row],[ReorderLevel]],"")</f>
        <v/>
      </c>
      <c r="N1536" t="str">
        <f>IF(Table2[[#This Row],[Stock Gap]]&lt;0, "Understock","Okay")</f>
        <v>Okay</v>
      </c>
      <c r="O1536" s="13" t="str">
        <f>IF(Table2[[#This Row],[Stock Gap]]&lt;0, "Yes", "No")</f>
        <v>No</v>
      </c>
      <c r="P1536" s="13" t="str">
        <f>IF(Table2[[#This Row],[CurrentStock]]&lt;Table2[[#This Row],[ReorderLevel]],"Reorder", "Okay")</f>
        <v>Okay</v>
      </c>
      <c r="Q1536" s="13" t="str">
        <f>IF(Table2[[#This Row],[CurrentStock]]&gt;Table2[[#This Row],[ReorderLevel]]*3, "Overstock", "Okay")</f>
        <v>Overstock</v>
      </c>
    </row>
    <row r="1537" spans="1:17" x14ac:dyDescent="0.35">
      <c r="A1537">
        <v>95333</v>
      </c>
      <c r="B1537" t="s">
        <v>14</v>
      </c>
      <c r="C1537" t="s">
        <v>28</v>
      </c>
      <c r="D1537">
        <v>244</v>
      </c>
      <c r="E1537">
        <v>100</v>
      </c>
      <c r="F1537" s="2">
        <v>323.56</v>
      </c>
      <c r="G1537" t="s">
        <v>32</v>
      </c>
      <c r="H1537" s="1">
        <v>45367</v>
      </c>
      <c r="I1537" s="1">
        <v>45385</v>
      </c>
      <c r="J1537" t="s">
        <v>37</v>
      </c>
      <c r="K1537" s="8">
        <f>Table2[[#This Row],[CurrentStock]]*Table2[[#This Row],[UnitPrice]]</f>
        <v>78948.639999999999</v>
      </c>
      <c r="L1537" t="str">
        <f>IF(Table2[[#This Row],[CurrentStock]]&lt;=Table2[[#This Row],[ReorderLevel]], "Reorder Needed", "Okay")</f>
        <v>Okay</v>
      </c>
      <c r="M1537" t="str">
        <f>IF(Table2[[#This Row],[CurrentStock]]-Table2[[#This Row],[ReorderLevel]]&lt;0,Table2[[#This Row],[CurrentStock]]-Table2[[#This Row],[ReorderLevel]],"")</f>
        <v/>
      </c>
      <c r="N1537" t="str">
        <f>IF(Table2[[#This Row],[Stock Gap]]&lt;0, "Understock","Okay")</f>
        <v>Okay</v>
      </c>
      <c r="O1537" s="13" t="str">
        <f>IF(Table2[[#This Row],[Stock Gap]]&lt;0, "Yes", "No")</f>
        <v>No</v>
      </c>
      <c r="P1537" s="13" t="str">
        <f>IF(Table2[[#This Row],[CurrentStock]]&lt;Table2[[#This Row],[ReorderLevel]],"Reorder", "Okay")</f>
        <v>Okay</v>
      </c>
      <c r="Q1537" s="13" t="str">
        <f>IF(Table2[[#This Row],[CurrentStock]]&gt;Table2[[#This Row],[ReorderLevel]]*3, "Overstock", "Okay")</f>
        <v>Okay</v>
      </c>
    </row>
    <row r="1538" spans="1:17" x14ac:dyDescent="0.35">
      <c r="A1538">
        <v>25065</v>
      </c>
      <c r="B1538" t="s">
        <v>14</v>
      </c>
      <c r="C1538" t="s">
        <v>28</v>
      </c>
      <c r="D1538">
        <v>189</v>
      </c>
      <c r="E1538">
        <v>100</v>
      </c>
      <c r="F1538" s="2">
        <v>283.77999999999997</v>
      </c>
      <c r="G1538" t="s">
        <v>32</v>
      </c>
      <c r="H1538" s="1">
        <v>45439</v>
      </c>
      <c r="I1538" s="1">
        <v>45464</v>
      </c>
      <c r="J1538" t="s">
        <v>38</v>
      </c>
      <c r="K1538" s="8">
        <f>Table2[[#This Row],[CurrentStock]]*Table2[[#This Row],[UnitPrice]]</f>
        <v>53634.42</v>
      </c>
      <c r="L1538" t="str">
        <f>IF(Table2[[#This Row],[CurrentStock]]&lt;=Table2[[#This Row],[ReorderLevel]], "Reorder Needed", "Okay")</f>
        <v>Okay</v>
      </c>
      <c r="M1538" t="str">
        <f>IF(Table2[[#This Row],[CurrentStock]]-Table2[[#This Row],[ReorderLevel]]&lt;0,Table2[[#This Row],[CurrentStock]]-Table2[[#This Row],[ReorderLevel]],"")</f>
        <v/>
      </c>
      <c r="N1538" t="str">
        <f>IF(Table2[[#This Row],[Stock Gap]]&lt;0, "Understock","Okay")</f>
        <v>Okay</v>
      </c>
      <c r="O1538" s="13" t="str">
        <f>IF(Table2[[#This Row],[Stock Gap]]&lt;0, "Yes", "No")</f>
        <v>No</v>
      </c>
      <c r="P1538" s="13" t="str">
        <f>IF(Table2[[#This Row],[CurrentStock]]&lt;Table2[[#This Row],[ReorderLevel]],"Reorder", "Okay")</f>
        <v>Okay</v>
      </c>
      <c r="Q1538" s="13" t="str">
        <f>IF(Table2[[#This Row],[CurrentStock]]&gt;Table2[[#This Row],[ReorderLevel]]*3, "Overstock", "Okay")</f>
        <v>Okay</v>
      </c>
    </row>
    <row r="1539" spans="1:17" x14ac:dyDescent="0.35">
      <c r="A1539">
        <v>73908</v>
      </c>
      <c r="B1539" t="s">
        <v>20</v>
      </c>
      <c r="C1539" t="s">
        <v>30</v>
      </c>
      <c r="D1539">
        <v>150</v>
      </c>
      <c r="E1539">
        <v>50</v>
      </c>
      <c r="F1539" s="2">
        <v>112.01</v>
      </c>
      <c r="G1539" t="s">
        <v>34</v>
      </c>
      <c r="H1539" s="1">
        <v>45419</v>
      </c>
      <c r="I1539" s="1">
        <v>45437</v>
      </c>
      <c r="J1539" t="s">
        <v>38</v>
      </c>
      <c r="K1539" s="8">
        <f>Table2[[#This Row],[CurrentStock]]*Table2[[#This Row],[UnitPrice]]</f>
        <v>16801.5</v>
      </c>
      <c r="L1539" t="str">
        <f>IF(Table2[[#This Row],[CurrentStock]]&lt;=Table2[[#This Row],[ReorderLevel]], "Reorder Needed", "Okay")</f>
        <v>Okay</v>
      </c>
      <c r="M1539" t="str">
        <f>IF(Table2[[#This Row],[CurrentStock]]-Table2[[#This Row],[ReorderLevel]]&lt;0,Table2[[#This Row],[CurrentStock]]-Table2[[#This Row],[ReorderLevel]],"")</f>
        <v/>
      </c>
      <c r="N1539" t="str">
        <f>IF(Table2[[#This Row],[Stock Gap]]&lt;0, "Understock","Okay")</f>
        <v>Okay</v>
      </c>
      <c r="O1539" s="13" t="str">
        <f>IF(Table2[[#This Row],[Stock Gap]]&lt;0, "Yes", "No")</f>
        <v>No</v>
      </c>
      <c r="P1539" s="13" t="str">
        <f>IF(Table2[[#This Row],[CurrentStock]]&lt;Table2[[#This Row],[ReorderLevel]],"Reorder", "Okay")</f>
        <v>Okay</v>
      </c>
      <c r="Q1539" s="13" t="str">
        <f>IF(Table2[[#This Row],[CurrentStock]]&gt;Table2[[#This Row],[ReorderLevel]]*3, "Overstock", "Okay")</f>
        <v>Okay</v>
      </c>
    </row>
    <row r="1540" spans="1:17" x14ac:dyDescent="0.35">
      <c r="A1540">
        <v>44579</v>
      </c>
      <c r="B1540" t="s">
        <v>18</v>
      </c>
      <c r="C1540" t="s">
        <v>27</v>
      </c>
      <c r="D1540">
        <v>21</v>
      </c>
      <c r="E1540">
        <v>150</v>
      </c>
      <c r="F1540" s="2">
        <v>427.86</v>
      </c>
      <c r="G1540" t="s">
        <v>31</v>
      </c>
      <c r="H1540" s="1">
        <v>45440</v>
      </c>
      <c r="I1540" s="1">
        <v>45460</v>
      </c>
      <c r="J1540" t="s">
        <v>37</v>
      </c>
      <c r="K1540" s="8">
        <f>Table2[[#This Row],[CurrentStock]]*Table2[[#This Row],[UnitPrice]]</f>
        <v>8985.06</v>
      </c>
      <c r="L1540" t="str">
        <f>IF(Table2[[#This Row],[CurrentStock]]&lt;=Table2[[#This Row],[ReorderLevel]], "Reorder Needed", "Okay")</f>
        <v>Reorder Needed</v>
      </c>
      <c r="M1540" s="7">
        <f>IF(Table2[[#This Row],[CurrentStock]]-Table2[[#This Row],[ReorderLevel]]&lt;0,Table2[[#This Row],[CurrentStock]]-Table2[[#This Row],[ReorderLevel]],"")</f>
        <v>-129</v>
      </c>
      <c r="N1540" t="str">
        <f>IF(Table2[[#This Row],[Stock Gap]]&lt;0, "Understock","Okay")</f>
        <v>Understock</v>
      </c>
      <c r="O1540" s="13" t="str">
        <f>IF(Table2[[#This Row],[Stock Gap]]&lt;0, "Yes", "No")</f>
        <v>Yes</v>
      </c>
      <c r="P1540" s="13" t="str">
        <f>IF(Table2[[#This Row],[CurrentStock]]&lt;Table2[[#This Row],[ReorderLevel]],"Reorder", "Okay")</f>
        <v>Reorder</v>
      </c>
      <c r="Q1540" s="13" t="str">
        <f>IF(Table2[[#This Row],[CurrentStock]]&gt;Table2[[#This Row],[ReorderLevel]]*3, "Overstock", "Okay")</f>
        <v>Okay</v>
      </c>
    </row>
    <row r="1541" spans="1:17" x14ac:dyDescent="0.35">
      <c r="A1541">
        <v>80640</v>
      </c>
      <c r="B1541" t="s">
        <v>24</v>
      </c>
      <c r="C1541" t="s">
        <v>30</v>
      </c>
      <c r="D1541">
        <v>303</v>
      </c>
      <c r="E1541">
        <v>150</v>
      </c>
      <c r="F1541" s="2">
        <v>93.35</v>
      </c>
      <c r="G1541" t="s">
        <v>33</v>
      </c>
      <c r="H1541" s="1">
        <v>45533</v>
      </c>
      <c r="I1541" s="1">
        <v>45541</v>
      </c>
      <c r="J1541" t="s">
        <v>37</v>
      </c>
      <c r="K1541" s="8">
        <f>Table2[[#This Row],[CurrentStock]]*Table2[[#This Row],[UnitPrice]]</f>
        <v>28285.05</v>
      </c>
      <c r="L1541" t="str">
        <f>IF(Table2[[#This Row],[CurrentStock]]&lt;=Table2[[#This Row],[ReorderLevel]], "Reorder Needed", "Okay")</f>
        <v>Okay</v>
      </c>
      <c r="M1541" t="str">
        <f>IF(Table2[[#This Row],[CurrentStock]]-Table2[[#This Row],[ReorderLevel]]&lt;0,Table2[[#This Row],[CurrentStock]]-Table2[[#This Row],[ReorderLevel]],"")</f>
        <v/>
      </c>
      <c r="N1541" t="str">
        <f>IF(Table2[[#This Row],[Stock Gap]]&lt;0, "Understock","Okay")</f>
        <v>Okay</v>
      </c>
      <c r="O1541" s="13" t="str">
        <f>IF(Table2[[#This Row],[Stock Gap]]&lt;0, "Yes", "No")</f>
        <v>No</v>
      </c>
      <c r="P1541" s="13" t="str">
        <f>IF(Table2[[#This Row],[CurrentStock]]&lt;Table2[[#This Row],[ReorderLevel]],"Reorder", "Okay")</f>
        <v>Okay</v>
      </c>
      <c r="Q1541" s="13" t="str">
        <f>IF(Table2[[#This Row],[CurrentStock]]&gt;Table2[[#This Row],[ReorderLevel]]*3, "Overstock", "Okay")</f>
        <v>Okay</v>
      </c>
    </row>
    <row r="1542" spans="1:17" x14ac:dyDescent="0.35">
      <c r="A1542">
        <v>28366</v>
      </c>
      <c r="B1542" t="s">
        <v>21</v>
      </c>
      <c r="C1542" t="s">
        <v>26</v>
      </c>
      <c r="D1542">
        <v>351</v>
      </c>
      <c r="E1542">
        <v>30</v>
      </c>
      <c r="F1542" s="2">
        <v>167.9</v>
      </c>
      <c r="G1542" t="s">
        <v>34</v>
      </c>
      <c r="H1542" s="1">
        <v>45377</v>
      </c>
      <c r="I1542" s="1">
        <v>45395</v>
      </c>
      <c r="J1542" t="s">
        <v>36</v>
      </c>
      <c r="K1542" s="8">
        <f>Table2[[#This Row],[CurrentStock]]*Table2[[#This Row],[UnitPrice]]</f>
        <v>58932.9</v>
      </c>
      <c r="L1542" t="str">
        <f>IF(Table2[[#This Row],[CurrentStock]]&lt;=Table2[[#This Row],[ReorderLevel]], "Reorder Needed", "Okay")</f>
        <v>Okay</v>
      </c>
      <c r="M1542" t="str">
        <f>IF(Table2[[#This Row],[CurrentStock]]-Table2[[#This Row],[ReorderLevel]]&lt;0,Table2[[#This Row],[CurrentStock]]-Table2[[#This Row],[ReorderLevel]],"")</f>
        <v/>
      </c>
      <c r="N1542" t="str">
        <f>IF(Table2[[#This Row],[Stock Gap]]&lt;0, "Understock","Okay")</f>
        <v>Okay</v>
      </c>
      <c r="O1542" s="13" t="str">
        <f>IF(Table2[[#This Row],[Stock Gap]]&lt;0, "Yes", "No")</f>
        <v>No</v>
      </c>
      <c r="P1542" s="13" t="str">
        <f>IF(Table2[[#This Row],[CurrentStock]]&lt;Table2[[#This Row],[ReorderLevel]],"Reorder", "Okay")</f>
        <v>Okay</v>
      </c>
      <c r="Q1542" s="13" t="str">
        <f>IF(Table2[[#This Row],[CurrentStock]]&gt;Table2[[#This Row],[ReorderLevel]]*3, "Overstock", "Okay")</f>
        <v>Overstock</v>
      </c>
    </row>
    <row r="1543" spans="1:17" x14ac:dyDescent="0.35">
      <c r="A1543">
        <v>78617</v>
      </c>
      <c r="B1543" t="s">
        <v>12</v>
      </c>
      <c r="C1543" t="s">
        <v>28</v>
      </c>
      <c r="D1543">
        <v>441</v>
      </c>
      <c r="E1543">
        <v>150</v>
      </c>
      <c r="F1543" s="2">
        <v>313.13</v>
      </c>
      <c r="G1543" t="s">
        <v>32</v>
      </c>
      <c r="H1543" s="1">
        <v>45474</v>
      </c>
      <c r="I1543" s="1">
        <v>45490</v>
      </c>
      <c r="J1543" t="s">
        <v>38</v>
      </c>
      <c r="K1543" s="8">
        <f>Table2[[#This Row],[CurrentStock]]*Table2[[#This Row],[UnitPrice]]</f>
        <v>138090.32999999999</v>
      </c>
      <c r="L1543" t="str">
        <f>IF(Table2[[#This Row],[CurrentStock]]&lt;=Table2[[#This Row],[ReorderLevel]], "Reorder Needed", "Okay")</f>
        <v>Okay</v>
      </c>
      <c r="M1543" t="str">
        <f>IF(Table2[[#This Row],[CurrentStock]]-Table2[[#This Row],[ReorderLevel]]&lt;0,Table2[[#This Row],[CurrentStock]]-Table2[[#This Row],[ReorderLevel]],"")</f>
        <v/>
      </c>
      <c r="N1543" t="str">
        <f>IF(Table2[[#This Row],[Stock Gap]]&lt;0, "Understock","Okay")</f>
        <v>Okay</v>
      </c>
      <c r="O1543" s="13" t="str">
        <f>IF(Table2[[#This Row],[Stock Gap]]&lt;0, "Yes", "No")</f>
        <v>No</v>
      </c>
      <c r="P1543" s="13" t="str">
        <f>IF(Table2[[#This Row],[CurrentStock]]&lt;Table2[[#This Row],[ReorderLevel]],"Reorder", "Okay")</f>
        <v>Okay</v>
      </c>
      <c r="Q1543" s="13" t="str">
        <f>IF(Table2[[#This Row],[CurrentStock]]&gt;Table2[[#This Row],[ReorderLevel]]*3, "Overstock", "Okay")</f>
        <v>Okay</v>
      </c>
    </row>
    <row r="1544" spans="1:17" x14ac:dyDescent="0.35">
      <c r="A1544">
        <v>84642</v>
      </c>
      <c r="B1544" t="s">
        <v>9</v>
      </c>
      <c r="C1544" t="s">
        <v>26</v>
      </c>
      <c r="D1544">
        <v>350</v>
      </c>
      <c r="E1544">
        <v>40</v>
      </c>
      <c r="F1544" s="2">
        <v>488.6</v>
      </c>
      <c r="G1544" t="s">
        <v>34</v>
      </c>
      <c r="H1544" s="1">
        <v>45492</v>
      </c>
      <c r="I1544" s="1">
        <v>45510</v>
      </c>
      <c r="J1544" t="s">
        <v>36</v>
      </c>
      <c r="K1544" s="8">
        <f>Table2[[#This Row],[CurrentStock]]*Table2[[#This Row],[UnitPrice]]</f>
        <v>171010</v>
      </c>
      <c r="L1544" t="str">
        <f>IF(Table2[[#This Row],[CurrentStock]]&lt;=Table2[[#This Row],[ReorderLevel]], "Reorder Needed", "Okay")</f>
        <v>Okay</v>
      </c>
      <c r="M1544" t="str">
        <f>IF(Table2[[#This Row],[CurrentStock]]-Table2[[#This Row],[ReorderLevel]]&lt;0,Table2[[#This Row],[CurrentStock]]-Table2[[#This Row],[ReorderLevel]],"")</f>
        <v/>
      </c>
      <c r="N1544" t="str">
        <f>IF(Table2[[#This Row],[Stock Gap]]&lt;0, "Understock","Okay")</f>
        <v>Okay</v>
      </c>
      <c r="O1544" s="13" t="str">
        <f>IF(Table2[[#This Row],[Stock Gap]]&lt;0, "Yes", "No")</f>
        <v>No</v>
      </c>
      <c r="P1544" s="13" t="str">
        <f>IF(Table2[[#This Row],[CurrentStock]]&lt;Table2[[#This Row],[ReorderLevel]],"Reorder", "Okay")</f>
        <v>Okay</v>
      </c>
      <c r="Q1544" s="13" t="str">
        <f>IF(Table2[[#This Row],[CurrentStock]]&gt;Table2[[#This Row],[ReorderLevel]]*3, "Overstock", "Okay")</f>
        <v>Overstock</v>
      </c>
    </row>
    <row r="1545" spans="1:17" x14ac:dyDescent="0.35">
      <c r="A1545">
        <v>89865</v>
      </c>
      <c r="B1545" t="s">
        <v>24</v>
      </c>
      <c r="C1545" t="s">
        <v>30</v>
      </c>
      <c r="D1545">
        <v>366</v>
      </c>
      <c r="E1545">
        <v>100</v>
      </c>
      <c r="F1545" s="2">
        <v>459.86</v>
      </c>
      <c r="G1545" t="s">
        <v>33</v>
      </c>
      <c r="H1545" s="1">
        <v>45346</v>
      </c>
      <c r="I1545" s="1">
        <v>45359</v>
      </c>
      <c r="J1545" t="s">
        <v>37</v>
      </c>
      <c r="K1545" s="8">
        <f>Table2[[#This Row],[CurrentStock]]*Table2[[#This Row],[UnitPrice]]</f>
        <v>168308.76</v>
      </c>
      <c r="L1545" t="str">
        <f>IF(Table2[[#This Row],[CurrentStock]]&lt;=Table2[[#This Row],[ReorderLevel]], "Reorder Needed", "Okay")</f>
        <v>Okay</v>
      </c>
      <c r="M1545" t="str">
        <f>IF(Table2[[#This Row],[CurrentStock]]-Table2[[#This Row],[ReorderLevel]]&lt;0,Table2[[#This Row],[CurrentStock]]-Table2[[#This Row],[ReorderLevel]],"")</f>
        <v/>
      </c>
      <c r="N1545" t="str">
        <f>IF(Table2[[#This Row],[Stock Gap]]&lt;0, "Understock","Okay")</f>
        <v>Okay</v>
      </c>
      <c r="O1545" s="13" t="str">
        <f>IF(Table2[[#This Row],[Stock Gap]]&lt;0, "Yes", "No")</f>
        <v>No</v>
      </c>
      <c r="P1545" s="13" t="str">
        <f>IF(Table2[[#This Row],[CurrentStock]]&lt;Table2[[#This Row],[ReorderLevel]],"Reorder", "Okay")</f>
        <v>Okay</v>
      </c>
      <c r="Q1545" s="13" t="str">
        <f>IF(Table2[[#This Row],[CurrentStock]]&gt;Table2[[#This Row],[ReorderLevel]]*3, "Overstock", "Okay")</f>
        <v>Overstock</v>
      </c>
    </row>
    <row r="1546" spans="1:17" x14ac:dyDescent="0.35">
      <c r="A1546">
        <v>44052</v>
      </c>
      <c r="B1546" t="s">
        <v>9</v>
      </c>
      <c r="C1546" t="s">
        <v>26</v>
      </c>
      <c r="D1546">
        <v>391</v>
      </c>
      <c r="E1546">
        <v>20</v>
      </c>
      <c r="F1546" s="2">
        <v>98.39</v>
      </c>
      <c r="G1546" t="s">
        <v>32</v>
      </c>
      <c r="H1546" s="1">
        <v>45338</v>
      </c>
      <c r="I1546" s="1">
        <v>45353</v>
      </c>
      <c r="J1546" t="s">
        <v>37</v>
      </c>
      <c r="K1546" s="8">
        <f>Table2[[#This Row],[CurrentStock]]*Table2[[#This Row],[UnitPrice]]</f>
        <v>38470.49</v>
      </c>
      <c r="L1546" t="str">
        <f>IF(Table2[[#This Row],[CurrentStock]]&lt;=Table2[[#This Row],[ReorderLevel]], "Reorder Needed", "Okay")</f>
        <v>Okay</v>
      </c>
      <c r="M1546" t="str">
        <f>IF(Table2[[#This Row],[CurrentStock]]-Table2[[#This Row],[ReorderLevel]]&lt;0,Table2[[#This Row],[CurrentStock]]-Table2[[#This Row],[ReorderLevel]],"")</f>
        <v/>
      </c>
      <c r="N1546" t="str">
        <f>IF(Table2[[#This Row],[Stock Gap]]&lt;0, "Understock","Okay")</f>
        <v>Okay</v>
      </c>
      <c r="O1546" s="13" t="str">
        <f>IF(Table2[[#This Row],[Stock Gap]]&lt;0, "Yes", "No")</f>
        <v>No</v>
      </c>
      <c r="P1546" s="13" t="str">
        <f>IF(Table2[[#This Row],[CurrentStock]]&lt;Table2[[#This Row],[ReorderLevel]],"Reorder", "Okay")</f>
        <v>Okay</v>
      </c>
      <c r="Q1546" s="13" t="str">
        <f>IF(Table2[[#This Row],[CurrentStock]]&gt;Table2[[#This Row],[ReorderLevel]]*3, "Overstock", "Okay")</f>
        <v>Overstock</v>
      </c>
    </row>
    <row r="1547" spans="1:17" x14ac:dyDescent="0.35">
      <c r="A1547">
        <v>38702</v>
      </c>
      <c r="B1547" t="s">
        <v>23</v>
      </c>
      <c r="C1547" t="s">
        <v>30</v>
      </c>
      <c r="D1547">
        <v>260</v>
      </c>
      <c r="E1547">
        <v>100</v>
      </c>
      <c r="F1547" s="2">
        <v>381.89</v>
      </c>
      <c r="G1547" t="s">
        <v>31</v>
      </c>
      <c r="H1547" s="1">
        <v>45629</v>
      </c>
      <c r="I1547" s="1">
        <v>45638</v>
      </c>
      <c r="J1547" t="s">
        <v>36</v>
      </c>
      <c r="K1547" s="8">
        <f>Table2[[#This Row],[CurrentStock]]*Table2[[#This Row],[UnitPrice]]</f>
        <v>99291.4</v>
      </c>
      <c r="L1547" t="str">
        <f>IF(Table2[[#This Row],[CurrentStock]]&lt;=Table2[[#This Row],[ReorderLevel]], "Reorder Needed", "Okay")</f>
        <v>Okay</v>
      </c>
      <c r="M1547" t="str">
        <f>IF(Table2[[#This Row],[CurrentStock]]-Table2[[#This Row],[ReorderLevel]]&lt;0,Table2[[#This Row],[CurrentStock]]-Table2[[#This Row],[ReorderLevel]],"")</f>
        <v/>
      </c>
      <c r="N1547" t="str">
        <f>IF(Table2[[#This Row],[Stock Gap]]&lt;0, "Understock","Okay")</f>
        <v>Okay</v>
      </c>
      <c r="O1547" s="13" t="str">
        <f>IF(Table2[[#This Row],[Stock Gap]]&lt;0, "Yes", "No")</f>
        <v>No</v>
      </c>
      <c r="P1547" s="13" t="str">
        <f>IF(Table2[[#This Row],[CurrentStock]]&lt;Table2[[#This Row],[ReorderLevel]],"Reorder", "Okay")</f>
        <v>Okay</v>
      </c>
      <c r="Q1547" s="13" t="str">
        <f>IF(Table2[[#This Row],[CurrentStock]]&gt;Table2[[#This Row],[ReorderLevel]]*3, "Overstock", "Okay")</f>
        <v>Okay</v>
      </c>
    </row>
    <row r="1548" spans="1:17" x14ac:dyDescent="0.35">
      <c r="A1548">
        <v>76198</v>
      </c>
      <c r="B1548" t="s">
        <v>15</v>
      </c>
      <c r="C1548" t="s">
        <v>29</v>
      </c>
      <c r="D1548">
        <v>411</v>
      </c>
      <c r="E1548">
        <v>100</v>
      </c>
      <c r="F1548" s="2">
        <v>75.069999999999993</v>
      </c>
      <c r="G1548" t="s">
        <v>35</v>
      </c>
      <c r="H1548" s="1">
        <v>45567</v>
      </c>
      <c r="I1548" s="1">
        <v>45589</v>
      </c>
      <c r="J1548" t="s">
        <v>37</v>
      </c>
      <c r="K1548" s="8">
        <f>Table2[[#This Row],[CurrentStock]]*Table2[[#This Row],[UnitPrice]]</f>
        <v>30853.769999999997</v>
      </c>
      <c r="L1548" t="str">
        <f>IF(Table2[[#This Row],[CurrentStock]]&lt;=Table2[[#This Row],[ReorderLevel]], "Reorder Needed", "Okay")</f>
        <v>Okay</v>
      </c>
      <c r="M1548" t="str">
        <f>IF(Table2[[#This Row],[CurrentStock]]-Table2[[#This Row],[ReorderLevel]]&lt;0,Table2[[#This Row],[CurrentStock]]-Table2[[#This Row],[ReorderLevel]],"")</f>
        <v/>
      </c>
      <c r="N1548" t="str">
        <f>IF(Table2[[#This Row],[Stock Gap]]&lt;0, "Understock","Okay")</f>
        <v>Okay</v>
      </c>
      <c r="O1548" s="13" t="str">
        <f>IF(Table2[[#This Row],[Stock Gap]]&lt;0, "Yes", "No")</f>
        <v>No</v>
      </c>
      <c r="P1548" s="13" t="str">
        <f>IF(Table2[[#This Row],[CurrentStock]]&lt;Table2[[#This Row],[ReorderLevel]],"Reorder", "Okay")</f>
        <v>Okay</v>
      </c>
      <c r="Q1548" s="13" t="str">
        <f>IF(Table2[[#This Row],[CurrentStock]]&gt;Table2[[#This Row],[ReorderLevel]]*3, "Overstock", "Okay")</f>
        <v>Overstock</v>
      </c>
    </row>
    <row r="1549" spans="1:17" x14ac:dyDescent="0.35">
      <c r="A1549">
        <v>75296</v>
      </c>
      <c r="B1549" t="s">
        <v>17</v>
      </c>
      <c r="C1549" t="s">
        <v>27</v>
      </c>
      <c r="D1549">
        <v>175</v>
      </c>
      <c r="E1549">
        <v>80</v>
      </c>
      <c r="F1549" s="2">
        <v>216.57</v>
      </c>
      <c r="G1549" t="s">
        <v>35</v>
      </c>
      <c r="H1549" s="1">
        <v>45514</v>
      </c>
      <c r="I1549" s="1">
        <v>45521</v>
      </c>
      <c r="J1549" t="s">
        <v>38</v>
      </c>
      <c r="K1549" s="8">
        <f>Table2[[#This Row],[CurrentStock]]*Table2[[#This Row],[UnitPrice]]</f>
        <v>37899.75</v>
      </c>
      <c r="L1549" t="str">
        <f>IF(Table2[[#This Row],[CurrentStock]]&lt;=Table2[[#This Row],[ReorderLevel]], "Reorder Needed", "Okay")</f>
        <v>Okay</v>
      </c>
      <c r="M1549" t="str">
        <f>IF(Table2[[#This Row],[CurrentStock]]-Table2[[#This Row],[ReorderLevel]]&lt;0,Table2[[#This Row],[CurrentStock]]-Table2[[#This Row],[ReorderLevel]],"")</f>
        <v/>
      </c>
      <c r="N1549" t="str">
        <f>IF(Table2[[#This Row],[Stock Gap]]&lt;0, "Understock","Okay")</f>
        <v>Okay</v>
      </c>
      <c r="O1549" s="13" t="str">
        <f>IF(Table2[[#This Row],[Stock Gap]]&lt;0, "Yes", "No")</f>
        <v>No</v>
      </c>
      <c r="P1549" s="13" t="str">
        <f>IF(Table2[[#This Row],[CurrentStock]]&lt;Table2[[#This Row],[ReorderLevel]],"Reorder", "Okay")</f>
        <v>Okay</v>
      </c>
      <c r="Q1549" s="13" t="str">
        <f>IF(Table2[[#This Row],[CurrentStock]]&gt;Table2[[#This Row],[ReorderLevel]]*3, "Overstock", "Okay")</f>
        <v>Okay</v>
      </c>
    </row>
    <row r="1550" spans="1:17" x14ac:dyDescent="0.35">
      <c r="A1550">
        <v>88437</v>
      </c>
      <c r="B1550" t="s">
        <v>20</v>
      </c>
      <c r="C1550" t="s">
        <v>30</v>
      </c>
      <c r="D1550">
        <v>342</v>
      </c>
      <c r="E1550">
        <v>100</v>
      </c>
      <c r="F1550" s="2">
        <v>349.79</v>
      </c>
      <c r="G1550" t="s">
        <v>35</v>
      </c>
      <c r="H1550" s="1">
        <v>45346</v>
      </c>
      <c r="I1550" s="1">
        <v>45358</v>
      </c>
      <c r="J1550" t="s">
        <v>37</v>
      </c>
      <c r="K1550" s="8">
        <f>Table2[[#This Row],[CurrentStock]]*Table2[[#This Row],[UnitPrice]]</f>
        <v>119628.18000000001</v>
      </c>
      <c r="L1550" t="str">
        <f>IF(Table2[[#This Row],[CurrentStock]]&lt;=Table2[[#This Row],[ReorderLevel]], "Reorder Needed", "Okay")</f>
        <v>Okay</v>
      </c>
      <c r="M1550" t="str">
        <f>IF(Table2[[#This Row],[CurrentStock]]-Table2[[#This Row],[ReorderLevel]]&lt;0,Table2[[#This Row],[CurrentStock]]-Table2[[#This Row],[ReorderLevel]],"")</f>
        <v/>
      </c>
      <c r="N1550" t="str">
        <f>IF(Table2[[#This Row],[Stock Gap]]&lt;0, "Understock","Okay")</f>
        <v>Okay</v>
      </c>
      <c r="O1550" s="13" t="str">
        <f>IF(Table2[[#This Row],[Stock Gap]]&lt;0, "Yes", "No")</f>
        <v>No</v>
      </c>
      <c r="P1550" s="13" t="str">
        <f>IF(Table2[[#This Row],[CurrentStock]]&lt;Table2[[#This Row],[ReorderLevel]],"Reorder", "Okay")</f>
        <v>Okay</v>
      </c>
      <c r="Q1550" s="13" t="str">
        <f>IF(Table2[[#This Row],[CurrentStock]]&gt;Table2[[#This Row],[ReorderLevel]]*3, "Overstock", "Okay")</f>
        <v>Overstock</v>
      </c>
    </row>
    <row r="1551" spans="1:17" x14ac:dyDescent="0.35">
      <c r="A1551">
        <v>35444</v>
      </c>
      <c r="B1551" t="s">
        <v>24</v>
      </c>
      <c r="C1551" t="s">
        <v>30</v>
      </c>
      <c r="D1551">
        <v>176</v>
      </c>
      <c r="E1551">
        <v>20</v>
      </c>
      <c r="F1551" s="2">
        <v>59.74</v>
      </c>
      <c r="G1551" t="s">
        <v>31</v>
      </c>
      <c r="H1551" s="1">
        <v>45592</v>
      </c>
      <c r="I1551" s="1">
        <v>45599</v>
      </c>
      <c r="J1551" t="s">
        <v>38</v>
      </c>
      <c r="K1551" s="8">
        <f>Table2[[#This Row],[CurrentStock]]*Table2[[#This Row],[UnitPrice]]</f>
        <v>10514.24</v>
      </c>
      <c r="L1551" t="str">
        <f>IF(Table2[[#This Row],[CurrentStock]]&lt;=Table2[[#This Row],[ReorderLevel]], "Reorder Needed", "Okay")</f>
        <v>Okay</v>
      </c>
      <c r="M1551" t="str">
        <f>IF(Table2[[#This Row],[CurrentStock]]-Table2[[#This Row],[ReorderLevel]]&lt;0,Table2[[#This Row],[CurrentStock]]-Table2[[#This Row],[ReorderLevel]],"")</f>
        <v/>
      </c>
      <c r="N1551" t="str">
        <f>IF(Table2[[#This Row],[Stock Gap]]&lt;0, "Understock","Okay")</f>
        <v>Okay</v>
      </c>
      <c r="O1551" s="13" t="str">
        <f>IF(Table2[[#This Row],[Stock Gap]]&lt;0, "Yes", "No")</f>
        <v>No</v>
      </c>
      <c r="P1551" s="13" t="str">
        <f>IF(Table2[[#This Row],[CurrentStock]]&lt;Table2[[#This Row],[ReorderLevel]],"Reorder", "Okay")</f>
        <v>Okay</v>
      </c>
      <c r="Q1551" s="13" t="str">
        <f>IF(Table2[[#This Row],[CurrentStock]]&gt;Table2[[#This Row],[ReorderLevel]]*3, "Overstock", "Okay")</f>
        <v>Overstock</v>
      </c>
    </row>
    <row r="1552" spans="1:17" x14ac:dyDescent="0.35">
      <c r="A1552">
        <v>10511</v>
      </c>
      <c r="B1552" t="s">
        <v>24</v>
      </c>
      <c r="C1552" t="s">
        <v>30</v>
      </c>
      <c r="D1552">
        <v>261</v>
      </c>
      <c r="E1552">
        <v>40</v>
      </c>
      <c r="F1552" s="2">
        <v>253.5</v>
      </c>
      <c r="G1552" t="s">
        <v>31</v>
      </c>
      <c r="H1552" s="1">
        <v>45428</v>
      </c>
      <c r="I1552" s="1">
        <v>45460</v>
      </c>
      <c r="J1552" t="s">
        <v>37</v>
      </c>
      <c r="K1552" s="8">
        <f>Table2[[#This Row],[CurrentStock]]*Table2[[#This Row],[UnitPrice]]</f>
        <v>66163.5</v>
      </c>
      <c r="L1552" t="str">
        <f>IF(Table2[[#This Row],[CurrentStock]]&lt;=Table2[[#This Row],[ReorderLevel]], "Reorder Needed", "Okay")</f>
        <v>Okay</v>
      </c>
      <c r="M1552" t="str">
        <f>IF(Table2[[#This Row],[CurrentStock]]-Table2[[#This Row],[ReorderLevel]]&lt;0,Table2[[#This Row],[CurrentStock]]-Table2[[#This Row],[ReorderLevel]],"")</f>
        <v/>
      </c>
      <c r="N1552" t="str">
        <f>IF(Table2[[#This Row],[Stock Gap]]&lt;0, "Understock","Okay")</f>
        <v>Okay</v>
      </c>
      <c r="O1552" s="13" t="str">
        <f>IF(Table2[[#This Row],[Stock Gap]]&lt;0, "Yes", "No")</f>
        <v>No</v>
      </c>
      <c r="P1552" s="13" t="str">
        <f>IF(Table2[[#This Row],[CurrentStock]]&lt;Table2[[#This Row],[ReorderLevel]],"Reorder", "Okay")</f>
        <v>Okay</v>
      </c>
      <c r="Q1552" s="13" t="str">
        <f>IF(Table2[[#This Row],[CurrentStock]]&gt;Table2[[#This Row],[ReorderLevel]]*3, "Overstock", "Okay")</f>
        <v>Overstock</v>
      </c>
    </row>
    <row r="1553" spans="1:17" x14ac:dyDescent="0.35">
      <c r="A1553">
        <v>44469</v>
      </c>
      <c r="B1553" t="s">
        <v>25</v>
      </c>
      <c r="C1553" t="s">
        <v>29</v>
      </c>
      <c r="D1553">
        <v>37</v>
      </c>
      <c r="E1553">
        <v>40</v>
      </c>
      <c r="F1553" s="2">
        <v>481.56</v>
      </c>
      <c r="G1553" t="s">
        <v>34</v>
      </c>
      <c r="H1553" s="1">
        <v>45481</v>
      </c>
      <c r="I1553" s="1">
        <v>45491</v>
      </c>
      <c r="J1553" t="s">
        <v>37</v>
      </c>
      <c r="K1553" s="8">
        <f>Table2[[#This Row],[CurrentStock]]*Table2[[#This Row],[UnitPrice]]</f>
        <v>17817.72</v>
      </c>
      <c r="L1553" t="str">
        <f>IF(Table2[[#This Row],[CurrentStock]]&lt;=Table2[[#This Row],[ReorderLevel]], "Reorder Needed", "Okay")</f>
        <v>Reorder Needed</v>
      </c>
      <c r="M1553" s="7">
        <f>IF(Table2[[#This Row],[CurrentStock]]-Table2[[#This Row],[ReorderLevel]]&lt;0,Table2[[#This Row],[CurrentStock]]-Table2[[#This Row],[ReorderLevel]],"")</f>
        <v>-3</v>
      </c>
      <c r="N1553" t="str">
        <f>IF(Table2[[#This Row],[Stock Gap]]&lt;0, "Understock","Okay")</f>
        <v>Understock</v>
      </c>
      <c r="O1553" s="13" t="str">
        <f>IF(Table2[[#This Row],[Stock Gap]]&lt;0, "Yes", "No")</f>
        <v>Yes</v>
      </c>
      <c r="P1553" s="13" t="str">
        <f>IF(Table2[[#This Row],[CurrentStock]]&lt;Table2[[#This Row],[ReorderLevel]],"Reorder", "Okay")</f>
        <v>Reorder</v>
      </c>
      <c r="Q1553" s="13" t="str">
        <f>IF(Table2[[#This Row],[CurrentStock]]&gt;Table2[[#This Row],[ReorderLevel]]*3, "Overstock", "Okay")</f>
        <v>Okay</v>
      </c>
    </row>
    <row r="1554" spans="1:17" x14ac:dyDescent="0.35">
      <c r="A1554">
        <v>27408</v>
      </c>
      <c r="B1554" t="s">
        <v>17</v>
      </c>
      <c r="C1554" t="s">
        <v>27</v>
      </c>
      <c r="D1554">
        <v>208</v>
      </c>
      <c r="E1554">
        <v>150</v>
      </c>
      <c r="F1554" s="2">
        <v>167.61</v>
      </c>
      <c r="G1554" t="s">
        <v>34</v>
      </c>
      <c r="H1554" s="1">
        <v>45449</v>
      </c>
      <c r="I1554" s="1">
        <v>45474</v>
      </c>
      <c r="J1554" t="s">
        <v>37</v>
      </c>
      <c r="K1554" s="8">
        <f>Table2[[#This Row],[CurrentStock]]*Table2[[#This Row],[UnitPrice]]</f>
        <v>34862.880000000005</v>
      </c>
      <c r="L1554" t="str">
        <f>IF(Table2[[#This Row],[CurrentStock]]&lt;=Table2[[#This Row],[ReorderLevel]], "Reorder Needed", "Okay")</f>
        <v>Okay</v>
      </c>
      <c r="M1554" t="str">
        <f>IF(Table2[[#This Row],[CurrentStock]]-Table2[[#This Row],[ReorderLevel]]&lt;0,Table2[[#This Row],[CurrentStock]]-Table2[[#This Row],[ReorderLevel]],"")</f>
        <v/>
      </c>
      <c r="N1554" t="str">
        <f>IF(Table2[[#This Row],[Stock Gap]]&lt;0, "Understock","Okay")</f>
        <v>Okay</v>
      </c>
      <c r="O1554" s="13" t="str">
        <f>IF(Table2[[#This Row],[Stock Gap]]&lt;0, "Yes", "No")</f>
        <v>No</v>
      </c>
      <c r="P1554" s="13" t="str">
        <f>IF(Table2[[#This Row],[CurrentStock]]&lt;Table2[[#This Row],[ReorderLevel]],"Reorder", "Okay")</f>
        <v>Okay</v>
      </c>
      <c r="Q1554" s="13" t="str">
        <f>IF(Table2[[#This Row],[CurrentStock]]&gt;Table2[[#This Row],[ReorderLevel]]*3, "Overstock", "Okay")</f>
        <v>Okay</v>
      </c>
    </row>
    <row r="1555" spans="1:17" x14ac:dyDescent="0.35">
      <c r="A1555">
        <v>94814</v>
      </c>
      <c r="B1555" t="s">
        <v>17</v>
      </c>
      <c r="C1555" t="s">
        <v>27</v>
      </c>
      <c r="D1555">
        <v>29</v>
      </c>
      <c r="E1555">
        <v>40</v>
      </c>
      <c r="F1555" s="2">
        <v>411.43</v>
      </c>
      <c r="G1555" t="s">
        <v>33</v>
      </c>
      <c r="H1555" s="1">
        <v>45566</v>
      </c>
      <c r="I1555" s="1">
        <v>45600</v>
      </c>
      <c r="J1555" t="s">
        <v>37</v>
      </c>
      <c r="K1555" s="8">
        <f>Table2[[#This Row],[CurrentStock]]*Table2[[#This Row],[UnitPrice]]</f>
        <v>11931.47</v>
      </c>
      <c r="L1555" t="str">
        <f>IF(Table2[[#This Row],[CurrentStock]]&lt;=Table2[[#This Row],[ReorderLevel]], "Reorder Needed", "Okay")</f>
        <v>Reorder Needed</v>
      </c>
      <c r="M1555" s="7">
        <f>IF(Table2[[#This Row],[CurrentStock]]-Table2[[#This Row],[ReorderLevel]]&lt;0,Table2[[#This Row],[CurrentStock]]-Table2[[#This Row],[ReorderLevel]],"")</f>
        <v>-11</v>
      </c>
      <c r="N1555" t="str">
        <f>IF(Table2[[#This Row],[Stock Gap]]&lt;0, "Understock","Okay")</f>
        <v>Understock</v>
      </c>
      <c r="O1555" s="13" t="str">
        <f>IF(Table2[[#This Row],[Stock Gap]]&lt;0, "Yes", "No")</f>
        <v>Yes</v>
      </c>
      <c r="P1555" s="13" t="str">
        <f>IF(Table2[[#This Row],[CurrentStock]]&lt;Table2[[#This Row],[ReorderLevel]],"Reorder", "Okay")</f>
        <v>Reorder</v>
      </c>
      <c r="Q1555" s="13" t="str">
        <f>IF(Table2[[#This Row],[CurrentStock]]&gt;Table2[[#This Row],[ReorderLevel]]*3, "Overstock", "Okay")</f>
        <v>Okay</v>
      </c>
    </row>
    <row r="1556" spans="1:17" x14ac:dyDescent="0.35">
      <c r="A1556">
        <v>16265</v>
      </c>
      <c r="B1556" t="s">
        <v>21</v>
      </c>
      <c r="C1556" t="s">
        <v>26</v>
      </c>
      <c r="D1556">
        <v>76</v>
      </c>
      <c r="E1556">
        <v>100</v>
      </c>
      <c r="F1556" s="2">
        <v>320.08</v>
      </c>
      <c r="G1556" t="s">
        <v>33</v>
      </c>
      <c r="H1556" s="1">
        <v>45321</v>
      </c>
      <c r="I1556" s="1">
        <v>45338</v>
      </c>
      <c r="J1556" t="s">
        <v>37</v>
      </c>
      <c r="K1556" s="8">
        <f>Table2[[#This Row],[CurrentStock]]*Table2[[#This Row],[UnitPrice]]</f>
        <v>24326.079999999998</v>
      </c>
      <c r="L1556" t="str">
        <f>IF(Table2[[#This Row],[CurrentStock]]&lt;=Table2[[#This Row],[ReorderLevel]], "Reorder Needed", "Okay")</f>
        <v>Reorder Needed</v>
      </c>
      <c r="M1556" s="7">
        <f>IF(Table2[[#This Row],[CurrentStock]]-Table2[[#This Row],[ReorderLevel]]&lt;0,Table2[[#This Row],[CurrentStock]]-Table2[[#This Row],[ReorderLevel]],"")</f>
        <v>-24</v>
      </c>
      <c r="N1556" t="str">
        <f>IF(Table2[[#This Row],[Stock Gap]]&lt;0, "Understock","Okay")</f>
        <v>Understock</v>
      </c>
      <c r="O1556" s="13" t="str">
        <f>IF(Table2[[#This Row],[Stock Gap]]&lt;0, "Yes", "No")</f>
        <v>Yes</v>
      </c>
      <c r="P1556" s="13" t="str">
        <f>IF(Table2[[#This Row],[CurrentStock]]&lt;Table2[[#This Row],[ReorderLevel]],"Reorder", "Okay")</f>
        <v>Reorder</v>
      </c>
      <c r="Q1556" s="13" t="str">
        <f>IF(Table2[[#This Row],[CurrentStock]]&gt;Table2[[#This Row],[ReorderLevel]]*3, "Overstock", "Okay")</f>
        <v>Okay</v>
      </c>
    </row>
    <row r="1557" spans="1:17" x14ac:dyDescent="0.35">
      <c r="A1557">
        <v>27084</v>
      </c>
      <c r="B1557" t="s">
        <v>19</v>
      </c>
      <c r="C1557" t="s">
        <v>28</v>
      </c>
      <c r="D1557">
        <v>252</v>
      </c>
      <c r="E1557">
        <v>150</v>
      </c>
      <c r="F1557" s="2">
        <v>26.88</v>
      </c>
      <c r="G1557" t="s">
        <v>32</v>
      </c>
      <c r="H1557" s="1">
        <v>45298</v>
      </c>
      <c r="I1557" s="1">
        <v>45322</v>
      </c>
      <c r="J1557" t="s">
        <v>38</v>
      </c>
      <c r="K1557" s="8">
        <f>Table2[[#This Row],[CurrentStock]]*Table2[[#This Row],[UnitPrice]]</f>
        <v>6773.7599999999993</v>
      </c>
      <c r="L1557" t="str">
        <f>IF(Table2[[#This Row],[CurrentStock]]&lt;=Table2[[#This Row],[ReorderLevel]], "Reorder Needed", "Okay")</f>
        <v>Okay</v>
      </c>
      <c r="M1557" t="str">
        <f>IF(Table2[[#This Row],[CurrentStock]]-Table2[[#This Row],[ReorderLevel]]&lt;0,Table2[[#This Row],[CurrentStock]]-Table2[[#This Row],[ReorderLevel]],"")</f>
        <v/>
      </c>
      <c r="N1557" t="str">
        <f>IF(Table2[[#This Row],[Stock Gap]]&lt;0, "Understock","Okay")</f>
        <v>Okay</v>
      </c>
      <c r="O1557" s="13" t="str">
        <f>IF(Table2[[#This Row],[Stock Gap]]&lt;0, "Yes", "No")</f>
        <v>No</v>
      </c>
      <c r="P1557" s="13" t="str">
        <f>IF(Table2[[#This Row],[CurrentStock]]&lt;Table2[[#This Row],[ReorderLevel]],"Reorder", "Okay")</f>
        <v>Okay</v>
      </c>
      <c r="Q1557" s="13" t="str">
        <f>IF(Table2[[#This Row],[CurrentStock]]&gt;Table2[[#This Row],[ReorderLevel]]*3, "Overstock", "Okay")</f>
        <v>Okay</v>
      </c>
    </row>
    <row r="1558" spans="1:17" x14ac:dyDescent="0.35">
      <c r="A1558">
        <v>11908</v>
      </c>
      <c r="B1558" t="s">
        <v>13</v>
      </c>
      <c r="C1558" t="s">
        <v>26</v>
      </c>
      <c r="D1558">
        <v>49</v>
      </c>
      <c r="E1558">
        <v>150</v>
      </c>
      <c r="F1558" s="2">
        <v>308.3</v>
      </c>
      <c r="G1558" t="s">
        <v>31</v>
      </c>
      <c r="H1558" s="1">
        <v>45441</v>
      </c>
      <c r="I1558" s="1">
        <v>45466</v>
      </c>
      <c r="J1558" t="s">
        <v>38</v>
      </c>
      <c r="K1558" s="8">
        <f>Table2[[#This Row],[CurrentStock]]*Table2[[#This Row],[UnitPrice]]</f>
        <v>15106.7</v>
      </c>
      <c r="L1558" t="str">
        <f>IF(Table2[[#This Row],[CurrentStock]]&lt;=Table2[[#This Row],[ReorderLevel]], "Reorder Needed", "Okay")</f>
        <v>Reorder Needed</v>
      </c>
      <c r="M1558" s="7">
        <f>IF(Table2[[#This Row],[CurrentStock]]-Table2[[#This Row],[ReorderLevel]]&lt;0,Table2[[#This Row],[CurrentStock]]-Table2[[#This Row],[ReorderLevel]],"")</f>
        <v>-101</v>
      </c>
      <c r="N1558" t="str">
        <f>IF(Table2[[#This Row],[Stock Gap]]&lt;0, "Understock","Okay")</f>
        <v>Understock</v>
      </c>
      <c r="O1558" s="13" t="str">
        <f>IF(Table2[[#This Row],[Stock Gap]]&lt;0, "Yes", "No")</f>
        <v>Yes</v>
      </c>
      <c r="P1558" s="13" t="str">
        <f>IF(Table2[[#This Row],[CurrentStock]]&lt;Table2[[#This Row],[ReorderLevel]],"Reorder", "Okay")</f>
        <v>Reorder</v>
      </c>
      <c r="Q1558" s="13" t="str">
        <f>IF(Table2[[#This Row],[CurrentStock]]&gt;Table2[[#This Row],[ReorderLevel]]*3, "Overstock", "Okay")</f>
        <v>Okay</v>
      </c>
    </row>
    <row r="1559" spans="1:17" x14ac:dyDescent="0.35">
      <c r="A1559">
        <v>50449</v>
      </c>
      <c r="B1559" t="s">
        <v>16</v>
      </c>
      <c r="C1559" t="s">
        <v>29</v>
      </c>
      <c r="D1559">
        <v>254</v>
      </c>
      <c r="E1559">
        <v>20</v>
      </c>
      <c r="F1559" s="2">
        <v>417.97</v>
      </c>
      <c r="G1559" t="s">
        <v>33</v>
      </c>
      <c r="H1559" s="1">
        <v>45426</v>
      </c>
      <c r="I1559" s="1">
        <v>45431</v>
      </c>
      <c r="J1559" t="s">
        <v>38</v>
      </c>
      <c r="K1559" s="8">
        <f>Table2[[#This Row],[CurrentStock]]*Table2[[#This Row],[UnitPrice]]</f>
        <v>106164.38</v>
      </c>
      <c r="L1559" t="str">
        <f>IF(Table2[[#This Row],[CurrentStock]]&lt;=Table2[[#This Row],[ReorderLevel]], "Reorder Needed", "Okay")</f>
        <v>Okay</v>
      </c>
      <c r="M1559" t="str">
        <f>IF(Table2[[#This Row],[CurrentStock]]-Table2[[#This Row],[ReorderLevel]]&lt;0,Table2[[#This Row],[CurrentStock]]-Table2[[#This Row],[ReorderLevel]],"")</f>
        <v/>
      </c>
      <c r="N1559" t="str">
        <f>IF(Table2[[#This Row],[Stock Gap]]&lt;0, "Understock","Okay")</f>
        <v>Okay</v>
      </c>
      <c r="O1559" s="13" t="str">
        <f>IF(Table2[[#This Row],[Stock Gap]]&lt;0, "Yes", "No")</f>
        <v>No</v>
      </c>
      <c r="P1559" s="13" t="str">
        <f>IF(Table2[[#This Row],[CurrentStock]]&lt;Table2[[#This Row],[ReorderLevel]],"Reorder", "Okay")</f>
        <v>Okay</v>
      </c>
      <c r="Q1559" s="13" t="str">
        <f>IF(Table2[[#This Row],[CurrentStock]]&gt;Table2[[#This Row],[ReorderLevel]]*3, "Overstock", "Okay")</f>
        <v>Overstock</v>
      </c>
    </row>
    <row r="1560" spans="1:17" x14ac:dyDescent="0.35">
      <c r="A1560">
        <v>35176</v>
      </c>
      <c r="B1560" t="s">
        <v>13</v>
      </c>
      <c r="C1560" t="s">
        <v>26</v>
      </c>
      <c r="D1560">
        <v>359</v>
      </c>
      <c r="E1560">
        <v>30</v>
      </c>
      <c r="F1560" s="2">
        <v>324.33999999999997</v>
      </c>
      <c r="G1560" t="s">
        <v>32</v>
      </c>
      <c r="H1560" s="1">
        <v>45433</v>
      </c>
      <c r="I1560" s="1">
        <v>45457</v>
      </c>
      <c r="J1560" t="s">
        <v>36</v>
      </c>
      <c r="K1560" s="8">
        <f>Table2[[#This Row],[CurrentStock]]*Table2[[#This Row],[UnitPrice]]</f>
        <v>116438.06</v>
      </c>
      <c r="L1560" t="str">
        <f>IF(Table2[[#This Row],[CurrentStock]]&lt;=Table2[[#This Row],[ReorderLevel]], "Reorder Needed", "Okay")</f>
        <v>Okay</v>
      </c>
      <c r="M1560" t="str">
        <f>IF(Table2[[#This Row],[CurrentStock]]-Table2[[#This Row],[ReorderLevel]]&lt;0,Table2[[#This Row],[CurrentStock]]-Table2[[#This Row],[ReorderLevel]],"")</f>
        <v/>
      </c>
      <c r="N1560" t="str">
        <f>IF(Table2[[#This Row],[Stock Gap]]&lt;0, "Understock","Okay")</f>
        <v>Okay</v>
      </c>
      <c r="O1560" s="13" t="str">
        <f>IF(Table2[[#This Row],[Stock Gap]]&lt;0, "Yes", "No")</f>
        <v>No</v>
      </c>
      <c r="P1560" s="13" t="str">
        <f>IF(Table2[[#This Row],[CurrentStock]]&lt;Table2[[#This Row],[ReorderLevel]],"Reorder", "Okay")</f>
        <v>Okay</v>
      </c>
      <c r="Q1560" s="13" t="str">
        <f>IF(Table2[[#This Row],[CurrentStock]]&gt;Table2[[#This Row],[ReorderLevel]]*3, "Overstock", "Okay")</f>
        <v>Overstock</v>
      </c>
    </row>
    <row r="1561" spans="1:17" x14ac:dyDescent="0.35">
      <c r="A1561">
        <v>76404</v>
      </c>
      <c r="B1561" t="s">
        <v>21</v>
      </c>
      <c r="C1561" t="s">
        <v>26</v>
      </c>
      <c r="D1561">
        <v>429</v>
      </c>
      <c r="E1561">
        <v>80</v>
      </c>
      <c r="F1561" s="2">
        <v>402.21</v>
      </c>
      <c r="G1561" t="s">
        <v>32</v>
      </c>
      <c r="H1561" s="1">
        <v>45299</v>
      </c>
      <c r="I1561" s="1">
        <v>45334</v>
      </c>
      <c r="J1561" t="s">
        <v>37</v>
      </c>
      <c r="K1561" s="8">
        <f>Table2[[#This Row],[CurrentStock]]*Table2[[#This Row],[UnitPrice]]</f>
        <v>172548.09</v>
      </c>
      <c r="L1561" t="str">
        <f>IF(Table2[[#This Row],[CurrentStock]]&lt;=Table2[[#This Row],[ReorderLevel]], "Reorder Needed", "Okay")</f>
        <v>Okay</v>
      </c>
      <c r="M1561" t="str">
        <f>IF(Table2[[#This Row],[CurrentStock]]-Table2[[#This Row],[ReorderLevel]]&lt;0,Table2[[#This Row],[CurrentStock]]-Table2[[#This Row],[ReorderLevel]],"")</f>
        <v/>
      </c>
      <c r="N1561" t="str">
        <f>IF(Table2[[#This Row],[Stock Gap]]&lt;0, "Understock","Okay")</f>
        <v>Okay</v>
      </c>
      <c r="O1561" s="13" t="str">
        <f>IF(Table2[[#This Row],[Stock Gap]]&lt;0, "Yes", "No")</f>
        <v>No</v>
      </c>
      <c r="P1561" s="13" t="str">
        <f>IF(Table2[[#This Row],[CurrentStock]]&lt;Table2[[#This Row],[ReorderLevel]],"Reorder", "Okay")</f>
        <v>Okay</v>
      </c>
      <c r="Q1561" s="13" t="str">
        <f>IF(Table2[[#This Row],[CurrentStock]]&gt;Table2[[#This Row],[ReorderLevel]]*3, "Overstock", "Okay")</f>
        <v>Overstock</v>
      </c>
    </row>
    <row r="1562" spans="1:17" x14ac:dyDescent="0.35">
      <c r="A1562">
        <v>31584</v>
      </c>
      <c r="B1562" t="s">
        <v>11</v>
      </c>
      <c r="C1562" t="s">
        <v>27</v>
      </c>
      <c r="D1562">
        <v>34</v>
      </c>
      <c r="E1562">
        <v>20</v>
      </c>
      <c r="F1562" s="2">
        <v>333.85</v>
      </c>
      <c r="G1562" t="s">
        <v>32</v>
      </c>
      <c r="H1562" s="1">
        <v>45344</v>
      </c>
      <c r="I1562" s="1">
        <v>45375</v>
      </c>
      <c r="J1562" t="s">
        <v>36</v>
      </c>
      <c r="K1562" s="8">
        <f>Table2[[#This Row],[CurrentStock]]*Table2[[#This Row],[UnitPrice]]</f>
        <v>11350.900000000001</v>
      </c>
      <c r="L1562" t="str">
        <f>IF(Table2[[#This Row],[CurrentStock]]&lt;=Table2[[#This Row],[ReorderLevel]], "Reorder Needed", "Okay")</f>
        <v>Okay</v>
      </c>
      <c r="M1562" t="str">
        <f>IF(Table2[[#This Row],[CurrentStock]]-Table2[[#This Row],[ReorderLevel]]&lt;0,Table2[[#This Row],[CurrentStock]]-Table2[[#This Row],[ReorderLevel]],"")</f>
        <v/>
      </c>
      <c r="N1562" t="str">
        <f>IF(Table2[[#This Row],[Stock Gap]]&lt;0, "Understock","Okay")</f>
        <v>Okay</v>
      </c>
      <c r="O1562" s="13" t="str">
        <f>IF(Table2[[#This Row],[Stock Gap]]&lt;0, "Yes", "No")</f>
        <v>No</v>
      </c>
      <c r="P1562" s="13" t="str">
        <f>IF(Table2[[#This Row],[CurrentStock]]&lt;Table2[[#This Row],[ReorderLevel]],"Reorder", "Okay")</f>
        <v>Okay</v>
      </c>
      <c r="Q1562" s="13" t="str">
        <f>IF(Table2[[#This Row],[CurrentStock]]&gt;Table2[[#This Row],[ReorderLevel]]*3, "Overstock", "Okay")</f>
        <v>Okay</v>
      </c>
    </row>
    <row r="1563" spans="1:17" x14ac:dyDescent="0.35">
      <c r="A1563">
        <v>15362</v>
      </c>
      <c r="B1563" t="s">
        <v>24</v>
      </c>
      <c r="C1563" t="s">
        <v>30</v>
      </c>
      <c r="D1563">
        <v>316</v>
      </c>
      <c r="E1563">
        <v>80</v>
      </c>
      <c r="F1563" s="2">
        <v>14.45</v>
      </c>
      <c r="G1563" t="s">
        <v>31</v>
      </c>
      <c r="H1563" s="1">
        <v>45389</v>
      </c>
      <c r="I1563" s="1">
        <v>45427</v>
      </c>
      <c r="J1563" t="s">
        <v>37</v>
      </c>
      <c r="K1563" s="8">
        <f>Table2[[#This Row],[CurrentStock]]*Table2[[#This Row],[UnitPrice]]</f>
        <v>4566.2</v>
      </c>
      <c r="L1563" t="str">
        <f>IF(Table2[[#This Row],[CurrentStock]]&lt;=Table2[[#This Row],[ReorderLevel]], "Reorder Needed", "Okay")</f>
        <v>Okay</v>
      </c>
      <c r="M1563" t="str">
        <f>IF(Table2[[#This Row],[CurrentStock]]-Table2[[#This Row],[ReorderLevel]]&lt;0,Table2[[#This Row],[CurrentStock]]-Table2[[#This Row],[ReorderLevel]],"")</f>
        <v/>
      </c>
      <c r="N1563" t="str">
        <f>IF(Table2[[#This Row],[Stock Gap]]&lt;0, "Understock","Okay")</f>
        <v>Okay</v>
      </c>
      <c r="O1563" s="13" t="str">
        <f>IF(Table2[[#This Row],[Stock Gap]]&lt;0, "Yes", "No")</f>
        <v>No</v>
      </c>
      <c r="P1563" s="13" t="str">
        <f>IF(Table2[[#This Row],[CurrentStock]]&lt;Table2[[#This Row],[ReorderLevel]],"Reorder", "Okay")</f>
        <v>Okay</v>
      </c>
      <c r="Q1563" s="13" t="str">
        <f>IF(Table2[[#This Row],[CurrentStock]]&gt;Table2[[#This Row],[ReorderLevel]]*3, "Overstock", "Okay")</f>
        <v>Overstock</v>
      </c>
    </row>
    <row r="1564" spans="1:17" x14ac:dyDescent="0.35">
      <c r="A1564">
        <v>69267</v>
      </c>
      <c r="B1564" t="s">
        <v>11</v>
      </c>
      <c r="C1564" t="s">
        <v>27</v>
      </c>
      <c r="D1564">
        <v>205</v>
      </c>
      <c r="E1564">
        <v>100</v>
      </c>
      <c r="F1564" s="2">
        <v>414.07</v>
      </c>
      <c r="G1564" t="s">
        <v>35</v>
      </c>
      <c r="H1564" s="1">
        <v>45403</v>
      </c>
      <c r="I1564" s="1">
        <v>45436</v>
      </c>
      <c r="J1564" t="s">
        <v>36</v>
      </c>
      <c r="K1564" s="8">
        <f>Table2[[#This Row],[CurrentStock]]*Table2[[#This Row],[UnitPrice]]</f>
        <v>84884.35</v>
      </c>
      <c r="L1564" t="str">
        <f>IF(Table2[[#This Row],[CurrentStock]]&lt;=Table2[[#This Row],[ReorderLevel]], "Reorder Needed", "Okay")</f>
        <v>Okay</v>
      </c>
      <c r="M1564" t="str">
        <f>IF(Table2[[#This Row],[CurrentStock]]-Table2[[#This Row],[ReorderLevel]]&lt;0,Table2[[#This Row],[CurrentStock]]-Table2[[#This Row],[ReorderLevel]],"")</f>
        <v/>
      </c>
      <c r="N1564" t="str">
        <f>IF(Table2[[#This Row],[Stock Gap]]&lt;0, "Understock","Okay")</f>
        <v>Okay</v>
      </c>
      <c r="O1564" s="13" t="str">
        <f>IF(Table2[[#This Row],[Stock Gap]]&lt;0, "Yes", "No")</f>
        <v>No</v>
      </c>
      <c r="P1564" s="13" t="str">
        <f>IF(Table2[[#This Row],[CurrentStock]]&lt;Table2[[#This Row],[ReorderLevel]],"Reorder", "Okay")</f>
        <v>Okay</v>
      </c>
      <c r="Q1564" s="13" t="str">
        <f>IF(Table2[[#This Row],[CurrentStock]]&gt;Table2[[#This Row],[ReorderLevel]]*3, "Overstock", "Okay")</f>
        <v>Okay</v>
      </c>
    </row>
    <row r="1565" spans="1:17" x14ac:dyDescent="0.35">
      <c r="A1565">
        <v>30239</v>
      </c>
      <c r="B1565" t="s">
        <v>11</v>
      </c>
      <c r="C1565" t="s">
        <v>27</v>
      </c>
      <c r="D1565">
        <v>345</v>
      </c>
      <c r="E1565">
        <v>30</v>
      </c>
      <c r="F1565" s="2">
        <v>93.23</v>
      </c>
      <c r="G1565" t="s">
        <v>32</v>
      </c>
      <c r="H1565" s="1">
        <v>45642</v>
      </c>
      <c r="I1565" s="1">
        <v>45673</v>
      </c>
      <c r="J1565" t="s">
        <v>38</v>
      </c>
      <c r="K1565" s="8">
        <f>Table2[[#This Row],[CurrentStock]]*Table2[[#This Row],[UnitPrice]]</f>
        <v>32164.350000000002</v>
      </c>
      <c r="L1565" t="str">
        <f>IF(Table2[[#This Row],[CurrentStock]]&lt;=Table2[[#This Row],[ReorderLevel]], "Reorder Needed", "Okay")</f>
        <v>Okay</v>
      </c>
      <c r="M1565" t="str">
        <f>IF(Table2[[#This Row],[CurrentStock]]-Table2[[#This Row],[ReorderLevel]]&lt;0,Table2[[#This Row],[CurrentStock]]-Table2[[#This Row],[ReorderLevel]],"")</f>
        <v/>
      </c>
      <c r="N1565" t="str">
        <f>IF(Table2[[#This Row],[Stock Gap]]&lt;0, "Understock","Okay")</f>
        <v>Okay</v>
      </c>
      <c r="O1565" s="13" t="str">
        <f>IF(Table2[[#This Row],[Stock Gap]]&lt;0, "Yes", "No")</f>
        <v>No</v>
      </c>
      <c r="P1565" s="13" t="str">
        <f>IF(Table2[[#This Row],[CurrentStock]]&lt;Table2[[#This Row],[ReorderLevel]],"Reorder", "Okay")</f>
        <v>Okay</v>
      </c>
      <c r="Q1565" s="13" t="str">
        <f>IF(Table2[[#This Row],[CurrentStock]]&gt;Table2[[#This Row],[ReorderLevel]]*3, "Overstock", "Okay")</f>
        <v>Overstock</v>
      </c>
    </row>
    <row r="1566" spans="1:17" x14ac:dyDescent="0.35">
      <c r="A1566">
        <v>53290</v>
      </c>
      <c r="B1566" t="s">
        <v>13</v>
      </c>
      <c r="C1566" t="s">
        <v>26</v>
      </c>
      <c r="D1566">
        <v>15</v>
      </c>
      <c r="E1566">
        <v>50</v>
      </c>
      <c r="F1566" s="2">
        <v>401.39</v>
      </c>
      <c r="G1566" t="s">
        <v>31</v>
      </c>
      <c r="H1566" s="1">
        <v>45470</v>
      </c>
      <c r="I1566" s="1">
        <v>45475</v>
      </c>
      <c r="J1566" t="s">
        <v>38</v>
      </c>
      <c r="K1566" s="8">
        <f>Table2[[#This Row],[CurrentStock]]*Table2[[#This Row],[UnitPrice]]</f>
        <v>6020.8499999999995</v>
      </c>
      <c r="L1566" t="str">
        <f>IF(Table2[[#This Row],[CurrentStock]]&lt;=Table2[[#This Row],[ReorderLevel]], "Reorder Needed", "Okay")</f>
        <v>Reorder Needed</v>
      </c>
      <c r="M1566" s="7">
        <f>IF(Table2[[#This Row],[CurrentStock]]-Table2[[#This Row],[ReorderLevel]]&lt;0,Table2[[#This Row],[CurrentStock]]-Table2[[#This Row],[ReorderLevel]],"")</f>
        <v>-35</v>
      </c>
      <c r="N1566" t="str">
        <f>IF(Table2[[#This Row],[Stock Gap]]&lt;0, "Understock","Okay")</f>
        <v>Understock</v>
      </c>
      <c r="O1566" s="13" t="str">
        <f>IF(Table2[[#This Row],[Stock Gap]]&lt;0, "Yes", "No")</f>
        <v>Yes</v>
      </c>
      <c r="P1566" s="13" t="str">
        <f>IF(Table2[[#This Row],[CurrentStock]]&lt;Table2[[#This Row],[ReorderLevel]],"Reorder", "Okay")</f>
        <v>Reorder</v>
      </c>
      <c r="Q1566" s="13" t="str">
        <f>IF(Table2[[#This Row],[CurrentStock]]&gt;Table2[[#This Row],[ReorderLevel]]*3, "Overstock", "Okay")</f>
        <v>Okay</v>
      </c>
    </row>
    <row r="1567" spans="1:17" x14ac:dyDescent="0.35">
      <c r="A1567">
        <v>40399</v>
      </c>
      <c r="B1567" t="s">
        <v>17</v>
      </c>
      <c r="C1567" t="s">
        <v>27</v>
      </c>
      <c r="D1567">
        <v>444</v>
      </c>
      <c r="E1567">
        <v>100</v>
      </c>
      <c r="F1567" s="2">
        <v>363.61</v>
      </c>
      <c r="G1567" t="s">
        <v>31</v>
      </c>
      <c r="H1567" s="1">
        <v>45596</v>
      </c>
      <c r="I1567" s="1">
        <v>45604</v>
      </c>
      <c r="J1567" t="s">
        <v>37</v>
      </c>
      <c r="K1567" s="8">
        <f>Table2[[#This Row],[CurrentStock]]*Table2[[#This Row],[UnitPrice]]</f>
        <v>161442.84</v>
      </c>
      <c r="L1567" t="str">
        <f>IF(Table2[[#This Row],[CurrentStock]]&lt;=Table2[[#This Row],[ReorderLevel]], "Reorder Needed", "Okay")</f>
        <v>Okay</v>
      </c>
      <c r="M1567" t="str">
        <f>IF(Table2[[#This Row],[CurrentStock]]-Table2[[#This Row],[ReorderLevel]]&lt;0,Table2[[#This Row],[CurrentStock]]-Table2[[#This Row],[ReorderLevel]],"")</f>
        <v/>
      </c>
      <c r="N1567" t="str">
        <f>IF(Table2[[#This Row],[Stock Gap]]&lt;0, "Understock","Okay")</f>
        <v>Okay</v>
      </c>
      <c r="O1567" s="13" t="str">
        <f>IF(Table2[[#This Row],[Stock Gap]]&lt;0, "Yes", "No")</f>
        <v>No</v>
      </c>
      <c r="P1567" s="13" t="str">
        <f>IF(Table2[[#This Row],[CurrentStock]]&lt;Table2[[#This Row],[ReorderLevel]],"Reorder", "Okay")</f>
        <v>Okay</v>
      </c>
      <c r="Q1567" s="13" t="str">
        <f>IF(Table2[[#This Row],[CurrentStock]]&gt;Table2[[#This Row],[ReorderLevel]]*3, "Overstock", "Okay")</f>
        <v>Overstock</v>
      </c>
    </row>
    <row r="1568" spans="1:17" x14ac:dyDescent="0.35">
      <c r="A1568">
        <v>54345</v>
      </c>
      <c r="B1568" t="s">
        <v>10</v>
      </c>
      <c r="C1568" t="s">
        <v>26</v>
      </c>
      <c r="D1568">
        <v>214</v>
      </c>
      <c r="E1568">
        <v>150</v>
      </c>
      <c r="F1568" s="2">
        <v>392.11</v>
      </c>
      <c r="G1568" t="s">
        <v>32</v>
      </c>
      <c r="H1568" s="1">
        <v>45394</v>
      </c>
      <c r="I1568" s="1">
        <v>45406</v>
      </c>
      <c r="J1568" t="s">
        <v>38</v>
      </c>
      <c r="K1568" s="8">
        <f>Table2[[#This Row],[CurrentStock]]*Table2[[#This Row],[UnitPrice]]</f>
        <v>83911.540000000008</v>
      </c>
      <c r="L1568" t="str">
        <f>IF(Table2[[#This Row],[CurrentStock]]&lt;=Table2[[#This Row],[ReorderLevel]], "Reorder Needed", "Okay")</f>
        <v>Okay</v>
      </c>
      <c r="M1568" t="str">
        <f>IF(Table2[[#This Row],[CurrentStock]]-Table2[[#This Row],[ReorderLevel]]&lt;0,Table2[[#This Row],[CurrentStock]]-Table2[[#This Row],[ReorderLevel]],"")</f>
        <v/>
      </c>
      <c r="N1568" t="str">
        <f>IF(Table2[[#This Row],[Stock Gap]]&lt;0, "Understock","Okay")</f>
        <v>Okay</v>
      </c>
      <c r="O1568" s="13" t="str">
        <f>IF(Table2[[#This Row],[Stock Gap]]&lt;0, "Yes", "No")</f>
        <v>No</v>
      </c>
      <c r="P1568" s="13" t="str">
        <f>IF(Table2[[#This Row],[CurrentStock]]&lt;Table2[[#This Row],[ReorderLevel]],"Reorder", "Okay")</f>
        <v>Okay</v>
      </c>
      <c r="Q1568" s="13" t="str">
        <f>IF(Table2[[#This Row],[CurrentStock]]&gt;Table2[[#This Row],[ReorderLevel]]*3, "Overstock", "Okay")</f>
        <v>Okay</v>
      </c>
    </row>
    <row r="1569" spans="1:17" x14ac:dyDescent="0.35">
      <c r="A1569">
        <v>48349</v>
      </c>
      <c r="B1569" t="s">
        <v>21</v>
      </c>
      <c r="C1569" t="s">
        <v>26</v>
      </c>
      <c r="D1569">
        <v>234</v>
      </c>
      <c r="E1569">
        <v>100</v>
      </c>
      <c r="F1569" s="2">
        <v>377.47</v>
      </c>
      <c r="G1569" t="s">
        <v>34</v>
      </c>
      <c r="H1569" s="1">
        <v>45390</v>
      </c>
      <c r="I1569" s="1">
        <v>45427</v>
      </c>
      <c r="J1569" t="s">
        <v>36</v>
      </c>
      <c r="K1569" s="8">
        <f>Table2[[#This Row],[CurrentStock]]*Table2[[#This Row],[UnitPrice]]</f>
        <v>88327.98000000001</v>
      </c>
      <c r="L1569" t="str">
        <f>IF(Table2[[#This Row],[CurrentStock]]&lt;=Table2[[#This Row],[ReorderLevel]], "Reorder Needed", "Okay")</f>
        <v>Okay</v>
      </c>
      <c r="M1569" t="str">
        <f>IF(Table2[[#This Row],[CurrentStock]]-Table2[[#This Row],[ReorderLevel]]&lt;0,Table2[[#This Row],[CurrentStock]]-Table2[[#This Row],[ReorderLevel]],"")</f>
        <v/>
      </c>
      <c r="N1569" t="str">
        <f>IF(Table2[[#This Row],[Stock Gap]]&lt;0, "Understock","Okay")</f>
        <v>Okay</v>
      </c>
      <c r="O1569" s="13" t="str">
        <f>IF(Table2[[#This Row],[Stock Gap]]&lt;0, "Yes", "No")</f>
        <v>No</v>
      </c>
      <c r="P1569" s="13" t="str">
        <f>IF(Table2[[#This Row],[CurrentStock]]&lt;Table2[[#This Row],[ReorderLevel]],"Reorder", "Okay")</f>
        <v>Okay</v>
      </c>
      <c r="Q1569" s="13" t="str">
        <f>IF(Table2[[#This Row],[CurrentStock]]&gt;Table2[[#This Row],[ReorderLevel]]*3, "Overstock", "Okay")</f>
        <v>Okay</v>
      </c>
    </row>
    <row r="1570" spans="1:17" x14ac:dyDescent="0.35">
      <c r="A1570">
        <v>29163</v>
      </c>
      <c r="B1570" t="s">
        <v>11</v>
      </c>
      <c r="C1570" t="s">
        <v>27</v>
      </c>
      <c r="D1570">
        <v>135</v>
      </c>
      <c r="E1570">
        <v>30</v>
      </c>
      <c r="F1570" s="2">
        <v>290.99</v>
      </c>
      <c r="G1570" t="s">
        <v>33</v>
      </c>
      <c r="H1570" s="1">
        <v>45589</v>
      </c>
      <c r="I1570" s="1">
        <v>45619</v>
      </c>
      <c r="J1570" t="s">
        <v>36</v>
      </c>
      <c r="K1570" s="8">
        <f>Table2[[#This Row],[CurrentStock]]*Table2[[#This Row],[UnitPrice]]</f>
        <v>39283.65</v>
      </c>
      <c r="L1570" t="str">
        <f>IF(Table2[[#This Row],[CurrentStock]]&lt;=Table2[[#This Row],[ReorderLevel]], "Reorder Needed", "Okay")</f>
        <v>Okay</v>
      </c>
      <c r="M1570" t="str">
        <f>IF(Table2[[#This Row],[CurrentStock]]-Table2[[#This Row],[ReorderLevel]]&lt;0,Table2[[#This Row],[CurrentStock]]-Table2[[#This Row],[ReorderLevel]],"")</f>
        <v/>
      </c>
      <c r="N1570" t="str">
        <f>IF(Table2[[#This Row],[Stock Gap]]&lt;0, "Understock","Okay")</f>
        <v>Okay</v>
      </c>
      <c r="O1570" s="13" t="str">
        <f>IF(Table2[[#This Row],[Stock Gap]]&lt;0, "Yes", "No")</f>
        <v>No</v>
      </c>
      <c r="P1570" s="13" t="str">
        <f>IF(Table2[[#This Row],[CurrentStock]]&lt;Table2[[#This Row],[ReorderLevel]],"Reorder", "Okay")</f>
        <v>Okay</v>
      </c>
      <c r="Q1570" s="13" t="str">
        <f>IF(Table2[[#This Row],[CurrentStock]]&gt;Table2[[#This Row],[ReorderLevel]]*3, "Overstock", "Okay")</f>
        <v>Overstock</v>
      </c>
    </row>
    <row r="1571" spans="1:17" x14ac:dyDescent="0.35">
      <c r="A1571">
        <v>16416</v>
      </c>
      <c r="B1571" t="s">
        <v>19</v>
      </c>
      <c r="C1571" t="s">
        <v>28</v>
      </c>
      <c r="D1571">
        <v>267</v>
      </c>
      <c r="E1571">
        <v>50</v>
      </c>
      <c r="F1571" s="2">
        <v>434.89</v>
      </c>
      <c r="G1571" t="s">
        <v>32</v>
      </c>
      <c r="H1571" s="1">
        <v>45485</v>
      </c>
      <c r="I1571" s="1">
        <v>45491</v>
      </c>
      <c r="J1571" t="s">
        <v>38</v>
      </c>
      <c r="K1571" s="8">
        <f>Table2[[#This Row],[CurrentStock]]*Table2[[#This Row],[UnitPrice]]</f>
        <v>116115.62999999999</v>
      </c>
      <c r="L1571" t="str">
        <f>IF(Table2[[#This Row],[CurrentStock]]&lt;=Table2[[#This Row],[ReorderLevel]], "Reorder Needed", "Okay")</f>
        <v>Okay</v>
      </c>
      <c r="M1571" t="str">
        <f>IF(Table2[[#This Row],[CurrentStock]]-Table2[[#This Row],[ReorderLevel]]&lt;0,Table2[[#This Row],[CurrentStock]]-Table2[[#This Row],[ReorderLevel]],"")</f>
        <v/>
      </c>
      <c r="N1571" t="str">
        <f>IF(Table2[[#This Row],[Stock Gap]]&lt;0, "Understock","Okay")</f>
        <v>Okay</v>
      </c>
      <c r="O1571" s="13" t="str">
        <f>IF(Table2[[#This Row],[Stock Gap]]&lt;0, "Yes", "No")</f>
        <v>No</v>
      </c>
      <c r="P1571" s="13" t="str">
        <f>IF(Table2[[#This Row],[CurrentStock]]&lt;Table2[[#This Row],[ReorderLevel]],"Reorder", "Okay")</f>
        <v>Okay</v>
      </c>
      <c r="Q1571" s="13" t="str">
        <f>IF(Table2[[#This Row],[CurrentStock]]&gt;Table2[[#This Row],[ReorderLevel]]*3, "Overstock", "Okay")</f>
        <v>Overstock</v>
      </c>
    </row>
    <row r="1572" spans="1:17" x14ac:dyDescent="0.35">
      <c r="A1572">
        <v>14861</v>
      </c>
      <c r="B1572" t="s">
        <v>14</v>
      </c>
      <c r="C1572" t="s">
        <v>28</v>
      </c>
      <c r="D1572">
        <v>52</v>
      </c>
      <c r="E1572">
        <v>20</v>
      </c>
      <c r="F1572" s="2">
        <v>243.31</v>
      </c>
      <c r="G1572" t="s">
        <v>32</v>
      </c>
      <c r="H1572" s="1">
        <v>45519</v>
      </c>
      <c r="I1572" s="1">
        <v>45548</v>
      </c>
      <c r="J1572" t="s">
        <v>37</v>
      </c>
      <c r="K1572" s="8">
        <f>Table2[[#This Row],[CurrentStock]]*Table2[[#This Row],[UnitPrice]]</f>
        <v>12652.12</v>
      </c>
      <c r="L1572" t="str">
        <f>IF(Table2[[#This Row],[CurrentStock]]&lt;=Table2[[#This Row],[ReorderLevel]], "Reorder Needed", "Okay")</f>
        <v>Okay</v>
      </c>
      <c r="M1572" t="str">
        <f>IF(Table2[[#This Row],[CurrentStock]]-Table2[[#This Row],[ReorderLevel]]&lt;0,Table2[[#This Row],[CurrentStock]]-Table2[[#This Row],[ReorderLevel]],"")</f>
        <v/>
      </c>
      <c r="N1572" t="str">
        <f>IF(Table2[[#This Row],[Stock Gap]]&lt;0, "Understock","Okay")</f>
        <v>Okay</v>
      </c>
      <c r="O1572" s="13" t="str">
        <f>IF(Table2[[#This Row],[Stock Gap]]&lt;0, "Yes", "No")</f>
        <v>No</v>
      </c>
      <c r="P1572" s="13" t="str">
        <f>IF(Table2[[#This Row],[CurrentStock]]&lt;Table2[[#This Row],[ReorderLevel]],"Reorder", "Okay")</f>
        <v>Okay</v>
      </c>
      <c r="Q1572" s="13" t="str">
        <f>IF(Table2[[#This Row],[CurrentStock]]&gt;Table2[[#This Row],[ReorderLevel]]*3, "Overstock", "Okay")</f>
        <v>Okay</v>
      </c>
    </row>
    <row r="1573" spans="1:17" x14ac:dyDescent="0.35">
      <c r="A1573">
        <v>45571</v>
      </c>
      <c r="B1573" t="s">
        <v>16</v>
      </c>
      <c r="C1573" t="s">
        <v>29</v>
      </c>
      <c r="D1573">
        <v>457</v>
      </c>
      <c r="E1573">
        <v>150</v>
      </c>
      <c r="F1573" s="2">
        <v>495.34</v>
      </c>
      <c r="G1573" t="s">
        <v>32</v>
      </c>
      <c r="H1573" s="1">
        <v>45441</v>
      </c>
      <c r="I1573" s="1">
        <v>45468</v>
      </c>
      <c r="J1573" t="s">
        <v>37</v>
      </c>
      <c r="K1573" s="8">
        <f>Table2[[#This Row],[CurrentStock]]*Table2[[#This Row],[UnitPrice]]</f>
        <v>226370.37999999998</v>
      </c>
      <c r="L1573" t="str">
        <f>IF(Table2[[#This Row],[CurrentStock]]&lt;=Table2[[#This Row],[ReorderLevel]], "Reorder Needed", "Okay")</f>
        <v>Okay</v>
      </c>
      <c r="M1573" t="str">
        <f>IF(Table2[[#This Row],[CurrentStock]]-Table2[[#This Row],[ReorderLevel]]&lt;0,Table2[[#This Row],[CurrentStock]]-Table2[[#This Row],[ReorderLevel]],"")</f>
        <v/>
      </c>
      <c r="N1573" t="str">
        <f>IF(Table2[[#This Row],[Stock Gap]]&lt;0, "Understock","Okay")</f>
        <v>Okay</v>
      </c>
      <c r="O1573" s="13" t="str">
        <f>IF(Table2[[#This Row],[Stock Gap]]&lt;0, "Yes", "No")</f>
        <v>No</v>
      </c>
      <c r="P1573" s="13" t="str">
        <f>IF(Table2[[#This Row],[CurrentStock]]&lt;Table2[[#This Row],[ReorderLevel]],"Reorder", "Okay")</f>
        <v>Okay</v>
      </c>
      <c r="Q1573" s="13" t="str">
        <f>IF(Table2[[#This Row],[CurrentStock]]&gt;Table2[[#This Row],[ReorderLevel]]*3, "Overstock", "Okay")</f>
        <v>Overstock</v>
      </c>
    </row>
    <row r="1574" spans="1:17" x14ac:dyDescent="0.35">
      <c r="A1574">
        <v>28330</v>
      </c>
      <c r="B1574" t="s">
        <v>9</v>
      </c>
      <c r="C1574" t="s">
        <v>26</v>
      </c>
      <c r="D1574">
        <v>108</v>
      </c>
      <c r="E1574">
        <v>20</v>
      </c>
      <c r="F1574" s="2">
        <v>485.42</v>
      </c>
      <c r="G1574" t="s">
        <v>33</v>
      </c>
      <c r="H1574" s="1">
        <v>45309</v>
      </c>
      <c r="I1574" s="1">
        <v>45319</v>
      </c>
      <c r="J1574" t="s">
        <v>37</v>
      </c>
      <c r="K1574" s="8">
        <f>Table2[[#This Row],[CurrentStock]]*Table2[[#This Row],[UnitPrice]]</f>
        <v>52425.36</v>
      </c>
      <c r="L1574" t="str">
        <f>IF(Table2[[#This Row],[CurrentStock]]&lt;=Table2[[#This Row],[ReorderLevel]], "Reorder Needed", "Okay")</f>
        <v>Okay</v>
      </c>
      <c r="M1574" t="str">
        <f>IF(Table2[[#This Row],[CurrentStock]]-Table2[[#This Row],[ReorderLevel]]&lt;0,Table2[[#This Row],[CurrentStock]]-Table2[[#This Row],[ReorderLevel]],"")</f>
        <v/>
      </c>
      <c r="N1574" t="str">
        <f>IF(Table2[[#This Row],[Stock Gap]]&lt;0, "Understock","Okay")</f>
        <v>Okay</v>
      </c>
      <c r="O1574" s="13" t="str">
        <f>IF(Table2[[#This Row],[Stock Gap]]&lt;0, "Yes", "No")</f>
        <v>No</v>
      </c>
      <c r="P1574" s="13" t="str">
        <f>IF(Table2[[#This Row],[CurrentStock]]&lt;Table2[[#This Row],[ReorderLevel]],"Reorder", "Okay")</f>
        <v>Okay</v>
      </c>
      <c r="Q1574" s="13" t="str">
        <f>IF(Table2[[#This Row],[CurrentStock]]&gt;Table2[[#This Row],[ReorderLevel]]*3, "Overstock", "Okay")</f>
        <v>Overstock</v>
      </c>
    </row>
    <row r="1575" spans="1:17" x14ac:dyDescent="0.35">
      <c r="A1575">
        <v>48921</v>
      </c>
      <c r="B1575" t="s">
        <v>22</v>
      </c>
      <c r="C1575" t="s">
        <v>29</v>
      </c>
      <c r="D1575">
        <v>260</v>
      </c>
      <c r="E1575">
        <v>150</v>
      </c>
      <c r="F1575" s="2">
        <v>292.64999999999998</v>
      </c>
      <c r="G1575" t="s">
        <v>32</v>
      </c>
      <c r="H1575" s="1">
        <v>45588</v>
      </c>
      <c r="I1575" s="1">
        <v>45612</v>
      </c>
      <c r="J1575" t="s">
        <v>38</v>
      </c>
      <c r="K1575" s="8">
        <f>Table2[[#This Row],[CurrentStock]]*Table2[[#This Row],[UnitPrice]]</f>
        <v>76089</v>
      </c>
      <c r="L1575" t="str">
        <f>IF(Table2[[#This Row],[CurrentStock]]&lt;=Table2[[#This Row],[ReorderLevel]], "Reorder Needed", "Okay")</f>
        <v>Okay</v>
      </c>
      <c r="M1575" t="str">
        <f>IF(Table2[[#This Row],[CurrentStock]]-Table2[[#This Row],[ReorderLevel]]&lt;0,Table2[[#This Row],[CurrentStock]]-Table2[[#This Row],[ReorderLevel]],"")</f>
        <v/>
      </c>
      <c r="N1575" t="str">
        <f>IF(Table2[[#This Row],[Stock Gap]]&lt;0, "Understock","Okay")</f>
        <v>Okay</v>
      </c>
      <c r="O1575" s="13" t="str">
        <f>IF(Table2[[#This Row],[Stock Gap]]&lt;0, "Yes", "No")</f>
        <v>No</v>
      </c>
      <c r="P1575" s="13" t="str">
        <f>IF(Table2[[#This Row],[CurrentStock]]&lt;Table2[[#This Row],[ReorderLevel]],"Reorder", "Okay")</f>
        <v>Okay</v>
      </c>
      <c r="Q1575" s="13" t="str">
        <f>IF(Table2[[#This Row],[CurrentStock]]&gt;Table2[[#This Row],[ReorderLevel]]*3, "Overstock", "Okay")</f>
        <v>Okay</v>
      </c>
    </row>
    <row r="1576" spans="1:17" x14ac:dyDescent="0.35">
      <c r="A1576">
        <v>26746</v>
      </c>
      <c r="B1576" t="s">
        <v>17</v>
      </c>
      <c r="C1576" t="s">
        <v>27</v>
      </c>
      <c r="D1576">
        <v>400</v>
      </c>
      <c r="E1576">
        <v>80</v>
      </c>
      <c r="F1576" s="2">
        <v>156.16</v>
      </c>
      <c r="G1576" t="s">
        <v>31</v>
      </c>
      <c r="H1576" s="1">
        <v>45554</v>
      </c>
      <c r="I1576" s="1">
        <v>45567</v>
      </c>
      <c r="J1576" t="s">
        <v>38</v>
      </c>
      <c r="K1576" s="8">
        <f>Table2[[#This Row],[CurrentStock]]*Table2[[#This Row],[UnitPrice]]</f>
        <v>62464</v>
      </c>
      <c r="L1576" t="str">
        <f>IF(Table2[[#This Row],[CurrentStock]]&lt;=Table2[[#This Row],[ReorderLevel]], "Reorder Needed", "Okay")</f>
        <v>Okay</v>
      </c>
      <c r="M1576" t="str">
        <f>IF(Table2[[#This Row],[CurrentStock]]-Table2[[#This Row],[ReorderLevel]]&lt;0,Table2[[#This Row],[CurrentStock]]-Table2[[#This Row],[ReorderLevel]],"")</f>
        <v/>
      </c>
      <c r="N1576" t="str">
        <f>IF(Table2[[#This Row],[Stock Gap]]&lt;0, "Understock","Okay")</f>
        <v>Okay</v>
      </c>
      <c r="O1576" s="13" t="str">
        <f>IF(Table2[[#This Row],[Stock Gap]]&lt;0, "Yes", "No")</f>
        <v>No</v>
      </c>
      <c r="P1576" s="13" t="str">
        <f>IF(Table2[[#This Row],[CurrentStock]]&lt;Table2[[#This Row],[ReorderLevel]],"Reorder", "Okay")</f>
        <v>Okay</v>
      </c>
      <c r="Q1576" s="13" t="str">
        <f>IF(Table2[[#This Row],[CurrentStock]]&gt;Table2[[#This Row],[ReorderLevel]]*3, "Overstock", "Okay")</f>
        <v>Overstock</v>
      </c>
    </row>
    <row r="1577" spans="1:17" x14ac:dyDescent="0.35">
      <c r="A1577">
        <v>31159</v>
      </c>
      <c r="B1577" t="s">
        <v>9</v>
      </c>
      <c r="C1577" t="s">
        <v>26</v>
      </c>
      <c r="D1577">
        <v>258</v>
      </c>
      <c r="E1577">
        <v>150</v>
      </c>
      <c r="F1577" s="2">
        <v>382.45</v>
      </c>
      <c r="G1577" t="s">
        <v>34</v>
      </c>
      <c r="H1577" s="1">
        <v>45580</v>
      </c>
      <c r="I1577" s="1">
        <v>45590</v>
      </c>
      <c r="J1577" t="s">
        <v>36</v>
      </c>
      <c r="K1577" s="8">
        <f>Table2[[#This Row],[CurrentStock]]*Table2[[#This Row],[UnitPrice]]</f>
        <v>98672.099999999991</v>
      </c>
      <c r="L1577" t="str">
        <f>IF(Table2[[#This Row],[CurrentStock]]&lt;=Table2[[#This Row],[ReorderLevel]], "Reorder Needed", "Okay")</f>
        <v>Okay</v>
      </c>
      <c r="M1577" t="str">
        <f>IF(Table2[[#This Row],[CurrentStock]]-Table2[[#This Row],[ReorderLevel]]&lt;0,Table2[[#This Row],[CurrentStock]]-Table2[[#This Row],[ReorderLevel]],"")</f>
        <v/>
      </c>
      <c r="N1577" t="str">
        <f>IF(Table2[[#This Row],[Stock Gap]]&lt;0, "Understock","Okay")</f>
        <v>Okay</v>
      </c>
      <c r="O1577" s="13" t="str">
        <f>IF(Table2[[#This Row],[Stock Gap]]&lt;0, "Yes", "No")</f>
        <v>No</v>
      </c>
      <c r="P1577" s="13" t="str">
        <f>IF(Table2[[#This Row],[CurrentStock]]&lt;Table2[[#This Row],[ReorderLevel]],"Reorder", "Okay")</f>
        <v>Okay</v>
      </c>
      <c r="Q1577" s="13" t="str">
        <f>IF(Table2[[#This Row],[CurrentStock]]&gt;Table2[[#This Row],[ReorderLevel]]*3, "Overstock", "Okay")</f>
        <v>Okay</v>
      </c>
    </row>
    <row r="1578" spans="1:17" x14ac:dyDescent="0.35">
      <c r="A1578">
        <v>17464</v>
      </c>
      <c r="B1578" t="s">
        <v>21</v>
      </c>
      <c r="C1578" t="s">
        <v>26</v>
      </c>
      <c r="D1578">
        <v>323</v>
      </c>
      <c r="E1578">
        <v>80</v>
      </c>
      <c r="F1578" s="2">
        <v>240.27</v>
      </c>
      <c r="G1578" t="s">
        <v>35</v>
      </c>
      <c r="H1578" s="1">
        <v>45607</v>
      </c>
      <c r="I1578" s="1">
        <v>45631</v>
      </c>
      <c r="J1578" t="s">
        <v>38</v>
      </c>
      <c r="K1578" s="8">
        <f>Table2[[#This Row],[CurrentStock]]*Table2[[#This Row],[UnitPrice]]</f>
        <v>77607.210000000006</v>
      </c>
      <c r="L1578" t="str">
        <f>IF(Table2[[#This Row],[CurrentStock]]&lt;=Table2[[#This Row],[ReorderLevel]], "Reorder Needed", "Okay")</f>
        <v>Okay</v>
      </c>
      <c r="M1578" t="str">
        <f>IF(Table2[[#This Row],[CurrentStock]]-Table2[[#This Row],[ReorderLevel]]&lt;0,Table2[[#This Row],[CurrentStock]]-Table2[[#This Row],[ReorderLevel]],"")</f>
        <v/>
      </c>
      <c r="N1578" t="str">
        <f>IF(Table2[[#This Row],[Stock Gap]]&lt;0, "Understock","Okay")</f>
        <v>Okay</v>
      </c>
      <c r="O1578" s="13" t="str">
        <f>IF(Table2[[#This Row],[Stock Gap]]&lt;0, "Yes", "No")</f>
        <v>No</v>
      </c>
      <c r="P1578" s="13" t="str">
        <f>IF(Table2[[#This Row],[CurrentStock]]&lt;Table2[[#This Row],[ReorderLevel]],"Reorder", "Okay")</f>
        <v>Okay</v>
      </c>
      <c r="Q1578" s="13" t="str">
        <f>IF(Table2[[#This Row],[CurrentStock]]&gt;Table2[[#This Row],[ReorderLevel]]*3, "Overstock", "Okay")</f>
        <v>Overstock</v>
      </c>
    </row>
    <row r="1579" spans="1:17" x14ac:dyDescent="0.35">
      <c r="A1579">
        <v>25791</v>
      </c>
      <c r="B1579" t="s">
        <v>17</v>
      </c>
      <c r="C1579" t="s">
        <v>27</v>
      </c>
      <c r="D1579">
        <v>320</v>
      </c>
      <c r="E1579">
        <v>100</v>
      </c>
      <c r="F1579" s="2">
        <v>444.02</v>
      </c>
      <c r="G1579" t="s">
        <v>33</v>
      </c>
      <c r="H1579" s="1">
        <v>45610</v>
      </c>
      <c r="I1579" s="1">
        <v>45648</v>
      </c>
      <c r="J1579" t="s">
        <v>38</v>
      </c>
      <c r="K1579" s="8">
        <f>Table2[[#This Row],[CurrentStock]]*Table2[[#This Row],[UnitPrice]]</f>
        <v>142086.39999999999</v>
      </c>
      <c r="L1579" t="str">
        <f>IF(Table2[[#This Row],[CurrentStock]]&lt;=Table2[[#This Row],[ReorderLevel]], "Reorder Needed", "Okay")</f>
        <v>Okay</v>
      </c>
      <c r="M1579" t="str">
        <f>IF(Table2[[#This Row],[CurrentStock]]-Table2[[#This Row],[ReorderLevel]]&lt;0,Table2[[#This Row],[CurrentStock]]-Table2[[#This Row],[ReorderLevel]],"")</f>
        <v/>
      </c>
      <c r="N1579" t="str">
        <f>IF(Table2[[#This Row],[Stock Gap]]&lt;0, "Understock","Okay")</f>
        <v>Okay</v>
      </c>
      <c r="O1579" s="13" t="str">
        <f>IF(Table2[[#This Row],[Stock Gap]]&lt;0, "Yes", "No")</f>
        <v>No</v>
      </c>
      <c r="P1579" s="13" t="str">
        <f>IF(Table2[[#This Row],[CurrentStock]]&lt;Table2[[#This Row],[ReorderLevel]],"Reorder", "Okay")</f>
        <v>Okay</v>
      </c>
      <c r="Q1579" s="13" t="str">
        <f>IF(Table2[[#This Row],[CurrentStock]]&gt;Table2[[#This Row],[ReorderLevel]]*3, "Overstock", "Okay")</f>
        <v>Overstock</v>
      </c>
    </row>
    <row r="1580" spans="1:17" x14ac:dyDescent="0.35">
      <c r="A1580">
        <v>61408</v>
      </c>
      <c r="B1580" t="s">
        <v>16</v>
      </c>
      <c r="C1580" t="s">
        <v>29</v>
      </c>
      <c r="D1580">
        <v>218</v>
      </c>
      <c r="E1580">
        <v>100</v>
      </c>
      <c r="F1580" s="2">
        <v>274.77999999999997</v>
      </c>
      <c r="G1580" t="s">
        <v>31</v>
      </c>
      <c r="H1580" s="1">
        <v>45325</v>
      </c>
      <c r="I1580" s="1">
        <v>45332</v>
      </c>
      <c r="J1580" t="s">
        <v>36</v>
      </c>
      <c r="K1580" s="8">
        <f>Table2[[#This Row],[CurrentStock]]*Table2[[#This Row],[UnitPrice]]</f>
        <v>59902.039999999994</v>
      </c>
      <c r="L1580" t="str">
        <f>IF(Table2[[#This Row],[CurrentStock]]&lt;=Table2[[#This Row],[ReorderLevel]], "Reorder Needed", "Okay")</f>
        <v>Okay</v>
      </c>
      <c r="M1580" t="str">
        <f>IF(Table2[[#This Row],[CurrentStock]]-Table2[[#This Row],[ReorderLevel]]&lt;0,Table2[[#This Row],[CurrentStock]]-Table2[[#This Row],[ReorderLevel]],"")</f>
        <v/>
      </c>
      <c r="N1580" t="str">
        <f>IF(Table2[[#This Row],[Stock Gap]]&lt;0, "Understock","Okay")</f>
        <v>Okay</v>
      </c>
      <c r="O1580" s="13" t="str">
        <f>IF(Table2[[#This Row],[Stock Gap]]&lt;0, "Yes", "No")</f>
        <v>No</v>
      </c>
      <c r="P1580" s="13" t="str">
        <f>IF(Table2[[#This Row],[CurrentStock]]&lt;Table2[[#This Row],[ReorderLevel]],"Reorder", "Okay")</f>
        <v>Okay</v>
      </c>
      <c r="Q1580" s="13" t="str">
        <f>IF(Table2[[#This Row],[CurrentStock]]&gt;Table2[[#This Row],[ReorderLevel]]*3, "Overstock", "Okay")</f>
        <v>Okay</v>
      </c>
    </row>
    <row r="1581" spans="1:17" x14ac:dyDescent="0.35">
      <c r="A1581">
        <v>95078</v>
      </c>
      <c r="B1581" t="s">
        <v>18</v>
      </c>
      <c r="C1581" t="s">
        <v>27</v>
      </c>
      <c r="D1581">
        <v>78</v>
      </c>
      <c r="E1581">
        <v>80</v>
      </c>
      <c r="F1581" s="2">
        <v>414.05</v>
      </c>
      <c r="G1581" t="s">
        <v>34</v>
      </c>
      <c r="H1581" s="1">
        <v>45621</v>
      </c>
      <c r="I1581" s="1">
        <v>45657</v>
      </c>
      <c r="J1581" t="s">
        <v>36</v>
      </c>
      <c r="K1581" s="8">
        <f>Table2[[#This Row],[CurrentStock]]*Table2[[#This Row],[UnitPrice]]</f>
        <v>32295.9</v>
      </c>
      <c r="L1581" t="str">
        <f>IF(Table2[[#This Row],[CurrentStock]]&lt;=Table2[[#This Row],[ReorderLevel]], "Reorder Needed", "Okay")</f>
        <v>Reorder Needed</v>
      </c>
      <c r="M1581" s="7">
        <f>IF(Table2[[#This Row],[CurrentStock]]-Table2[[#This Row],[ReorderLevel]]&lt;0,Table2[[#This Row],[CurrentStock]]-Table2[[#This Row],[ReorderLevel]],"")</f>
        <v>-2</v>
      </c>
      <c r="N1581" t="str">
        <f>IF(Table2[[#This Row],[Stock Gap]]&lt;0, "Understock","Okay")</f>
        <v>Understock</v>
      </c>
      <c r="O1581" s="13" t="str">
        <f>IF(Table2[[#This Row],[Stock Gap]]&lt;0, "Yes", "No")</f>
        <v>Yes</v>
      </c>
      <c r="P1581" s="13" t="str">
        <f>IF(Table2[[#This Row],[CurrentStock]]&lt;Table2[[#This Row],[ReorderLevel]],"Reorder", "Okay")</f>
        <v>Reorder</v>
      </c>
      <c r="Q1581" s="13" t="str">
        <f>IF(Table2[[#This Row],[CurrentStock]]&gt;Table2[[#This Row],[ReorderLevel]]*3, "Overstock", "Okay")</f>
        <v>Okay</v>
      </c>
    </row>
    <row r="1582" spans="1:17" x14ac:dyDescent="0.35">
      <c r="A1582">
        <v>65372</v>
      </c>
      <c r="B1582" t="s">
        <v>10</v>
      </c>
      <c r="C1582" t="s">
        <v>26</v>
      </c>
      <c r="D1582">
        <v>397</v>
      </c>
      <c r="E1582">
        <v>50</v>
      </c>
      <c r="F1582" s="2">
        <v>185.32</v>
      </c>
      <c r="G1582" t="s">
        <v>34</v>
      </c>
      <c r="H1582" s="1">
        <v>45319</v>
      </c>
      <c r="I1582" s="1">
        <v>45337</v>
      </c>
      <c r="J1582" t="s">
        <v>37</v>
      </c>
      <c r="K1582" s="8">
        <f>Table2[[#This Row],[CurrentStock]]*Table2[[#This Row],[UnitPrice]]</f>
        <v>73572.039999999994</v>
      </c>
      <c r="L1582" t="str">
        <f>IF(Table2[[#This Row],[CurrentStock]]&lt;=Table2[[#This Row],[ReorderLevel]], "Reorder Needed", "Okay")</f>
        <v>Okay</v>
      </c>
      <c r="M1582" t="str">
        <f>IF(Table2[[#This Row],[CurrentStock]]-Table2[[#This Row],[ReorderLevel]]&lt;0,Table2[[#This Row],[CurrentStock]]-Table2[[#This Row],[ReorderLevel]],"")</f>
        <v/>
      </c>
      <c r="N1582" t="str">
        <f>IF(Table2[[#This Row],[Stock Gap]]&lt;0, "Understock","Okay")</f>
        <v>Okay</v>
      </c>
      <c r="O1582" s="13" t="str">
        <f>IF(Table2[[#This Row],[Stock Gap]]&lt;0, "Yes", "No")</f>
        <v>No</v>
      </c>
      <c r="P1582" s="13" t="str">
        <f>IF(Table2[[#This Row],[CurrentStock]]&lt;Table2[[#This Row],[ReorderLevel]],"Reorder", "Okay")</f>
        <v>Okay</v>
      </c>
      <c r="Q1582" s="13" t="str">
        <f>IF(Table2[[#This Row],[CurrentStock]]&gt;Table2[[#This Row],[ReorderLevel]]*3, "Overstock", "Okay")</f>
        <v>Overstock</v>
      </c>
    </row>
    <row r="1583" spans="1:17" x14ac:dyDescent="0.35">
      <c r="A1583">
        <v>83844</v>
      </c>
      <c r="B1583" t="s">
        <v>10</v>
      </c>
      <c r="C1583" t="s">
        <v>26</v>
      </c>
      <c r="D1583">
        <v>88</v>
      </c>
      <c r="E1583">
        <v>20</v>
      </c>
      <c r="F1583" s="2">
        <v>143.26</v>
      </c>
      <c r="G1583" t="s">
        <v>35</v>
      </c>
      <c r="H1583" s="1">
        <v>45386</v>
      </c>
      <c r="I1583" s="1">
        <v>45407</v>
      </c>
      <c r="J1583" t="s">
        <v>37</v>
      </c>
      <c r="K1583" s="8">
        <f>Table2[[#This Row],[CurrentStock]]*Table2[[#This Row],[UnitPrice]]</f>
        <v>12606.88</v>
      </c>
      <c r="L1583" t="str">
        <f>IF(Table2[[#This Row],[CurrentStock]]&lt;=Table2[[#This Row],[ReorderLevel]], "Reorder Needed", "Okay")</f>
        <v>Okay</v>
      </c>
      <c r="M1583" t="str">
        <f>IF(Table2[[#This Row],[CurrentStock]]-Table2[[#This Row],[ReorderLevel]]&lt;0,Table2[[#This Row],[CurrentStock]]-Table2[[#This Row],[ReorderLevel]],"")</f>
        <v/>
      </c>
      <c r="N1583" t="str">
        <f>IF(Table2[[#This Row],[Stock Gap]]&lt;0, "Understock","Okay")</f>
        <v>Okay</v>
      </c>
      <c r="O1583" s="13" t="str">
        <f>IF(Table2[[#This Row],[Stock Gap]]&lt;0, "Yes", "No")</f>
        <v>No</v>
      </c>
      <c r="P1583" s="13" t="str">
        <f>IF(Table2[[#This Row],[CurrentStock]]&lt;Table2[[#This Row],[ReorderLevel]],"Reorder", "Okay")</f>
        <v>Okay</v>
      </c>
      <c r="Q1583" s="13" t="str">
        <f>IF(Table2[[#This Row],[CurrentStock]]&gt;Table2[[#This Row],[ReorderLevel]]*3, "Overstock", "Okay")</f>
        <v>Overstock</v>
      </c>
    </row>
    <row r="1584" spans="1:17" x14ac:dyDescent="0.35">
      <c r="A1584">
        <v>57419</v>
      </c>
      <c r="B1584" t="s">
        <v>20</v>
      </c>
      <c r="C1584" t="s">
        <v>30</v>
      </c>
      <c r="D1584">
        <v>431</v>
      </c>
      <c r="E1584">
        <v>40</v>
      </c>
      <c r="F1584" s="2">
        <v>34</v>
      </c>
      <c r="G1584" t="s">
        <v>35</v>
      </c>
      <c r="H1584" s="1">
        <v>45511</v>
      </c>
      <c r="I1584" s="1">
        <v>45530</v>
      </c>
      <c r="J1584" t="s">
        <v>38</v>
      </c>
      <c r="K1584" s="8">
        <f>Table2[[#This Row],[CurrentStock]]*Table2[[#This Row],[UnitPrice]]</f>
        <v>14654</v>
      </c>
      <c r="L1584" t="str">
        <f>IF(Table2[[#This Row],[CurrentStock]]&lt;=Table2[[#This Row],[ReorderLevel]], "Reorder Needed", "Okay")</f>
        <v>Okay</v>
      </c>
      <c r="M1584" t="str">
        <f>IF(Table2[[#This Row],[CurrentStock]]-Table2[[#This Row],[ReorderLevel]]&lt;0,Table2[[#This Row],[CurrentStock]]-Table2[[#This Row],[ReorderLevel]],"")</f>
        <v/>
      </c>
      <c r="N1584" t="str">
        <f>IF(Table2[[#This Row],[Stock Gap]]&lt;0, "Understock","Okay")</f>
        <v>Okay</v>
      </c>
      <c r="O1584" s="13" t="str">
        <f>IF(Table2[[#This Row],[Stock Gap]]&lt;0, "Yes", "No")</f>
        <v>No</v>
      </c>
      <c r="P1584" s="13" t="str">
        <f>IF(Table2[[#This Row],[CurrentStock]]&lt;Table2[[#This Row],[ReorderLevel]],"Reorder", "Okay")</f>
        <v>Okay</v>
      </c>
      <c r="Q1584" s="13" t="str">
        <f>IF(Table2[[#This Row],[CurrentStock]]&gt;Table2[[#This Row],[ReorderLevel]]*3, "Overstock", "Okay")</f>
        <v>Overstock</v>
      </c>
    </row>
    <row r="1585" spans="1:17" x14ac:dyDescent="0.35">
      <c r="A1585">
        <v>49419</v>
      </c>
      <c r="B1585" t="s">
        <v>10</v>
      </c>
      <c r="C1585" t="s">
        <v>26</v>
      </c>
      <c r="D1585">
        <v>364</v>
      </c>
      <c r="E1585">
        <v>20</v>
      </c>
      <c r="F1585" s="2">
        <v>364.42</v>
      </c>
      <c r="G1585" t="s">
        <v>34</v>
      </c>
      <c r="H1585" s="1">
        <v>45393</v>
      </c>
      <c r="I1585" s="1">
        <v>45410</v>
      </c>
      <c r="J1585" t="s">
        <v>37</v>
      </c>
      <c r="K1585" s="8">
        <f>Table2[[#This Row],[CurrentStock]]*Table2[[#This Row],[UnitPrice]]</f>
        <v>132648.88</v>
      </c>
      <c r="L1585" t="str">
        <f>IF(Table2[[#This Row],[CurrentStock]]&lt;=Table2[[#This Row],[ReorderLevel]], "Reorder Needed", "Okay")</f>
        <v>Okay</v>
      </c>
      <c r="M1585" t="str">
        <f>IF(Table2[[#This Row],[CurrentStock]]-Table2[[#This Row],[ReorderLevel]]&lt;0,Table2[[#This Row],[CurrentStock]]-Table2[[#This Row],[ReorderLevel]],"")</f>
        <v/>
      </c>
      <c r="N1585" t="str">
        <f>IF(Table2[[#This Row],[Stock Gap]]&lt;0, "Understock","Okay")</f>
        <v>Okay</v>
      </c>
      <c r="O1585" s="13" t="str">
        <f>IF(Table2[[#This Row],[Stock Gap]]&lt;0, "Yes", "No")</f>
        <v>No</v>
      </c>
      <c r="P1585" s="13" t="str">
        <f>IF(Table2[[#This Row],[CurrentStock]]&lt;Table2[[#This Row],[ReorderLevel]],"Reorder", "Okay")</f>
        <v>Okay</v>
      </c>
      <c r="Q1585" s="13" t="str">
        <f>IF(Table2[[#This Row],[CurrentStock]]&gt;Table2[[#This Row],[ReorderLevel]]*3, "Overstock", "Okay")</f>
        <v>Overstock</v>
      </c>
    </row>
    <row r="1586" spans="1:17" x14ac:dyDescent="0.35">
      <c r="A1586">
        <v>17393</v>
      </c>
      <c r="B1586" t="s">
        <v>10</v>
      </c>
      <c r="C1586" t="s">
        <v>26</v>
      </c>
      <c r="D1586">
        <v>14</v>
      </c>
      <c r="E1586">
        <v>100</v>
      </c>
      <c r="F1586" s="2">
        <v>40.15</v>
      </c>
      <c r="G1586" t="s">
        <v>33</v>
      </c>
      <c r="H1586" s="1">
        <v>45347</v>
      </c>
      <c r="I1586" s="1">
        <v>45382</v>
      </c>
      <c r="J1586" t="s">
        <v>37</v>
      </c>
      <c r="K1586" s="8">
        <f>Table2[[#This Row],[CurrentStock]]*Table2[[#This Row],[UnitPrice]]</f>
        <v>562.1</v>
      </c>
      <c r="L1586" t="str">
        <f>IF(Table2[[#This Row],[CurrentStock]]&lt;=Table2[[#This Row],[ReorderLevel]], "Reorder Needed", "Okay")</f>
        <v>Reorder Needed</v>
      </c>
      <c r="M1586" s="7">
        <f>IF(Table2[[#This Row],[CurrentStock]]-Table2[[#This Row],[ReorderLevel]]&lt;0,Table2[[#This Row],[CurrentStock]]-Table2[[#This Row],[ReorderLevel]],"")</f>
        <v>-86</v>
      </c>
      <c r="N1586" t="str">
        <f>IF(Table2[[#This Row],[Stock Gap]]&lt;0, "Understock","Okay")</f>
        <v>Understock</v>
      </c>
      <c r="O1586" s="13" t="str">
        <f>IF(Table2[[#This Row],[Stock Gap]]&lt;0, "Yes", "No")</f>
        <v>Yes</v>
      </c>
      <c r="P1586" s="13" t="str">
        <f>IF(Table2[[#This Row],[CurrentStock]]&lt;Table2[[#This Row],[ReorderLevel]],"Reorder", "Okay")</f>
        <v>Reorder</v>
      </c>
      <c r="Q1586" s="13" t="str">
        <f>IF(Table2[[#This Row],[CurrentStock]]&gt;Table2[[#This Row],[ReorderLevel]]*3, "Overstock", "Okay")</f>
        <v>Okay</v>
      </c>
    </row>
    <row r="1587" spans="1:17" x14ac:dyDescent="0.35">
      <c r="A1587">
        <v>34726</v>
      </c>
      <c r="B1587" t="s">
        <v>20</v>
      </c>
      <c r="C1587" t="s">
        <v>30</v>
      </c>
      <c r="D1587">
        <v>172</v>
      </c>
      <c r="E1587">
        <v>50</v>
      </c>
      <c r="F1587" s="2">
        <v>243.86</v>
      </c>
      <c r="G1587" t="s">
        <v>34</v>
      </c>
      <c r="H1587" s="1">
        <v>45600</v>
      </c>
      <c r="I1587" s="1">
        <v>45633</v>
      </c>
      <c r="J1587" t="s">
        <v>38</v>
      </c>
      <c r="K1587" s="8">
        <f>Table2[[#This Row],[CurrentStock]]*Table2[[#This Row],[UnitPrice]]</f>
        <v>41943.920000000006</v>
      </c>
      <c r="L1587" t="str">
        <f>IF(Table2[[#This Row],[CurrentStock]]&lt;=Table2[[#This Row],[ReorderLevel]], "Reorder Needed", "Okay")</f>
        <v>Okay</v>
      </c>
      <c r="M1587" t="str">
        <f>IF(Table2[[#This Row],[CurrentStock]]-Table2[[#This Row],[ReorderLevel]]&lt;0,Table2[[#This Row],[CurrentStock]]-Table2[[#This Row],[ReorderLevel]],"")</f>
        <v/>
      </c>
      <c r="N1587" t="str">
        <f>IF(Table2[[#This Row],[Stock Gap]]&lt;0, "Understock","Okay")</f>
        <v>Okay</v>
      </c>
      <c r="O1587" s="13" t="str">
        <f>IF(Table2[[#This Row],[Stock Gap]]&lt;0, "Yes", "No")</f>
        <v>No</v>
      </c>
      <c r="P1587" s="13" t="str">
        <f>IF(Table2[[#This Row],[CurrentStock]]&lt;Table2[[#This Row],[ReorderLevel]],"Reorder", "Okay")</f>
        <v>Okay</v>
      </c>
      <c r="Q1587" s="13" t="str">
        <f>IF(Table2[[#This Row],[CurrentStock]]&gt;Table2[[#This Row],[ReorderLevel]]*3, "Overstock", "Okay")</f>
        <v>Overstock</v>
      </c>
    </row>
    <row r="1588" spans="1:17" x14ac:dyDescent="0.35">
      <c r="A1588">
        <v>27809</v>
      </c>
      <c r="B1588" t="s">
        <v>16</v>
      </c>
      <c r="C1588" t="s">
        <v>29</v>
      </c>
      <c r="D1588">
        <v>170</v>
      </c>
      <c r="E1588">
        <v>30</v>
      </c>
      <c r="F1588" s="2">
        <v>177.08</v>
      </c>
      <c r="G1588" t="s">
        <v>35</v>
      </c>
      <c r="H1588" s="1">
        <v>45321</v>
      </c>
      <c r="I1588" s="1">
        <v>45358</v>
      </c>
      <c r="J1588" t="s">
        <v>36</v>
      </c>
      <c r="K1588" s="8">
        <f>Table2[[#This Row],[CurrentStock]]*Table2[[#This Row],[UnitPrice]]</f>
        <v>30103.600000000002</v>
      </c>
      <c r="L1588" t="str">
        <f>IF(Table2[[#This Row],[CurrentStock]]&lt;=Table2[[#This Row],[ReorderLevel]], "Reorder Needed", "Okay")</f>
        <v>Okay</v>
      </c>
      <c r="M1588" t="str">
        <f>IF(Table2[[#This Row],[CurrentStock]]-Table2[[#This Row],[ReorderLevel]]&lt;0,Table2[[#This Row],[CurrentStock]]-Table2[[#This Row],[ReorderLevel]],"")</f>
        <v/>
      </c>
      <c r="N1588" t="str">
        <f>IF(Table2[[#This Row],[Stock Gap]]&lt;0, "Understock","Okay")</f>
        <v>Okay</v>
      </c>
      <c r="O1588" s="13" t="str">
        <f>IF(Table2[[#This Row],[Stock Gap]]&lt;0, "Yes", "No")</f>
        <v>No</v>
      </c>
      <c r="P1588" s="13" t="str">
        <f>IF(Table2[[#This Row],[CurrentStock]]&lt;Table2[[#This Row],[ReorderLevel]],"Reorder", "Okay")</f>
        <v>Okay</v>
      </c>
      <c r="Q1588" s="13" t="str">
        <f>IF(Table2[[#This Row],[CurrentStock]]&gt;Table2[[#This Row],[ReorderLevel]]*3, "Overstock", "Okay")</f>
        <v>Overstock</v>
      </c>
    </row>
    <row r="1589" spans="1:17" x14ac:dyDescent="0.35">
      <c r="A1589">
        <v>99119</v>
      </c>
      <c r="B1589" t="s">
        <v>18</v>
      </c>
      <c r="C1589" t="s">
        <v>27</v>
      </c>
      <c r="D1589">
        <v>371</v>
      </c>
      <c r="E1589">
        <v>50</v>
      </c>
      <c r="F1589" s="2">
        <v>259.47000000000003</v>
      </c>
      <c r="G1589" t="s">
        <v>32</v>
      </c>
      <c r="H1589" s="1">
        <v>45594</v>
      </c>
      <c r="I1589" s="1">
        <v>45620</v>
      </c>
      <c r="J1589" t="s">
        <v>38</v>
      </c>
      <c r="K1589" s="8">
        <f>Table2[[#This Row],[CurrentStock]]*Table2[[#This Row],[UnitPrice]]</f>
        <v>96263.37000000001</v>
      </c>
      <c r="L1589" t="str">
        <f>IF(Table2[[#This Row],[CurrentStock]]&lt;=Table2[[#This Row],[ReorderLevel]], "Reorder Needed", "Okay")</f>
        <v>Okay</v>
      </c>
      <c r="M1589" t="str">
        <f>IF(Table2[[#This Row],[CurrentStock]]-Table2[[#This Row],[ReorderLevel]]&lt;0,Table2[[#This Row],[CurrentStock]]-Table2[[#This Row],[ReorderLevel]],"")</f>
        <v/>
      </c>
      <c r="N1589" t="str">
        <f>IF(Table2[[#This Row],[Stock Gap]]&lt;0, "Understock","Okay")</f>
        <v>Okay</v>
      </c>
      <c r="O1589" s="13" t="str">
        <f>IF(Table2[[#This Row],[Stock Gap]]&lt;0, "Yes", "No")</f>
        <v>No</v>
      </c>
      <c r="P1589" s="13" t="str">
        <f>IF(Table2[[#This Row],[CurrentStock]]&lt;Table2[[#This Row],[ReorderLevel]],"Reorder", "Okay")</f>
        <v>Okay</v>
      </c>
      <c r="Q1589" s="13" t="str">
        <f>IF(Table2[[#This Row],[CurrentStock]]&gt;Table2[[#This Row],[ReorderLevel]]*3, "Overstock", "Okay")</f>
        <v>Overstock</v>
      </c>
    </row>
    <row r="1590" spans="1:17" x14ac:dyDescent="0.35">
      <c r="A1590">
        <v>50129</v>
      </c>
      <c r="B1590" t="s">
        <v>11</v>
      </c>
      <c r="C1590" t="s">
        <v>27</v>
      </c>
      <c r="D1590">
        <v>488</v>
      </c>
      <c r="E1590">
        <v>40</v>
      </c>
      <c r="F1590" s="2">
        <v>170.94</v>
      </c>
      <c r="G1590" t="s">
        <v>31</v>
      </c>
      <c r="H1590" s="1">
        <v>45462</v>
      </c>
      <c r="I1590" s="1">
        <v>45468</v>
      </c>
      <c r="J1590" t="s">
        <v>36</v>
      </c>
      <c r="K1590" s="8">
        <f>Table2[[#This Row],[CurrentStock]]*Table2[[#This Row],[UnitPrice]]</f>
        <v>83418.720000000001</v>
      </c>
      <c r="L1590" t="str">
        <f>IF(Table2[[#This Row],[CurrentStock]]&lt;=Table2[[#This Row],[ReorderLevel]], "Reorder Needed", "Okay")</f>
        <v>Okay</v>
      </c>
      <c r="M1590" t="str">
        <f>IF(Table2[[#This Row],[CurrentStock]]-Table2[[#This Row],[ReorderLevel]]&lt;0,Table2[[#This Row],[CurrentStock]]-Table2[[#This Row],[ReorderLevel]],"")</f>
        <v/>
      </c>
      <c r="N1590" t="str">
        <f>IF(Table2[[#This Row],[Stock Gap]]&lt;0, "Understock","Okay")</f>
        <v>Okay</v>
      </c>
      <c r="O1590" s="13" t="str">
        <f>IF(Table2[[#This Row],[Stock Gap]]&lt;0, "Yes", "No")</f>
        <v>No</v>
      </c>
      <c r="P1590" s="13" t="str">
        <f>IF(Table2[[#This Row],[CurrentStock]]&lt;Table2[[#This Row],[ReorderLevel]],"Reorder", "Okay")</f>
        <v>Okay</v>
      </c>
      <c r="Q1590" s="13" t="str">
        <f>IF(Table2[[#This Row],[CurrentStock]]&gt;Table2[[#This Row],[ReorderLevel]]*3, "Overstock", "Okay")</f>
        <v>Overstock</v>
      </c>
    </row>
    <row r="1591" spans="1:17" x14ac:dyDescent="0.35">
      <c r="A1591">
        <v>26246</v>
      </c>
      <c r="B1591" t="s">
        <v>13</v>
      </c>
      <c r="C1591" t="s">
        <v>26</v>
      </c>
      <c r="D1591">
        <v>379</v>
      </c>
      <c r="E1591">
        <v>40</v>
      </c>
      <c r="F1591" s="2">
        <v>190.95</v>
      </c>
      <c r="G1591" t="s">
        <v>35</v>
      </c>
      <c r="H1591" s="1">
        <v>45455</v>
      </c>
      <c r="I1591" s="1">
        <v>45488</v>
      </c>
      <c r="J1591" t="s">
        <v>36</v>
      </c>
      <c r="K1591" s="8">
        <f>Table2[[#This Row],[CurrentStock]]*Table2[[#This Row],[UnitPrice]]</f>
        <v>72370.05</v>
      </c>
      <c r="L1591" t="str">
        <f>IF(Table2[[#This Row],[CurrentStock]]&lt;=Table2[[#This Row],[ReorderLevel]], "Reorder Needed", "Okay")</f>
        <v>Okay</v>
      </c>
      <c r="M1591" t="str">
        <f>IF(Table2[[#This Row],[CurrentStock]]-Table2[[#This Row],[ReorderLevel]]&lt;0,Table2[[#This Row],[CurrentStock]]-Table2[[#This Row],[ReorderLevel]],"")</f>
        <v/>
      </c>
      <c r="N1591" t="str">
        <f>IF(Table2[[#This Row],[Stock Gap]]&lt;0, "Understock","Okay")</f>
        <v>Okay</v>
      </c>
      <c r="O1591" s="13" t="str">
        <f>IF(Table2[[#This Row],[Stock Gap]]&lt;0, "Yes", "No")</f>
        <v>No</v>
      </c>
      <c r="P1591" s="13" t="str">
        <f>IF(Table2[[#This Row],[CurrentStock]]&lt;Table2[[#This Row],[ReorderLevel]],"Reorder", "Okay")</f>
        <v>Okay</v>
      </c>
      <c r="Q1591" s="13" t="str">
        <f>IF(Table2[[#This Row],[CurrentStock]]&gt;Table2[[#This Row],[ReorderLevel]]*3, "Overstock", "Okay")</f>
        <v>Overstock</v>
      </c>
    </row>
    <row r="1592" spans="1:17" x14ac:dyDescent="0.35">
      <c r="A1592">
        <v>44169</v>
      </c>
      <c r="B1592" t="s">
        <v>24</v>
      </c>
      <c r="C1592" t="s">
        <v>30</v>
      </c>
      <c r="D1592">
        <v>300</v>
      </c>
      <c r="E1592">
        <v>150</v>
      </c>
      <c r="F1592" s="2">
        <v>39.39</v>
      </c>
      <c r="G1592" t="s">
        <v>31</v>
      </c>
      <c r="H1592" s="1">
        <v>45484</v>
      </c>
      <c r="I1592" s="1">
        <v>45506</v>
      </c>
      <c r="J1592" t="s">
        <v>37</v>
      </c>
      <c r="K1592" s="8">
        <f>Table2[[#This Row],[CurrentStock]]*Table2[[#This Row],[UnitPrice]]</f>
        <v>11817</v>
      </c>
      <c r="L1592" t="str">
        <f>IF(Table2[[#This Row],[CurrentStock]]&lt;=Table2[[#This Row],[ReorderLevel]], "Reorder Needed", "Okay")</f>
        <v>Okay</v>
      </c>
      <c r="M1592" t="str">
        <f>IF(Table2[[#This Row],[CurrentStock]]-Table2[[#This Row],[ReorderLevel]]&lt;0,Table2[[#This Row],[CurrentStock]]-Table2[[#This Row],[ReorderLevel]],"")</f>
        <v/>
      </c>
      <c r="N1592" t="str">
        <f>IF(Table2[[#This Row],[Stock Gap]]&lt;0, "Understock","Okay")</f>
        <v>Okay</v>
      </c>
      <c r="O1592" s="13" t="str">
        <f>IF(Table2[[#This Row],[Stock Gap]]&lt;0, "Yes", "No")</f>
        <v>No</v>
      </c>
      <c r="P1592" s="13" t="str">
        <f>IF(Table2[[#This Row],[CurrentStock]]&lt;Table2[[#This Row],[ReorderLevel]],"Reorder", "Okay")</f>
        <v>Okay</v>
      </c>
      <c r="Q1592" s="13" t="str">
        <f>IF(Table2[[#This Row],[CurrentStock]]&gt;Table2[[#This Row],[ReorderLevel]]*3, "Overstock", "Okay")</f>
        <v>Okay</v>
      </c>
    </row>
    <row r="1593" spans="1:17" x14ac:dyDescent="0.35">
      <c r="A1593">
        <v>40716</v>
      </c>
      <c r="B1593" t="s">
        <v>17</v>
      </c>
      <c r="C1593" t="s">
        <v>27</v>
      </c>
      <c r="D1593">
        <v>171</v>
      </c>
      <c r="E1593">
        <v>30</v>
      </c>
      <c r="F1593" s="2">
        <v>46.42</v>
      </c>
      <c r="G1593" t="s">
        <v>31</v>
      </c>
      <c r="H1593" s="1">
        <v>45299</v>
      </c>
      <c r="I1593" s="1">
        <v>45337</v>
      </c>
      <c r="J1593" t="s">
        <v>38</v>
      </c>
      <c r="K1593" s="8">
        <f>Table2[[#This Row],[CurrentStock]]*Table2[[#This Row],[UnitPrice]]</f>
        <v>7937.8200000000006</v>
      </c>
      <c r="L1593" t="str">
        <f>IF(Table2[[#This Row],[CurrentStock]]&lt;=Table2[[#This Row],[ReorderLevel]], "Reorder Needed", "Okay")</f>
        <v>Okay</v>
      </c>
      <c r="M1593" t="str">
        <f>IF(Table2[[#This Row],[CurrentStock]]-Table2[[#This Row],[ReorderLevel]]&lt;0,Table2[[#This Row],[CurrentStock]]-Table2[[#This Row],[ReorderLevel]],"")</f>
        <v/>
      </c>
      <c r="N1593" t="str">
        <f>IF(Table2[[#This Row],[Stock Gap]]&lt;0, "Understock","Okay")</f>
        <v>Okay</v>
      </c>
      <c r="O1593" s="13" t="str">
        <f>IF(Table2[[#This Row],[Stock Gap]]&lt;0, "Yes", "No")</f>
        <v>No</v>
      </c>
      <c r="P1593" s="13" t="str">
        <f>IF(Table2[[#This Row],[CurrentStock]]&lt;Table2[[#This Row],[ReorderLevel]],"Reorder", "Okay")</f>
        <v>Okay</v>
      </c>
      <c r="Q1593" s="13" t="str">
        <f>IF(Table2[[#This Row],[CurrentStock]]&gt;Table2[[#This Row],[ReorderLevel]]*3, "Overstock", "Okay")</f>
        <v>Overstock</v>
      </c>
    </row>
    <row r="1594" spans="1:17" x14ac:dyDescent="0.35">
      <c r="A1594">
        <v>19496</v>
      </c>
      <c r="B1594" t="s">
        <v>20</v>
      </c>
      <c r="C1594" t="s">
        <v>30</v>
      </c>
      <c r="D1594">
        <v>422</v>
      </c>
      <c r="E1594">
        <v>50</v>
      </c>
      <c r="F1594" s="2">
        <v>373.08</v>
      </c>
      <c r="G1594" t="s">
        <v>33</v>
      </c>
      <c r="H1594" s="1">
        <v>45346</v>
      </c>
      <c r="I1594" s="1">
        <v>45376</v>
      </c>
      <c r="J1594" t="s">
        <v>37</v>
      </c>
      <c r="K1594" s="8">
        <f>Table2[[#This Row],[CurrentStock]]*Table2[[#This Row],[UnitPrice]]</f>
        <v>157439.75999999998</v>
      </c>
      <c r="L1594" t="str">
        <f>IF(Table2[[#This Row],[CurrentStock]]&lt;=Table2[[#This Row],[ReorderLevel]], "Reorder Needed", "Okay")</f>
        <v>Okay</v>
      </c>
      <c r="M1594" t="str">
        <f>IF(Table2[[#This Row],[CurrentStock]]-Table2[[#This Row],[ReorderLevel]]&lt;0,Table2[[#This Row],[CurrentStock]]-Table2[[#This Row],[ReorderLevel]],"")</f>
        <v/>
      </c>
      <c r="N1594" t="str">
        <f>IF(Table2[[#This Row],[Stock Gap]]&lt;0, "Understock","Okay")</f>
        <v>Okay</v>
      </c>
      <c r="O1594" s="13" t="str">
        <f>IF(Table2[[#This Row],[Stock Gap]]&lt;0, "Yes", "No")</f>
        <v>No</v>
      </c>
      <c r="P1594" s="13" t="str">
        <f>IF(Table2[[#This Row],[CurrentStock]]&lt;Table2[[#This Row],[ReorderLevel]],"Reorder", "Okay")</f>
        <v>Okay</v>
      </c>
      <c r="Q1594" s="13" t="str">
        <f>IF(Table2[[#This Row],[CurrentStock]]&gt;Table2[[#This Row],[ReorderLevel]]*3, "Overstock", "Okay")</f>
        <v>Overstock</v>
      </c>
    </row>
    <row r="1595" spans="1:17" x14ac:dyDescent="0.35">
      <c r="A1595">
        <v>64610</v>
      </c>
      <c r="B1595" t="s">
        <v>20</v>
      </c>
      <c r="C1595" t="s">
        <v>30</v>
      </c>
      <c r="D1595">
        <v>494</v>
      </c>
      <c r="E1595">
        <v>50</v>
      </c>
      <c r="F1595" s="2">
        <v>228.06</v>
      </c>
      <c r="G1595" t="s">
        <v>33</v>
      </c>
      <c r="H1595" s="1">
        <v>45499</v>
      </c>
      <c r="I1595" s="1">
        <v>45508</v>
      </c>
      <c r="J1595" t="s">
        <v>38</v>
      </c>
      <c r="K1595" s="8">
        <f>Table2[[#This Row],[CurrentStock]]*Table2[[#This Row],[UnitPrice]]</f>
        <v>112661.64</v>
      </c>
      <c r="L1595" t="str">
        <f>IF(Table2[[#This Row],[CurrentStock]]&lt;=Table2[[#This Row],[ReorderLevel]], "Reorder Needed", "Okay")</f>
        <v>Okay</v>
      </c>
      <c r="M1595" t="str">
        <f>IF(Table2[[#This Row],[CurrentStock]]-Table2[[#This Row],[ReorderLevel]]&lt;0,Table2[[#This Row],[CurrentStock]]-Table2[[#This Row],[ReorderLevel]],"")</f>
        <v/>
      </c>
      <c r="N1595" t="str">
        <f>IF(Table2[[#This Row],[Stock Gap]]&lt;0, "Understock","Okay")</f>
        <v>Okay</v>
      </c>
      <c r="O1595" s="13" t="str">
        <f>IF(Table2[[#This Row],[Stock Gap]]&lt;0, "Yes", "No")</f>
        <v>No</v>
      </c>
      <c r="P1595" s="13" t="str">
        <f>IF(Table2[[#This Row],[CurrentStock]]&lt;Table2[[#This Row],[ReorderLevel]],"Reorder", "Okay")</f>
        <v>Okay</v>
      </c>
      <c r="Q1595" s="13" t="str">
        <f>IF(Table2[[#This Row],[CurrentStock]]&gt;Table2[[#This Row],[ReorderLevel]]*3, "Overstock", "Okay")</f>
        <v>Overstock</v>
      </c>
    </row>
    <row r="1596" spans="1:17" x14ac:dyDescent="0.35">
      <c r="A1596">
        <v>65919</v>
      </c>
      <c r="B1596" t="s">
        <v>23</v>
      </c>
      <c r="C1596" t="s">
        <v>30</v>
      </c>
      <c r="D1596">
        <v>102</v>
      </c>
      <c r="E1596">
        <v>150</v>
      </c>
      <c r="F1596" s="2">
        <v>363.45</v>
      </c>
      <c r="G1596" t="s">
        <v>34</v>
      </c>
      <c r="H1596" s="1">
        <v>45336</v>
      </c>
      <c r="I1596" s="1">
        <v>45354</v>
      </c>
      <c r="J1596" t="s">
        <v>37</v>
      </c>
      <c r="K1596" s="8">
        <f>Table2[[#This Row],[CurrentStock]]*Table2[[#This Row],[UnitPrice]]</f>
        <v>37071.9</v>
      </c>
      <c r="L1596" t="str">
        <f>IF(Table2[[#This Row],[CurrentStock]]&lt;=Table2[[#This Row],[ReorderLevel]], "Reorder Needed", "Okay")</f>
        <v>Reorder Needed</v>
      </c>
      <c r="M1596" s="7">
        <f>IF(Table2[[#This Row],[CurrentStock]]-Table2[[#This Row],[ReorderLevel]]&lt;0,Table2[[#This Row],[CurrentStock]]-Table2[[#This Row],[ReorderLevel]],"")</f>
        <v>-48</v>
      </c>
      <c r="N1596" t="str">
        <f>IF(Table2[[#This Row],[Stock Gap]]&lt;0, "Understock","Okay")</f>
        <v>Understock</v>
      </c>
      <c r="O1596" s="13" t="str">
        <f>IF(Table2[[#This Row],[Stock Gap]]&lt;0, "Yes", "No")</f>
        <v>Yes</v>
      </c>
      <c r="P1596" s="13" t="str">
        <f>IF(Table2[[#This Row],[CurrentStock]]&lt;Table2[[#This Row],[ReorderLevel]],"Reorder", "Okay")</f>
        <v>Reorder</v>
      </c>
      <c r="Q1596" s="13" t="str">
        <f>IF(Table2[[#This Row],[CurrentStock]]&gt;Table2[[#This Row],[ReorderLevel]]*3, "Overstock", "Okay")</f>
        <v>Okay</v>
      </c>
    </row>
    <row r="1597" spans="1:17" x14ac:dyDescent="0.35">
      <c r="A1597">
        <v>36296</v>
      </c>
      <c r="B1597" t="s">
        <v>22</v>
      </c>
      <c r="C1597" t="s">
        <v>29</v>
      </c>
      <c r="D1597">
        <v>126</v>
      </c>
      <c r="E1597">
        <v>80</v>
      </c>
      <c r="F1597" s="2">
        <v>247.72</v>
      </c>
      <c r="G1597" t="s">
        <v>34</v>
      </c>
      <c r="H1597" s="1">
        <v>45643</v>
      </c>
      <c r="I1597" s="1">
        <v>45668</v>
      </c>
      <c r="J1597" t="s">
        <v>37</v>
      </c>
      <c r="K1597" s="8">
        <f>Table2[[#This Row],[CurrentStock]]*Table2[[#This Row],[UnitPrice]]</f>
        <v>31212.720000000001</v>
      </c>
      <c r="L1597" t="str">
        <f>IF(Table2[[#This Row],[CurrentStock]]&lt;=Table2[[#This Row],[ReorderLevel]], "Reorder Needed", "Okay")</f>
        <v>Okay</v>
      </c>
      <c r="M1597" t="str">
        <f>IF(Table2[[#This Row],[CurrentStock]]-Table2[[#This Row],[ReorderLevel]]&lt;0,Table2[[#This Row],[CurrentStock]]-Table2[[#This Row],[ReorderLevel]],"")</f>
        <v/>
      </c>
      <c r="N1597" t="str">
        <f>IF(Table2[[#This Row],[Stock Gap]]&lt;0, "Understock","Okay")</f>
        <v>Okay</v>
      </c>
      <c r="O1597" s="13" t="str">
        <f>IF(Table2[[#This Row],[Stock Gap]]&lt;0, "Yes", "No")</f>
        <v>No</v>
      </c>
      <c r="P1597" s="13" t="str">
        <f>IF(Table2[[#This Row],[CurrentStock]]&lt;Table2[[#This Row],[ReorderLevel]],"Reorder", "Okay")</f>
        <v>Okay</v>
      </c>
      <c r="Q1597" s="13" t="str">
        <f>IF(Table2[[#This Row],[CurrentStock]]&gt;Table2[[#This Row],[ReorderLevel]]*3, "Overstock", "Okay")</f>
        <v>Okay</v>
      </c>
    </row>
    <row r="1598" spans="1:17" x14ac:dyDescent="0.35">
      <c r="A1598">
        <v>87865</v>
      </c>
      <c r="B1598" t="s">
        <v>22</v>
      </c>
      <c r="C1598" t="s">
        <v>29</v>
      </c>
      <c r="D1598">
        <v>350</v>
      </c>
      <c r="E1598">
        <v>100</v>
      </c>
      <c r="F1598" s="2">
        <v>28.02</v>
      </c>
      <c r="G1598" t="s">
        <v>31</v>
      </c>
      <c r="H1598" s="1">
        <v>45590</v>
      </c>
      <c r="I1598" s="1">
        <v>45623</v>
      </c>
      <c r="J1598" t="s">
        <v>36</v>
      </c>
      <c r="K1598" s="8">
        <f>Table2[[#This Row],[CurrentStock]]*Table2[[#This Row],[UnitPrice]]</f>
        <v>9807</v>
      </c>
      <c r="L1598" t="str">
        <f>IF(Table2[[#This Row],[CurrentStock]]&lt;=Table2[[#This Row],[ReorderLevel]], "Reorder Needed", "Okay")</f>
        <v>Okay</v>
      </c>
      <c r="M1598" t="str">
        <f>IF(Table2[[#This Row],[CurrentStock]]-Table2[[#This Row],[ReorderLevel]]&lt;0,Table2[[#This Row],[CurrentStock]]-Table2[[#This Row],[ReorderLevel]],"")</f>
        <v/>
      </c>
      <c r="N1598" t="str">
        <f>IF(Table2[[#This Row],[Stock Gap]]&lt;0, "Understock","Okay")</f>
        <v>Okay</v>
      </c>
      <c r="O1598" s="13" t="str">
        <f>IF(Table2[[#This Row],[Stock Gap]]&lt;0, "Yes", "No")</f>
        <v>No</v>
      </c>
      <c r="P1598" s="13" t="str">
        <f>IF(Table2[[#This Row],[CurrentStock]]&lt;Table2[[#This Row],[ReorderLevel]],"Reorder", "Okay")</f>
        <v>Okay</v>
      </c>
      <c r="Q1598" s="13" t="str">
        <f>IF(Table2[[#This Row],[CurrentStock]]&gt;Table2[[#This Row],[ReorderLevel]]*3, "Overstock", "Okay")</f>
        <v>Overstock</v>
      </c>
    </row>
    <row r="1599" spans="1:17" x14ac:dyDescent="0.35">
      <c r="A1599">
        <v>59862</v>
      </c>
      <c r="B1599" t="s">
        <v>21</v>
      </c>
      <c r="C1599" t="s">
        <v>26</v>
      </c>
      <c r="D1599">
        <v>270</v>
      </c>
      <c r="E1599">
        <v>150</v>
      </c>
      <c r="F1599" s="2">
        <v>378.42</v>
      </c>
      <c r="G1599" t="s">
        <v>34</v>
      </c>
      <c r="H1599" s="1">
        <v>45349</v>
      </c>
      <c r="I1599" s="1">
        <v>45384</v>
      </c>
      <c r="J1599" t="s">
        <v>37</v>
      </c>
      <c r="K1599" s="8">
        <f>Table2[[#This Row],[CurrentStock]]*Table2[[#This Row],[UnitPrice]]</f>
        <v>102173.40000000001</v>
      </c>
      <c r="L1599" t="str">
        <f>IF(Table2[[#This Row],[CurrentStock]]&lt;=Table2[[#This Row],[ReorderLevel]], "Reorder Needed", "Okay")</f>
        <v>Okay</v>
      </c>
      <c r="M1599" t="str">
        <f>IF(Table2[[#This Row],[CurrentStock]]-Table2[[#This Row],[ReorderLevel]]&lt;0,Table2[[#This Row],[CurrentStock]]-Table2[[#This Row],[ReorderLevel]],"")</f>
        <v/>
      </c>
      <c r="N1599" t="str">
        <f>IF(Table2[[#This Row],[Stock Gap]]&lt;0, "Understock","Okay")</f>
        <v>Okay</v>
      </c>
      <c r="O1599" s="13" t="str">
        <f>IF(Table2[[#This Row],[Stock Gap]]&lt;0, "Yes", "No")</f>
        <v>No</v>
      </c>
      <c r="P1599" s="13" t="str">
        <f>IF(Table2[[#This Row],[CurrentStock]]&lt;Table2[[#This Row],[ReorderLevel]],"Reorder", "Okay")</f>
        <v>Okay</v>
      </c>
      <c r="Q1599" s="13" t="str">
        <f>IF(Table2[[#This Row],[CurrentStock]]&gt;Table2[[#This Row],[ReorderLevel]]*3, "Overstock", "Okay")</f>
        <v>Okay</v>
      </c>
    </row>
    <row r="1600" spans="1:17" x14ac:dyDescent="0.35">
      <c r="A1600">
        <v>55986</v>
      </c>
      <c r="B1600" t="s">
        <v>21</v>
      </c>
      <c r="C1600" t="s">
        <v>26</v>
      </c>
      <c r="D1600">
        <v>413</v>
      </c>
      <c r="E1600">
        <v>40</v>
      </c>
      <c r="F1600" s="2">
        <v>68.260000000000005</v>
      </c>
      <c r="G1600" t="s">
        <v>33</v>
      </c>
      <c r="H1600" s="1">
        <v>45343</v>
      </c>
      <c r="I1600" s="1">
        <v>45361</v>
      </c>
      <c r="J1600" t="s">
        <v>38</v>
      </c>
      <c r="K1600" s="8">
        <f>Table2[[#This Row],[CurrentStock]]*Table2[[#This Row],[UnitPrice]]</f>
        <v>28191.38</v>
      </c>
      <c r="L1600" t="str">
        <f>IF(Table2[[#This Row],[CurrentStock]]&lt;=Table2[[#This Row],[ReorderLevel]], "Reorder Needed", "Okay")</f>
        <v>Okay</v>
      </c>
      <c r="M1600" t="str">
        <f>IF(Table2[[#This Row],[CurrentStock]]-Table2[[#This Row],[ReorderLevel]]&lt;0,Table2[[#This Row],[CurrentStock]]-Table2[[#This Row],[ReorderLevel]],"")</f>
        <v/>
      </c>
      <c r="N1600" t="str">
        <f>IF(Table2[[#This Row],[Stock Gap]]&lt;0, "Understock","Okay")</f>
        <v>Okay</v>
      </c>
      <c r="O1600" s="13" t="str">
        <f>IF(Table2[[#This Row],[Stock Gap]]&lt;0, "Yes", "No")</f>
        <v>No</v>
      </c>
      <c r="P1600" s="13" t="str">
        <f>IF(Table2[[#This Row],[CurrentStock]]&lt;Table2[[#This Row],[ReorderLevel]],"Reorder", "Okay")</f>
        <v>Okay</v>
      </c>
      <c r="Q1600" s="13" t="str">
        <f>IF(Table2[[#This Row],[CurrentStock]]&gt;Table2[[#This Row],[ReorderLevel]]*3, "Overstock", "Okay")</f>
        <v>Overstock</v>
      </c>
    </row>
    <row r="1601" spans="1:17" x14ac:dyDescent="0.35">
      <c r="A1601">
        <v>14158</v>
      </c>
      <c r="B1601" t="s">
        <v>24</v>
      </c>
      <c r="C1601" t="s">
        <v>30</v>
      </c>
      <c r="D1601">
        <v>166</v>
      </c>
      <c r="E1601">
        <v>150</v>
      </c>
      <c r="F1601" s="2">
        <v>371.23</v>
      </c>
      <c r="G1601" t="s">
        <v>35</v>
      </c>
      <c r="H1601" s="1">
        <v>45533</v>
      </c>
      <c r="I1601" s="1">
        <v>45551</v>
      </c>
      <c r="J1601" t="s">
        <v>37</v>
      </c>
      <c r="K1601" s="8">
        <f>Table2[[#This Row],[CurrentStock]]*Table2[[#This Row],[UnitPrice]]</f>
        <v>61624.18</v>
      </c>
      <c r="L1601" t="str">
        <f>IF(Table2[[#This Row],[CurrentStock]]&lt;=Table2[[#This Row],[ReorderLevel]], "Reorder Needed", "Okay")</f>
        <v>Okay</v>
      </c>
      <c r="M1601" t="str">
        <f>IF(Table2[[#This Row],[CurrentStock]]-Table2[[#This Row],[ReorderLevel]]&lt;0,Table2[[#This Row],[CurrentStock]]-Table2[[#This Row],[ReorderLevel]],"")</f>
        <v/>
      </c>
      <c r="N1601" t="str">
        <f>IF(Table2[[#This Row],[Stock Gap]]&lt;0, "Understock","Okay")</f>
        <v>Okay</v>
      </c>
      <c r="O1601" s="13" t="str">
        <f>IF(Table2[[#This Row],[Stock Gap]]&lt;0, "Yes", "No")</f>
        <v>No</v>
      </c>
      <c r="P1601" s="13" t="str">
        <f>IF(Table2[[#This Row],[CurrentStock]]&lt;Table2[[#This Row],[ReorderLevel]],"Reorder", "Okay")</f>
        <v>Okay</v>
      </c>
      <c r="Q1601" s="13" t="str">
        <f>IF(Table2[[#This Row],[CurrentStock]]&gt;Table2[[#This Row],[ReorderLevel]]*3, "Overstock", "Okay")</f>
        <v>Okay</v>
      </c>
    </row>
    <row r="1602" spans="1:17" x14ac:dyDescent="0.35">
      <c r="A1602">
        <v>70558</v>
      </c>
      <c r="B1602" t="s">
        <v>25</v>
      </c>
      <c r="C1602" t="s">
        <v>29</v>
      </c>
      <c r="D1602">
        <v>364</v>
      </c>
      <c r="E1602">
        <v>100</v>
      </c>
      <c r="F1602" s="2">
        <v>171.4</v>
      </c>
      <c r="G1602" t="s">
        <v>35</v>
      </c>
      <c r="H1602" s="1">
        <v>45360</v>
      </c>
      <c r="I1602" s="1">
        <v>45368</v>
      </c>
      <c r="J1602" t="s">
        <v>37</v>
      </c>
      <c r="K1602" s="8">
        <f>Table2[[#This Row],[CurrentStock]]*Table2[[#This Row],[UnitPrice]]</f>
        <v>62389.599999999999</v>
      </c>
      <c r="L1602" t="str">
        <f>IF(Table2[[#This Row],[CurrentStock]]&lt;=Table2[[#This Row],[ReorderLevel]], "Reorder Needed", "Okay")</f>
        <v>Okay</v>
      </c>
      <c r="M1602" t="str">
        <f>IF(Table2[[#This Row],[CurrentStock]]-Table2[[#This Row],[ReorderLevel]]&lt;0,Table2[[#This Row],[CurrentStock]]-Table2[[#This Row],[ReorderLevel]],"")</f>
        <v/>
      </c>
      <c r="N1602" t="str">
        <f>IF(Table2[[#This Row],[Stock Gap]]&lt;0, "Understock","Okay")</f>
        <v>Okay</v>
      </c>
      <c r="O1602" s="13" t="str">
        <f>IF(Table2[[#This Row],[Stock Gap]]&lt;0, "Yes", "No")</f>
        <v>No</v>
      </c>
      <c r="P1602" s="13" t="str">
        <f>IF(Table2[[#This Row],[CurrentStock]]&lt;Table2[[#This Row],[ReorderLevel]],"Reorder", "Okay")</f>
        <v>Okay</v>
      </c>
      <c r="Q1602" s="13" t="str">
        <f>IF(Table2[[#This Row],[CurrentStock]]&gt;Table2[[#This Row],[ReorderLevel]]*3, "Overstock", "Okay")</f>
        <v>Overstock</v>
      </c>
    </row>
    <row r="1603" spans="1:17" x14ac:dyDescent="0.35">
      <c r="A1603">
        <v>15316</v>
      </c>
      <c r="B1603" t="s">
        <v>18</v>
      </c>
      <c r="C1603" t="s">
        <v>27</v>
      </c>
      <c r="D1603">
        <v>378</v>
      </c>
      <c r="E1603">
        <v>30</v>
      </c>
      <c r="F1603" s="2">
        <v>353.14</v>
      </c>
      <c r="G1603" t="s">
        <v>31</v>
      </c>
      <c r="H1603" s="1">
        <v>45446</v>
      </c>
      <c r="I1603" s="1">
        <v>45459</v>
      </c>
      <c r="J1603" t="s">
        <v>38</v>
      </c>
      <c r="K1603" s="8">
        <f>Table2[[#This Row],[CurrentStock]]*Table2[[#This Row],[UnitPrice]]</f>
        <v>133486.91999999998</v>
      </c>
      <c r="L1603" t="str">
        <f>IF(Table2[[#This Row],[CurrentStock]]&lt;=Table2[[#This Row],[ReorderLevel]], "Reorder Needed", "Okay")</f>
        <v>Okay</v>
      </c>
      <c r="M1603" t="str">
        <f>IF(Table2[[#This Row],[CurrentStock]]-Table2[[#This Row],[ReorderLevel]]&lt;0,Table2[[#This Row],[CurrentStock]]-Table2[[#This Row],[ReorderLevel]],"")</f>
        <v/>
      </c>
      <c r="N1603" t="str">
        <f>IF(Table2[[#This Row],[Stock Gap]]&lt;0, "Understock","Okay")</f>
        <v>Okay</v>
      </c>
      <c r="O1603" s="13" t="str">
        <f>IF(Table2[[#This Row],[Stock Gap]]&lt;0, "Yes", "No")</f>
        <v>No</v>
      </c>
      <c r="P1603" s="13" t="str">
        <f>IF(Table2[[#This Row],[CurrentStock]]&lt;Table2[[#This Row],[ReorderLevel]],"Reorder", "Okay")</f>
        <v>Okay</v>
      </c>
      <c r="Q1603" s="13" t="str">
        <f>IF(Table2[[#This Row],[CurrentStock]]&gt;Table2[[#This Row],[ReorderLevel]]*3, "Overstock", "Okay")</f>
        <v>Overstock</v>
      </c>
    </row>
    <row r="1604" spans="1:17" x14ac:dyDescent="0.35">
      <c r="A1604">
        <v>75439</v>
      </c>
      <c r="B1604" t="s">
        <v>14</v>
      </c>
      <c r="C1604" t="s">
        <v>28</v>
      </c>
      <c r="D1604">
        <v>148</v>
      </c>
      <c r="E1604">
        <v>40</v>
      </c>
      <c r="F1604" s="2">
        <v>452.26</v>
      </c>
      <c r="G1604" t="s">
        <v>31</v>
      </c>
      <c r="H1604" s="1">
        <v>45481</v>
      </c>
      <c r="I1604" s="1">
        <v>45510</v>
      </c>
      <c r="J1604" t="s">
        <v>38</v>
      </c>
      <c r="K1604" s="8">
        <f>Table2[[#This Row],[CurrentStock]]*Table2[[#This Row],[UnitPrice]]</f>
        <v>66934.48</v>
      </c>
      <c r="L1604" t="str">
        <f>IF(Table2[[#This Row],[CurrentStock]]&lt;=Table2[[#This Row],[ReorderLevel]], "Reorder Needed", "Okay")</f>
        <v>Okay</v>
      </c>
      <c r="M1604" t="str">
        <f>IF(Table2[[#This Row],[CurrentStock]]-Table2[[#This Row],[ReorderLevel]]&lt;0,Table2[[#This Row],[CurrentStock]]-Table2[[#This Row],[ReorderLevel]],"")</f>
        <v/>
      </c>
      <c r="N1604" t="str">
        <f>IF(Table2[[#This Row],[Stock Gap]]&lt;0, "Understock","Okay")</f>
        <v>Okay</v>
      </c>
      <c r="O1604" s="13" t="str">
        <f>IF(Table2[[#This Row],[Stock Gap]]&lt;0, "Yes", "No")</f>
        <v>No</v>
      </c>
      <c r="P1604" s="13" t="str">
        <f>IF(Table2[[#This Row],[CurrentStock]]&lt;Table2[[#This Row],[ReorderLevel]],"Reorder", "Okay")</f>
        <v>Okay</v>
      </c>
      <c r="Q1604" s="13" t="str">
        <f>IF(Table2[[#This Row],[CurrentStock]]&gt;Table2[[#This Row],[ReorderLevel]]*3, "Overstock", "Okay")</f>
        <v>Overstock</v>
      </c>
    </row>
    <row r="1605" spans="1:17" x14ac:dyDescent="0.35">
      <c r="A1605">
        <v>70857</v>
      </c>
      <c r="B1605" t="s">
        <v>24</v>
      </c>
      <c r="C1605" t="s">
        <v>30</v>
      </c>
      <c r="D1605">
        <v>86</v>
      </c>
      <c r="E1605">
        <v>20</v>
      </c>
      <c r="F1605" s="2">
        <v>140.66</v>
      </c>
      <c r="G1605" t="s">
        <v>35</v>
      </c>
      <c r="H1605" s="1">
        <v>45443</v>
      </c>
      <c r="I1605" s="1">
        <v>45478</v>
      </c>
      <c r="J1605" t="s">
        <v>38</v>
      </c>
      <c r="K1605" s="8">
        <f>Table2[[#This Row],[CurrentStock]]*Table2[[#This Row],[UnitPrice]]</f>
        <v>12096.76</v>
      </c>
      <c r="L1605" t="str">
        <f>IF(Table2[[#This Row],[CurrentStock]]&lt;=Table2[[#This Row],[ReorderLevel]], "Reorder Needed", "Okay")</f>
        <v>Okay</v>
      </c>
      <c r="M1605" t="str">
        <f>IF(Table2[[#This Row],[CurrentStock]]-Table2[[#This Row],[ReorderLevel]]&lt;0,Table2[[#This Row],[CurrentStock]]-Table2[[#This Row],[ReorderLevel]],"")</f>
        <v/>
      </c>
      <c r="N1605" t="str">
        <f>IF(Table2[[#This Row],[Stock Gap]]&lt;0, "Understock","Okay")</f>
        <v>Okay</v>
      </c>
      <c r="O1605" s="13" t="str">
        <f>IF(Table2[[#This Row],[Stock Gap]]&lt;0, "Yes", "No")</f>
        <v>No</v>
      </c>
      <c r="P1605" s="13" t="str">
        <f>IF(Table2[[#This Row],[CurrentStock]]&lt;Table2[[#This Row],[ReorderLevel]],"Reorder", "Okay")</f>
        <v>Okay</v>
      </c>
      <c r="Q1605" s="13" t="str">
        <f>IF(Table2[[#This Row],[CurrentStock]]&gt;Table2[[#This Row],[ReorderLevel]]*3, "Overstock", "Okay")</f>
        <v>Overstock</v>
      </c>
    </row>
    <row r="1606" spans="1:17" x14ac:dyDescent="0.35">
      <c r="A1606">
        <v>77561</v>
      </c>
      <c r="B1606" t="s">
        <v>23</v>
      </c>
      <c r="C1606" t="s">
        <v>30</v>
      </c>
      <c r="D1606">
        <v>163</v>
      </c>
      <c r="E1606">
        <v>50</v>
      </c>
      <c r="F1606" s="2">
        <v>212.09</v>
      </c>
      <c r="G1606" t="s">
        <v>31</v>
      </c>
      <c r="H1606" s="1">
        <v>45309</v>
      </c>
      <c r="I1606" s="1">
        <v>45321</v>
      </c>
      <c r="J1606" t="s">
        <v>38</v>
      </c>
      <c r="K1606" s="8">
        <f>Table2[[#This Row],[CurrentStock]]*Table2[[#This Row],[UnitPrice]]</f>
        <v>34570.67</v>
      </c>
      <c r="L1606" t="str">
        <f>IF(Table2[[#This Row],[CurrentStock]]&lt;=Table2[[#This Row],[ReorderLevel]], "Reorder Needed", "Okay")</f>
        <v>Okay</v>
      </c>
      <c r="M1606" t="str">
        <f>IF(Table2[[#This Row],[CurrentStock]]-Table2[[#This Row],[ReorderLevel]]&lt;0,Table2[[#This Row],[CurrentStock]]-Table2[[#This Row],[ReorderLevel]],"")</f>
        <v/>
      </c>
      <c r="N1606" t="str">
        <f>IF(Table2[[#This Row],[Stock Gap]]&lt;0, "Understock","Okay")</f>
        <v>Okay</v>
      </c>
      <c r="O1606" s="13" t="str">
        <f>IF(Table2[[#This Row],[Stock Gap]]&lt;0, "Yes", "No")</f>
        <v>No</v>
      </c>
      <c r="P1606" s="13" t="str">
        <f>IF(Table2[[#This Row],[CurrentStock]]&lt;Table2[[#This Row],[ReorderLevel]],"Reorder", "Okay")</f>
        <v>Okay</v>
      </c>
      <c r="Q1606" s="13" t="str">
        <f>IF(Table2[[#This Row],[CurrentStock]]&gt;Table2[[#This Row],[ReorderLevel]]*3, "Overstock", "Okay")</f>
        <v>Overstock</v>
      </c>
    </row>
    <row r="1607" spans="1:17" x14ac:dyDescent="0.35">
      <c r="A1607">
        <v>54588</v>
      </c>
      <c r="B1607" t="s">
        <v>11</v>
      </c>
      <c r="C1607" t="s">
        <v>27</v>
      </c>
      <c r="D1607">
        <v>380</v>
      </c>
      <c r="E1607">
        <v>80</v>
      </c>
      <c r="F1607" s="2">
        <v>308.79000000000002</v>
      </c>
      <c r="G1607" t="s">
        <v>32</v>
      </c>
      <c r="H1607" s="1">
        <v>45585</v>
      </c>
      <c r="I1607" s="1">
        <v>45617</v>
      </c>
      <c r="J1607" t="s">
        <v>36</v>
      </c>
      <c r="K1607" s="8">
        <f>Table2[[#This Row],[CurrentStock]]*Table2[[#This Row],[UnitPrice]]</f>
        <v>117340.20000000001</v>
      </c>
      <c r="L1607" t="str">
        <f>IF(Table2[[#This Row],[CurrentStock]]&lt;=Table2[[#This Row],[ReorderLevel]], "Reorder Needed", "Okay")</f>
        <v>Okay</v>
      </c>
      <c r="M1607" t="str">
        <f>IF(Table2[[#This Row],[CurrentStock]]-Table2[[#This Row],[ReorderLevel]]&lt;0,Table2[[#This Row],[CurrentStock]]-Table2[[#This Row],[ReorderLevel]],"")</f>
        <v/>
      </c>
      <c r="N1607" t="str">
        <f>IF(Table2[[#This Row],[Stock Gap]]&lt;0, "Understock","Okay")</f>
        <v>Okay</v>
      </c>
      <c r="O1607" s="13" t="str">
        <f>IF(Table2[[#This Row],[Stock Gap]]&lt;0, "Yes", "No")</f>
        <v>No</v>
      </c>
      <c r="P1607" s="13" t="str">
        <f>IF(Table2[[#This Row],[CurrentStock]]&lt;Table2[[#This Row],[ReorderLevel]],"Reorder", "Okay")</f>
        <v>Okay</v>
      </c>
      <c r="Q1607" s="13" t="str">
        <f>IF(Table2[[#This Row],[CurrentStock]]&gt;Table2[[#This Row],[ReorderLevel]]*3, "Overstock", "Okay")</f>
        <v>Overstock</v>
      </c>
    </row>
    <row r="1608" spans="1:17" x14ac:dyDescent="0.35">
      <c r="A1608">
        <v>55678</v>
      </c>
      <c r="B1608" t="s">
        <v>11</v>
      </c>
      <c r="C1608" t="s">
        <v>27</v>
      </c>
      <c r="D1608">
        <v>295</v>
      </c>
      <c r="E1608">
        <v>150</v>
      </c>
      <c r="F1608" s="2">
        <v>365.01</v>
      </c>
      <c r="G1608" t="s">
        <v>32</v>
      </c>
      <c r="H1608" s="1">
        <v>45507</v>
      </c>
      <c r="I1608" s="1">
        <v>45521</v>
      </c>
      <c r="J1608" t="s">
        <v>36</v>
      </c>
      <c r="K1608" s="8">
        <f>Table2[[#This Row],[CurrentStock]]*Table2[[#This Row],[UnitPrice]]</f>
        <v>107677.95</v>
      </c>
      <c r="L1608" t="str">
        <f>IF(Table2[[#This Row],[CurrentStock]]&lt;=Table2[[#This Row],[ReorderLevel]], "Reorder Needed", "Okay")</f>
        <v>Okay</v>
      </c>
      <c r="M1608" t="str">
        <f>IF(Table2[[#This Row],[CurrentStock]]-Table2[[#This Row],[ReorderLevel]]&lt;0,Table2[[#This Row],[CurrentStock]]-Table2[[#This Row],[ReorderLevel]],"")</f>
        <v/>
      </c>
      <c r="N1608" t="str">
        <f>IF(Table2[[#This Row],[Stock Gap]]&lt;0, "Understock","Okay")</f>
        <v>Okay</v>
      </c>
      <c r="O1608" s="13" t="str">
        <f>IF(Table2[[#This Row],[Stock Gap]]&lt;0, "Yes", "No")</f>
        <v>No</v>
      </c>
      <c r="P1608" s="13" t="str">
        <f>IF(Table2[[#This Row],[CurrentStock]]&lt;Table2[[#This Row],[ReorderLevel]],"Reorder", "Okay")</f>
        <v>Okay</v>
      </c>
      <c r="Q1608" s="13" t="str">
        <f>IF(Table2[[#This Row],[CurrentStock]]&gt;Table2[[#This Row],[ReorderLevel]]*3, "Overstock", "Okay")</f>
        <v>Okay</v>
      </c>
    </row>
    <row r="1609" spans="1:17" x14ac:dyDescent="0.35">
      <c r="A1609">
        <v>30943</v>
      </c>
      <c r="B1609" t="s">
        <v>13</v>
      </c>
      <c r="C1609" t="s">
        <v>26</v>
      </c>
      <c r="D1609">
        <v>378</v>
      </c>
      <c r="E1609">
        <v>20</v>
      </c>
      <c r="F1609" s="2">
        <v>182.8</v>
      </c>
      <c r="G1609" t="s">
        <v>32</v>
      </c>
      <c r="H1609" s="1">
        <v>45529</v>
      </c>
      <c r="I1609" s="1">
        <v>45548</v>
      </c>
      <c r="J1609" t="s">
        <v>36</v>
      </c>
      <c r="K1609" s="8">
        <f>Table2[[#This Row],[CurrentStock]]*Table2[[#This Row],[UnitPrice]]</f>
        <v>69098.400000000009</v>
      </c>
      <c r="L1609" t="str">
        <f>IF(Table2[[#This Row],[CurrentStock]]&lt;=Table2[[#This Row],[ReorderLevel]], "Reorder Needed", "Okay")</f>
        <v>Okay</v>
      </c>
      <c r="M1609" t="str">
        <f>IF(Table2[[#This Row],[CurrentStock]]-Table2[[#This Row],[ReorderLevel]]&lt;0,Table2[[#This Row],[CurrentStock]]-Table2[[#This Row],[ReorderLevel]],"")</f>
        <v/>
      </c>
      <c r="N1609" t="str">
        <f>IF(Table2[[#This Row],[Stock Gap]]&lt;0, "Understock","Okay")</f>
        <v>Okay</v>
      </c>
      <c r="O1609" s="13" t="str">
        <f>IF(Table2[[#This Row],[Stock Gap]]&lt;0, "Yes", "No")</f>
        <v>No</v>
      </c>
      <c r="P1609" s="13" t="str">
        <f>IF(Table2[[#This Row],[CurrentStock]]&lt;Table2[[#This Row],[ReorderLevel]],"Reorder", "Okay")</f>
        <v>Okay</v>
      </c>
      <c r="Q1609" s="13" t="str">
        <f>IF(Table2[[#This Row],[CurrentStock]]&gt;Table2[[#This Row],[ReorderLevel]]*3, "Overstock", "Okay")</f>
        <v>Overstock</v>
      </c>
    </row>
    <row r="1610" spans="1:17" x14ac:dyDescent="0.35">
      <c r="A1610">
        <v>24708</v>
      </c>
      <c r="B1610" t="s">
        <v>9</v>
      </c>
      <c r="C1610" t="s">
        <v>26</v>
      </c>
      <c r="D1610">
        <v>49</v>
      </c>
      <c r="E1610">
        <v>80</v>
      </c>
      <c r="F1610" s="2">
        <v>475.39</v>
      </c>
      <c r="G1610" t="s">
        <v>34</v>
      </c>
      <c r="H1610" s="1">
        <v>45557</v>
      </c>
      <c r="I1610" s="1">
        <v>45588</v>
      </c>
      <c r="J1610" t="s">
        <v>37</v>
      </c>
      <c r="K1610" s="8">
        <f>Table2[[#This Row],[CurrentStock]]*Table2[[#This Row],[UnitPrice]]</f>
        <v>23294.11</v>
      </c>
      <c r="L1610" t="str">
        <f>IF(Table2[[#This Row],[CurrentStock]]&lt;=Table2[[#This Row],[ReorderLevel]], "Reorder Needed", "Okay")</f>
        <v>Reorder Needed</v>
      </c>
      <c r="M1610" s="7">
        <f>IF(Table2[[#This Row],[CurrentStock]]-Table2[[#This Row],[ReorderLevel]]&lt;0,Table2[[#This Row],[CurrentStock]]-Table2[[#This Row],[ReorderLevel]],"")</f>
        <v>-31</v>
      </c>
      <c r="N1610" t="str">
        <f>IF(Table2[[#This Row],[Stock Gap]]&lt;0, "Understock","Okay")</f>
        <v>Understock</v>
      </c>
      <c r="O1610" s="13" t="str">
        <f>IF(Table2[[#This Row],[Stock Gap]]&lt;0, "Yes", "No")</f>
        <v>Yes</v>
      </c>
      <c r="P1610" s="13" t="str">
        <f>IF(Table2[[#This Row],[CurrentStock]]&lt;Table2[[#This Row],[ReorderLevel]],"Reorder", "Okay")</f>
        <v>Reorder</v>
      </c>
      <c r="Q1610" s="13" t="str">
        <f>IF(Table2[[#This Row],[CurrentStock]]&gt;Table2[[#This Row],[ReorderLevel]]*3, "Overstock", "Okay")</f>
        <v>Okay</v>
      </c>
    </row>
    <row r="1611" spans="1:17" x14ac:dyDescent="0.35">
      <c r="A1611">
        <v>16563</v>
      </c>
      <c r="B1611" t="s">
        <v>10</v>
      </c>
      <c r="C1611" t="s">
        <v>26</v>
      </c>
      <c r="D1611">
        <v>158</v>
      </c>
      <c r="E1611">
        <v>80</v>
      </c>
      <c r="F1611" s="2">
        <v>446.44</v>
      </c>
      <c r="G1611" t="s">
        <v>33</v>
      </c>
      <c r="H1611" s="1">
        <v>45605</v>
      </c>
      <c r="I1611" s="1">
        <v>45635</v>
      </c>
      <c r="J1611" t="s">
        <v>36</v>
      </c>
      <c r="K1611" s="8">
        <f>Table2[[#This Row],[CurrentStock]]*Table2[[#This Row],[UnitPrice]]</f>
        <v>70537.52</v>
      </c>
      <c r="L1611" t="str">
        <f>IF(Table2[[#This Row],[CurrentStock]]&lt;=Table2[[#This Row],[ReorderLevel]], "Reorder Needed", "Okay")</f>
        <v>Okay</v>
      </c>
      <c r="M1611" t="str">
        <f>IF(Table2[[#This Row],[CurrentStock]]-Table2[[#This Row],[ReorderLevel]]&lt;0,Table2[[#This Row],[CurrentStock]]-Table2[[#This Row],[ReorderLevel]],"")</f>
        <v/>
      </c>
      <c r="N1611" t="str">
        <f>IF(Table2[[#This Row],[Stock Gap]]&lt;0, "Understock","Okay")</f>
        <v>Okay</v>
      </c>
      <c r="O1611" s="13" t="str">
        <f>IF(Table2[[#This Row],[Stock Gap]]&lt;0, "Yes", "No")</f>
        <v>No</v>
      </c>
      <c r="P1611" s="13" t="str">
        <f>IF(Table2[[#This Row],[CurrentStock]]&lt;Table2[[#This Row],[ReorderLevel]],"Reorder", "Okay")</f>
        <v>Okay</v>
      </c>
      <c r="Q1611" s="13" t="str">
        <f>IF(Table2[[#This Row],[CurrentStock]]&gt;Table2[[#This Row],[ReorderLevel]]*3, "Overstock", "Okay")</f>
        <v>Okay</v>
      </c>
    </row>
    <row r="1612" spans="1:17" x14ac:dyDescent="0.35">
      <c r="A1612">
        <v>10184</v>
      </c>
      <c r="B1612" t="s">
        <v>12</v>
      </c>
      <c r="C1612" t="s">
        <v>28</v>
      </c>
      <c r="D1612">
        <v>269</v>
      </c>
      <c r="E1612">
        <v>20</v>
      </c>
      <c r="F1612" s="2">
        <v>442.65</v>
      </c>
      <c r="G1612" t="s">
        <v>34</v>
      </c>
      <c r="H1612" s="1">
        <v>45510</v>
      </c>
      <c r="I1612" s="1">
        <v>45515</v>
      </c>
      <c r="J1612" t="s">
        <v>38</v>
      </c>
      <c r="K1612" s="8">
        <f>Table2[[#This Row],[CurrentStock]]*Table2[[#This Row],[UnitPrice]]</f>
        <v>119072.84999999999</v>
      </c>
      <c r="L1612" t="str">
        <f>IF(Table2[[#This Row],[CurrentStock]]&lt;=Table2[[#This Row],[ReorderLevel]], "Reorder Needed", "Okay")</f>
        <v>Okay</v>
      </c>
      <c r="M1612" t="str">
        <f>IF(Table2[[#This Row],[CurrentStock]]-Table2[[#This Row],[ReorderLevel]]&lt;0,Table2[[#This Row],[CurrentStock]]-Table2[[#This Row],[ReorderLevel]],"")</f>
        <v/>
      </c>
      <c r="N1612" t="str">
        <f>IF(Table2[[#This Row],[Stock Gap]]&lt;0, "Understock","Okay")</f>
        <v>Okay</v>
      </c>
      <c r="O1612" s="13" t="str">
        <f>IF(Table2[[#This Row],[Stock Gap]]&lt;0, "Yes", "No")</f>
        <v>No</v>
      </c>
      <c r="P1612" s="13" t="str">
        <f>IF(Table2[[#This Row],[CurrentStock]]&lt;Table2[[#This Row],[ReorderLevel]],"Reorder", "Okay")</f>
        <v>Okay</v>
      </c>
      <c r="Q1612" s="13" t="str">
        <f>IF(Table2[[#This Row],[CurrentStock]]&gt;Table2[[#This Row],[ReorderLevel]]*3, "Overstock", "Okay")</f>
        <v>Overstock</v>
      </c>
    </row>
    <row r="1613" spans="1:17" x14ac:dyDescent="0.35">
      <c r="A1613">
        <v>43368</v>
      </c>
      <c r="B1613" t="s">
        <v>20</v>
      </c>
      <c r="C1613" t="s">
        <v>30</v>
      </c>
      <c r="D1613">
        <v>245</v>
      </c>
      <c r="E1613">
        <v>150</v>
      </c>
      <c r="F1613" s="2">
        <v>62.34</v>
      </c>
      <c r="G1613" t="s">
        <v>35</v>
      </c>
      <c r="H1613" s="1">
        <v>45550</v>
      </c>
      <c r="I1613" s="1">
        <v>45588</v>
      </c>
      <c r="J1613" t="s">
        <v>38</v>
      </c>
      <c r="K1613" s="8">
        <f>Table2[[#This Row],[CurrentStock]]*Table2[[#This Row],[UnitPrice]]</f>
        <v>15273.300000000001</v>
      </c>
      <c r="L1613" t="str">
        <f>IF(Table2[[#This Row],[CurrentStock]]&lt;=Table2[[#This Row],[ReorderLevel]], "Reorder Needed", "Okay")</f>
        <v>Okay</v>
      </c>
      <c r="M1613" t="str">
        <f>IF(Table2[[#This Row],[CurrentStock]]-Table2[[#This Row],[ReorderLevel]]&lt;0,Table2[[#This Row],[CurrentStock]]-Table2[[#This Row],[ReorderLevel]],"")</f>
        <v/>
      </c>
      <c r="N1613" t="str">
        <f>IF(Table2[[#This Row],[Stock Gap]]&lt;0, "Understock","Okay")</f>
        <v>Okay</v>
      </c>
      <c r="O1613" s="13" t="str">
        <f>IF(Table2[[#This Row],[Stock Gap]]&lt;0, "Yes", "No")</f>
        <v>No</v>
      </c>
      <c r="P1613" s="13" t="str">
        <f>IF(Table2[[#This Row],[CurrentStock]]&lt;Table2[[#This Row],[ReorderLevel]],"Reorder", "Okay")</f>
        <v>Okay</v>
      </c>
      <c r="Q1613" s="13" t="str">
        <f>IF(Table2[[#This Row],[CurrentStock]]&gt;Table2[[#This Row],[ReorderLevel]]*3, "Overstock", "Okay")</f>
        <v>Okay</v>
      </c>
    </row>
    <row r="1614" spans="1:17" x14ac:dyDescent="0.35">
      <c r="A1614">
        <v>44810</v>
      </c>
      <c r="B1614" t="s">
        <v>20</v>
      </c>
      <c r="C1614" t="s">
        <v>30</v>
      </c>
      <c r="D1614">
        <v>350</v>
      </c>
      <c r="E1614">
        <v>20</v>
      </c>
      <c r="F1614" s="2">
        <v>375.55</v>
      </c>
      <c r="G1614" t="s">
        <v>34</v>
      </c>
      <c r="H1614" s="1">
        <v>45312</v>
      </c>
      <c r="I1614" s="1">
        <v>45345</v>
      </c>
      <c r="J1614" t="s">
        <v>38</v>
      </c>
      <c r="K1614" s="8">
        <f>Table2[[#This Row],[CurrentStock]]*Table2[[#This Row],[UnitPrice]]</f>
        <v>131442.5</v>
      </c>
      <c r="L1614" t="str">
        <f>IF(Table2[[#This Row],[CurrentStock]]&lt;=Table2[[#This Row],[ReorderLevel]], "Reorder Needed", "Okay")</f>
        <v>Okay</v>
      </c>
      <c r="M1614" t="str">
        <f>IF(Table2[[#This Row],[CurrentStock]]-Table2[[#This Row],[ReorderLevel]]&lt;0,Table2[[#This Row],[CurrentStock]]-Table2[[#This Row],[ReorderLevel]],"")</f>
        <v/>
      </c>
      <c r="N1614" t="str">
        <f>IF(Table2[[#This Row],[Stock Gap]]&lt;0, "Understock","Okay")</f>
        <v>Okay</v>
      </c>
      <c r="O1614" s="13" t="str">
        <f>IF(Table2[[#This Row],[Stock Gap]]&lt;0, "Yes", "No")</f>
        <v>No</v>
      </c>
      <c r="P1614" s="13" t="str">
        <f>IF(Table2[[#This Row],[CurrentStock]]&lt;Table2[[#This Row],[ReorderLevel]],"Reorder", "Okay")</f>
        <v>Okay</v>
      </c>
      <c r="Q1614" s="13" t="str">
        <f>IF(Table2[[#This Row],[CurrentStock]]&gt;Table2[[#This Row],[ReorderLevel]]*3, "Overstock", "Okay")</f>
        <v>Overstock</v>
      </c>
    </row>
    <row r="1615" spans="1:17" x14ac:dyDescent="0.35">
      <c r="A1615">
        <v>97844</v>
      </c>
      <c r="B1615" t="s">
        <v>23</v>
      </c>
      <c r="C1615" t="s">
        <v>30</v>
      </c>
      <c r="D1615">
        <v>392</v>
      </c>
      <c r="E1615">
        <v>150</v>
      </c>
      <c r="F1615" s="2">
        <v>226.22</v>
      </c>
      <c r="G1615" t="s">
        <v>33</v>
      </c>
      <c r="H1615" s="1">
        <v>45604</v>
      </c>
      <c r="I1615" s="1">
        <v>45624</v>
      </c>
      <c r="J1615" t="s">
        <v>38</v>
      </c>
      <c r="K1615" s="8">
        <f>Table2[[#This Row],[CurrentStock]]*Table2[[#This Row],[UnitPrice]]</f>
        <v>88678.24</v>
      </c>
      <c r="L1615" t="str">
        <f>IF(Table2[[#This Row],[CurrentStock]]&lt;=Table2[[#This Row],[ReorderLevel]], "Reorder Needed", "Okay")</f>
        <v>Okay</v>
      </c>
      <c r="M1615" t="str">
        <f>IF(Table2[[#This Row],[CurrentStock]]-Table2[[#This Row],[ReorderLevel]]&lt;0,Table2[[#This Row],[CurrentStock]]-Table2[[#This Row],[ReorderLevel]],"")</f>
        <v/>
      </c>
      <c r="N1615" t="str">
        <f>IF(Table2[[#This Row],[Stock Gap]]&lt;0, "Understock","Okay")</f>
        <v>Okay</v>
      </c>
      <c r="O1615" s="13" t="str">
        <f>IF(Table2[[#This Row],[Stock Gap]]&lt;0, "Yes", "No")</f>
        <v>No</v>
      </c>
      <c r="P1615" s="13" t="str">
        <f>IF(Table2[[#This Row],[CurrentStock]]&lt;Table2[[#This Row],[ReorderLevel]],"Reorder", "Okay")</f>
        <v>Okay</v>
      </c>
      <c r="Q1615" s="13" t="str">
        <f>IF(Table2[[#This Row],[CurrentStock]]&gt;Table2[[#This Row],[ReorderLevel]]*3, "Overstock", "Okay")</f>
        <v>Okay</v>
      </c>
    </row>
    <row r="1616" spans="1:17" x14ac:dyDescent="0.35">
      <c r="A1616">
        <v>34022</v>
      </c>
      <c r="B1616" t="s">
        <v>9</v>
      </c>
      <c r="C1616" t="s">
        <v>26</v>
      </c>
      <c r="D1616">
        <v>470</v>
      </c>
      <c r="E1616">
        <v>150</v>
      </c>
      <c r="F1616" s="2">
        <v>88.2</v>
      </c>
      <c r="G1616" t="s">
        <v>31</v>
      </c>
      <c r="H1616" s="1">
        <v>45310</v>
      </c>
      <c r="I1616" s="1">
        <v>45334</v>
      </c>
      <c r="J1616" t="s">
        <v>37</v>
      </c>
      <c r="K1616" s="8">
        <f>Table2[[#This Row],[CurrentStock]]*Table2[[#This Row],[UnitPrice]]</f>
        <v>41454</v>
      </c>
      <c r="L1616" t="str">
        <f>IF(Table2[[#This Row],[CurrentStock]]&lt;=Table2[[#This Row],[ReorderLevel]], "Reorder Needed", "Okay")</f>
        <v>Okay</v>
      </c>
      <c r="M1616" t="str">
        <f>IF(Table2[[#This Row],[CurrentStock]]-Table2[[#This Row],[ReorderLevel]]&lt;0,Table2[[#This Row],[CurrentStock]]-Table2[[#This Row],[ReorderLevel]],"")</f>
        <v/>
      </c>
      <c r="N1616" t="str">
        <f>IF(Table2[[#This Row],[Stock Gap]]&lt;0, "Understock","Okay")</f>
        <v>Okay</v>
      </c>
      <c r="O1616" s="13" t="str">
        <f>IF(Table2[[#This Row],[Stock Gap]]&lt;0, "Yes", "No")</f>
        <v>No</v>
      </c>
      <c r="P1616" s="13" t="str">
        <f>IF(Table2[[#This Row],[CurrentStock]]&lt;Table2[[#This Row],[ReorderLevel]],"Reorder", "Okay")</f>
        <v>Okay</v>
      </c>
      <c r="Q1616" s="13" t="str">
        <f>IF(Table2[[#This Row],[CurrentStock]]&gt;Table2[[#This Row],[ReorderLevel]]*3, "Overstock", "Okay")</f>
        <v>Overstock</v>
      </c>
    </row>
    <row r="1617" spans="1:17" x14ac:dyDescent="0.35">
      <c r="A1617">
        <v>48286</v>
      </c>
      <c r="B1617" t="s">
        <v>16</v>
      </c>
      <c r="C1617" t="s">
        <v>29</v>
      </c>
      <c r="D1617">
        <v>162</v>
      </c>
      <c r="E1617">
        <v>20</v>
      </c>
      <c r="F1617" s="2">
        <v>492.31</v>
      </c>
      <c r="G1617" t="s">
        <v>32</v>
      </c>
      <c r="H1617" s="1">
        <v>45621</v>
      </c>
      <c r="I1617" s="1">
        <v>45648</v>
      </c>
      <c r="J1617" t="s">
        <v>36</v>
      </c>
      <c r="K1617" s="8">
        <f>Table2[[#This Row],[CurrentStock]]*Table2[[#This Row],[UnitPrice]]</f>
        <v>79754.22</v>
      </c>
      <c r="L1617" t="str">
        <f>IF(Table2[[#This Row],[CurrentStock]]&lt;=Table2[[#This Row],[ReorderLevel]], "Reorder Needed", "Okay")</f>
        <v>Okay</v>
      </c>
      <c r="M1617" t="str">
        <f>IF(Table2[[#This Row],[CurrentStock]]-Table2[[#This Row],[ReorderLevel]]&lt;0,Table2[[#This Row],[CurrentStock]]-Table2[[#This Row],[ReorderLevel]],"")</f>
        <v/>
      </c>
      <c r="N1617" t="str">
        <f>IF(Table2[[#This Row],[Stock Gap]]&lt;0, "Understock","Okay")</f>
        <v>Okay</v>
      </c>
      <c r="O1617" s="13" t="str">
        <f>IF(Table2[[#This Row],[Stock Gap]]&lt;0, "Yes", "No")</f>
        <v>No</v>
      </c>
      <c r="P1617" s="13" t="str">
        <f>IF(Table2[[#This Row],[CurrentStock]]&lt;Table2[[#This Row],[ReorderLevel]],"Reorder", "Okay")</f>
        <v>Okay</v>
      </c>
      <c r="Q1617" s="13" t="str">
        <f>IF(Table2[[#This Row],[CurrentStock]]&gt;Table2[[#This Row],[ReorderLevel]]*3, "Overstock", "Okay")</f>
        <v>Overstock</v>
      </c>
    </row>
    <row r="1618" spans="1:17" x14ac:dyDescent="0.35">
      <c r="A1618">
        <v>33707</v>
      </c>
      <c r="B1618" t="s">
        <v>10</v>
      </c>
      <c r="C1618" t="s">
        <v>26</v>
      </c>
      <c r="D1618">
        <v>465</v>
      </c>
      <c r="E1618">
        <v>150</v>
      </c>
      <c r="F1618" s="2">
        <v>131.66</v>
      </c>
      <c r="G1618" t="s">
        <v>32</v>
      </c>
      <c r="H1618" s="1">
        <v>45581</v>
      </c>
      <c r="I1618" s="1">
        <v>45620</v>
      </c>
      <c r="J1618" t="s">
        <v>37</v>
      </c>
      <c r="K1618" s="8">
        <f>Table2[[#This Row],[CurrentStock]]*Table2[[#This Row],[UnitPrice]]</f>
        <v>61221.9</v>
      </c>
      <c r="L1618" t="str">
        <f>IF(Table2[[#This Row],[CurrentStock]]&lt;=Table2[[#This Row],[ReorderLevel]], "Reorder Needed", "Okay")</f>
        <v>Okay</v>
      </c>
      <c r="M1618" t="str">
        <f>IF(Table2[[#This Row],[CurrentStock]]-Table2[[#This Row],[ReorderLevel]]&lt;0,Table2[[#This Row],[CurrentStock]]-Table2[[#This Row],[ReorderLevel]],"")</f>
        <v/>
      </c>
      <c r="N1618" t="str">
        <f>IF(Table2[[#This Row],[Stock Gap]]&lt;0, "Understock","Okay")</f>
        <v>Okay</v>
      </c>
      <c r="O1618" s="13" t="str">
        <f>IF(Table2[[#This Row],[Stock Gap]]&lt;0, "Yes", "No")</f>
        <v>No</v>
      </c>
      <c r="P1618" s="13" t="str">
        <f>IF(Table2[[#This Row],[CurrentStock]]&lt;Table2[[#This Row],[ReorderLevel]],"Reorder", "Okay")</f>
        <v>Okay</v>
      </c>
      <c r="Q1618" s="13" t="str">
        <f>IF(Table2[[#This Row],[CurrentStock]]&gt;Table2[[#This Row],[ReorderLevel]]*3, "Overstock", "Okay")</f>
        <v>Overstock</v>
      </c>
    </row>
    <row r="1619" spans="1:17" x14ac:dyDescent="0.35">
      <c r="A1619">
        <v>42548</v>
      </c>
      <c r="B1619" t="s">
        <v>17</v>
      </c>
      <c r="C1619" t="s">
        <v>27</v>
      </c>
      <c r="D1619">
        <v>96</v>
      </c>
      <c r="E1619">
        <v>20</v>
      </c>
      <c r="F1619" s="2">
        <v>42.6</v>
      </c>
      <c r="G1619" t="s">
        <v>33</v>
      </c>
      <c r="H1619" s="1">
        <v>45408</v>
      </c>
      <c r="I1619" s="1">
        <v>45441</v>
      </c>
      <c r="J1619" t="s">
        <v>38</v>
      </c>
      <c r="K1619" s="8">
        <f>Table2[[#This Row],[CurrentStock]]*Table2[[#This Row],[UnitPrice]]</f>
        <v>4089.6000000000004</v>
      </c>
      <c r="L1619" t="str">
        <f>IF(Table2[[#This Row],[CurrentStock]]&lt;=Table2[[#This Row],[ReorderLevel]], "Reorder Needed", "Okay")</f>
        <v>Okay</v>
      </c>
      <c r="M1619" t="str">
        <f>IF(Table2[[#This Row],[CurrentStock]]-Table2[[#This Row],[ReorderLevel]]&lt;0,Table2[[#This Row],[CurrentStock]]-Table2[[#This Row],[ReorderLevel]],"")</f>
        <v/>
      </c>
      <c r="N1619" t="str">
        <f>IF(Table2[[#This Row],[Stock Gap]]&lt;0, "Understock","Okay")</f>
        <v>Okay</v>
      </c>
      <c r="O1619" s="13" t="str">
        <f>IF(Table2[[#This Row],[Stock Gap]]&lt;0, "Yes", "No")</f>
        <v>No</v>
      </c>
      <c r="P1619" s="13" t="str">
        <f>IF(Table2[[#This Row],[CurrentStock]]&lt;Table2[[#This Row],[ReorderLevel]],"Reorder", "Okay")</f>
        <v>Okay</v>
      </c>
      <c r="Q1619" s="13" t="str">
        <f>IF(Table2[[#This Row],[CurrentStock]]&gt;Table2[[#This Row],[ReorderLevel]]*3, "Overstock", "Okay")</f>
        <v>Overstock</v>
      </c>
    </row>
    <row r="1620" spans="1:17" x14ac:dyDescent="0.35">
      <c r="A1620">
        <v>15054</v>
      </c>
      <c r="B1620" t="s">
        <v>23</v>
      </c>
      <c r="C1620" t="s">
        <v>30</v>
      </c>
      <c r="D1620">
        <v>475</v>
      </c>
      <c r="E1620">
        <v>40</v>
      </c>
      <c r="F1620" s="2">
        <v>34.659999999999997</v>
      </c>
      <c r="G1620" t="s">
        <v>35</v>
      </c>
      <c r="H1620" s="1">
        <v>45471</v>
      </c>
      <c r="I1620" s="1">
        <v>45493</v>
      </c>
      <c r="J1620" t="s">
        <v>36</v>
      </c>
      <c r="K1620" s="8">
        <f>Table2[[#This Row],[CurrentStock]]*Table2[[#This Row],[UnitPrice]]</f>
        <v>16463.5</v>
      </c>
      <c r="L1620" t="str">
        <f>IF(Table2[[#This Row],[CurrentStock]]&lt;=Table2[[#This Row],[ReorderLevel]], "Reorder Needed", "Okay")</f>
        <v>Okay</v>
      </c>
      <c r="M1620" t="str">
        <f>IF(Table2[[#This Row],[CurrentStock]]-Table2[[#This Row],[ReorderLevel]]&lt;0,Table2[[#This Row],[CurrentStock]]-Table2[[#This Row],[ReorderLevel]],"")</f>
        <v/>
      </c>
      <c r="N1620" t="str">
        <f>IF(Table2[[#This Row],[Stock Gap]]&lt;0, "Understock","Okay")</f>
        <v>Okay</v>
      </c>
      <c r="O1620" s="13" t="str">
        <f>IF(Table2[[#This Row],[Stock Gap]]&lt;0, "Yes", "No")</f>
        <v>No</v>
      </c>
      <c r="P1620" s="13" t="str">
        <f>IF(Table2[[#This Row],[CurrentStock]]&lt;Table2[[#This Row],[ReorderLevel]],"Reorder", "Okay")</f>
        <v>Okay</v>
      </c>
      <c r="Q1620" s="13" t="str">
        <f>IF(Table2[[#This Row],[CurrentStock]]&gt;Table2[[#This Row],[ReorderLevel]]*3, "Overstock", "Okay")</f>
        <v>Overstock</v>
      </c>
    </row>
    <row r="1621" spans="1:17" x14ac:dyDescent="0.35">
      <c r="A1621">
        <v>25846</v>
      </c>
      <c r="B1621" t="s">
        <v>12</v>
      </c>
      <c r="C1621" t="s">
        <v>28</v>
      </c>
      <c r="D1621">
        <v>474</v>
      </c>
      <c r="E1621">
        <v>30</v>
      </c>
      <c r="F1621" s="2">
        <v>135.91</v>
      </c>
      <c r="G1621" t="s">
        <v>33</v>
      </c>
      <c r="H1621" s="1">
        <v>45302</v>
      </c>
      <c r="I1621" s="1">
        <v>45340</v>
      </c>
      <c r="J1621" t="s">
        <v>37</v>
      </c>
      <c r="K1621" s="8">
        <f>Table2[[#This Row],[CurrentStock]]*Table2[[#This Row],[UnitPrice]]</f>
        <v>64421.34</v>
      </c>
      <c r="L1621" t="str">
        <f>IF(Table2[[#This Row],[CurrentStock]]&lt;=Table2[[#This Row],[ReorderLevel]], "Reorder Needed", "Okay")</f>
        <v>Okay</v>
      </c>
      <c r="M1621" t="str">
        <f>IF(Table2[[#This Row],[CurrentStock]]-Table2[[#This Row],[ReorderLevel]]&lt;0,Table2[[#This Row],[CurrentStock]]-Table2[[#This Row],[ReorderLevel]],"")</f>
        <v/>
      </c>
      <c r="N1621" t="str">
        <f>IF(Table2[[#This Row],[Stock Gap]]&lt;0, "Understock","Okay")</f>
        <v>Okay</v>
      </c>
      <c r="O1621" s="13" t="str">
        <f>IF(Table2[[#This Row],[Stock Gap]]&lt;0, "Yes", "No")</f>
        <v>No</v>
      </c>
      <c r="P1621" s="13" t="str">
        <f>IF(Table2[[#This Row],[CurrentStock]]&lt;Table2[[#This Row],[ReorderLevel]],"Reorder", "Okay")</f>
        <v>Okay</v>
      </c>
      <c r="Q1621" s="13" t="str">
        <f>IF(Table2[[#This Row],[CurrentStock]]&gt;Table2[[#This Row],[ReorderLevel]]*3, "Overstock", "Okay")</f>
        <v>Overstock</v>
      </c>
    </row>
    <row r="1622" spans="1:17" x14ac:dyDescent="0.35">
      <c r="A1622">
        <v>90337</v>
      </c>
      <c r="B1622" t="s">
        <v>25</v>
      </c>
      <c r="C1622" t="s">
        <v>29</v>
      </c>
      <c r="D1622">
        <v>468</v>
      </c>
      <c r="E1622">
        <v>30</v>
      </c>
      <c r="F1622" s="2">
        <v>227.43</v>
      </c>
      <c r="G1622" t="s">
        <v>33</v>
      </c>
      <c r="H1622" s="1">
        <v>45551</v>
      </c>
      <c r="I1622" s="1">
        <v>45568</v>
      </c>
      <c r="J1622" t="s">
        <v>36</v>
      </c>
      <c r="K1622" s="8">
        <f>Table2[[#This Row],[CurrentStock]]*Table2[[#This Row],[UnitPrice]]</f>
        <v>106437.24</v>
      </c>
      <c r="L1622" t="str">
        <f>IF(Table2[[#This Row],[CurrentStock]]&lt;=Table2[[#This Row],[ReorderLevel]], "Reorder Needed", "Okay")</f>
        <v>Okay</v>
      </c>
      <c r="M1622" t="str">
        <f>IF(Table2[[#This Row],[CurrentStock]]-Table2[[#This Row],[ReorderLevel]]&lt;0,Table2[[#This Row],[CurrentStock]]-Table2[[#This Row],[ReorderLevel]],"")</f>
        <v/>
      </c>
      <c r="N1622" t="str">
        <f>IF(Table2[[#This Row],[Stock Gap]]&lt;0, "Understock","Okay")</f>
        <v>Okay</v>
      </c>
      <c r="O1622" s="13" t="str">
        <f>IF(Table2[[#This Row],[Stock Gap]]&lt;0, "Yes", "No")</f>
        <v>No</v>
      </c>
      <c r="P1622" s="13" t="str">
        <f>IF(Table2[[#This Row],[CurrentStock]]&lt;Table2[[#This Row],[ReorderLevel]],"Reorder", "Okay")</f>
        <v>Okay</v>
      </c>
      <c r="Q1622" s="13" t="str">
        <f>IF(Table2[[#This Row],[CurrentStock]]&gt;Table2[[#This Row],[ReorderLevel]]*3, "Overstock", "Okay")</f>
        <v>Overstock</v>
      </c>
    </row>
    <row r="1623" spans="1:17" x14ac:dyDescent="0.35">
      <c r="A1623">
        <v>82613</v>
      </c>
      <c r="B1623" t="s">
        <v>17</v>
      </c>
      <c r="C1623" t="s">
        <v>27</v>
      </c>
      <c r="D1623">
        <v>253</v>
      </c>
      <c r="E1623">
        <v>150</v>
      </c>
      <c r="F1623" s="2">
        <v>164.55</v>
      </c>
      <c r="G1623" t="s">
        <v>31</v>
      </c>
      <c r="H1623" s="1">
        <v>45502</v>
      </c>
      <c r="I1623" s="1">
        <v>45507</v>
      </c>
      <c r="J1623" t="s">
        <v>36</v>
      </c>
      <c r="K1623" s="8">
        <f>Table2[[#This Row],[CurrentStock]]*Table2[[#This Row],[UnitPrice]]</f>
        <v>41631.15</v>
      </c>
      <c r="L1623" t="str">
        <f>IF(Table2[[#This Row],[CurrentStock]]&lt;=Table2[[#This Row],[ReorderLevel]], "Reorder Needed", "Okay")</f>
        <v>Okay</v>
      </c>
      <c r="M1623" t="str">
        <f>IF(Table2[[#This Row],[CurrentStock]]-Table2[[#This Row],[ReorderLevel]]&lt;0,Table2[[#This Row],[CurrentStock]]-Table2[[#This Row],[ReorderLevel]],"")</f>
        <v/>
      </c>
      <c r="N1623" t="str">
        <f>IF(Table2[[#This Row],[Stock Gap]]&lt;0, "Understock","Okay")</f>
        <v>Okay</v>
      </c>
      <c r="O1623" s="13" t="str">
        <f>IF(Table2[[#This Row],[Stock Gap]]&lt;0, "Yes", "No")</f>
        <v>No</v>
      </c>
      <c r="P1623" s="13" t="str">
        <f>IF(Table2[[#This Row],[CurrentStock]]&lt;Table2[[#This Row],[ReorderLevel]],"Reorder", "Okay")</f>
        <v>Okay</v>
      </c>
      <c r="Q1623" s="13" t="str">
        <f>IF(Table2[[#This Row],[CurrentStock]]&gt;Table2[[#This Row],[ReorderLevel]]*3, "Overstock", "Okay")</f>
        <v>Okay</v>
      </c>
    </row>
    <row r="1624" spans="1:17" x14ac:dyDescent="0.35">
      <c r="A1624">
        <v>59456</v>
      </c>
      <c r="B1624" t="s">
        <v>17</v>
      </c>
      <c r="C1624" t="s">
        <v>27</v>
      </c>
      <c r="D1624">
        <v>85</v>
      </c>
      <c r="E1624">
        <v>150</v>
      </c>
      <c r="F1624" s="2">
        <v>26.18</v>
      </c>
      <c r="G1624" t="s">
        <v>33</v>
      </c>
      <c r="H1624" s="1">
        <v>45595</v>
      </c>
      <c r="I1624" s="1">
        <v>45631</v>
      </c>
      <c r="J1624" t="s">
        <v>36</v>
      </c>
      <c r="K1624" s="8">
        <f>Table2[[#This Row],[CurrentStock]]*Table2[[#This Row],[UnitPrice]]</f>
        <v>2225.3000000000002</v>
      </c>
      <c r="L1624" t="str">
        <f>IF(Table2[[#This Row],[CurrentStock]]&lt;=Table2[[#This Row],[ReorderLevel]], "Reorder Needed", "Okay")</f>
        <v>Reorder Needed</v>
      </c>
      <c r="M1624" s="7">
        <f>IF(Table2[[#This Row],[CurrentStock]]-Table2[[#This Row],[ReorderLevel]]&lt;0,Table2[[#This Row],[CurrentStock]]-Table2[[#This Row],[ReorderLevel]],"")</f>
        <v>-65</v>
      </c>
      <c r="N1624" t="str">
        <f>IF(Table2[[#This Row],[Stock Gap]]&lt;0, "Understock","Okay")</f>
        <v>Understock</v>
      </c>
      <c r="O1624" s="13" t="str">
        <f>IF(Table2[[#This Row],[Stock Gap]]&lt;0, "Yes", "No")</f>
        <v>Yes</v>
      </c>
      <c r="P1624" s="13" t="str">
        <f>IF(Table2[[#This Row],[CurrentStock]]&lt;Table2[[#This Row],[ReorderLevel]],"Reorder", "Okay")</f>
        <v>Reorder</v>
      </c>
      <c r="Q1624" s="13" t="str">
        <f>IF(Table2[[#This Row],[CurrentStock]]&gt;Table2[[#This Row],[ReorderLevel]]*3, "Overstock", "Okay")</f>
        <v>Okay</v>
      </c>
    </row>
    <row r="1625" spans="1:17" x14ac:dyDescent="0.35">
      <c r="A1625">
        <v>35909</v>
      </c>
      <c r="B1625" t="s">
        <v>9</v>
      </c>
      <c r="C1625" t="s">
        <v>26</v>
      </c>
      <c r="D1625">
        <v>448</v>
      </c>
      <c r="E1625">
        <v>20</v>
      </c>
      <c r="F1625" s="2">
        <v>202.65</v>
      </c>
      <c r="G1625" t="s">
        <v>32</v>
      </c>
      <c r="H1625" s="1">
        <v>45484</v>
      </c>
      <c r="I1625" s="1">
        <v>45504</v>
      </c>
      <c r="J1625" t="s">
        <v>36</v>
      </c>
      <c r="K1625" s="8">
        <f>Table2[[#This Row],[CurrentStock]]*Table2[[#This Row],[UnitPrice]]</f>
        <v>90787.199999999997</v>
      </c>
      <c r="L1625" t="str">
        <f>IF(Table2[[#This Row],[CurrentStock]]&lt;=Table2[[#This Row],[ReorderLevel]], "Reorder Needed", "Okay")</f>
        <v>Okay</v>
      </c>
      <c r="M1625" t="str">
        <f>IF(Table2[[#This Row],[CurrentStock]]-Table2[[#This Row],[ReorderLevel]]&lt;0,Table2[[#This Row],[CurrentStock]]-Table2[[#This Row],[ReorderLevel]],"")</f>
        <v/>
      </c>
      <c r="N1625" t="str">
        <f>IF(Table2[[#This Row],[Stock Gap]]&lt;0, "Understock","Okay")</f>
        <v>Okay</v>
      </c>
      <c r="O1625" s="13" t="str">
        <f>IF(Table2[[#This Row],[Stock Gap]]&lt;0, "Yes", "No")</f>
        <v>No</v>
      </c>
      <c r="P1625" s="13" t="str">
        <f>IF(Table2[[#This Row],[CurrentStock]]&lt;Table2[[#This Row],[ReorderLevel]],"Reorder", "Okay")</f>
        <v>Okay</v>
      </c>
      <c r="Q1625" s="13" t="str">
        <f>IF(Table2[[#This Row],[CurrentStock]]&gt;Table2[[#This Row],[ReorderLevel]]*3, "Overstock", "Okay")</f>
        <v>Overstock</v>
      </c>
    </row>
    <row r="1626" spans="1:17" x14ac:dyDescent="0.35">
      <c r="A1626">
        <v>75382</v>
      </c>
      <c r="B1626" t="s">
        <v>9</v>
      </c>
      <c r="C1626" t="s">
        <v>26</v>
      </c>
      <c r="D1626">
        <v>278</v>
      </c>
      <c r="E1626">
        <v>100</v>
      </c>
      <c r="F1626" s="2">
        <v>409.2</v>
      </c>
      <c r="G1626" t="s">
        <v>34</v>
      </c>
      <c r="H1626" s="1">
        <v>45462</v>
      </c>
      <c r="I1626" s="1">
        <v>45474</v>
      </c>
      <c r="J1626" t="s">
        <v>37</v>
      </c>
      <c r="K1626" s="8">
        <f>Table2[[#This Row],[CurrentStock]]*Table2[[#This Row],[UnitPrice]]</f>
        <v>113757.59999999999</v>
      </c>
      <c r="L1626" t="str">
        <f>IF(Table2[[#This Row],[CurrentStock]]&lt;=Table2[[#This Row],[ReorderLevel]], "Reorder Needed", "Okay")</f>
        <v>Okay</v>
      </c>
      <c r="M1626" t="str">
        <f>IF(Table2[[#This Row],[CurrentStock]]-Table2[[#This Row],[ReorderLevel]]&lt;0,Table2[[#This Row],[CurrentStock]]-Table2[[#This Row],[ReorderLevel]],"")</f>
        <v/>
      </c>
      <c r="N1626" t="str">
        <f>IF(Table2[[#This Row],[Stock Gap]]&lt;0, "Understock","Okay")</f>
        <v>Okay</v>
      </c>
      <c r="O1626" s="13" t="str">
        <f>IF(Table2[[#This Row],[Stock Gap]]&lt;0, "Yes", "No")</f>
        <v>No</v>
      </c>
      <c r="P1626" s="13" t="str">
        <f>IF(Table2[[#This Row],[CurrentStock]]&lt;Table2[[#This Row],[ReorderLevel]],"Reorder", "Okay")</f>
        <v>Okay</v>
      </c>
      <c r="Q1626" s="13" t="str">
        <f>IF(Table2[[#This Row],[CurrentStock]]&gt;Table2[[#This Row],[ReorderLevel]]*3, "Overstock", "Okay")</f>
        <v>Okay</v>
      </c>
    </row>
    <row r="1627" spans="1:17" x14ac:dyDescent="0.35">
      <c r="A1627">
        <v>19039</v>
      </c>
      <c r="B1627" t="s">
        <v>11</v>
      </c>
      <c r="C1627" t="s">
        <v>27</v>
      </c>
      <c r="D1627">
        <v>154</v>
      </c>
      <c r="E1627">
        <v>150</v>
      </c>
      <c r="F1627" s="2">
        <v>478.15</v>
      </c>
      <c r="G1627" t="s">
        <v>32</v>
      </c>
      <c r="H1627" s="1">
        <v>45654</v>
      </c>
      <c r="I1627" s="1">
        <v>45663</v>
      </c>
      <c r="J1627" t="s">
        <v>38</v>
      </c>
      <c r="K1627" s="8">
        <f>Table2[[#This Row],[CurrentStock]]*Table2[[#This Row],[UnitPrice]]</f>
        <v>73635.099999999991</v>
      </c>
      <c r="L1627" t="str">
        <f>IF(Table2[[#This Row],[CurrentStock]]&lt;=Table2[[#This Row],[ReorderLevel]], "Reorder Needed", "Okay")</f>
        <v>Okay</v>
      </c>
      <c r="M1627" t="str">
        <f>IF(Table2[[#This Row],[CurrentStock]]-Table2[[#This Row],[ReorderLevel]]&lt;0,Table2[[#This Row],[CurrentStock]]-Table2[[#This Row],[ReorderLevel]],"")</f>
        <v/>
      </c>
      <c r="N1627" t="str">
        <f>IF(Table2[[#This Row],[Stock Gap]]&lt;0, "Understock","Okay")</f>
        <v>Okay</v>
      </c>
      <c r="O1627" s="13" t="str">
        <f>IF(Table2[[#This Row],[Stock Gap]]&lt;0, "Yes", "No")</f>
        <v>No</v>
      </c>
      <c r="P1627" s="13" t="str">
        <f>IF(Table2[[#This Row],[CurrentStock]]&lt;Table2[[#This Row],[ReorderLevel]],"Reorder", "Okay")</f>
        <v>Okay</v>
      </c>
      <c r="Q1627" s="13" t="str">
        <f>IF(Table2[[#This Row],[CurrentStock]]&gt;Table2[[#This Row],[ReorderLevel]]*3, "Overstock", "Okay")</f>
        <v>Okay</v>
      </c>
    </row>
    <row r="1628" spans="1:17" x14ac:dyDescent="0.35">
      <c r="A1628">
        <v>98789</v>
      </c>
      <c r="B1628" t="s">
        <v>24</v>
      </c>
      <c r="C1628" t="s">
        <v>30</v>
      </c>
      <c r="D1628">
        <v>391</v>
      </c>
      <c r="E1628">
        <v>150</v>
      </c>
      <c r="F1628" s="2">
        <v>156.47</v>
      </c>
      <c r="G1628" t="s">
        <v>33</v>
      </c>
      <c r="H1628" s="1">
        <v>45296</v>
      </c>
      <c r="I1628" s="1">
        <v>45326</v>
      </c>
      <c r="J1628" t="s">
        <v>37</v>
      </c>
      <c r="K1628" s="8">
        <f>Table2[[#This Row],[CurrentStock]]*Table2[[#This Row],[UnitPrice]]</f>
        <v>61179.77</v>
      </c>
      <c r="L1628" t="str">
        <f>IF(Table2[[#This Row],[CurrentStock]]&lt;=Table2[[#This Row],[ReorderLevel]], "Reorder Needed", "Okay")</f>
        <v>Okay</v>
      </c>
      <c r="M1628" t="str">
        <f>IF(Table2[[#This Row],[CurrentStock]]-Table2[[#This Row],[ReorderLevel]]&lt;0,Table2[[#This Row],[CurrentStock]]-Table2[[#This Row],[ReorderLevel]],"")</f>
        <v/>
      </c>
      <c r="N1628" t="str">
        <f>IF(Table2[[#This Row],[Stock Gap]]&lt;0, "Understock","Okay")</f>
        <v>Okay</v>
      </c>
      <c r="O1628" s="13" t="str">
        <f>IF(Table2[[#This Row],[Stock Gap]]&lt;0, "Yes", "No")</f>
        <v>No</v>
      </c>
      <c r="P1628" s="13" t="str">
        <f>IF(Table2[[#This Row],[CurrentStock]]&lt;Table2[[#This Row],[ReorderLevel]],"Reorder", "Okay")</f>
        <v>Okay</v>
      </c>
      <c r="Q1628" s="13" t="str">
        <f>IF(Table2[[#This Row],[CurrentStock]]&gt;Table2[[#This Row],[ReorderLevel]]*3, "Overstock", "Okay")</f>
        <v>Okay</v>
      </c>
    </row>
    <row r="1629" spans="1:17" x14ac:dyDescent="0.35">
      <c r="A1629">
        <v>62331</v>
      </c>
      <c r="B1629" t="s">
        <v>25</v>
      </c>
      <c r="C1629" t="s">
        <v>29</v>
      </c>
      <c r="D1629">
        <v>240</v>
      </c>
      <c r="E1629">
        <v>50</v>
      </c>
      <c r="F1629" s="2">
        <v>353.68</v>
      </c>
      <c r="G1629" t="s">
        <v>34</v>
      </c>
      <c r="H1629" s="1">
        <v>45399</v>
      </c>
      <c r="I1629" s="1">
        <v>45427</v>
      </c>
      <c r="J1629" t="s">
        <v>38</v>
      </c>
      <c r="K1629" s="8">
        <f>Table2[[#This Row],[CurrentStock]]*Table2[[#This Row],[UnitPrice]]</f>
        <v>84883.199999999997</v>
      </c>
      <c r="L1629" t="str">
        <f>IF(Table2[[#This Row],[CurrentStock]]&lt;=Table2[[#This Row],[ReorderLevel]], "Reorder Needed", "Okay")</f>
        <v>Okay</v>
      </c>
      <c r="M1629" t="str">
        <f>IF(Table2[[#This Row],[CurrentStock]]-Table2[[#This Row],[ReorderLevel]]&lt;0,Table2[[#This Row],[CurrentStock]]-Table2[[#This Row],[ReorderLevel]],"")</f>
        <v/>
      </c>
      <c r="N1629" t="str">
        <f>IF(Table2[[#This Row],[Stock Gap]]&lt;0, "Understock","Okay")</f>
        <v>Okay</v>
      </c>
      <c r="O1629" s="13" t="str">
        <f>IF(Table2[[#This Row],[Stock Gap]]&lt;0, "Yes", "No")</f>
        <v>No</v>
      </c>
      <c r="P1629" s="13" t="str">
        <f>IF(Table2[[#This Row],[CurrentStock]]&lt;Table2[[#This Row],[ReorderLevel]],"Reorder", "Okay")</f>
        <v>Okay</v>
      </c>
      <c r="Q1629" s="13" t="str">
        <f>IF(Table2[[#This Row],[CurrentStock]]&gt;Table2[[#This Row],[ReorderLevel]]*3, "Overstock", "Okay")</f>
        <v>Overstock</v>
      </c>
    </row>
    <row r="1630" spans="1:17" x14ac:dyDescent="0.35">
      <c r="A1630">
        <v>18262</v>
      </c>
      <c r="B1630" t="s">
        <v>9</v>
      </c>
      <c r="C1630" t="s">
        <v>26</v>
      </c>
      <c r="D1630">
        <v>364</v>
      </c>
      <c r="E1630">
        <v>20</v>
      </c>
      <c r="F1630" s="2">
        <v>7.8</v>
      </c>
      <c r="G1630" t="s">
        <v>31</v>
      </c>
      <c r="H1630" s="1">
        <v>45305</v>
      </c>
      <c r="I1630" s="1">
        <v>45328</v>
      </c>
      <c r="J1630" t="s">
        <v>37</v>
      </c>
      <c r="K1630" s="8">
        <f>Table2[[#This Row],[CurrentStock]]*Table2[[#This Row],[UnitPrice]]</f>
        <v>2839.2</v>
      </c>
      <c r="L1630" t="str">
        <f>IF(Table2[[#This Row],[CurrentStock]]&lt;=Table2[[#This Row],[ReorderLevel]], "Reorder Needed", "Okay")</f>
        <v>Okay</v>
      </c>
      <c r="M1630" t="str">
        <f>IF(Table2[[#This Row],[CurrentStock]]-Table2[[#This Row],[ReorderLevel]]&lt;0,Table2[[#This Row],[CurrentStock]]-Table2[[#This Row],[ReorderLevel]],"")</f>
        <v/>
      </c>
      <c r="N1630" t="str">
        <f>IF(Table2[[#This Row],[Stock Gap]]&lt;0, "Understock","Okay")</f>
        <v>Okay</v>
      </c>
      <c r="O1630" s="13" t="str">
        <f>IF(Table2[[#This Row],[Stock Gap]]&lt;0, "Yes", "No")</f>
        <v>No</v>
      </c>
      <c r="P1630" s="13" t="str">
        <f>IF(Table2[[#This Row],[CurrentStock]]&lt;Table2[[#This Row],[ReorderLevel]],"Reorder", "Okay")</f>
        <v>Okay</v>
      </c>
      <c r="Q1630" s="13" t="str">
        <f>IF(Table2[[#This Row],[CurrentStock]]&gt;Table2[[#This Row],[ReorderLevel]]*3, "Overstock", "Okay")</f>
        <v>Overstock</v>
      </c>
    </row>
    <row r="1631" spans="1:17" x14ac:dyDescent="0.35">
      <c r="A1631">
        <v>59104</v>
      </c>
      <c r="B1631" t="s">
        <v>18</v>
      </c>
      <c r="C1631" t="s">
        <v>27</v>
      </c>
      <c r="D1631">
        <v>10</v>
      </c>
      <c r="E1631">
        <v>30</v>
      </c>
      <c r="F1631" s="2">
        <v>338.21</v>
      </c>
      <c r="G1631" t="s">
        <v>33</v>
      </c>
      <c r="H1631" s="1">
        <v>45487</v>
      </c>
      <c r="I1631" s="1">
        <v>45508</v>
      </c>
      <c r="J1631" t="s">
        <v>38</v>
      </c>
      <c r="K1631" s="8">
        <f>Table2[[#This Row],[CurrentStock]]*Table2[[#This Row],[UnitPrice]]</f>
        <v>3382.1</v>
      </c>
      <c r="L1631" t="str">
        <f>IF(Table2[[#This Row],[CurrentStock]]&lt;=Table2[[#This Row],[ReorderLevel]], "Reorder Needed", "Okay")</f>
        <v>Reorder Needed</v>
      </c>
      <c r="M1631" s="7">
        <f>IF(Table2[[#This Row],[CurrentStock]]-Table2[[#This Row],[ReorderLevel]]&lt;0,Table2[[#This Row],[CurrentStock]]-Table2[[#This Row],[ReorderLevel]],"")</f>
        <v>-20</v>
      </c>
      <c r="N1631" t="str">
        <f>IF(Table2[[#This Row],[Stock Gap]]&lt;0, "Understock","Okay")</f>
        <v>Understock</v>
      </c>
      <c r="O1631" s="13" t="str">
        <f>IF(Table2[[#This Row],[Stock Gap]]&lt;0, "Yes", "No")</f>
        <v>Yes</v>
      </c>
      <c r="P1631" s="13" t="str">
        <f>IF(Table2[[#This Row],[CurrentStock]]&lt;Table2[[#This Row],[ReorderLevel]],"Reorder", "Okay")</f>
        <v>Reorder</v>
      </c>
      <c r="Q1631" s="13" t="str">
        <f>IF(Table2[[#This Row],[CurrentStock]]&gt;Table2[[#This Row],[ReorderLevel]]*3, "Overstock", "Okay")</f>
        <v>Okay</v>
      </c>
    </row>
    <row r="1632" spans="1:17" x14ac:dyDescent="0.35">
      <c r="A1632">
        <v>22279</v>
      </c>
      <c r="B1632" t="s">
        <v>16</v>
      </c>
      <c r="C1632" t="s">
        <v>29</v>
      </c>
      <c r="D1632">
        <v>421</v>
      </c>
      <c r="E1632">
        <v>150</v>
      </c>
      <c r="F1632" s="2">
        <v>266.06</v>
      </c>
      <c r="G1632" t="s">
        <v>33</v>
      </c>
      <c r="H1632" s="1">
        <v>45638</v>
      </c>
      <c r="I1632" s="1">
        <v>45671</v>
      </c>
      <c r="J1632" t="s">
        <v>37</v>
      </c>
      <c r="K1632" s="8">
        <f>Table2[[#This Row],[CurrentStock]]*Table2[[#This Row],[UnitPrice]]</f>
        <v>112011.26</v>
      </c>
      <c r="L1632" t="str">
        <f>IF(Table2[[#This Row],[CurrentStock]]&lt;=Table2[[#This Row],[ReorderLevel]], "Reorder Needed", "Okay")</f>
        <v>Okay</v>
      </c>
      <c r="M1632" t="str">
        <f>IF(Table2[[#This Row],[CurrentStock]]-Table2[[#This Row],[ReorderLevel]]&lt;0,Table2[[#This Row],[CurrentStock]]-Table2[[#This Row],[ReorderLevel]],"")</f>
        <v/>
      </c>
      <c r="N1632" t="str">
        <f>IF(Table2[[#This Row],[Stock Gap]]&lt;0, "Understock","Okay")</f>
        <v>Okay</v>
      </c>
      <c r="O1632" s="13" t="str">
        <f>IF(Table2[[#This Row],[Stock Gap]]&lt;0, "Yes", "No")</f>
        <v>No</v>
      </c>
      <c r="P1632" s="13" t="str">
        <f>IF(Table2[[#This Row],[CurrentStock]]&lt;Table2[[#This Row],[ReorderLevel]],"Reorder", "Okay")</f>
        <v>Okay</v>
      </c>
      <c r="Q1632" s="13" t="str">
        <f>IF(Table2[[#This Row],[CurrentStock]]&gt;Table2[[#This Row],[ReorderLevel]]*3, "Overstock", "Okay")</f>
        <v>Okay</v>
      </c>
    </row>
    <row r="1633" spans="1:17" x14ac:dyDescent="0.35">
      <c r="A1633">
        <v>83398</v>
      </c>
      <c r="B1633" t="s">
        <v>13</v>
      </c>
      <c r="C1633" t="s">
        <v>26</v>
      </c>
      <c r="D1633">
        <v>378</v>
      </c>
      <c r="E1633">
        <v>150</v>
      </c>
      <c r="F1633" s="2">
        <v>470.73</v>
      </c>
      <c r="G1633" t="s">
        <v>32</v>
      </c>
      <c r="H1633" s="1">
        <v>45546</v>
      </c>
      <c r="I1633" s="1">
        <v>45558</v>
      </c>
      <c r="J1633" t="s">
        <v>36</v>
      </c>
      <c r="K1633" s="8">
        <f>Table2[[#This Row],[CurrentStock]]*Table2[[#This Row],[UnitPrice]]</f>
        <v>177935.94</v>
      </c>
      <c r="L1633" t="str">
        <f>IF(Table2[[#This Row],[CurrentStock]]&lt;=Table2[[#This Row],[ReorderLevel]], "Reorder Needed", "Okay")</f>
        <v>Okay</v>
      </c>
      <c r="M1633" t="str">
        <f>IF(Table2[[#This Row],[CurrentStock]]-Table2[[#This Row],[ReorderLevel]]&lt;0,Table2[[#This Row],[CurrentStock]]-Table2[[#This Row],[ReorderLevel]],"")</f>
        <v/>
      </c>
      <c r="N1633" t="str">
        <f>IF(Table2[[#This Row],[Stock Gap]]&lt;0, "Understock","Okay")</f>
        <v>Okay</v>
      </c>
      <c r="O1633" s="13" t="str">
        <f>IF(Table2[[#This Row],[Stock Gap]]&lt;0, "Yes", "No")</f>
        <v>No</v>
      </c>
      <c r="P1633" s="13" t="str">
        <f>IF(Table2[[#This Row],[CurrentStock]]&lt;Table2[[#This Row],[ReorderLevel]],"Reorder", "Okay")</f>
        <v>Okay</v>
      </c>
      <c r="Q1633" s="13" t="str">
        <f>IF(Table2[[#This Row],[CurrentStock]]&gt;Table2[[#This Row],[ReorderLevel]]*3, "Overstock", "Okay")</f>
        <v>Okay</v>
      </c>
    </row>
    <row r="1634" spans="1:17" x14ac:dyDescent="0.35">
      <c r="A1634">
        <v>56627</v>
      </c>
      <c r="B1634" t="s">
        <v>17</v>
      </c>
      <c r="C1634" t="s">
        <v>27</v>
      </c>
      <c r="D1634">
        <v>158</v>
      </c>
      <c r="E1634">
        <v>50</v>
      </c>
      <c r="F1634" s="2">
        <v>287.38</v>
      </c>
      <c r="G1634" t="s">
        <v>35</v>
      </c>
      <c r="H1634" s="1">
        <v>45608</v>
      </c>
      <c r="I1634" s="1">
        <v>45639</v>
      </c>
      <c r="J1634" t="s">
        <v>36</v>
      </c>
      <c r="K1634" s="8">
        <f>Table2[[#This Row],[CurrentStock]]*Table2[[#This Row],[UnitPrice]]</f>
        <v>45406.04</v>
      </c>
      <c r="L1634" t="str">
        <f>IF(Table2[[#This Row],[CurrentStock]]&lt;=Table2[[#This Row],[ReorderLevel]], "Reorder Needed", "Okay")</f>
        <v>Okay</v>
      </c>
      <c r="M1634" t="str">
        <f>IF(Table2[[#This Row],[CurrentStock]]-Table2[[#This Row],[ReorderLevel]]&lt;0,Table2[[#This Row],[CurrentStock]]-Table2[[#This Row],[ReorderLevel]],"")</f>
        <v/>
      </c>
      <c r="N1634" t="str">
        <f>IF(Table2[[#This Row],[Stock Gap]]&lt;0, "Understock","Okay")</f>
        <v>Okay</v>
      </c>
      <c r="O1634" s="13" t="str">
        <f>IF(Table2[[#This Row],[Stock Gap]]&lt;0, "Yes", "No")</f>
        <v>No</v>
      </c>
      <c r="P1634" s="13" t="str">
        <f>IF(Table2[[#This Row],[CurrentStock]]&lt;Table2[[#This Row],[ReorderLevel]],"Reorder", "Okay")</f>
        <v>Okay</v>
      </c>
      <c r="Q1634" s="13" t="str">
        <f>IF(Table2[[#This Row],[CurrentStock]]&gt;Table2[[#This Row],[ReorderLevel]]*3, "Overstock", "Okay")</f>
        <v>Overstock</v>
      </c>
    </row>
    <row r="1635" spans="1:17" x14ac:dyDescent="0.35">
      <c r="A1635">
        <v>73545</v>
      </c>
      <c r="B1635" t="s">
        <v>15</v>
      </c>
      <c r="C1635" t="s">
        <v>29</v>
      </c>
      <c r="D1635">
        <v>89</v>
      </c>
      <c r="E1635">
        <v>150</v>
      </c>
      <c r="F1635" s="2">
        <v>125.46</v>
      </c>
      <c r="G1635" t="s">
        <v>32</v>
      </c>
      <c r="H1635" s="1">
        <v>45313</v>
      </c>
      <c r="I1635" s="1">
        <v>45340</v>
      </c>
      <c r="J1635" t="s">
        <v>38</v>
      </c>
      <c r="K1635" s="8">
        <f>Table2[[#This Row],[CurrentStock]]*Table2[[#This Row],[UnitPrice]]</f>
        <v>11165.939999999999</v>
      </c>
      <c r="L1635" t="str">
        <f>IF(Table2[[#This Row],[CurrentStock]]&lt;=Table2[[#This Row],[ReorderLevel]], "Reorder Needed", "Okay")</f>
        <v>Reorder Needed</v>
      </c>
      <c r="M1635" s="7">
        <f>IF(Table2[[#This Row],[CurrentStock]]-Table2[[#This Row],[ReorderLevel]]&lt;0,Table2[[#This Row],[CurrentStock]]-Table2[[#This Row],[ReorderLevel]],"")</f>
        <v>-61</v>
      </c>
      <c r="N1635" t="str">
        <f>IF(Table2[[#This Row],[Stock Gap]]&lt;0, "Understock","Okay")</f>
        <v>Understock</v>
      </c>
      <c r="O1635" s="13" t="str">
        <f>IF(Table2[[#This Row],[Stock Gap]]&lt;0, "Yes", "No")</f>
        <v>Yes</v>
      </c>
      <c r="P1635" s="13" t="str">
        <f>IF(Table2[[#This Row],[CurrentStock]]&lt;Table2[[#This Row],[ReorderLevel]],"Reorder", "Okay")</f>
        <v>Reorder</v>
      </c>
      <c r="Q1635" s="13" t="str">
        <f>IF(Table2[[#This Row],[CurrentStock]]&gt;Table2[[#This Row],[ReorderLevel]]*3, "Overstock", "Okay")</f>
        <v>Okay</v>
      </c>
    </row>
    <row r="1636" spans="1:17" x14ac:dyDescent="0.35">
      <c r="A1636">
        <v>30998</v>
      </c>
      <c r="B1636" t="s">
        <v>20</v>
      </c>
      <c r="C1636" t="s">
        <v>30</v>
      </c>
      <c r="D1636">
        <v>493</v>
      </c>
      <c r="E1636">
        <v>30</v>
      </c>
      <c r="F1636" s="2">
        <v>268.93</v>
      </c>
      <c r="G1636" t="s">
        <v>35</v>
      </c>
      <c r="H1636" s="1">
        <v>45445</v>
      </c>
      <c r="I1636" s="1">
        <v>45456</v>
      </c>
      <c r="J1636" t="s">
        <v>36</v>
      </c>
      <c r="K1636" s="8">
        <f>Table2[[#This Row],[CurrentStock]]*Table2[[#This Row],[UnitPrice]]</f>
        <v>132582.49</v>
      </c>
      <c r="L1636" t="str">
        <f>IF(Table2[[#This Row],[CurrentStock]]&lt;=Table2[[#This Row],[ReorderLevel]], "Reorder Needed", "Okay")</f>
        <v>Okay</v>
      </c>
      <c r="M1636" t="str">
        <f>IF(Table2[[#This Row],[CurrentStock]]-Table2[[#This Row],[ReorderLevel]]&lt;0,Table2[[#This Row],[CurrentStock]]-Table2[[#This Row],[ReorderLevel]],"")</f>
        <v/>
      </c>
      <c r="N1636" t="str">
        <f>IF(Table2[[#This Row],[Stock Gap]]&lt;0, "Understock","Okay")</f>
        <v>Okay</v>
      </c>
      <c r="O1636" s="13" t="str">
        <f>IF(Table2[[#This Row],[Stock Gap]]&lt;0, "Yes", "No")</f>
        <v>No</v>
      </c>
      <c r="P1636" s="13" t="str">
        <f>IF(Table2[[#This Row],[CurrentStock]]&lt;Table2[[#This Row],[ReorderLevel]],"Reorder", "Okay")</f>
        <v>Okay</v>
      </c>
      <c r="Q1636" s="13" t="str">
        <f>IF(Table2[[#This Row],[CurrentStock]]&gt;Table2[[#This Row],[ReorderLevel]]*3, "Overstock", "Okay")</f>
        <v>Overstock</v>
      </c>
    </row>
    <row r="1637" spans="1:17" x14ac:dyDescent="0.35">
      <c r="A1637">
        <v>48734</v>
      </c>
      <c r="B1637" t="s">
        <v>23</v>
      </c>
      <c r="C1637" t="s">
        <v>30</v>
      </c>
      <c r="D1637">
        <v>152</v>
      </c>
      <c r="E1637">
        <v>30</v>
      </c>
      <c r="F1637" s="2">
        <v>298.86</v>
      </c>
      <c r="G1637" t="s">
        <v>34</v>
      </c>
      <c r="H1637" s="1">
        <v>45393</v>
      </c>
      <c r="I1637" s="1">
        <v>45412</v>
      </c>
      <c r="J1637" t="s">
        <v>37</v>
      </c>
      <c r="K1637" s="8">
        <f>Table2[[#This Row],[CurrentStock]]*Table2[[#This Row],[UnitPrice]]</f>
        <v>45426.720000000001</v>
      </c>
      <c r="L1637" t="str">
        <f>IF(Table2[[#This Row],[CurrentStock]]&lt;=Table2[[#This Row],[ReorderLevel]], "Reorder Needed", "Okay")</f>
        <v>Okay</v>
      </c>
      <c r="M1637" t="str">
        <f>IF(Table2[[#This Row],[CurrentStock]]-Table2[[#This Row],[ReorderLevel]]&lt;0,Table2[[#This Row],[CurrentStock]]-Table2[[#This Row],[ReorderLevel]],"")</f>
        <v/>
      </c>
      <c r="N1637" t="str">
        <f>IF(Table2[[#This Row],[Stock Gap]]&lt;0, "Understock","Okay")</f>
        <v>Okay</v>
      </c>
      <c r="O1637" s="13" t="str">
        <f>IF(Table2[[#This Row],[Stock Gap]]&lt;0, "Yes", "No")</f>
        <v>No</v>
      </c>
      <c r="P1637" s="13" t="str">
        <f>IF(Table2[[#This Row],[CurrentStock]]&lt;Table2[[#This Row],[ReorderLevel]],"Reorder", "Okay")</f>
        <v>Okay</v>
      </c>
      <c r="Q1637" s="13" t="str">
        <f>IF(Table2[[#This Row],[CurrentStock]]&gt;Table2[[#This Row],[ReorderLevel]]*3, "Overstock", "Okay")</f>
        <v>Overstock</v>
      </c>
    </row>
    <row r="1638" spans="1:17" x14ac:dyDescent="0.35">
      <c r="A1638">
        <v>28910</v>
      </c>
      <c r="B1638" t="s">
        <v>12</v>
      </c>
      <c r="C1638" t="s">
        <v>28</v>
      </c>
      <c r="D1638">
        <v>354</v>
      </c>
      <c r="E1638">
        <v>100</v>
      </c>
      <c r="F1638" s="2">
        <v>160.55000000000001</v>
      </c>
      <c r="G1638" t="s">
        <v>35</v>
      </c>
      <c r="H1638" s="1">
        <v>45610</v>
      </c>
      <c r="I1638" s="1">
        <v>45622</v>
      </c>
      <c r="J1638" t="s">
        <v>38</v>
      </c>
      <c r="K1638" s="8">
        <f>Table2[[#This Row],[CurrentStock]]*Table2[[#This Row],[UnitPrice]]</f>
        <v>56834.700000000004</v>
      </c>
      <c r="L1638" t="str">
        <f>IF(Table2[[#This Row],[CurrentStock]]&lt;=Table2[[#This Row],[ReorderLevel]], "Reorder Needed", "Okay")</f>
        <v>Okay</v>
      </c>
      <c r="M1638" t="str">
        <f>IF(Table2[[#This Row],[CurrentStock]]-Table2[[#This Row],[ReorderLevel]]&lt;0,Table2[[#This Row],[CurrentStock]]-Table2[[#This Row],[ReorderLevel]],"")</f>
        <v/>
      </c>
      <c r="N1638" t="str">
        <f>IF(Table2[[#This Row],[Stock Gap]]&lt;0, "Understock","Okay")</f>
        <v>Okay</v>
      </c>
      <c r="O1638" s="13" t="str">
        <f>IF(Table2[[#This Row],[Stock Gap]]&lt;0, "Yes", "No")</f>
        <v>No</v>
      </c>
      <c r="P1638" s="13" t="str">
        <f>IF(Table2[[#This Row],[CurrentStock]]&lt;Table2[[#This Row],[ReorderLevel]],"Reorder", "Okay")</f>
        <v>Okay</v>
      </c>
      <c r="Q1638" s="13" t="str">
        <f>IF(Table2[[#This Row],[CurrentStock]]&gt;Table2[[#This Row],[ReorderLevel]]*3, "Overstock", "Okay")</f>
        <v>Overstock</v>
      </c>
    </row>
    <row r="1639" spans="1:17" x14ac:dyDescent="0.35">
      <c r="A1639">
        <v>30426</v>
      </c>
      <c r="B1639" t="s">
        <v>21</v>
      </c>
      <c r="C1639" t="s">
        <v>26</v>
      </c>
      <c r="D1639">
        <v>81</v>
      </c>
      <c r="E1639">
        <v>80</v>
      </c>
      <c r="F1639" s="2">
        <v>206.63</v>
      </c>
      <c r="G1639" t="s">
        <v>34</v>
      </c>
      <c r="H1639" s="1">
        <v>45561</v>
      </c>
      <c r="I1639" s="1">
        <v>45593</v>
      </c>
      <c r="J1639" t="s">
        <v>36</v>
      </c>
      <c r="K1639" s="8">
        <f>Table2[[#This Row],[CurrentStock]]*Table2[[#This Row],[UnitPrice]]</f>
        <v>16737.03</v>
      </c>
      <c r="L1639" t="str">
        <f>IF(Table2[[#This Row],[CurrentStock]]&lt;=Table2[[#This Row],[ReorderLevel]], "Reorder Needed", "Okay")</f>
        <v>Okay</v>
      </c>
      <c r="M1639" t="str">
        <f>IF(Table2[[#This Row],[CurrentStock]]-Table2[[#This Row],[ReorderLevel]]&lt;0,Table2[[#This Row],[CurrentStock]]-Table2[[#This Row],[ReorderLevel]],"")</f>
        <v/>
      </c>
      <c r="N1639" t="str">
        <f>IF(Table2[[#This Row],[Stock Gap]]&lt;0, "Understock","Okay")</f>
        <v>Okay</v>
      </c>
      <c r="O1639" s="13" t="str">
        <f>IF(Table2[[#This Row],[Stock Gap]]&lt;0, "Yes", "No")</f>
        <v>No</v>
      </c>
      <c r="P1639" s="13" t="str">
        <f>IF(Table2[[#This Row],[CurrentStock]]&lt;Table2[[#This Row],[ReorderLevel]],"Reorder", "Okay")</f>
        <v>Okay</v>
      </c>
      <c r="Q1639" s="13" t="str">
        <f>IF(Table2[[#This Row],[CurrentStock]]&gt;Table2[[#This Row],[ReorderLevel]]*3, "Overstock", "Okay")</f>
        <v>Okay</v>
      </c>
    </row>
    <row r="1640" spans="1:17" x14ac:dyDescent="0.35">
      <c r="A1640">
        <v>37799</v>
      </c>
      <c r="B1640" t="s">
        <v>17</v>
      </c>
      <c r="C1640" t="s">
        <v>27</v>
      </c>
      <c r="D1640">
        <v>449</v>
      </c>
      <c r="E1640">
        <v>100</v>
      </c>
      <c r="F1640" s="2">
        <v>242.34</v>
      </c>
      <c r="G1640" t="s">
        <v>31</v>
      </c>
      <c r="H1640" s="1">
        <v>45452</v>
      </c>
      <c r="I1640" s="1">
        <v>45488</v>
      </c>
      <c r="J1640" t="s">
        <v>37</v>
      </c>
      <c r="K1640" s="8">
        <f>Table2[[#This Row],[CurrentStock]]*Table2[[#This Row],[UnitPrice]]</f>
        <v>108810.66</v>
      </c>
      <c r="L1640" t="str">
        <f>IF(Table2[[#This Row],[CurrentStock]]&lt;=Table2[[#This Row],[ReorderLevel]], "Reorder Needed", "Okay")</f>
        <v>Okay</v>
      </c>
      <c r="M1640" t="str">
        <f>IF(Table2[[#This Row],[CurrentStock]]-Table2[[#This Row],[ReorderLevel]]&lt;0,Table2[[#This Row],[CurrentStock]]-Table2[[#This Row],[ReorderLevel]],"")</f>
        <v/>
      </c>
      <c r="N1640" t="str">
        <f>IF(Table2[[#This Row],[Stock Gap]]&lt;0, "Understock","Okay")</f>
        <v>Okay</v>
      </c>
      <c r="O1640" s="13" t="str">
        <f>IF(Table2[[#This Row],[Stock Gap]]&lt;0, "Yes", "No")</f>
        <v>No</v>
      </c>
      <c r="P1640" s="13" t="str">
        <f>IF(Table2[[#This Row],[CurrentStock]]&lt;Table2[[#This Row],[ReorderLevel]],"Reorder", "Okay")</f>
        <v>Okay</v>
      </c>
      <c r="Q1640" s="13" t="str">
        <f>IF(Table2[[#This Row],[CurrentStock]]&gt;Table2[[#This Row],[ReorderLevel]]*3, "Overstock", "Okay")</f>
        <v>Overstock</v>
      </c>
    </row>
    <row r="1641" spans="1:17" x14ac:dyDescent="0.35">
      <c r="A1641">
        <v>46784</v>
      </c>
      <c r="B1641" t="s">
        <v>22</v>
      </c>
      <c r="C1641" t="s">
        <v>29</v>
      </c>
      <c r="D1641">
        <v>404</v>
      </c>
      <c r="E1641">
        <v>100</v>
      </c>
      <c r="F1641" s="2">
        <v>359.6</v>
      </c>
      <c r="G1641" t="s">
        <v>35</v>
      </c>
      <c r="H1641" s="1">
        <v>45435</v>
      </c>
      <c r="I1641" s="1">
        <v>45442</v>
      </c>
      <c r="J1641" t="s">
        <v>38</v>
      </c>
      <c r="K1641" s="8">
        <f>Table2[[#This Row],[CurrentStock]]*Table2[[#This Row],[UnitPrice]]</f>
        <v>145278.40000000002</v>
      </c>
      <c r="L1641" t="str">
        <f>IF(Table2[[#This Row],[CurrentStock]]&lt;=Table2[[#This Row],[ReorderLevel]], "Reorder Needed", "Okay")</f>
        <v>Okay</v>
      </c>
      <c r="M1641" t="str">
        <f>IF(Table2[[#This Row],[CurrentStock]]-Table2[[#This Row],[ReorderLevel]]&lt;0,Table2[[#This Row],[CurrentStock]]-Table2[[#This Row],[ReorderLevel]],"")</f>
        <v/>
      </c>
      <c r="N1641" t="str">
        <f>IF(Table2[[#This Row],[Stock Gap]]&lt;0, "Understock","Okay")</f>
        <v>Okay</v>
      </c>
      <c r="O1641" s="13" t="str">
        <f>IF(Table2[[#This Row],[Stock Gap]]&lt;0, "Yes", "No")</f>
        <v>No</v>
      </c>
      <c r="P1641" s="13" t="str">
        <f>IF(Table2[[#This Row],[CurrentStock]]&lt;Table2[[#This Row],[ReorderLevel]],"Reorder", "Okay")</f>
        <v>Okay</v>
      </c>
      <c r="Q1641" s="13" t="str">
        <f>IF(Table2[[#This Row],[CurrentStock]]&gt;Table2[[#This Row],[ReorderLevel]]*3, "Overstock", "Okay")</f>
        <v>Overstock</v>
      </c>
    </row>
    <row r="1642" spans="1:17" x14ac:dyDescent="0.35">
      <c r="A1642">
        <v>35727</v>
      </c>
      <c r="B1642" t="s">
        <v>9</v>
      </c>
      <c r="C1642" t="s">
        <v>26</v>
      </c>
      <c r="D1642">
        <v>278</v>
      </c>
      <c r="E1642">
        <v>50</v>
      </c>
      <c r="F1642" s="2">
        <v>81.510000000000005</v>
      </c>
      <c r="G1642" t="s">
        <v>34</v>
      </c>
      <c r="H1642" s="1">
        <v>45644</v>
      </c>
      <c r="I1642" s="1">
        <v>45663</v>
      </c>
      <c r="J1642" t="s">
        <v>38</v>
      </c>
      <c r="K1642" s="8">
        <f>Table2[[#This Row],[CurrentStock]]*Table2[[#This Row],[UnitPrice]]</f>
        <v>22659.780000000002</v>
      </c>
      <c r="L1642" t="str">
        <f>IF(Table2[[#This Row],[CurrentStock]]&lt;=Table2[[#This Row],[ReorderLevel]], "Reorder Needed", "Okay")</f>
        <v>Okay</v>
      </c>
      <c r="M1642" t="str">
        <f>IF(Table2[[#This Row],[CurrentStock]]-Table2[[#This Row],[ReorderLevel]]&lt;0,Table2[[#This Row],[CurrentStock]]-Table2[[#This Row],[ReorderLevel]],"")</f>
        <v/>
      </c>
      <c r="N1642" t="str">
        <f>IF(Table2[[#This Row],[Stock Gap]]&lt;0, "Understock","Okay")</f>
        <v>Okay</v>
      </c>
      <c r="O1642" s="13" t="str">
        <f>IF(Table2[[#This Row],[Stock Gap]]&lt;0, "Yes", "No")</f>
        <v>No</v>
      </c>
      <c r="P1642" s="13" t="str">
        <f>IF(Table2[[#This Row],[CurrentStock]]&lt;Table2[[#This Row],[ReorderLevel]],"Reorder", "Okay")</f>
        <v>Okay</v>
      </c>
      <c r="Q1642" s="13" t="str">
        <f>IF(Table2[[#This Row],[CurrentStock]]&gt;Table2[[#This Row],[ReorderLevel]]*3, "Overstock", "Okay")</f>
        <v>Overstock</v>
      </c>
    </row>
    <row r="1643" spans="1:17" x14ac:dyDescent="0.35">
      <c r="A1643">
        <v>66790</v>
      </c>
      <c r="B1643" t="s">
        <v>11</v>
      </c>
      <c r="C1643" t="s">
        <v>27</v>
      </c>
      <c r="D1643">
        <v>168</v>
      </c>
      <c r="E1643">
        <v>50</v>
      </c>
      <c r="F1643" s="2">
        <v>8.01</v>
      </c>
      <c r="G1643" t="s">
        <v>34</v>
      </c>
      <c r="H1643" s="1">
        <v>45426</v>
      </c>
      <c r="I1643" s="1">
        <v>45439</v>
      </c>
      <c r="J1643" t="s">
        <v>36</v>
      </c>
      <c r="K1643" s="8">
        <f>Table2[[#This Row],[CurrentStock]]*Table2[[#This Row],[UnitPrice]]</f>
        <v>1345.68</v>
      </c>
      <c r="L1643" t="str">
        <f>IF(Table2[[#This Row],[CurrentStock]]&lt;=Table2[[#This Row],[ReorderLevel]], "Reorder Needed", "Okay")</f>
        <v>Okay</v>
      </c>
      <c r="M1643" t="str">
        <f>IF(Table2[[#This Row],[CurrentStock]]-Table2[[#This Row],[ReorderLevel]]&lt;0,Table2[[#This Row],[CurrentStock]]-Table2[[#This Row],[ReorderLevel]],"")</f>
        <v/>
      </c>
      <c r="N1643" t="str">
        <f>IF(Table2[[#This Row],[Stock Gap]]&lt;0, "Understock","Okay")</f>
        <v>Okay</v>
      </c>
      <c r="O1643" s="13" t="str">
        <f>IF(Table2[[#This Row],[Stock Gap]]&lt;0, "Yes", "No")</f>
        <v>No</v>
      </c>
      <c r="P1643" s="13" t="str">
        <f>IF(Table2[[#This Row],[CurrentStock]]&lt;Table2[[#This Row],[ReorderLevel]],"Reorder", "Okay")</f>
        <v>Okay</v>
      </c>
      <c r="Q1643" s="13" t="str">
        <f>IF(Table2[[#This Row],[CurrentStock]]&gt;Table2[[#This Row],[ReorderLevel]]*3, "Overstock", "Okay")</f>
        <v>Overstock</v>
      </c>
    </row>
    <row r="1644" spans="1:17" x14ac:dyDescent="0.35">
      <c r="A1644">
        <v>31966</v>
      </c>
      <c r="B1644" t="s">
        <v>10</v>
      </c>
      <c r="C1644" t="s">
        <v>26</v>
      </c>
      <c r="D1644">
        <v>320</v>
      </c>
      <c r="E1644">
        <v>100</v>
      </c>
      <c r="F1644" s="2">
        <v>324.02999999999997</v>
      </c>
      <c r="G1644" t="s">
        <v>31</v>
      </c>
      <c r="H1644" s="1">
        <v>45632</v>
      </c>
      <c r="I1644" s="1">
        <v>45660</v>
      </c>
      <c r="J1644" t="s">
        <v>36</v>
      </c>
      <c r="K1644" s="8">
        <f>Table2[[#This Row],[CurrentStock]]*Table2[[#This Row],[UnitPrice]]</f>
        <v>103689.59999999999</v>
      </c>
      <c r="L1644" t="str">
        <f>IF(Table2[[#This Row],[CurrentStock]]&lt;=Table2[[#This Row],[ReorderLevel]], "Reorder Needed", "Okay")</f>
        <v>Okay</v>
      </c>
      <c r="M1644" t="str">
        <f>IF(Table2[[#This Row],[CurrentStock]]-Table2[[#This Row],[ReorderLevel]]&lt;0,Table2[[#This Row],[CurrentStock]]-Table2[[#This Row],[ReorderLevel]],"")</f>
        <v/>
      </c>
      <c r="N1644" t="str">
        <f>IF(Table2[[#This Row],[Stock Gap]]&lt;0, "Understock","Okay")</f>
        <v>Okay</v>
      </c>
      <c r="O1644" s="13" t="str">
        <f>IF(Table2[[#This Row],[Stock Gap]]&lt;0, "Yes", "No")</f>
        <v>No</v>
      </c>
      <c r="P1644" s="13" t="str">
        <f>IF(Table2[[#This Row],[CurrentStock]]&lt;Table2[[#This Row],[ReorderLevel]],"Reorder", "Okay")</f>
        <v>Okay</v>
      </c>
      <c r="Q1644" s="13" t="str">
        <f>IF(Table2[[#This Row],[CurrentStock]]&gt;Table2[[#This Row],[ReorderLevel]]*3, "Overstock", "Okay")</f>
        <v>Overstock</v>
      </c>
    </row>
    <row r="1645" spans="1:17" x14ac:dyDescent="0.35">
      <c r="A1645">
        <v>33814</v>
      </c>
      <c r="B1645" t="s">
        <v>17</v>
      </c>
      <c r="C1645" t="s">
        <v>27</v>
      </c>
      <c r="D1645">
        <v>148</v>
      </c>
      <c r="E1645">
        <v>50</v>
      </c>
      <c r="F1645" s="2">
        <v>232.96</v>
      </c>
      <c r="G1645" t="s">
        <v>32</v>
      </c>
      <c r="H1645" s="1">
        <v>45295</v>
      </c>
      <c r="I1645" s="1">
        <v>45327</v>
      </c>
      <c r="J1645" t="s">
        <v>37</v>
      </c>
      <c r="K1645" s="8">
        <f>Table2[[#This Row],[CurrentStock]]*Table2[[#This Row],[UnitPrice]]</f>
        <v>34478.080000000002</v>
      </c>
      <c r="L1645" t="str">
        <f>IF(Table2[[#This Row],[CurrentStock]]&lt;=Table2[[#This Row],[ReorderLevel]], "Reorder Needed", "Okay")</f>
        <v>Okay</v>
      </c>
      <c r="M1645" t="str">
        <f>IF(Table2[[#This Row],[CurrentStock]]-Table2[[#This Row],[ReorderLevel]]&lt;0,Table2[[#This Row],[CurrentStock]]-Table2[[#This Row],[ReorderLevel]],"")</f>
        <v/>
      </c>
      <c r="N1645" t="str">
        <f>IF(Table2[[#This Row],[Stock Gap]]&lt;0, "Understock","Okay")</f>
        <v>Okay</v>
      </c>
      <c r="O1645" s="13" t="str">
        <f>IF(Table2[[#This Row],[Stock Gap]]&lt;0, "Yes", "No")</f>
        <v>No</v>
      </c>
      <c r="P1645" s="13" t="str">
        <f>IF(Table2[[#This Row],[CurrentStock]]&lt;Table2[[#This Row],[ReorderLevel]],"Reorder", "Okay")</f>
        <v>Okay</v>
      </c>
      <c r="Q1645" s="13" t="str">
        <f>IF(Table2[[#This Row],[CurrentStock]]&gt;Table2[[#This Row],[ReorderLevel]]*3, "Overstock", "Okay")</f>
        <v>Okay</v>
      </c>
    </row>
    <row r="1646" spans="1:17" x14ac:dyDescent="0.35">
      <c r="A1646">
        <v>72898</v>
      </c>
      <c r="B1646" t="s">
        <v>14</v>
      </c>
      <c r="C1646" t="s">
        <v>28</v>
      </c>
      <c r="D1646">
        <v>228</v>
      </c>
      <c r="E1646">
        <v>80</v>
      </c>
      <c r="F1646" s="2">
        <v>52.5</v>
      </c>
      <c r="G1646" t="s">
        <v>31</v>
      </c>
      <c r="H1646" s="1">
        <v>45525</v>
      </c>
      <c r="I1646" s="1">
        <v>45548</v>
      </c>
      <c r="J1646" t="s">
        <v>38</v>
      </c>
      <c r="K1646" s="8">
        <f>Table2[[#This Row],[CurrentStock]]*Table2[[#This Row],[UnitPrice]]</f>
        <v>11970</v>
      </c>
      <c r="L1646" t="str">
        <f>IF(Table2[[#This Row],[CurrentStock]]&lt;=Table2[[#This Row],[ReorderLevel]], "Reorder Needed", "Okay")</f>
        <v>Okay</v>
      </c>
      <c r="M1646" t="str">
        <f>IF(Table2[[#This Row],[CurrentStock]]-Table2[[#This Row],[ReorderLevel]]&lt;0,Table2[[#This Row],[CurrentStock]]-Table2[[#This Row],[ReorderLevel]],"")</f>
        <v/>
      </c>
      <c r="N1646" t="str">
        <f>IF(Table2[[#This Row],[Stock Gap]]&lt;0, "Understock","Okay")</f>
        <v>Okay</v>
      </c>
      <c r="O1646" s="13" t="str">
        <f>IF(Table2[[#This Row],[Stock Gap]]&lt;0, "Yes", "No")</f>
        <v>No</v>
      </c>
      <c r="P1646" s="13" t="str">
        <f>IF(Table2[[#This Row],[CurrentStock]]&lt;Table2[[#This Row],[ReorderLevel]],"Reorder", "Okay")</f>
        <v>Okay</v>
      </c>
      <c r="Q1646" s="13" t="str">
        <f>IF(Table2[[#This Row],[CurrentStock]]&gt;Table2[[#This Row],[ReorderLevel]]*3, "Overstock", "Okay")</f>
        <v>Okay</v>
      </c>
    </row>
    <row r="1647" spans="1:17" x14ac:dyDescent="0.35">
      <c r="A1647">
        <v>59892</v>
      </c>
      <c r="B1647" t="s">
        <v>16</v>
      </c>
      <c r="C1647" t="s">
        <v>29</v>
      </c>
      <c r="D1647">
        <v>157</v>
      </c>
      <c r="E1647">
        <v>100</v>
      </c>
      <c r="F1647" s="2">
        <v>463.65</v>
      </c>
      <c r="G1647" t="s">
        <v>32</v>
      </c>
      <c r="H1647" s="1">
        <v>45440</v>
      </c>
      <c r="I1647" s="1">
        <v>45455</v>
      </c>
      <c r="J1647" t="s">
        <v>38</v>
      </c>
      <c r="K1647" s="8">
        <f>Table2[[#This Row],[CurrentStock]]*Table2[[#This Row],[UnitPrice]]</f>
        <v>72793.05</v>
      </c>
      <c r="L1647" t="str">
        <f>IF(Table2[[#This Row],[CurrentStock]]&lt;=Table2[[#This Row],[ReorderLevel]], "Reorder Needed", "Okay")</f>
        <v>Okay</v>
      </c>
      <c r="M1647" t="str">
        <f>IF(Table2[[#This Row],[CurrentStock]]-Table2[[#This Row],[ReorderLevel]]&lt;0,Table2[[#This Row],[CurrentStock]]-Table2[[#This Row],[ReorderLevel]],"")</f>
        <v/>
      </c>
      <c r="N1647" t="str">
        <f>IF(Table2[[#This Row],[Stock Gap]]&lt;0, "Understock","Okay")</f>
        <v>Okay</v>
      </c>
      <c r="O1647" s="13" t="str">
        <f>IF(Table2[[#This Row],[Stock Gap]]&lt;0, "Yes", "No")</f>
        <v>No</v>
      </c>
      <c r="P1647" s="13" t="str">
        <f>IF(Table2[[#This Row],[CurrentStock]]&lt;Table2[[#This Row],[ReorderLevel]],"Reorder", "Okay")</f>
        <v>Okay</v>
      </c>
      <c r="Q1647" s="13" t="str">
        <f>IF(Table2[[#This Row],[CurrentStock]]&gt;Table2[[#This Row],[ReorderLevel]]*3, "Overstock", "Okay")</f>
        <v>Okay</v>
      </c>
    </row>
    <row r="1648" spans="1:17" x14ac:dyDescent="0.35">
      <c r="A1648">
        <v>47117</v>
      </c>
      <c r="B1648" t="s">
        <v>21</v>
      </c>
      <c r="C1648" t="s">
        <v>26</v>
      </c>
      <c r="D1648">
        <v>474</v>
      </c>
      <c r="E1648">
        <v>80</v>
      </c>
      <c r="F1648" s="2">
        <v>498.9</v>
      </c>
      <c r="G1648" t="s">
        <v>35</v>
      </c>
      <c r="H1648" s="1">
        <v>45559</v>
      </c>
      <c r="I1648" s="1">
        <v>45586</v>
      </c>
      <c r="J1648" t="s">
        <v>38</v>
      </c>
      <c r="K1648" s="8">
        <f>Table2[[#This Row],[CurrentStock]]*Table2[[#This Row],[UnitPrice]]</f>
        <v>236478.59999999998</v>
      </c>
      <c r="L1648" t="str">
        <f>IF(Table2[[#This Row],[CurrentStock]]&lt;=Table2[[#This Row],[ReorderLevel]], "Reorder Needed", "Okay")</f>
        <v>Okay</v>
      </c>
      <c r="M1648" t="str">
        <f>IF(Table2[[#This Row],[CurrentStock]]-Table2[[#This Row],[ReorderLevel]]&lt;0,Table2[[#This Row],[CurrentStock]]-Table2[[#This Row],[ReorderLevel]],"")</f>
        <v/>
      </c>
      <c r="N1648" t="str">
        <f>IF(Table2[[#This Row],[Stock Gap]]&lt;0, "Understock","Okay")</f>
        <v>Okay</v>
      </c>
      <c r="O1648" s="13" t="str">
        <f>IF(Table2[[#This Row],[Stock Gap]]&lt;0, "Yes", "No")</f>
        <v>No</v>
      </c>
      <c r="P1648" s="13" t="str">
        <f>IF(Table2[[#This Row],[CurrentStock]]&lt;Table2[[#This Row],[ReorderLevel]],"Reorder", "Okay")</f>
        <v>Okay</v>
      </c>
      <c r="Q1648" s="13" t="str">
        <f>IF(Table2[[#This Row],[CurrentStock]]&gt;Table2[[#This Row],[ReorderLevel]]*3, "Overstock", "Okay")</f>
        <v>Overstock</v>
      </c>
    </row>
    <row r="1649" spans="1:17" x14ac:dyDescent="0.35">
      <c r="A1649">
        <v>97943</v>
      </c>
      <c r="B1649" t="s">
        <v>25</v>
      </c>
      <c r="C1649" t="s">
        <v>29</v>
      </c>
      <c r="D1649">
        <v>445</v>
      </c>
      <c r="E1649">
        <v>50</v>
      </c>
      <c r="F1649" s="2">
        <v>55.69</v>
      </c>
      <c r="G1649" t="s">
        <v>32</v>
      </c>
      <c r="H1649" s="1">
        <v>45340</v>
      </c>
      <c r="I1649" s="1">
        <v>45358</v>
      </c>
      <c r="J1649" t="s">
        <v>37</v>
      </c>
      <c r="K1649" s="8">
        <f>Table2[[#This Row],[CurrentStock]]*Table2[[#This Row],[UnitPrice]]</f>
        <v>24782.05</v>
      </c>
      <c r="L1649" t="str">
        <f>IF(Table2[[#This Row],[CurrentStock]]&lt;=Table2[[#This Row],[ReorderLevel]], "Reorder Needed", "Okay")</f>
        <v>Okay</v>
      </c>
      <c r="M1649" t="str">
        <f>IF(Table2[[#This Row],[CurrentStock]]-Table2[[#This Row],[ReorderLevel]]&lt;0,Table2[[#This Row],[CurrentStock]]-Table2[[#This Row],[ReorderLevel]],"")</f>
        <v/>
      </c>
      <c r="N1649" t="str">
        <f>IF(Table2[[#This Row],[Stock Gap]]&lt;0, "Understock","Okay")</f>
        <v>Okay</v>
      </c>
      <c r="O1649" s="13" t="str">
        <f>IF(Table2[[#This Row],[Stock Gap]]&lt;0, "Yes", "No")</f>
        <v>No</v>
      </c>
      <c r="P1649" s="13" t="str">
        <f>IF(Table2[[#This Row],[CurrentStock]]&lt;Table2[[#This Row],[ReorderLevel]],"Reorder", "Okay")</f>
        <v>Okay</v>
      </c>
      <c r="Q1649" s="13" t="str">
        <f>IF(Table2[[#This Row],[CurrentStock]]&gt;Table2[[#This Row],[ReorderLevel]]*3, "Overstock", "Okay")</f>
        <v>Overstock</v>
      </c>
    </row>
    <row r="1650" spans="1:17" x14ac:dyDescent="0.35">
      <c r="A1650">
        <v>52348</v>
      </c>
      <c r="B1650" t="s">
        <v>17</v>
      </c>
      <c r="C1650" t="s">
        <v>27</v>
      </c>
      <c r="D1650">
        <v>159</v>
      </c>
      <c r="E1650">
        <v>150</v>
      </c>
      <c r="F1650" s="2">
        <v>222.8</v>
      </c>
      <c r="G1650" t="s">
        <v>32</v>
      </c>
      <c r="H1650" s="1">
        <v>45616</v>
      </c>
      <c r="I1650" s="1">
        <v>45646</v>
      </c>
      <c r="J1650" t="s">
        <v>38</v>
      </c>
      <c r="K1650" s="8">
        <f>Table2[[#This Row],[CurrentStock]]*Table2[[#This Row],[UnitPrice]]</f>
        <v>35425.200000000004</v>
      </c>
      <c r="L1650" t="str">
        <f>IF(Table2[[#This Row],[CurrentStock]]&lt;=Table2[[#This Row],[ReorderLevel]], "Reorder Needed", "Okay")</f>
        <v>Okay</v>
      </c>
      <c r="M1650" t="str">
        <f>IF(Table2[[#This Row],[CurrentStock]]-Table2[[#This Row],[ReorderLevel]]&lt;0,Table2[[#This Row],[CurrentStock]]-Table2[[#This Row],[ReorderLevel]],"")</f>
        <v/>
      </c>
      <c r="N1650" t="str">
        <f>IF(Table2[[#This Row],[Stock Gap]]&lt;0, "Understock","Okay")</f>
        <v>Okay</v>
      </c>
      <c r="O1650" s="13" t="str">
        <f>IF(Table2[[#This Row],[Stock Gap]]&lt;0, "Yes", "No")</f>
        <v>No</v>
      </c>
      <c r="P1650" s="13" t="str">
        <f>IF(Table2[[#This Row],[CurrentStock]]&lt;Table2[[#This Row],[ReorderLevel]],"Reorder", "Okay")</f>
        <v>Okay</v>
      </c>
      <c r="Q1650" s="13" t="str">
        <f>IF(Table2[[#This Row],[CurrentStock]]&gt;Table2[[#This Row],[ReorderLevel]]*3, "Overstock", "Okay")</f>
        <v>Okay</v>
      </c>
    </row>
    <row r="1651" spans="1:17" x14ac:dyDescent="0.35">
      <c r="A1651">
        <v>91256</v>
      </c>
      <c r="B1651" t="s">
        <v>20</v>
      </c>
      <c r="C1651" t="s">
        <v>30</v>
      </c>
      <c r="D1651">
        <v>331</v>
      </c>
      <c r="E1651">
        <v>40</v>
      </c>
      <c r="F1651" s="2">
        <v>123.61</v>
      </c>
      <c r="G1651" t="s">
        <v>31</v>
      </c>
      <c r="H1651" s="1">
        <v>45417</v>
      </c>
      <c r="I1651" s="1">
        <v>45441</v>
      </c>
      <c r="J1651" t="s">
        <v>36</v>
      </c>
      <c r="K1651" s="8">
        <f>Table2[[#This Row],[CurrentStock]]*Table2[[#This Row],[UnitPrice]]</f>
        <v>40914.909999999996</v>
      </c>
      <c r="L1651" t="str">
        <f>IF(Table2[[#This Row],[CurrentStock]]&lt;=Table2[[#This Row],[ReorderLevel]], "Reorder Needed", "Okay")</f>
        <v>Okay</v>
      </c>
      <c r="M1651" t="str">
        <f>IF(Table2[[#This Row],[CurrentStock]]-Table2[[#This Row],[ReorderLevel]]&lt;0,Table2[[#This Row],[CurrentStock]]-Table2[[#This Row],[ReorderLevel]],"")</f>
        <v/>
      </c>
      <c r="N1651" t="str">
        <f>IF(Table2[[#This Row],[Stock Gap]]&lt;0, "Understock","Okay")</f>
        <v>Okay</v>
      </c>
      <c r="O1651" s="13" t="str">
        <f>IF(Table2[[#This Row],[Stock Gap]]&lt;0, "Yes", "No")</f>
        <v>No</v>
      </c>
      <c r="P1651" s="13" t="str">
        <f>IF(Table2[[#This Row],[CurrentStock]]&lt;Table2[[#This Row],[ReorderLevel]],"Reorder", "Okay")</f>
        <v>Okay</v>
      </c>
      <c r="Q1651" s="13" t="str">
        <f>IF(Table2[[#This Row],[CurrentStock]]&gt;Table2[[#This Row],[ReorderLevel]]*3, "Overstock", "Okay")</f>
        <v>Overstock</v>
      </c>
    </row>
    <row r="1652" spans="1:17" x14ac:dyDescent="0.35">
      <c r="A1652">
        <v>95666</v>
      </c>
      <c r="B1652" t="s">
        <v>10</v>
      </c>
      <c r="C1652" t="s">
        <v>26</v>
      </c>
      <c r="D1652">
        <v>116</v>
      </c>
      <c r="E1652">
        <v>100</v>
      </c>
      <c r="F1652" s="2">
        <v>496.72</v>
      </c>
      <c r="G1652" t="s">
        <v>35</v>
      </c>
      <c r="H1652" s="1">
        <v>45384</v>
      </c>
      <c r="I1652" s="1">
        <v>45404</v>
      </c>
      <c r="J1652" t="s">
        <v>38</v>
      </c>
      <c r="K1652" s="8">
        <f>Table2[[#This Row],[CurrentStock]]*Table2[[#This Row],[UnitPrice]]</f>
        <v>57619.520000000004</v>
      </c>
      <c r="L1652" t="str">
        <f>IF(Table2[[#This Row],[CurrentStock]]&lt;=Table2[[#This Row],[ReorderLevel]], "Reorder Needed", "Okay")</f>
        <v>Okay</v>
      </c>
      <c r="M1652" t="str">
        <f>IF(Table2[[#This Row],[CurrentStock]]-Table2[[#This Row],[ReorderLevel]]&lt;0,Table2[[#This Row],[CurrentStock]]-Table2[[#This Row],[ReorderLevel]],"")</f>
        <v/>
      </c>
      <c r="N1652" t="str">
        <f>IF(Table2[[#This Row],[Stock Gap]]&lt;0, "Understock","Okay")</f>
        <v>Okay</v>
      </c>
      <c r="O1652" s="13" t="str">
        <f>IF(Table2[[#This Row],[Stock Gap]]&lt;0, "Yes", "No")</f>
        <v>No</v>
      </c>
      <c r="P1652" s="13" t="str">
        <f>IF(Table2[[#This Row],[CurrentStock]]&lt;Table2[[#This Row],[ReorderLevel]],"Reorder", "Okay")</f>
        <v>Okay</v>
      </c>
      <c r="Q1652" s="13" t="str">
        <f>IF(Table2[[#This Row],[CurrentStock]]&gt;Table2[[#This Row],[ReorderLevel]]*3, "Overstock", "Okay")</f>
        <v>Okay</v>
      </c>
    </row>
    <row r="1653" spans="1:17" x14ac:dyDescent="0.35">
      <c r="A1653">
        <v>45162</v>
      </c>
      <c r="B1653" t="s">
        <v>14</v>
      </c>
      <c r="C1653" t="s">
        <v>28</v>
      </c>
      <c r="D1653">
        <v>388</v>
      </c>
      <c r="E1653">
        <v>30</v>
      </c>
      <c r="F1653" s="2">
        <v>477.24</v>
      </c>
      <c r="G1653" t="s">
        <v>35</v>
      </c>
      <c r="H1653" s="1">
        <v>45643</v>
      </c>
      <c r="I1653" s="1">
        <v>45678</v>
      </c>
      <c r="J1653" t="s">
        <v>36</v>
      </c>
      <c r="K1653" s="8">
        <f>Table2[[#This Row],[CurrentStock]]*Table2[[#This Row],[UnitPrice]]</f>
        <v>185169.12</v>
      </c>
      <c r="L1653" t="str">
        <f>IF(Table2[[#This Row],[CurrentStock]]&lt;=Table2[[#This Row],[ReorderLevel]], "Reorder Needed", "Okay")</f>
        <v>Okay</v>
      </c>
      <c r="M1653" t="str">
        <f>IF(Table2[[#This Row],[CurrentStock]]-Table2[[#This Row],[ReorderLevel]]&lt;0,Table2[[#This Row],[CurrentStock]]-Table2[[#This Row],[ReorderLevel]],"")</f>
        <v/>
      </c>
      <c r="N1653" t="str">
        <f>IF(Table2[[#This Row],[Stock Gap]]&lt;0, "Understock","Okay")</f>
        <v>Okay</v>
      </c>
      <c r="O1653" s="13" t="str">
        <f>IF(Table2[[#This Row],[Stock Gap]]&lt;0, "Yes", "No")</f>
        <v>No</v>
      </c>
      <c r="P1653" s="13" t="str">
        <f>IF(Table2[[#This Row],[CurrentStock]]&lt;Table2[[#This Row],[ReorderLevel]],"Reorder", "Okay")</f>
        <v>Okay</v>
      </c>
      <c r="Q1653" s="13" t="str">
        <f>IF(Table2[[#This Row],[CurrentStock]]&gt;Table2[[#This Row],[ReorderLevel]]*3, "Overstock", "Okay")</f>
        <v>Overstock</v>
      </c>
    </row>
    <row r="1654" spans="1:17" x14ac:dyDescent="0.35">
      <c r="A1654">
        <v>41147</v>
      </c>
      <c r="B1654" t="s">
        <v>12</v>
      </c>
      <c r="C1654" t="s">
        <v>28</v>
      </c>
      <c r="D1654">
        <v>32</v>
      </c>
      <c r="E1654">
        <v>50</v>
      </c>
      <c r="F1654" s="2">
        <v>449.57</v>
      </c>
      <c r="G1654" t="s">
        <v>33</v>
      </c>
      <c r="H1654" s="1">
        <v>45504</v>
      </c>
      <c r="I1654" s="1">
        <v>45532</v>
      </c>
      <c r="J1654" t="s">
        <v>36</v>
      </c>
      <c r="K1654" s="8">
        <f>Table2[[#This Row],[CurrentStock]]*Table2[[#This Row],[UnitPrice]]</f>
        <v>14386.24</v>
      </c>
      <c r="L1654" t="str">
        <f>IF(Table2[[#This Row],[CurrentStock]]&lt;=Table2[[#This Row],[ReorderLevel]], "Reorder Needed", "Okay")</f>
        <v>Reorder Needed</v>
      </c>
      <c r="M1654" s="7">
        <f>IF(Table2[[#This Row],[CurrentStock]]-Table2[[#This Row],[ReorderLevel]]&lt;0,Table2[[#This Row],[CurrentStock]]-Table2[[#This Row],[ReorderLevel]],"")</f>
        <v>-18</v>
      </c>
      <c r="N1654" t="str">
        <f>IF(Table2[[#This Row],[Stock Gap]]&lt;0, "Understock","Okay")</f>
        <v>Understock</v>
      </c>
      <c r="O1654" s="13" t="str">
        <f>IF(Table2[[#This Row],[Stock Gap]]&lt;0, "Yes", "No")</f>
        <v>Yes</v>
      </c>
      <c r="P1654" s="13" t="str">
        <f>IF(Table2[[#This Row],[CurrentStock]]&lt;Table2[[#This Row],[ReorderLevel]],"Reorder", "Okay")</f>
        <v>Reorder</v>
      </c>
      <c r="Q1654" s="13" t="str">
        <f>IF(Table2[[#This Row],[CurrentStock]]&gt;Table2[[#This Row],[ReorderLevel]]*3, "Overstock", "Okay")</f>
        <v>Okay</v>
      </c>
    </row>
    <row r="1655" spans="1:17" x14ac:dyDescent="0.35">
      <c r="A1655">
        <v>30099</v>
      </c>
      <c r="B1655" t="s">
        <v>22</v>
      </c>
      <c r="C1655" t="s">
        <v>29</v>
      </c>
      <c r="D1655">
        <v>48</v>
      </c>
      <c r="E1655">
        <v>20</v>
      </c>
      <c r="F1655" s="2">
        <v>341.2</v>
      </c>
      <c r="G1655" t="s">
        <v>31</v>
      </c>
      <c r="H1655" s="1">
        <v>45386</v>
      </c>
      <c r="I1655" s="1">
        <v>45415</v>
      </c>
      <c r="J1655" t="s">
        <v>37</v>
      </c>
      <c r="K1655" s="8">
        <f>Table2[[#This Row],[CurrentStock]]*Table2[[#This Row],[UnitPrice]]</f>
        <v>16377.599999999999</v>
      </c>
      <c r="L1655" t="str">
        <f>IF(Table2[[#This Row],[CurrentStock]]&lt;=Table2[[#This Row],[ReorderLevel]], "Reorder Needed", "Okay")</f>
        <v>Okay</v>
      </c>
      <c r="M1655" t="str">
        <f>IF(Table2[[#This Row],[CurrentStock]]-Table2[[#This Row],[ReorderLevel]]&lt;0,Table2[[#This Row],[CurrentStock]]-Table2[[#This Row],[ReorderLevel]],"")</f>
        <v/>
      </c>
      <c r="N1655" t="str">
        <f>IF(Table2[[#This Row],[Stock Gap]]&lt;0, "Understock","Okay")</f>
        <v>Okay</v>
      </c>
      <c r="O1655" s="13" t="str">
        <f>IF(Table2[[#This Row],[Stock Gap]]&lt;0, "Yes", "No")</f>
        <v>No</v>
      </c>
      <c r="P1655" s="13" t="str">
        <f>IF(Table2[[#This Row],[CurrentStock]]&lt;Table2[[#This Row],[ReorderLevel]],"Reorder", "Okay")</f>
        <v>Okay</v>
      </c>
      <c r="Q1655" s="13" t="str">
        <f>IF(Table2[[#This Row],[CurrentStock]]&gt;Table2[[#This Row],[ReorderLevel]]*3, "Overstock", "Okay")</f>
        <v>Okay</v>
      </c>
    </row>
    <row r="1656" spans="1:17" x14ac:dyDescent="0.35">
      <c r="A1656">
        <v>78040</v>
      </c>
      <c r="B1656" t="s">
        <v>11</v>
      </c>
      <c r="C1656" t="s">
        <v>27</v>
      </c>
      <c r="D1656">
        <v>197</v>
      </c>
      <c r="E1656">
        <v>20</v>
      </c>
      <c r="F1656" s="2">
        <v>458.93</v>
      </c>
      <c r="G1656" t="s">
        <v>33</v>
      </c>
      <c r="H1656" s="1">
        <v>45448</v>
      </c>
      <c r="I1656" s="1">
        <v>45473</v>
      </c>
      <c r="J1656" t="s">
        <v>36</v>
      </c>
      <c r="K1656" s="8">
        <f>Table2[[#This Row],[CurrentStock]]*Table2[[#This Row],[UnitPrice]]</f>
        <v>90409.21</v>
      </c>
      <c r="L1656" t="str">
        <f>IF(Table2[[#This Row],[CurrentStock]]&lt;=Table2[[#This Row],[ReorderLevel]], "Reorder Needed", "Okay")</f>
        <v>Okay</v>
      </c>
      <c r="M1656" t="str">
        <f>IF(Table2[[#This Row],[CurrentStock]]-Table2[[#This Row],[ReorderLevel]]&lt;0,Table2[[#This Row],[CurrentStock]]-Table2[[#This Row],[ReorderLevel]],"")</f>
        <v/>
      </c>
      <c r="N1656" t="str">
        <f>IF(Table2[[#This Row],[Stock Gap]]&lt;0, "Understock","Okay")</f>
        <v>Okay</v>
      </c>
      <c r="O1656" s="13" t="str">
        <f>IF(Table2[[#This Row],[Stock Gap]]&lt;0, "Yes", "No")</f>
        <v>No</v>
      </c>
      <c r="P1656" s="13" t="str">
        <f>IF(Table2[[#This Row],[CurrentStock]]&lt;Table2[[#This Row],[ReorderLevel]],"Reorder", "Okay")</f>
        <v>Okay</v>
      </c>
      <c r="Q1656" s="13" t="str">
        <f>IF(Table2[[#This Row],[CurrentStock]]&gt;Table2[[#This Row],[ReorderLevel]]*3, "Overstock", "Okay")</f>
        <v>Overstock</v>
      </c>
    </row>
    <row r="1657" spans="1:17" x14ac:dyDescent="0.35">
      <c r="A1657">
        <v>70360</v>
      </c>
      <c r="B1657" t="s">
        <v>21</v>
      </c>
      <c r="C1657" t="s">
        <v>26</v>
      </c>
      <c r="D1657">
        <v>263</v>
      </c>
      <c r="E1657">
        <v>100</v>
      </c>
      <c r="F1657" s="2">
        <v>198.91</v>
      </c>
      <c r="G1657" t="s">
        <v>33</v>
      </c>
      <c r="H1657" s="1">
        <v>45550</v>
      </c>
      <c r="I1657" s="1">
        <v>45559</v>
      </c>
      <c r="J1657" t="s">
        <v>37</v>
      </c>
      <c r="K1657" s="8">
        <f>Table2[[#This Row],[CurrentStock]]*Table2[[#This Row],[UnitPrice]]</f>
        <v>52313.33</v>
      </c>
      <c r="L1657" t="str">
        <f>IF(Table2[[#This Row],[CurrentStock]]&lt;=Table2[[#This Row],[ReorderLevel]], "Reorder Needed", "Okay")</f>
        <v>Okay</v>
      </c>
      <c r="M1657" t="str">
        <f>IF(Table2[[#This Row],[CurrentStock]]-Table2[[#This Row],[ReorderLevel]]&lt;0,Table2[[#This Row],[CurrentStock]]-Table2[[#This Row],[ReorderLevel]],"")</f>
        <v/>
      </c>
      <c r="N1657" t="str">
        <f>IF(Table2[[#This Row],[Stock Gap]]&lt;0, "Understock","Okay")</f>
        <v>Okay</v>
      </c>
      <c r="O1657" s="13" t="str">
        <f>IF(Table2[[#This Row],[Stock Gap]]&lt;0, "Yes", "No")</f>
        <v>No</v>
      </c>
      <c r="P1657" s="13" t="str">
        <f>IF(Table2[[#This Row],[CurrentStock]]&lt;Table2[[#This Row],[ReorderLevel]],"Reorder", "Okay")</f>
        <v>Okay</v>
      </c>
      <c r="Q1657" s="13" t="str">
        <f>IF(Table2[[#This Row],[CurrentStock]]&gt;Table2[[#This Row],[ReorderLevel]]*3, "Overstock", "Okay")</f>
        <v>Okay</v>
      </c>
    </row>
    <row r="1658" spans="1:17" x14ac:dyDescent="0.35">
      <c r="A1658">
        <v>34935</v>
      </c>
      <c r="B1658" t="s">
        <v>15</v>
      </c>
      <c r="C1658" t="s">
        <v>29</v>
      </c>
      <c r="D1658">
        <v>124</v>
      </c>
      <c r="E1658">
        <v>150</v>
      </c>
      <c r="F1658" s="2">
        <v>480.21</v>
      </c>
      <c r="G1658" t="s">
        <v>32</v>
      </c>
      <c r="H1658" s="1">
        <v>45304</v>
      </c>
      <c r="I1658" s="1">
        <v>45315</v>
      </c>
      <c r="J1658" t="s">
        <v>38</v>
      </c>
      <c r="K1658" s="8">
        <f>Table2[[#This Row],[CurrentStock]]*Table2[[#This Row],[UnitPrice]]</f>
        <v>59546.04</v>
      </c>
      <c r="L1658" t="str">
        <f>IF(Table2[[#This Row],[CurrentStock]]&lt;=Table2[[#This Row],[ReorderLevel]], "Reorder Needed", "Okay")</f>
        <v>Reorder Needed</v>
      </c>
      <c r="M1658" s="7">
        <f>IF(Table2[[#This Row],[CurrentStock]]-Table2[[#This Row],[ReorderLevel]]&lt;0,Table2[[#This Row],[CurrentStock]]-Table2[[#This Row],[ReorderLevel]],"")</f>
        <v>-26</v>
      </c>
      <c r="N1658" t="str">
        <f>IF(Table2[[#This Row],[Stock Gap]]&lt;0, "Understock","Okay")</f>
        <v>Understock</v>
      </c>
      <c r="O1658" s="13" t="str">
        <f>IF(Table2[[#This Row],[Stock Gap]]&lt;0, "Yes", "No")</f>
        <v>Yes</v>
      </c>
      <c r="P1658" s="13" t="str">
        <f>IF(Table2[[#This Row],[CurrentStock]]&lt;Table2[[#This Row],[ReorderLevel]],"Reorder", "Okay")</f>
        <v>Reorder</v>
      </c>
      <c r="Q1658" s="13" t="str">
        <f>IF(Table2[[#This Row],[CurrentStock]]&gt;Table2[[#This Row],[ReorderLevel]]*3, "Overstock", "Okay")</f>
        <v>Okay</v>
      </c>
    </row>
    <row r="1659" spans="1:17" x14ac:dyDescent="0.35">
      <c r="A1659">
        <v>48233</v>
      </c>
      <c r="B1659" t="s">
        <v>11</v>
      </c>
      <c r="C1659" t="s">
        <v>27</v>
      </c>
      <c r="D1659">
        <v>339</v>
      </c>
      <c r="E1659">
        <v>150</v>
      </c>
      <c r="F1659" s="2">
        <v>341.59</v>
      </c>
      <c r="G1659" t="s">
        <v>31</v>
      </c>
      <c r="H1659" s="1">
        <v>45484</v>
      </c>
      <c r="I1659" s="1">
        <v>45503</v>
      </c>
      <c r="J1659" t="s">
        <v>36</v>
      </c>
      <c r="K1659" s="8">
        <f>Table2[[#This Row],[CurrentStock]]*Table2[[#This Row],[UnitPrice]]</f>
        <v>115799.01</v>
      </c>
      <c r="L1659" t="str">
        <f>IF(Table2[[#This Row],[CurrentStock]]&lt;=Table2[[#This Row],[ReorderLevel]], "Reorder Needed", "Okay")</f>
        <v>Okay</v>
      </c>
      <c r="M1659" t="str">
        <f>IF(Table2[[#This Row],[CurrentStock]]-Table2[[#This Row],[ReorderLevel]]&lt;0,Table2[[#This Row],[CurrentStock]]-Table2[[#This Row],[ReorderLevel]],"")</f>
        <v/>
      </c>
      <c r="N1659" t="str">
        <f>IF(Table2[[#This Row],[Stock Gap]]&lt;0, "Understock","Okay")</f>
        <v>Okay</v>
      </c>
      <c r="O1659" s="13" t="str">
        <f>IF(Table2[[#This Row],[Stock Gap]]&lt;0, "Yes", "No")</f>
        <v>No</v>
      </c>
      <c r="P1659" s="13" t="str">
        <f>IF(Table2[[#This Row],[CurrentStock]]&lt;Table2[[#This Row],[ReorderLevel]],"Reorder", "Okay")</f>
        <v>Okay</v>
      </c>
      <c r="Q1659" s="13" t="str">
        <f>IF(Table2[[#This Row],[CurrentStock]]&gt;Table2[[#This Row],[ReorderLevel]]*3, "Overstock", "Okay")</f>
        <v>Okay</v>
      </c>
    </row>
    <row r="1660" spans="1:17" x14ac:dyDescent="0.35">
      <c r="A1660">
        <v>29861</v>
      </c>
      <c r="B1660" t="s">
        <v>18</v>
      </c>
      <c r="C1660" t="s">
        <v>27</v>
      </c>
      <c r="D1660">
        <v>361</v>
      </c>
      <c r="E1660">
        <v>30</v>
      </c>
      <c r="F1660" s="2">
        <v>265.3</v>
      </c>
      <c r="G1660" t="s">
        <v>32</v>
      </c>
      <c r="H1660" s="1">
        <v>45386</v>
      </c>
      <c r="I1660" s="1">
        <v>45403</v>
      </c>
      <c r="J1660" t="s">
        <v>38</v>
      </c>
      <c r="K1660" s="8">
        <f>Table2[[#This Row],[CurrentStock]]*Table2[[#This Row],[UnitPrice]]</f>
        <v>95773.3</v>
      </c>
      <c r="L1660" t="str">
        <f>IF(Table2[[#This Row],[CurrentStock]]&lt;=Table2[[#This Row],[ReorderLevel]], "Reorder Needed", "Okay")</f>
        <v>Okay</v>
      </c>
      <c r="M1660" t="str">
        <f>IF(Table2[[#This Row],[CurrentStock]]-Table2[[#This Row],[ReorderLevel]]&lt;0,Table2[[#This Row],[CurrentStock]]-Table2[[#This Row],[ReorderLevel]],"")</f>
        <v/>
      </c>
      <c r="N1660" t="str">
        <f>IF(Table2[[#This Row],[Stock Gap]]&lt;0, "Understock","Okay")</f>
        <v>Okay</v>
      </c>
      <c r="O1660" s="13" t="str">
        <f>IF(Table2[[#This Row],[Stock Gap]]&lt;0, "Yes", "No")</f>
        <v>No</v>
      </c>
      <c r="P1660" s="13" t="str">
        <f>IF(Table2[[#This Row],[CurrentStock]]&lt;Table2[[#This Row],[ReorderLevel]],"Reorder", "Okay")</f>
        <v>Okay</v>
      </c>
      <c r="Q1660" s="13" t="str">
        <f>IF(Table2[[#This Row],[CurrentStock]]&gt;Table2[[#This Row],[ReorderLevel]]*3, "Overstock", "Okay")</f>
        <v>Overstock</v>
      </c>
    </row>
    <row r="1661" spans="1:17" x14ac:dyDescent="0.35">
      <c r="A1661">
        <v>69789</v>
      </c>
      <c r="B1661" t="s">
        <v>17</v>
      </c>
      <c r="C1661" t="s">
        <v>27</v>
      </c>
      <c r="D1661">
        <v>234</v>
      </c>
      <c r="E1661">
        <v>20</v>
      </c>
      <c r="F1661" s="2">
        <v>40.98</v>
      </c>
      <c r="G1661" t="s">
        <v>32</v>
      </c>
      <c r="H1661" s="1">
        <v>45398</v>
      </c>
      <c r="I1661" s="1">
        <v>45404</v>
      </c>
      <c r="J1661" t="s">
        <v>37</v>
      </c>
      <c r="K1661" s="8">
        <f>Table2[[#This Row],[CurrentStock]]*Table2[[#This Row],[UnitPrice]]</f>
        <v>9589.32</v>
      </c>
      <c r="L1661" t="str">
        <f>IF(Table2[[#This Row],[CurrentStock]]&lt;=Table2[[#This Row],[ReorderLevel]], "Reorder Needed", "Okay")</f>
        <v>Okay</v>
      </c>
      <c r="M1661" t="str">
        <f>IF(Table2[[#This Row],[CurrentStock]]-Table2[[#This Row],[ReorderLevel]]&lt;0,Table2[[#This Row],[CurrentStock]]-Table2[[#This Row],[ReorderLevel]],"")</f>
        <v/>
      </c>
      <c r="N1661" t="str">
        <f>IF(Table2[[#This Row],[Stock Gap]]&lt;0, "Understock","Okay")</f>
        <v>Okay</v>
      </c>
      <c r="O1661" s="13" t="str">
        <f>IF(Table2[[#This Row],[Stock Gap]]&lt;0, "Yes", "No")</f>
        <v>No</v>
      </c>
      <c r="P1661" s="13" t="str">
        <f>IF(Table2[[#This Row],[CurrentStock]]&lt;Table2[[#This Row],[ReorderLevel]],"Reorder", "Okay")</f>
        <v>Okay</v>
      </c>
      <c r="Q1661" s="13" t="str">
        <f>IF(Table2[[#This Row],[CurrentStock]]&gt;Table2[[#This Row],[ReorderLevel]]*3, "Overstock", "Okay")</f>
        <v>Overstock</v>
      </c>
    </row>
    <row r="1662" spans="1:17" x14ac:dyDescent="0.35">
      <c r="A1662">
        <v>88303</v>
      </c>
      <c r="B1662" t="s">
        <v>25</v>
      </c>
      <c r="C1662" t="s">
        <v>29</v>
      </c>
      <c r="D1662">
        <v>491</v>
      </c>
      <c r="E1662">
        <v>40</v>
      </c>
      <c r="F1662" s="2">
        <v>257.52</v>
      </c>
      <c r="G1662" t="s">
        <v>31</v>
      </c>
      <c r="H1662" s="1">
        <v>45305</v>
      </c>
      <c r="I1662" s="1">
        <v>45311</v>
      </c>
      <c r="J1662" t="s">
        <v>38</v>
      </c>
      <c r="K1662" s="8">
        <f>Table2[[#This Row],[CurrentStock]]*Table2[[#This Row],[UnitPrice]]</f>
        <v>126442.31999999999</v>
      </c>
      <c r="L1662" t="str">
        <f>IF(Table2[[#This Row],[CurrentStock]]&lt;=Table2[[#This Row],[ReorderLevel]], "Reorder Needed", "Okay")</f>
        <v>Okay</v>
      </c>
      <c r="M1662" t="str">
        <f>IF(Table2[[#This Row],[CurrentStock]]-Table2[[#This Row],[ReorderLevel]]&lt;0,Table2[[#This Row],[CurrentStock]]-Table2[[#This Row],[ReorderLevel]],"")</f>
        <v/>
      </c>
      <c r="N1662" t="str">
        <f>IF(Table2[[#This Row],[Stock Gap]]&lt;0, "Understock","Okay")</f>
        <v>Okay</v>
      </c>
      <c r="O1662" s="13" t="str">
        <f>IF(Table2[[#This Row],[Stock Gap]]&lt;0, "Yes", "No")</f>
        <v>No</v>
      </c>
      <c r="P1662" s="13" t="str">
        <f>IF(Table2[[#This Row],[CurrentStock]]&lt;Table2[[#This Row],[ReorderLevel]],"Reorder", "Okay")</f>
        <v>Okay</v>
      </c>
      <c r="Q1662" s="13" t="str">
        <f>IF(Table2[[#This Row],[CurrentStock]]&gt;Table2[[#This Row],[ReorderLevel]]*3, "Overstock", "Okay")</f>
        <v>Overstock</v>
      </c>
    </row>
    <row r="1663" spans="1:17" x14ac:dyDescent="0.35">
      <c r="A1663">
        <v>60155</v>
      </c>
      <c r="B1663" t="s">
        <v>14</v>
      </c>
      <c r="C1663" t="s">
        <v>28</v>
      </c>
      <c r="D1663">
        <v>158</v>
      </c>
      <c r="E1663">
        <v>20</v>
      </c>
      <c r="F1663" s="2">
        <v>172.65</v>
      </c>
      <c r="G1663" t="s">
        <v>33</v>
      </c>
      <c r="H1663" s="1">
        <v>45306</v>
      </c>
      <c r="I1663" s="1">
        <v>45337</v>
      </c>
      <c r="J1663" t="s">
        <v>37</v>
      </c>
      <c r="K1663" s="8">
        <f>Table2[[#This Row],[CurrentStock]]*Table2[[#This Row],[UnitPrice]]</f>
        <v>27278.7</v>
      </c>
      <c r="L1663" t="str">
        <f>IF(Table2[[#This Row],[CurrentStock]]&lt;=Table2[[#This Row],[ReorderLevel]], "Reorder Needed", "Okay")</f>
        <v>Okay</v>
      </c>
      <c r="M1663" t="str">
        <f>IF(Table2[[#This Row],[CurrentStock]]-Table2[[#This Row],[ReorderLevel]]&lt;0,Table2[[#This Row],[CurrentStock]]-Table2[[#This Row],[ReorderLevel]],"")</f>
        <v/>
      </c>
      <c r="N1663" t="str">
        <f>IF(Table2[[#This Row],[Stock Gap]]&lt;0, "Understock","Okay")</f>
        <v>Okay</v>
      </c>
      <c r="O1663" s="13" t="str">
        <f>IF(Table2[[#This Row],[Stock Gap]]&lt;0, "Yes", "No")</f>
        <v>No</v>
      </c>
      <c r="P1663" s="13" t="str">
        <f>IF(Table2[[#This Row],[CurrentStock]]&lt;Table2[[#This Row],[ReorderLevel]],"Reorder", "Okay")</f>
        <v>Okay</v>
      </c>
      <c r="Q1663" s="13" t="str">
        <f>IF(Table2[[#This Row],[CurrentStock]]&gt;Table2[[#This Row],[ReorderLevel]]*3, "Overstock", "Okay")</f>
        <v>Overstock</v>
      </c>
    </row>
    <row r="1664" spans="1:17" x14ac:dyDescent="0.35">
      <c r="A1664">
        <v>79535</v>
      </c>
      <c r="B1664" t="s">
        <v>24</v>
      </c>
      <c r="C1664" t="s">
        <v>30</v>
      </c>
      <c r="D1664">
        <v>289</v>
      </c>
      <c r="E1664">
        <v>80</v>
      </c>
      <c r="F1664" s="2">
        <v>231.75</v>
      </c>
      <c r="G1664" t="s">
        <v>31</v>
      </c>
      <c r="H1664" s="1">
        <v>45497</v>
      </c>
      <c r="I1664" s="1">
        <v>45504</v>
      </c>
      <c r="J1664" t="s">
        <v>36</v>
      </c>
      <c r="K1664" s="8">
        <f>Table2[[#This Row],[CurrentStock]]*Table2[[#This Row],[UnitPrice]]</f>
        <v>66975.75</v>
      </c>
      <c r="L1664" t="str">
        <f>IF(Table2[[#This Row],[CurrentStock]]&lt;=Table2[[#This Row],[ReorderLevel]], "Reorder Needed", "Okay")</f>
        <v>Okay</v>
      </c>
      <c r="M1664" t="str">
        <f>IF(Table2[[#This Row],[CurrentStock]]-Table2[[#This Row],[ReorderLevel]]&lt;0,Table2[[#This Row],[CurrentStock]]-Table2[[#This Row],[ReorderLevel]],"")</f>
        <v/>
      </c>
      <c r="N1664" t="str">
        <f>IF(Table2[[#This Row],[Stock Gap]]&lt;0, "Understock","Okay")</f>
        <v>Okay</v>
      </c>
      <c r="O1664" s="13" t="str">
        <f>IF(Table2[[#This Row],[Stock Gap]]&lt;0, "Yes", "No")</f>
        <v>No</v>
      </c>
      <c r="P1664" s="13" t="str">
        <f>IF(Table2[[#This Row],[CurrentStock]]&lt;Table2[[#This Row],[ReorderLevel]],"Reorder", "Okay")</f>
        <v>Okay</v>
      </c>
      <c r="Q1664" s="13" t="str">
        <f>IF(Table2[[#This Row],[CurrentStock]]&gt;Table2[[#This Row],[ReorderLevel]]*3, "Overstock", "Okay")</f>
        <v>Overstock</v>
      </c>
    </row>
    <row r="1665" spans="1:17" x14ac:dyDescent="0.35">
      <c r="A1665">
        <v>96850</v>
      </c>
      <c r="B1665" t="s">
        <v>19</v>
      </c>
      <c r="C1665" t="s">
        <v>28</v>
      </c>
      <c r="D1665">
        <v>73</v>
      </c>
      <c r="E1665">
        <v>80</v>
      </c>
      <c r="F1665" s="2">
        <v>58.55</v>
      </c>
      <c r="G1665" t="s">
        <v>32</v>
      </c>
      <c r="H1665" s="1">
        <v>45587</v>
      </c>
      <c r="I1665" s="1">
        <v>45609</v>
      </c>
      <c r="J1665" t="s">
        <v>36</v>
      </c>
      <c r="K1665" s="8">
        <f>Table2[[#This Row],[CurrentStock]]*Table2[[#This Row],[UnitPrice]]</f>
        <v>4274.1499999999996</v>
      </c>
      <c r="L1665" t="str">
        <f>IF(Table2[[#This Row],[CurrentStock]]&lt;=Table2[[#This Row],[ReorderLevel]], "Reorder Needed", "Okay")</f>
        <v>Reorder Needed</v>
      </c>
      <c r="M1665" s="7">
        <f>IF(Table2[[#This Row],[CurrentStock]]-Table2[[#This Row],[ReorderLevel]]&lt;0,Table2[[#This Row],[CurrentStock]]-Table2[[#This Row],[ReorderLevel]],"")</f>
        <v>-7</v>
      </c>
      <c r="N1665" t="str">
        <f>IF(Table2[[#This Row],[Stock Gap]]&lt;0, "Understock","Okay")</f>
        <v>Understock</v>
      </c>
      <c r="O1665" s="13" t="str">
        <f>IF(Table2[[#This Row],[Stock Gap]]&lt;0, "Yes", "No")</f>
        <v>Yes</v>
      </c>
      <c r="P1665" s="13" t="str">
        <f>IF(Table2[[#This Row],[CurrentStock]]&lt;Table2[[#This Row],[ReorderLevel]],"Reorder", "Okay")</f>
        <v>Reorder</v>
      </c>
      <c r="Q1665" s="13" t="str">
        <f>IF(Table2[[#This Row],[CurrentStock]]&gt;Table2[[#This Row],[ReorderLevel]]*3, "Overstock", "Okay")</f>
        <v>Okay</v>
      </c>
    </row>
    <row r="1666" spans="1:17" x14ac:dyDescent="0.35">
      <c r="A1666">
        <v>63205</v>
      </c>
      <c r="B1666" t="s">
        <v>19</v>
      </c>
      <c r="C1666" t="s">
        <v>28</v>
      </c>
      <c r="D1666">
        <v>483</v>
      </c>
      <c r="E1666">
        <v>30</v>
      </c>
      <c r="F1666" s="2">
        <v>13.58</v>
      </c>
      <c r="G1666" t="s">
        <v>35</v>
      </c>
      <c r="H1666" s="1">
        <v>45569</v>
      </c>
      <c r="I1666" s="1">
        <v>45599</v>
      </c>
      <c r="J1666" t="s">
        <v>37</v>
      </c>
      <c r="K1666" s="8">
        <f>Table2[[#This Row],[CurrentStock]]*Table2[[#This Row],[UnitPrice]]</f>
        <v>6559.14</v>
      </c>
      <c r="L1666" t="str">
        <f>IF(Table2[[#This Row],[CurrentStock]]&lt;=Table2[[#This Row],[ReorderLevel]], "Reorder Needed", "Okay")</f>
        <v>Okay</v>
      </c>
      <c r="M1666" t="str">
        <f>IF(Table2[[#This Row],[CurrentStock]]-Table2[[#This Row],[ReorderLevel]]&lt;0,Table2[[#This Row],[CurrentStock]]-Table2[[#This Row],[ReorderLevel]],"")</f>
        <v/>
      </c>
      <c r="N1666" t="str">
        <f>IF(Table2[[#This Row],[Stock Gap]]&lt;0, "Understock","Okay")</f>
        <v>Okay</v>
      </c>
      <c r="O1666" s="13" t="str">
        <f>IF(Table2[[#This Row],[Stock Gap]]&lt;0, "Yes", "No")</f>
        <v>No</v>
      </c>
      <c r="P1666" s="13" t="str">
        <f>IF(Table2[[#This Row],[CurrentStock]]&lt;Table2[[#This Row],[ReorderLevel]],"Reorder", "Okay")</f>
        <v>Okay</v>
      </c>
      <c r="Q1666" s="13" t="str">
        <f>IF(Table2[[#This Row],[CurrentStock]]&gt;Table2[[#This Row],[ReorderLevel]]*3, "Overstock", "Okay")</f>
        <v>Overstock</v>
      </c>
    </row>
    <row r="1667" spans="1:17" x14ac:dyDescent="0.35">
      <c r="A1667">
        <v>42977</v>
      </c>
      <c r="B1667" t="s">
        <v>24</v>
      </c>
      <c r="C1667" t="s">
        <v>30</v>
      </c>
      <c r="D1667">
        <v>72</v>
      </c>
      <c r="E1667">
        <v>40</v>
      </c>
      <c r="F1667" s="2">
        <v>465.63</v>
      </c>
      <c r="G1667" t="s">
        <v>34</v>
      </c>
      <c r="H1667" s="1">
        <v>45462</v>
      </c>
      <c r="I1667" s="1">
        <v>45478</v>
      </c>
      <c r="J1667" t="s">
        <v>38</v>
      </c>
      <c r="K1667" s="8">
        <f>Table2[[#This Row],[CurrentStock]]*Table2[[#This Row],[UnitPrice]]</f>
        <v>33525.360000000001</v>
      </c>
      <c r="L1667" t="str">
        <f>IF(Table2[[#This Row],[CurrentStock]]&lt;=Table2[[#This Row],[ReorderLevel]], "Reorder Needed", "Okay")</f>
        <v>Okay</v>
      </c>
      <c r="M1667" t="str">
        <f>IF(Table2[[#This Row],[CurrentStock]]-Table2[[#This Row],[ReorderLevel]]&lt;0,Table2[[#This Row],[CurrentStock]]-Table2[[#This Row],[ReorderLevel]],"")</f>
        <v/>
      </c>
      <c r="N1667" t="str">
        <f>IF(Table2[[#This Row],[Stock Gap]]&lt;0, "Understock","Okay")</f>
        <v>Okay</v>
      </c>
      <c r="O1667" s="13" t="str">
        <f>IF(Table2[[#This Row],[Stock Gap]]&lt;0, "Yes", "No")</f>
        <v>No</v>
      </c>
      <c r="P1667" s="13" t="str">
        <f>IF(Table2[[#This Row],[CurrentStock]]&lt;Table2[[#This Row],[ReorderLevel]],"Reorder", "Okay")</f>
        <v>Okay</v>
      </c>
      <c r="Q1667" s="13" t="str">
        <f>IF(Table2[[#This Row],[CurrentStock]]&gt;Table2[[#This Row],[ReorderLevel]]*3, "Overstock", "Okay")</f>
        <v>Okay</v>
      </c>
    </row>
    <row r="1668" spans="1:17" x14ac:dyDescent="0.35">
      <c r="A1668">
        <v>14758</v>
      </c>
      <c r="B1668" t="s">
        <v>23</v>
      </c>
      <c r="C1668" t="s">
        <v>30</v>
      </c>
      <c r="D1668">
        <v>382</v>
      </c>
      <c r="E1668">
        <v>100</v>
      </c>
      <c r="F1668" s="2">
        <v>78.8</v>
      </c>
      <c r="G1668" t="s">
        <v>33</v>
      </c>
      <c r="H1668" s="1">
        <v>45556</v>
      </c>
      <c r="I1668" s="1">
        <v>45595</v>
      </c>
      <c r="J1668" t="s">
        <v>38</v>
      </c>
      <c r="K1668" s="8">
        <f>Table2[[#This Row],[CurrentStock]]*Table2[[#This Row],[UnitPrice]]</f>
        <v>30101.599999999999</v>
      </c>
      <c r="L1668" t="str">
        <f>IF(Table2[[#This Row],[CurrentStock]]&lt;=Table2[[#This Row],[ReorderLevel]], "Reorder Needed", "Okay")</f>
        <v>Okay</v>
      </c>
      <c r="M1668" t="str">
        <f>IF(Table2[[#This Row],[CurrentStock]]-Table2[[#This Row],[ReorderLevel]]&lt;0,Table2[[#This Row],[CurrentStock]]-Table2[[#This Row],[ReorderLevel]],"")</f>
        <v/>
      </c>
      <c r="N1668" t="str">
        <f>IF(Table2[[#This Row],[Stock Gap]]&lt;0, "Understock","Okay")</f>
        <v>Okay</v>
      </c>
      <c r="O1668" s="13" t="str">
        <f>IF(Table2[[#This Row],[Stock Gap]]&lt;0, "Yes", "No")</f>
        <v>No</v>
      </c>
      <c r="P1668" s="13" t="str">
        <f>IF(Table2[[#This Row],[CurrentStock]]&lt;Table2[[#This Row],[ReorderLevel]],"Reorder", "Okay")</f>
        <v>Okay</v>
      </c>
      <c r="Q1668" s="13" t="str">
        <f>IF(Table2[[#This Row],[CurrentStock]]&gt;Table2[[#This Row],[ReorderLevel]]*3, "Overstock", "Okay")</f>
        <v>Overstock</v>
      </c>
    </row>
    <row r="1669" spans="1:17" x14ac:dyDescent="0.35">
      <c r="A1669">
        <v>98321</v>
      </c>
      <c r="B1669" t="s">
        <v>23</v>
      </c>
      <c r="C1669" t="s">
        <v>30</v>
      </c>
      <c r="D1669">
        <v>332</v>
      </c>
      <c r="E1669">
        <v>100</v>
      </c>
      <c r="F1669" s="2">
        <v>292.55</v>
      </c>
      <c r="G1669" t="s">
        <v>31</v>
      </c>
      <c r="H1669" s="1">
        <v>45564</v>
      </c>
      <c r="I1669" s="1">
        <v>45592</v>
      </c>
      <c r="J1669" t="s">
        <v>36</v>
      </c>
      <c r="K1669" s="8">
        <f>Table2[[#This Row],[CurrentStock]]*Table2[[#This Row],[UnitPrice]]</f>
        <v>97126.6</v>
      </c>
      <c r="L1669" t="str">
        <f>IF(Table2[[#This Row],[CurrentStock]]&lt;=Table2[[#This Row],[ReorderLevel]], "Reorder Needed", "Okay")</f>
        <v>Okay</v>
      </c>
      <c r="M1669" t="str">
        <f>IF(Table2[[#This Row],[CurrentStock]]-Table2[[#This Row],[ReorderLevel]]&lt;0,Table2[[#This Row],[CurrentStock]]-Table2[[#This Row],[ReorderLevel]],"")</f>
        <v/>
      </c>
      <c r="N1669" t="str">
        <f>IF(Table2[[#This Row],[Stock Gap]]&lt;0, "Understock","Okay")</f>
        <v>Okay</v>
      </c>
      <c r="O1669" s="13" t="str">
        <f>IF(Table2[[#This Row],[Stock Gap]]&lt;0, "Yes", "No")</f>
        <v>No</v>
      </c>
      <c r="P1669" s="13" t="str">
        <f>IF(Table2[[#This Row],[CurrentStock]]&lt;Table2[[#This Row],[ReorderLevel]],"Reorder", "Okay")</f>
        <v>Okay</v>
      </c>
      <c r="Q1669" s="13" t="str">
        <f>IF(Table2[[#This Row],[CurrentStock]]&gt;Table2[[#This Row],[ReorderLevel]]*3, "Overstock", "Okay")</f>
        <v>Overstock</v>
      </c>
    </row>
    <row r="1670" spans="1:17" x14ac:dyDescent="0.35">
      <c r="A1670">
        <v>28405</v>
      </c>
      <c r="B1670" t="s">
        <v>21</v>
      </c>
      <c r="C1670" t="s">
        <v>26</v>
      </c>
      <c r="D1670">
        <v>160</v>
      </c>
      <c r="E1670">
        <v>80</v>
      </c>
      <c r="F1670" s="2">
        <v>223.06</v>
      </c>
      <c r="G1670" t="s">
        <v>31</v>
      </c>
      <c r="H1670" s="1">
        <v>45344</v>
      </c>
      <c r="I1670" s="1">
        <v>45357</v>
      </c>
      <c r="J1670" t="s">
        <v>36</v>
      </c>
      <c r="K1670" s="8">
        <f>Table2[[#This Row],[CurrentStock]]*Table2[[#This Row],[UnitPrice]]</f>
        <v>35689.599999999999</v>
      </c>
      <c r="L1670" t="str">
        <f>IF(Table2[[#This Row],[CurrentStock]]&lt;=Table2[[#This Row],[ReorderLevel]], "Reorder Needed", "Okay")</f>
        <v>Okay</v>
      </c>
      <c r="M1670" t="str">
        <f>IF(Table2[[#This Row],[CurrentStock]]-Table2[[#This Row],[ReorderLevel]]&lt;0,Table2[[#This Row],[CurrentStock]]-Table2[[#This Row],[ReorderLevel]],"")</f>
        <v/>
      </c>
      <c r="N1670" t="str">
        <f>IF(Table2[[#This Row],[Stock Gap]]&lt;0, "Understock","Okay")</f>
        <v>Okay</v>
      </c>
      <c r="O1670" s="13" t="str">
        <f>IF(Table2[[#This Row],[Stock Gap]]&lt;0, "Yes", "No")</f>
        <v>No</v>
      </c>
      <c r="P1670" s="13" t="str">
        <f>IF(Table2[[#This Row],[CurrentStock]]&lt;Table2[[#This Row],[ReorderLevel]],"Reorder", "Okay")</f>
        <v>Okay</v>
      </c>
      <c r="Q1670" s="13" t="str">
        <f>IF(Table2[[#This Row],[CurrentStock]]&gt;Table2[[#This Row],[ReorderLevel]]*3, "Overstock", "Okay")</f>
        <v>Okay</v>
      </c>
    </row>
    <row r="1671" spans="1:17" x14ac:dyDescent="0.35">
      <c r="A1671">
        <v>92633</v>
      </c>
      <c r="B1671" t="s">
        <v>24</v>
      </c>
      <c r="C1671" t="s">
        <v>30</v>
      </c>
      <c r="D1671">
        <v>34</v>
      </c>
      <c r="E1671">
        <v>30</v>
      </c>
      <c r="F1671" s="2">
        <v>431.84</v>
      </c>
      <c r="G1671" t="s">
        <v>34</v>
      </c>
      <c r="H1671" s="1">
        <v>45488</v>
      </c>
      <c r="I1671" s="1">
        <v>45517</v>
      </c>
      <c r="J1671" t="s">
        <v>38</v>
      </c>
      <c r="K1671" s="8">
        <f>Table2[[#This Row],[CurrentStock]]*Table2[[#This Row],[UnitPrice]]</f>
        <v>14682.56</v>
      </c>
      <c r="L1671" t="str">
        <f>IF(Table2[[#This Row],[CurrentStock]]&lt;=Table2[[#This Row],[ReorderLevel]], "Reorder Needed", "Okay")</f>
        <v>Okay</v>
      </c>
      <c r="M1671" t="str">
        <f>IF(Table2[[#This Row],[CurrentStock]]-Table2[[#This Row],[ReorderLevel]]&lt;0,Table2[[#This Row],[CurrentStock]]-Table2[[#This Row],[ReorderLevel]],"")</f>
        <v/>
      </c>
      <c r="N1671" t="str">
        <f>IF(Table2[[#This Row],[Stock Gap]]&lt;0, "Understock","Okay")</f>
        <v>Okay</v>
      </c>
      <c r="O1671" s="13" t="str">
        <f>IF(Table2[[#This Row],[Stock Gap]]&lt;0, "Yes", "No")</f>
        <v>No</v>
      </c>
      <c r="P1671" s="13" t="str">
        <f>IF(Table2[[#This Row],[CurrentStock]]&lt;Table2[[#This Row],[ReorderLevel]],"Reorder", "Okay")</f>
        <v>Okay</v>
      </c>
      <c r="Q1671" s="13" t="str">
        <f>IF(Table2[[#This Row],[CurrentStock]]&gt;Table2[[#This Row],[ReorderLevel]]*3, "Overstock", "Okay")</f>
        <v>Okay</v>
      </c>
    </row>
    <row r="1672" spans="1:17" x14ac:dyDescent="0.35">
      <c r="A1672">
        <v>33118</v>
      </c>
      <c r="B1672" t="s">
        <v>22</v>
      </c>
      <c r="C1672" t="s">
        <v>29</v>
      </c>
      <c r="D1672">
        <v>187</v>
      </c>
      <c r="E1672">
        <v>30</v>
      </c>
      <c r="F1672" s="2">
        <v>489.83</v>
      </c>
      <c r="G1672" t="s">
        <v>33</v>
      </c>
      <c r="H1672" s="1">
        <v>45427</v>
      </c>
      <c r="I1672" s="1">
        <v>45433</v>
      </c>
      <c r="J1672" t="s">
        <v>38</v>
      </c>
      <c r="K1672" s="8">
        <f>Table2[[#This Row],[CurrentStock]]*Table2[[#This Row],[UnitPrice]]</f>
        <v>91598.209999999992</v>
      </c>
      <c r="L1672" t="str">
        <f>IF(Table2[[#This Row],[CurrentStock]]&lt;=Table2[[#This Row],[ReorderLevel]], "Reorder Needed", "Okay")</f>
        <v>Okay</v>
      </c>
      <c r="M1672" t="str">
        <f>IF(Table2[[#This Row],[CurrentStock]]-Table2[[#This Row],[ReorderLevel]]&lt;0,Table2[[#This Row],[CurrentStock]]-Table2[[#This Row],[ReorderLevel]],"")</f>
        <v/>
      </c>
      <c r="N1672" t="str">
        <f>IF(Table2[[#This Row],[Stock Gap]]&lt;0, "Understock","Okay")</f>
        <v>Okay</v>
      </c>
      <c r="O1672" s="13" t="str">
        <f>IF(Table2[[#This Row],[Stock Gap]]&lt;0, "Yes", "No")</f>
        <v>No</v>
      </c>
      <c r="P1672" s="13" t="str">
        <f>IF(Table2[[#This Row],[CurrentStock]]&lt;Table2[[#This Row],[ReorderLevel]],"Reorder", "Okay")</f>
        <v>Okay</v>
      </c>
      <c r="Q1672" s="13" t="str">
        <f>IF(Table2[[#This Row],[CurrentStock]]&gt;Table2[[#This Row],[ReorderLevel]]*3, "Overstock", "Okay")</f>
        <v>Overstock</v>
      </c>
    </row>
    <row r="1673" spans="1:17" x14ac:dyDescent="0.35">
      <c r="A1673">
        <v>71102</v>
      </c>
      <c r="B1673" t="s">
        <v>13</v>
      </c>
      <c r="C1673" t="s">
        <v>26</v>
      </c>
      <c r="D1673">
        <v>128</v>
      </c>
      <c r="E1673">
        <v>40</v>
      </c>
      <c r="F1673" s="2">
        <v>216.14</v>
      </c>
      <c r="G1673" t="s">
        <v>33</v>
      </c>
      <c r="H1673" s="1">
        <v>45548</v>
      </c>
      <c r="I1673" s="1">
        <v>45584</v>
      </c>
      <c r="J1673" t="s">
        <v>37</v>
      </c>
      <c r="K1673" s="8">
        <f>Table2[[#This Row],[CurrentStock]]*Table2[[#This Row],[UnitPrice]]</f>
        <v>27665.919999999998</v>
      </c>
      <c r="L1673" t="str">
        <f>IF(Table2[[#This Row],[CurrentStock]]&lt;=Table2[[#This Row],[ReorderLevel]], "Reorder Needed", "Okay")</f>
        <v>Okay</v>
      </c>
      <c r="M1673" t="str">
        <f>IF(Table2[[#This Row],[CurrentStock]]-Table2[[#This Row],[ReorderLevel]]&lt;0,Table2[[#This Row],[CurrentStock]]-Table2[[#This Row],[ReorderLevel]],"")</f>
        <v/>
      </c>
      <c r="N1673" t="str">
        <f>IF(Table2[[#This Row],[Stock Gap]]&lt;0, "Understock","Okay")</f>
        <v>Okay</v>
      </c>
      <c r="O1673" s="13" t="str">
        <f>IF(Table2[[#This Row],[Stock Gap]]&lt;0, "Yes", "No")</f>
        <v>No</v>
      </c>
      <c r="P1673" s="13" t="str">
        <f>IF(Table2[[#This Row],[CurrentStock]]&lt;Table2[[#This Row],[ReorderLevel]],"Reorder", "Okay")</f>
        <v>Okay</v>
      </c>
      <c r="Q1673" s="13" t="str">
        <f>IF(Table2[[#This Row],[CurrentStock]]&gt;Table2[[#This Row],[ReorderLevel]]*3, "Overstock", "Okay")</f>
        <v>Overstock</v>
      </c>
    </row>
    <row r="1674" spans="1:17" x14ac:dyDescent="0.35">
      <c r="A1674">
        <v>54941</v>
      </c>
      <c r="B1674" t="s">
        <v>11</v>
      </c>
      <c r="C1674" t="s">
        <v>27</v>
      </c>
      <c r="D1674">
        <v>300</v>
      </c>
      <c r="E1674">
        <v>30</v>
      </c>
      <c r="F1674" s="2">
        <v>239.15</v>
      </c>
      <c r="G1674" t="s">
        <v>31</v>
      </c>
      <c r="H1674" s="1">
        <v>45510</v>
      </c>
      <c r="I1674" s="1">
        <v>45524</v>
      </c>
      <c r="J1674" t="s">
        <v>38</v>
      </c>
      <c r="K1674" s="8">
        <f>Table2[[#This Row],[CurrentStock]]*Table2[[#This Row],[UnitPrice]]</f>
        <v>71745</v>
      </c>
      <c r="L1674" t="str">
        <f>IF(Table2[[#This Row],[CurrentStock]]&lt;=Table2[[#This Row],[ReorderLevel]], "Reorder Needed", "Okay")</f>
        <v>Okay</v>
      </c>
      <c r="M1674" t="str">
        <f>IF(Table2[[#This Row],[CurrentStock]]-Table2[[#This Row],[ReorderLevel]]&lt;0,Table2[[#This Row],[CurrentStock]]-Table2[[#This Row],[ReorderLevel]],"")</f>
        <v/>
      </c>
      <c r="N1674" t="str">
        <f>IF(Table2[[#This Row],[Stock Gap]]&lt;0, "Understock","Okay")</f>
        <v>Okay</v>
      </c>
      <c r="O1674" s="13" t="str">
        <f>IF(Table2[[#This Row],[Stock Gap]]&lt;0, "Yes", "No")</f>
        <v>No</v>
      </c>
      <c r="P1674" s="13" t="str">
        <f>IF(Table2[[#This Row],[CurrentStock]]&lt;Table2[[#This Row],[ReorderLevel]],"Reorder", "Okay")</f>
        <v>Okay</v>
      </c>
      <c r="Q1674" s="13" t="str">
        <f>IF(Table2[[#This Row],[CurrentStock]]&gt;Table2[[#This Row],[ReorderLevel]]*3, "Overstock", "Okay")</f>
        <v>Overstock</v>
      </c>
    </row>
    <row r="1675" spans="1:17" x14ac:dyDescent="0.35">
      <c r="A1675">
        <v>98529</v>
      </c>
      <c r="B1675" t="s">
        <v>14</v>
      </c>
      <c r="C1675" t="s">
        <v>28</v>
      </c>
      <c r="D1675">
        <v>20</v>
      </c>
      <c r="E1675">
        <v>100</v>
      </c>
      <c r="F1675" s="2">
        <v>81.36</v>
      </c>
      <c r="G1675" t="s">
        <v>31</v>
      </c>
      <c r="H1675" s="1">
        <v>45394</v>
      </c>
      <c r="I1675" s="1">
        <v>45422</v>
      </c>
      <c r="J1675" t="s">
        <v>38</v>
      </c>
      <c r="K1675" s="8">
        <f>Table2[[#This Row],[CurrentStock]]*Table2[[#This Row],[UnitPrice]]</f>
        <v>1627.2</v>
      </c>
      <c r="L1675" t="str">
        <f>IF(Table2[[#This Row],[CurrentStock]]&lt;=Table2[[#This Row],[ReorderLevel]], "Reorder Needed", "Okay")</f>
        <v>Reorder Needed</v>
      </c>
      <c r="M1675" s="7">
        <f>IF(Table2[[#This Row],[CurrentStock]]-Table2[[#This Row],[ReorderLevel]]&lt;0,Table2[[#This Row],[CurrentStock]]-Table2[[#This Row],[ReorderLevel]],"")</f>
        <v>-80</v>
      </c>
      <c r="N1675" t="str">
        <f>IF(Table2[[#This Row],[Stock Gap]]&lt;0, "Understock","Okay")</f>
        <v>Understock</v>
      </c>
      <c r="O1675" s="13" t="str">
        <f>IF(Table2[[#This Row],[Stock Gap]]&lt;0, "Yes", "No")</f>
        <v>Yes</v>
      </c>
      <c r="P1675" s="13" t="str">
        <f>IF(Table2[[#This Row],[CurrentStock]]&lt;Table2[[#This Row],[ReorderLevel]],"Reorder", "Okay")</f>
        <v>Reorder</v>
      </c>
      <c r="Q1675" s="13" t="str">
        <f>IF(Table2[[#This Row],[CurrentStock]]&gt;Table2[[#This Row],[ReorderLevel]]*3, "Overstock", "Okay")</f>
        <v>Okay</v>
      </c>
    </row>
    <row r="1676" spans="1:17" x14ac:dyDescent="0.35">
      <c r="A1676">
        <v>49491</v>
      </c>
      <c r="B1676" t="s">
        <v>19</v>
      </c>
      <c r="C1676" t="s">
        <v>28</v>
      </c>
      <c r="D1676">
        <v>82</v>
      </c>
      <c r="E1676">
        <v>80</v>
      </c>
      <c r="F1676" s="2">
        <v>107.42</v>
      </c>
      <c r="G1676" t="s">
        <v>34</v>
      </c>
      <c r="H1676" s="1">
        <v>45481</v>
      </c>
      <c r="I1676" s="1">
        <v>45519</v>
      </c>
      <c r="J1676" t="s">
        <v>38</v>
      </c>
      <c r="K1676" s="8">
        <f>Table2[[#This Row],[CurrentStock]]*Table2[[#This Row],[UnitPrice]]</f>
        <v>8808.44</v>
      </c>
      <c r="L1676" t="str">
        <f>IF(Table2[[#This Row],[CurrentStock]]&lt;=Table2[[#This Row],[ReorderLevel]], "Reorder Needed", "Okay")</f>
        <v>Okay</v>
      </c>
      <c r="M1676" t="str">
        <f>IF(Table2[[#This Row],[CurrentStock]]-Table2[[#This Row],[ReorderLevel]]&lt;0,Table2[[#This Row],[CurrentStock]]-Table2[[#This Row],[ReorderLevel]],"")</f>
        <v/>
      </c>
      <c r="N1676" t="str">
        <f>IF(Table2[[#This Row],[Stock Gap]]&lt;0, "Understock","Okay")</f>
        <v>Okay</v>
      </c>
      <c r="O1676" s="13" t="str">
        <f>IF(Table2[[#This Row],[Stock Gap]]&lt;0, "Yes", "No")</f>
        <v>No</v>
      </c>
      <c r="P1676" s="13" t="str">
        <f>IF(Table2[[#This Row],[CurrentStock]]&lt;Table2[[#This Row],[ReorderLevel]],"Reorder", "Okay")</f>
        <v>Okay</v>
      </c>
      <c r="Q1676" s="13" t="str">
        <f>IF(Table2[[#This Row],[CurrentStock]]&gt;Table2[[#This Row],[ReorderLevel]]*3, "Overstock", "Okay")</f>
        <v>Okay</v>
      </c>
    </row>
    <row r="1677" spans="1:17" x14ac:dyDescent="0.35">
      <c r="A1677">
        <v>74320</v>
      </c>
      <c r="B1677" t="s">
        <v>23</v>
      </c>
      <c r="C1677" t="s">
        <v>30</v>
      </c>
      <c r="D1677">
        <v>122</v>
      </c>
      <c r="E1677">
        <v>100</v>
      </c>
      <c r="F1677" s="2">
        <v>177.1</v>
      </c>
      <c r="G1677" t="s">
        <v>32</v>
      </c>
      <c r="H1677" s="1">
        <v>45609</v>
      </c>
      <c r="I1677" s="1">
        <v>45641</v>
      </c>
      <c r="J1677" t="s">
        <v>37</v>
      </c>
      <c r="K1677" s="8">
        <f>Table2[[#This Row],[CurrentStock]]*Table2[[#This Row],[UnitPrice]]</f>
        <v>21606.2</v>
      </c>
      <c r="L1677" t="str">
        <f>IF(Table2[[#This Row],[CurrentStock]]&lt;=Table2[[#This Row],[ReorderLevel]], "Reorder Needed", "Okay")</f>
        <v>Okay</v>
      </c>
      <c r="M1677" t="str">
        <f>IF(Table2[[#This Row],[CurrentStock]]-Table2[[#This Row],[ReorderLevel]]&lt;0,Table2[[#This Row],[CurrentStock]]-Table2[[#This Row],[ReorderLevel]],"")</f>
        <v/>
      </c>
      <c r="N1677" t="str">
        <f>IF(Table2[[#This Row],[Stock Gap]]&lt;0, "Understock","Okay")</f>
        <v>Okay</v>
      </c>
      <c r="O1677" s="13" t="str">
        <f>IF(Table2[[#This Row],[Stock Gap]]&lt;0, "Yes", "No")</f>
        <v>No</v>
      </c>
      <c r="P1677" s="13" t="str">
        <f>IF(Table2[[#This Row],[CurrentStock]]&lt;Table2[[#This Row],[ReorderLevel]],"Reorder", "Okay")</f>
        <v>Okay</v>
      </c>
      <c r="Q1677" s="13" t="str">
        <f>IF(Table2[[#This Row],[CurrentStock]]&gt;Table2[[#This Row],[ReorderLevel]]*3, "Overstock", "Okay")</f>
        <v>Okay</v>
      </c>
    </row>
    <row r="1678" spans="1:17" x14ac:dyDescent="0.35">
      <c r="A1678">
        <v>48292</v>
      </c>
      <c r="B1678" t="s">
        <v>17</v>
      </c>
      <c r="C1678" t="s">
        <v>27</v>
      </c>
      <c r="D1678">
        <v>361</v>
      </c>
      <c r="E1678">
        <v>30</v>
      </c>
      <c r="F1678" s="2">
        <v>228.83</v>
      </c>
      <c r="G1678" t="s">
        <v>34</v>
      </c>
      <c r="H1678" s="1">
        <v>45349</v>
      </c>
      <c r="I1678" s="1">
        <v>45374</v>
      </c>
      <c r="J1678" t="s">
        <v>37</v>
      </c>
      <c r="K1678" s="8">
        <f>Table2[[#This Row],[CurrentStock]]*Table2[[#This Row],[UnitPrice]]</f>
        <v>82607.63</v>
      </c>
      <c r="L1678" t="str">
        <f>IF(Table2[[#This Row],[CurrentStock]]&lt;=Table2[[#This Row],[ReorderLevel]], "Reorder Needed", "Okay")</f>
        <v>Okay</v>
      </c>
      <c r="M1678" t="str">
        <f>IF(Table2[[#This Row],[CurrentStock]]-Table2[[#This Row],[ReorderLevel]]&lt;0,Table2[[#This Row],[CurrentStock]]-Table2[[#This Row],[ReorderLevel]],"")</f>
        <v/>
      </c>
      <c r="N1678" t="str">
        <f>IF(Table2[[#This Row],[Stock Gap]]&lt;0, "Understock","Okay")</f>
        <v>Okay</v>
      </c>
      <c r="O1678" s="13" t="str">
        <f>IF(Table2[[#This Row],[Stock Gap]]&lt;0, "Yes", "No")</f>
        <v>No</v>
      </c>
      <c r="P1678" s="13" t="str">
        <f>IF(Table2[[#This Row],[CurrentStock]]&lt;Table2[[#This Row],[ReorderLevel]],"Reorder", "Okay")</f>
        <v>Okay</v>
      </c>
      <c r="Q1678" s="13" t="str">
        <f>IF(Table2[[#This Row],[CurrentStock]]&gt;Table2[[#This Row],[ReorderLevel]]*3, "Overstock", "Okay")</f>
        <v>Overstock</v>
      </c>
    </row>
    <row r="1679" spans="1:17" x14ac:dyDescent="0.35">
      <c r="A1679">
        <v>71040</v>
      </c>
      <c r="B1679" t="s">
        <v>25</v>
      </c>
      <c r="C1679" t="s">
        <v>29</v>
      </c>
      <c r="D1679">
        <v>249</v>
      </c>
      <c r="E1679">
        <v>20</v>
      </c>
      <c r="F1679" s="2">
        <v>390.48</v>
      </c>
      <c r="G1679" t="s">
        <v>35</v>
      </c>
      <c r="H1679" s="1">
        <v>45620</v>
      </c>
      <c r="I1679" s="1">
        <v>45656</v>
      </c>
      <c r="J1679" t="s">
        <v>37</v>
      </c>
      <c r="K1679" s="8">
        <f>Table2[[#This Row],[CurrentStock]]*Table2[[#This Row],[UnitPrice]]</f>
        <v>97229.52</v>
      </c>
      <c r="L1679" t="str">
        <f>IF(Table2[[#This Row],[CurrentStock]]&lt;=Table2[[#This Row],[ReorderLevel]], "Reorder Needed", "Okay")</f>
        <v>Okay</v>
      </c>
      <c r="M1679" t="str">
        <f>IF(Table2[[#This Row],[CurrentStock]]-Table2[[#This Row],[ReorderLevel]]&lt;0,Table2[[#This Row],[CurrentStock]]-Table2[[#This Row],[ReorderLevel]],"")</f>
        <v/>
      </c>
      <c r="N1679" t="str">
        <f>IF(Table2[[#This Row],[Stock Gap]]&lt;0, "Understock","Okay")</f>
        <v>Okay</v>
      </c>
      <c r="O1679" s="13" t="str">
        <f>IF(Table2[[#This Row],[Stock Gap]]&lt;0, "Yes", "No")</f>
        <v>No</v>
      </c>
      <c r="P1679" s="13" t="str">
        <f>IF(Table2[[#This Row],[CurrentStock]]&lt;Table2[[#This Row],[ReorderLevel]],"Reorder", "Okay")</f>
        <v>Okay</v>
      </c>
      <c r="Q1679" s="13" t="str">
        <f>IF(Table2[[#This Row],[CurrentStock]]&gt;Table2[[#This Row],[ReorderLevel]]*3, "Overstock", "Okay")</f>
        <v>Overstock</v>
      </c>
    </row>
    <row r="1680" spans="1:17" x14ac:dyDescent="0.35">
      <c r="A1680">
        <v>24677</v>
      </c>
      <c r="B1680" t="s">
        <v>19</v>
      </c>
      <c r="C1680" t="s">
        <v>28</v>
      </c>
      <c r="D1680">
        <v>283</v>
      </c>
      <c r="E1680">
        <v>150</v>
      </c>
      <c r="F1680" s="2">
        <v>262.12</v>
      </c>
      <c r="G1680" t="s">
        <v>32</v>
      </c>
      <c r="H1680" s="1">
        <v>45338</v>
      </c>
      <c r="I1680" s="1">
        <v>45360</v>
      </c>
      <c r="J1680" t="s">
        <v>38</v>
      </c>
      <c r="K1680" s="8">
        <f>Table2[[#This Row],[CurrentStock]]*Table2[[#This Row],[UnitPrice]]</f>
        <v>74179.960000000006</v>
      </c>
      <c r="L1680" t="str">
        <f>IF(Table2[[#This Row],[CurrentStock]]&lt;=Table2[[#This Row],[ReorderLevel]], "Reorder Needed", "Okay")</f>
        <v>Okay</v>
      </c>
      <c r="M1680" t="str">
        <f>IF(Table2[[#This Row],[CurrentStock]]-Table2[[#This Row],[ReorderLevel]]&lt;0,Table2[[#This Row],[CurrentStock]]-Table2[[#This Row],[ReorderLevel]],"")</f>
        <v/>
      </c>
      <c r="N1680" t="str">
        <f>IF(Table2[[#This Row],[Stock Gap]]&lt;0, "Understock","Okay")</f>
        <v>Okay</v>
      </c>
      <c r="O1680" s="13" t="str">
        <f>IF(Table2[[#This Row],[Stock Gap]]&lt;0, "Yes", "No")</f>
        <v>No</v>
      </c>
      <c r="P1680" s="13" t="str">
        <f>IF(Table2[[#This Row],[CurrentStock]]&lt;Table2[[#This Row],[ReorderLevel]],"Reorder", "Okay")</f>
        <v>Okay</v>
      </c>
      <c r="Q1680" s="13" t="str">
        <f>IF(Table2[[#This Row],[CurrentStock]]&gt;Table2[[#This Row],[ReorderLevel]]*3, "Overstock", "Okay")</f>
        <v>Okay</v>
      </c>
    </row>
    <row r="1681" spans="1:17" x14ac:dyDescent="0.35">
      <c r="A1681">
        <v>22559</v>
      </c>
      <c r="B1681" t="s">
        <v>23</v>
      </c>
      <c r="C1681" t="s">
        <v>30</v>
      </c>
      <c r="D1681">
        <v>390</v>
      </c>
      <c r="E1681">
        <v>40</v>
      </c>
      <c r="F1681" s="2">
        <v>127.03</v>
      </c>
      <c r="G1681" t="s">
        <v>35</v>
      </c>
      <c r="H1681" s="1">
        <v>45593</v>
      </c>
      <c r="I1681" s="1">
        <v>45610</v>
      </c>
      <c r="J1681" t="s">
        <v>36</v>
      </c>
      <c r="K1681" s="8">
        <f>Table2[[#This Row],[CurrentStock]]*Table2[[#This Row],[UnitPrice]]</f>
        <v>49541.7</v>
      </c>
      <c r="L1681" t="str">
        <f>IF(Table2[[#This Row],[CurrentStock]]&lt;=Table2[[#This Row],[ReorderLevel]], "Reorder Needed", "Okay")</f>
        <v>Okay</v>
      </c>
      <c r="M1681" t="str">
        <f>IF(Table2[[#This Row],[CurrentStock]]-Table2[[#This Row],[ReorderLevel]]&lt;0,Table2[[#This Row],[CurrentStock]]-Table2[[#This Row],[ReorderLevel]],"")</f>
        <v/>
      </c>
      <c r="N1681" t="str">
        <f>IF(Table2[[#This Row],[Stock Gap]]&lt;0, "Understock","Okay")</f>
        <v>Okay</v>
      </c>
      <c r="O1681" s="13" t="str">
        <f>IF(Table2[[#This Row],[Stock Gap]]&lt;0, "Yes", "No")</f>
        <v>No</v>
      </c>
      <c r="P1681" s="13" t="str">
        <f>IF(Table2[[#This Row],[CurrentStock]]&lt;Table2[[#This Row],[ReorderLevel]],"Reorder", "Okay")</f>
        <v>Okay</v>
      </c>
      <c r="Q1681" s="13" t="str">
        <f>IF(Table2[[#This Row],[CurrentStock]]&gt;Table2[[#This Row],[ReorderLevel]]*3, "Overstock", "Okay")</f>
        <v>Overstock</v>
      </c>
    </row>
    <row r="1682" spans="1:17" x14ac:dyDescent="0.35">
      <c r="A1682">
        <v>10058</v>
      </c>
      <c r="B1682" t="s">
        <v>20</v>
      </c>
      <c r="C1682" t="s">
        <v>30</v>
      </c>
      <c r="D1682">
        <v>358</v>
      </c>
      <c r="E1682">
        <v>150</v>
      </c>
      <c r="F1682" s="2">
        <v>24.43</v>
      </c>
      <c r="G1682" t="s">
        <v>35</v>
      </c>
      <c r="H1682" s="1">
        <v>45339</v>
      </c>
      <c r="I1682" s="1">
        <v>45369</v>
      </c>
      <c r="J1682" t="s">
        <v>37</v>
      </c>
      <c r="K1682" s="8">
        <f>Table2[[#This Row],[CurrentStock]]*Table2[[#This Row],[UnitPrice]]</f>
        <v>8745.94</v>
      </c>
      <c r="L1682" t="str">
        <f>IF(Table2[[#This Row],[CurrentStock]]&lt;=Table2[[#This Row],[ReorderLevel]], "Reorder Needed", "Okay")</f>
        <v>Okay</v>
      </c>
      <c r="M1682" t="str">
        <f>IF(Table2[[#This Row],[CurrentStock]]-Table2[[#This Row],[ReorderLevel]]&lt;0,Table2[[#This Row],[CurrentStock]]-Table2[[#This Row],[ReorderLevel]],"")</f>
        <v/>
      </c>
      <c r="N1682" t="str">
        <f>IF(Table2[[#This Row],[Stock Gap]]&lt;0, "Understock","Okay")</f>
        <v>Okay</v>
      </c>
      <c r="O1682" s="13" t="str">
        <f>IF(Table2[[#This Row],[Stock Gap]]&lt;0, "Yes", "No")</f>
        <v>No</v>
      </c>
      <c r="P1682" s="13" t="str">
        <f>IF(Table2[[#This Row],[CurrentStock]]&lt;Table2[[#This Row],[ReorderLevel]],"Reorder", "Okay")</f>
        <v>Okay</v>
      </c>
      <c r="Q1682" s="13" t="str">
        <f>IF(Table2[[#This Row],[CurrentStock]]&gt;Table2[[#This Row],[ReorderLevel]]*3, "Overstock", "Okay")</f>
        <v>Okay</v>
      </c>
    </row>
    <row r="1683" spans="1:17" x14ac:dyDescent="0.35">
      <c r="A1683">
        <v>12674</v>
      </c>
      <c r="B1683" t="s">
        <v>24</v>
      </c>
      <c r="C1683" t="s">
        <v>30</v>
      </c>
      <c r="D1683">
        <v>54</v>
      </c>
      <c r="E1683">
        <v>150</v>
      </c>
      <c r="F1683" s="2">
        <v>405.75</v>
      </c>
      <c r="G1683" t="s">
        <v>35</v>
      </c>
      <c r="H1683" s="1">
        <v>45376</v>
      </c>
      <c r="I1683" s="1">
        <v>45402</v>
      </c>
      <c r="J1683" t="s">
        <v>38</v>
      </c>
      <c r="K1683" s="8">
        <f>Table2[[#This Row],[CurrentStock]]*Table2[[#This Row],[UnitPrice]]</f>
        <v>21910.5</v>
      </c>
      <c r="L1683" t="str">
        <f>IF(Table2[[#This Row],[CurrentStock]]&lt;=Table2[[#This Row],[ReorderLevel]], "Reorder Needed", "Okay")</f>
        <v>Reorder Needed</v>
      </c>
      <c r="M1683" s="7">
        <f>IF(Table2[[#This Row],[CurrentStock]]-Table2[[#This Row],[ReorderLevel]]&lt;0,Table2[[#This Row],[CurrentStock]]-Table2[[#This Row],[ReorderLevel]],"")</f>
        <v>-96</v>
      </c>
      <c r="N1683" t="str">
        <f>IF(Table2[[#This Row],[Stock Gap]]&lt;0, "Understock","Okay")</f>
        <v>Understock</v>
      </c>
      <c r="O1683" s="13" t="str">
        <f>IF(Table2[[#This Row],[Stock Gap]]&lt;0, "Yes", "No")</f>
        <v>Yes</v>
      </c>
      <c r="P1683" s="13" t="str">
        <f>IF(Table2[[#This Row],[CurrentStock]]&lt;Table2[[#This Row],[ReorderLevel]],"Reorder", "Okay")</f>
        <v>Reorder</v>
      </c>
      <c r="Q1683" s="13" t="str">
        <f>IF(Table2[[#This Row],[CurrentStock]]&gt;Table2[[#This Row],[ReorderLevel]]*3, "Overstock", "Okay")</f>
        <v>Okay</v>
      </c>
    </row>
    <row r="1684" spans="1:17" x14ac:dyDescent="0.35">
      <c r="A1684">
        <v>62342</v>
      </c>
      <c r="B1684" t="s">
        <v>25</v>
      </c>
      <c r="C1684" t="s">
        <v>29</v>
      </c>
      <c r="D1684">
        <v>66</v>
      </c>
      <c r="E1684">
        <v>40</v>
      </c>
      <c r="F1684" s="2">
        <v>462.29</v>
      </c>
      <c r="G1684" t="s">
        <v>33</v>
      </c>
      <c r="H1684" s="1">
        <v>45634</v>
      </c>
      <c r="I1684" s="1">
        <v>45671</v>
      </c>
      <c r="J1684" t="s">
        <v>36</v>
      </c>
      <c r="K1684" s="8">
        <f>Table2[[#This Row],[CurrentStock]]*Table2[[#This Row],[UnitPrice]]</f>
        <v>30511.140000000003</v>
      </c>
      <c r="L1684" t="str">
        <f>IF(Table2[[#This Row],[CurrentStock]]&lt;=Table2[[#This Row],[ReorderLevel]], "Reorder Needed", "Okay")</f>
        <v>Okay</v>
      </c>
      <c r="M1684" t="str">
        <f>IF(Table2[[#This Row],[CurrentStock]]-Table2[[#This Row],[ReorderLevel]]&lt;0,Table2[[#This Row],[CurrentStock]]-Table2[[#This Row],[ReorderLevel]],"")</f>
        <v/>
      </c>
      <c r="N1684" t="str">
        <f>IF(Table2[[#This Row],[Stock Gap]]&lt;0, "Understock","Okay")</f>
        <v>Okay</v>
      </c>
      <c r="O1684" s="13" t="str">
        <f>IF(Table2[[#This Row],[Stock Gap]]&lt;0, "Yes", "No")</f>
        <v>No</v>
      </c>
      <c r="P1684" s="13" t="str">
        <f>IF(Table2[[#This Row],[CurrentStock]]&lt;Table2[[#This Row],[ReorderLevel]],"Reorder", "Okay")</f>
        <v>Okay</v>
      </c>
      <c r="Q1684" s="13" t="str">
        <f>IF(Table2[[#This Row],[CurrentStock]]&gt;Table2[[#This Row],[ReorderLevel]]*3, "Overstock", "Okay")</f>
        <v>Okay</v>
      </c>
    </row>
    <row r="1685" spans="1:17" x14ac:dyDescent="0.35">
      <c r="A1685">
        <v>30171</v>
      </c>
      <c r="B1685" t="s">
        <v>15</v>
      </c>
      <c r="C1685" t="s">
        <v>29</v>
      </c>
      <c r="D1685">
        <v>184</v>
      </c>
      <c r="E1685">
        <v>30</v>
      </c>
      <c r="F1685" s="2">
        <v>131.97999999999999</v>
      </c>
      <c r="G1685" t="s">
        <v>33</v>
      </c>
      <c r="H1685" s="1">
        <v>45313</v>
      </c>
      <c r="I1685" s="1">
        <v>45330</v>
      </c>
      <c r="J1685" t="s">
        <v>38</v>
      </c>
      <c r="K1685" s="8">
        <f>Table2[[#This Row],[CurrentStock]]*Table2[[#This Row],[UnitPrice]]</f>
        <v>24284.32</v>
      </c>
      <c r="L1685" t="str">
        <f>IF(Table2[[#This Row],[CurrentStock]]&lt;=Table2[[#This Row],[ReorderLevel]], "Reorder Needed", "Okay")</f>
        <v>Okay</v>
      </c>
      <c r="M1685" t="str">
        <f>IF(Table2[[#This Row],[CurrentStock]]-Table2[[#This Row],[ReorderLevel]]&lt;0,Table2[[#This Row],[CurrentStock]]-Table2[[#This Row],[ReorderLevel]],"")</f>
        <v/>
      </c>
      <c r="N1685" t="str">
        <f>IF(Table2[[#This Row],[Stock Gap]]&lt;0, "Understock","Okay")</f>
        <v>Okay</v>
      </c>
      <c r="O1685" s="13" t="str">
        <f>IF(Table2[[#This Row],[Stock Gap]]&lt;0, "Yes", "No")</f>
        <v>No</v>
      </c>
      <c r="P1685" s="13" t="str">
        <f>IF(Table2[[#This Row],[CurrentStock]]&lt;Table2[[#This Row],[ReorderLevel]],"Reorder", "Okay")</f>
        <v>Okay</v>
      </c>
      <c r="Q1685" s="13" t="str">
        <f>IF(Table2[[#This Row],[CurrentStock]]&gt;Table2[[#This Row],[ReorderLevel]]*3, "Overstock", "Okay")</f>
        <v>Overstock</v>
      </c>
    </row>
    <row r="1686" spans="1:17" x14ac:dyDescent="0.35">
      <c r="A1686">
        <v>31236</v>
      </c>
      <c r="B1686" t="s">
        <v>15</v>
      </c>
      <c r="C1686" t="s">
        <v>29</v>
      </c>
      <c r="D1686">
        <v>420</v>
      </c>
      <c r="E1686">
        <v>80</v>
      </c>
      <c r="F1686" s="2">
        <v>341.36</v>
      </c>
      <c r="G1686" t="s">
        <v>34</v>
      </c>
      <c r="H1686" s="1">
        <v>45427</v>
      </c>
      <c r="I1686" s="1">
        <v>45464</v>
      </c>
      <c r="J1686" t="s">
        <v>37</v>
      </c>
      <c r="K1686" s="8">
        <f>Table2[[#This Row],[CurrentStock]]*Table2[[#This Row],[UnitPrice]]</f>
        <v>143371.20000000001</v>
      </c>
      <c r="L1686" t="str">
        <f>IF(Table2[[#This Row],[CurrentStock]]&lt;=Table2[[#This Row],[ReorderLevel]], "Reorder Needed", "Okay")</f>
        <v>Okay</v>
      </c>
      <c r="M1686" t="str">
        <f>IF(Table2[[#This Row],[CurrentStock]]-Table2[[#This Row],[ReorderLevel]]&lt;0,Table2[[#This Row],[CurrentStock]]-Table2[[#This Row],[ReorderLevel]],"")</f>
        <v/>
      </c>
      <c r="N1686" t="str">
        <f>IF(Table2[[#This Row],[Stock Gap]]&lt;0, "Understock","Okay")</f>
        <v>Okay</v>
      </c>
      <c r="O1686" s="13" t="str">
        <f>IF(Table2[[#This Row],[Stock Gap]]&lt;0, "Yes", "No")</f>
        <v>No</v>
      </c>
      <c r="P1686" s="13" t="str">
        <f>IF(Table2[[#This Row],[CurrentStock]]&lt;Table2[[#This Row],[ReorderLevel]],"Reorder", "Okay")</f>
        <v>Okay</v>
      </c>
      <c r="Q1686" s="13" t="str">
        <f>IF(Table2[[#This Row],[CurrentStock]]&gt;Table2[[#This Row],[ReorderLevel]]*3, "Overstock", "Okay")</f>
        <v>Overstock</v>
      </c>
    </row>
    <row r="1687" spans="1:17" x14ac:dyDescent="0.35">
      <c r="A1687">
        <v>19145</v>
      </c>
      <c r="B1687" t="s">
        <v>25</v>
      </c>
      <c r="C1687" t="s">
        <v>29</v>
      </c>
      <c r="D1687">
        <v>385</v>
      </c>
      <c r="E1687">
        <v>150</v>
      </c>
      <c r="F1687" s="2">
        <v>179.15</v>
      </c>
      <c r="G1687" t="s">
        <v>31</v>
      </c>
      <c r="H1687" s="1">
        <v>45407</v>
      </c>
      <c r="I1687" s="1">
        <v>45442</v>
      </c>
      <c r="J1687" t="s">
        <v>37</v>
      </c>
      <c r="K1687" s="8">
        <f>Table2[[#This Row],[CurrentStock]]*Table2[[#This Row],[UnitPrice]]</f>
        <v>68972.75</v>
      </c>
      <c r="L1687" t="str">
        <f>IF(Table2[[#This Row],[CurrentStock]]&lt;=Table2[[#This Row],[ReorderLevel]], "Reorder Needed", "Okay")</f>
        <v>Okay</v>
      </c>
      <c r="M1687" t="str">
        <f>IF(Table2[[#This Row],[CurrentStock]]-Table2[[#This Row],[ReorderLevel]]&lt;0,Table2[[#This Row],[CurrentStock]]-Table2[[#This Row],[ReorderLevel]],"")</f>
        <v/>
      </c>
      <c r="N1687" t="str">
        <f>IF(Table2[[#This Row],[Stock Gap]]&lt;0, "Understock","Okay")</f>
        <v>Okay</v>
      </c>
      <c r="O1687" s="13" t="str">
        <f>IF(Table2[[#This Row],[Stock Gap]]&lt;0, "Yes", "No")</f>
        <v>No</v>
      </c>
      <c r="P1687" s="13" t="str">
        <f>IF(Table2[[#This Row],[CurrentStock]]&lt;Table2[[#This Row],[ReorderLevel]],"Reorder", "Okay")</f>
        <v>Okay</v>
      </c>
      <c r="Q1687" s="13" t="str">
        <f>IF(Table2[[#This Row],[CurrentStock]]&gt;Table2[[#This Row],[ReorderLevel]]*3, "Overstock", "Okay")</f>
        <v>Okay</v>
      </c>
    </row>
    <row r="1688" spans="1:17" x14ac:dyDescent="0.35">
      <c r="A1688">
        <v>61712</v>
      </c>
      <c r="B1688" t="s">
        <v>19</v>
      </c>
      <c r="C1688" t="s">
        <v>28</v>
      </c>
      <c r="D1688">
        <v>9</v>
      </c>
      <c r="E1688">
        <v>80</v>
      </c>
      <c r="F1688" s="2">
        <v>68.23</v>
      </c>
      <c r="G1688" t="s">
        <v>34</v>
      </c>
      <c r="H1688" s="1">
        <v>45413</v>
      </c>
      <c r="I1688" s="1">
        <v>45443</v>
      </c>
      <c r="J1688" t="s">
        <v>38</v>
      </c>
      <c r="K1688" s="8">
        <f>Table2[[#This Row],[CurrentStock]]*Table2[[#This Row],[UnitPrice]]</f>
        <v>614.07000000000005</v>
      </c>
      <c r="L1688" t="str">
        <f>IF(Table2[[#This Row],[CurrentStock]]&lt;=Table2[[#This Row],[ReorderLevel]], "Reorder Needed", "Okay")</f>
        <v>Reorder Needed</v>
      </c>
      <c r="M1688" s="7">
        <f>IF(Table2[[#This Row],[CurrentStock]]-Table2[[#This Row],[ReorderLevel]]&lt;0,Table2[[#This Row],[CurrentStock]]-Table2[[#This Row],[ReorderLevel]],"")</f>
        <v>-71</v>
      </c>
      <c r="N1688" t="str">
        <f>IF(Table2[[#This Row],[Stock Gap]]&lt;0, "Understock","Okay")</f>
        <v>Understock</v>
      </c>
      <c r="O1688" s="13" t="str">
        <f>IF(Table2[[#This Row],[Stock Gap]]&lt;0, "Yes", "No")</f>
        <v>Yes</v>
      </c>
      <c r="P1688" s="13" t="str">
        <f>IF(Table2[[#This Row],[CurrentStock]]&lt;Table2[[#This Row],[ReorderLevel]],"Reorder", "Okay")</f>
        <v>Reorder</v>
      </c>
      <c r="Q1688" s="13" t="str">
        <f>IF(Table2[[#This Row],[CurrentStock]]&gt;Table2[[#This Row],[ReorderLevel]]*3, "Overstock", "Okay")</f>
        <v>Okay</v>
      </c>
    </row>
    <row r="1689" spans="1:17" x14ac:dyDescent="0.35">
      <c r="A1689">
        <v>61567</v>
      </c>
      <c r="B1689" t="s">
        <v>11</v>
      </c>
      <c r="C1689" t="s">
        <v>27</v>
      </c>
      <c r="D1689">
        <v>337</v>
      </c>
      <c r="E1689">
        <v>20</v>
      </c>
      <c r="F1689" s="2">
        <v>245.2</v>
      </c>
      <c r="G1689" t="s">
        <v>33</v>
      </c>
      <c r="H1689" s="1">
        <v>45358</v>
      </c>
      <c r="I1689" s="1">
        <v>45379</v>
      </c>
      <c r="J1689" t="s">
        <v>36</v>
      </c>
      <c r="K1689" s="8">
        <f>Table2[[#This Row],[CurrentStock]]*Table2[[#This Row],[UnitPrice]]</f>
        <v>82632.399999999994</v>
      </c>
      <c r="L1689" t="str">
        <f>IF(Table2[[#This Row],[CurrentStock]]&lt;=Table2[[#This Row],[ReorderLevel]], "Reorder Needed", "Okay")</f>
        <v>Okay</v>
      </c>
      <c r="M1689" t="str">
        <f>IF(Table2[[#This Row],[CurrentStock]]-Table2[[#This Row],[ReorderLevel]]&lt;0,Table2[[#This Row],[CurrentStock]]-Table2[[#This Row],[ReorderLevel]],"")</f>
        <v/>
      </c>
      <c r="N1689" t="str">
        <f>IF(Table2[[#This Row],[Stock Gap]]&lt;0, "Understock","Okay")</f>
        <v>Okay</v>
      </c>
      <c r="O1689" s="13" t="str">
        <f>IF(Table2[[#This Row],[Stock Gap]]&lt;0, "Yes", "No")</f>
        <v>No</v>
      </c>
      <c r="P1689" s="13" t="str">
        <f>IF(Table2[[#This Row],[CurrentStock]]&lt;Table2[[#This Row],[ReorderLevel]],"Reorder", "Okay")</f>
        <v>Okay</v>
      </c>
      <c r="Q1689" s="13" t="str">
        <f>IF(Table2[[#This Row],[CurrentStock]]&gt;Table2[[#This Row],[ReorderLevel]]*3, "Overstock", "Okay")</f>
        <v>Overstock</v>
      </c>
    </row>
    <row r="1690" spans="1:17" x14ac:dyDescent="0.35">
      <c r="A1690">
        <v>57452</v>
      </c>
      <c r="B1690" t="s">
        <v>17</v>
      </c>
      <c r="C1690" t="s">
        <v>27</v>
      </c>
      <c r="D1690">
        <v>445</v>
      </c>
      <c r="E1690">
        <v>20</v>
      </c>
      <c r="F1690" s="2">
        <v>309.39</v>
      </c>
      <c r="G1690" t="s">
        <v>31</v>
      </c>
      <c r="H1690" s="1">
        <v>45406</v>
      </c>
      <c r="I1690" s="1">
        <v>45435</v>
      </c>
      <c r="J1690" t="s">
        <v>38</v>
      </c>
      <c r="K1690" s="8">
        <f>Table2[[#This Row],[CurrentStock]]*Table2[[#This Row],[UnitPrice]]</f>
        <v>137678.54999999999</v>
      </c>
      <c r="L1690" t="str">
        <f>IF(Table2[[#This Row],[CurrentStock]]&lt;=Table2[[#This Row],[ReorderLevel]], "Reorder Needed", "Okay")</f>
        <v>Okay</v>
      </c>
      <c r="M1690" t="str">
        <f>IF(Table2[[#This Row],[CurrentStock]]-Table2[[#This Row],[ReorderLevel]]&lt;0,Table2[[#This Row],[CurrentStock]]-Table2[[#This Row],[ReorderLevel]],"")</f>
        <v/>
      </c>
      <c r="N1690" t="str">
        <f>IF(Table2[[#This Row],[Stock Gap]]&lt;0, "Understock","Okay")</f>
        <v>Okay</v>
      </c>
      <c r="O1690" s="13" t="str">
        <f>IF(Table2[[#This Row],[Stock Gap]]&lt;0, "Yes", "No")</f>
        <v>No</v>
      </c>
      <c r="P1690" s="13" t="str">
        <f>IF(Table2[[#This Row],[CurrentStock]]&lt;Table2[[#This Row],[ReorderLevel]],"Reorder", "Okay")</f>
        <v>Okay</v>
      </c>
      <c r="Q1690" s="13" t="str">
        <f>IF(Table2[[#This Row],[CurrentStock]]&gt;Table2[[#This Row],[ReorderLevel]]*3, "Overstock", "Okay")</f>
        <v>Overstock</v>
      </c>
    </row>
    <row r="1691" spans="1:17" x14ac:dyDescent="0.35">
      <c r="A1691">
        <v>60511</v>
      </c>
      <c r="B1691" t="s">
        <v>25</v>
      </c>
      <c r="C1691" t="s">
        <v>29</v>
      </c>
      <c r="D1691">
        <v>321</v>
      </c>
      <c r="E1691">
        <v>50</v>
      </c>
      <c r="F1691" s="2">
        <v>55.9</v>
      </c>
      <c r="G1691" t="s">
        <v>34</v>
      </c>
      <c r="H1691" s="1">
        <v>45307</v>
      </c>
      <c r="I1691" s="1">
        <v>45325</v>
      </c>
      <c r="J1691" t="s">
        <v>36</v>
      </c>
      <c r="K1691" s="8">
        <f>Table2[[#This Row],[CurrentStock]]*Table2[[#This Row],[UnitPrice]]</f>
        <v>17943.899999999998</v>
      </c>
      <c r="L1691" t="str">
        <f>IF(Table2[[#This Row],[CurrentStock]]&lt;=Table2[[#This Row],[ReorderLevel]], "Reorder Needed", "Okay")</f>
        <v>Okay</v>
      </c>
      <c r="M1691" t="str">
        <f>IF(Table2[[#This Row],[CurrentStock]]-Table2[[#This Row],[ReorderLevel]]&lt;0,Table2[[#This Row],[CurrentStock]]-Table2[[#This Row],[ReorderLevel]],"")</f>
        <v/>
      </c>
      <c r="N1691" t="str">
        <f>IF(Table2[[#This Row],[Stock Gap]]&lt;0, "Understock","Okay")</f>
        <v>Okay</v>
      </c>
      <c r="O1691" s="13" t="str">
        <f>IF(Table2[[#This Row],[Stock Gap]]&lt;0, "Yes", "No")</f>
        <v>No</v>
      </c>
      <c r="P1691" s="13" t="str">
        <f>IF(Table2[[#This Row],[CurrentStock]]&lt;Table2[[#This Row],[ReorderLevel]],"Reorder", "Okay")</f>
        <v>Okay</v>
      </c>
      <c r="Q1691" s="13" t="str">
        <f>IF(Table2[[#This Row],[CurrentStock]]&gt;Table2[[#This Row],[ReorderLevel]]*3, "Overstock", "Okay")</f>
        <v>Overstock</v>
      </c>
    </row>
    <row r="1692" spans="1:17" x14ac:dyDescent="0.35">
      <c r="A1692">
        <v>91984</v>
      </c>
      <c r="B1692" t="s">
        <v>9</v>
      </c>
      <c r="C1692" t="s">
        <v>26</v>
      </c>
      <c r="D1692">
        <v>126</v>
      </c>
      <c r="E1692">
        <v>100</v>
      </c>
      <c r="F1692" s="2">
        <v>45.74</v>
      </c>
      <c r="G1692" t="s">
        <v>34</v>
      </c>
      <c r="H1692" s="1">
        <v>45523</v>
      </c>
      <c r="I1692" s="1">
        <v>45530</v>
      </c>
      <c r="J1692" t="s">
        <v>37</v>
      </c>
      <c r="K1692" s="8">
        <f>Table2[[#This Row],[CurrentStock]]*Table2[[#This Row],[UnitPrice]]</f>
        <v>5763.2400000000007</v>
      </c>
      <c r="L1692" t="str">
        <f>IF(Table2[[#This Row],[CurrentStock]]&lt;=Table2[[#This Row],[ReorderLevel]], "Reorder Needed", "Okay")</f>
        <v>Okay</v>
      </c>
      <c r="M1692" t="str">
        <f>IF(Table2[[#This Row],[CurrentStock]]-Table2[[#This Row],[ReorderLevel]]&lt;0,Table2[[#This Row],[CurrentStock]]-Table2[[#This Row],[ReorderLevel]],"")</f>
        <v/>
      </c>
      <c r="N1692" t="str">
        <f>IF(Table2[[#This Row],[Stock Gap]]&lt;0, "Understock","Okay")</f>
        <v>Okay</v>
      </c>
      <c r="O1692" s="13" t="str">
        <f>IF(Table2[[#This Row],[Stock Gap]]&lt;0, "Yes", "No")</f>
        <v>No</v>
      </c>
      <c r="P1692" s="13" t="str">
        <f>IF(Table2[[#This Row],[CurrentStock]]&lt;Table2[[#This Row],[ReorderLevel]],"Reorder", "Okay")</f>
        <v>Okay</v>
      </c>
      <c r="Q1692" s="13" t="str">
        <f>IF(Table2[[#This Row],[CurrentStock]]&gt;Table2[[#This Row],[ReorderLevel]]*3, "Overstock", "Okay")</f>
        <v>Okay</v>
      </c>
    </row>
    <row r="1693" spans="1:17" x14ac:dyDescent="0.35">
      <c r="A1693">
        <v>11238</v>
      </c>
      <c r="B1693" t="s">
        <v>25</v>
      </c>
      <c r="C1693" t="s">
        <v>29</v>
      </c>
      <c r="D1693">
        <v>157</v>
      </c>
      <c r="E1693">
        <v>20</v>
      </c>
      <c r="F1693" s="2">
        <v>299.92</v>
      </c>
      <c r="G1693" t="s">
        <v>33</v>
      </c>
      <c r="H1693" s="1">
        <v>45473</v>
      </c>
      <c r="I1693" s="1">
        <v>45481</v>
      </c>
      <c r="J1693" t="s">
        <v>36</v>
      </c>
      <c r="K1693" s="8">
        <f>Table2[[#This Row],[CurrentStock]]*Table2[[#This Row],[UnitPrice]]</f>
        <v>47087.44</v>
      </c>
      <c r="L1693" t="str">
        <f>IF(Table2[[#This Row],[CurrentStock]]&lt;=Table2[[#This Row],[ReorderLevel]], "Reorder Needed", "Okay")</f>
        <v>Okay</v>
      </c>
      <c r="M1693" t="str">
        <f>IF(Table2[[#This Row],[CurrentStock]]-Table2[[#This Row],[ReorderLevel]]&lt;0,Table2[[#This Row],[CurrentStock]]-Table2[[#This Row],[ReorderLevel]],"")</f>
        <v/>
      </c>
      <c r="N1693" t="str">
        <f>IF(Table2[[#This Row],[Stock Gap]]&lt;0, "Understock","Okay")</f>
        <v>Okay</v>
      </c>
      <c r="O1693" s="13" t="str">
        <f>IF(Table2[[#This Row],[Stock Gap]]&lt;0, "Yes", "No")</f>
        <v>No</v>
      </c>
      <c r="P1693" s="13" t="str">
        <f>IF(Table2[[#This Row],[CurrentStock]]&lt;Table2[[#This Row],[ReorderLevel]],"Reorder", "Okay")</f>
        <v>Okay</v>
      </c>
      <c r="Q1693" s="13" t="str">
        <f>IF(Table2[[#This Row],[CurrentStock]]&gt;Table2[[#This Row],[ReorderLevel]]*3, "Overstock", "Okay")</f>
        <v>Overstock</v>
      </c>
    </row>
    <row r="1694" spans="1:17" x14ac:dyDescent="0.35">
      <c r="A1694">
        <v>42046</v>
      </c>
      <c r="B1694" t="s">
        <v>9</v>
      </c>
      <c r="C1694" t="s">
        <v>26</v>
      </c>
      <c r="D1694">
        <v>462</v>
      </c>
      <c r="E1694">
        <v>30</v>
      </c>
      <c r="F1694" s="2">
        <v>221.21</v>
      </c>
      <c r="G1694" t="s">
        <v>32</v>
      </c>
      <c r="H1694" s="1">
        <v>45384</v>
      </c>
      <c r="I1694" s="1">
        <v>45400</v>
      </c>
      <c r="J1694" t="s">
        <v>36</v>
      </c>
      <c r="K1694" s="8">
        <f>Table2[[#This Row],[CurrentStock]]*Table2[[#This Row],[UnitPrice]]</f>
        <v>102199.02</v>
      </c>
      <c r="L1694" t="str">
        <f>IF(Table2[[#This Row],[CurrentStock]]&lt;=Table2[[#This Row],[ReorderLevel]], "Reorder Needed", "Okay")</f>
        <v>Okay</v>
      </c>
      <c r="M1694" t="str">
        <f>IF(Table2[[#This Row],[CurrentStock]]-Table2[[#This Row],[ReorderLevel]]&lt;0,Table2[[#This Row],[CurrentStock]]-Table2[[#This Row],[ReorderLevel]],"")</f>
        <v/>
      </c>
      <c r="N1694" t="str">
        <f>IF(Table2[[#This Row],[Stock Gap]]&lt;0, "Understock","Okay")</f>
        <v>Okay</v>
      </c>
      <c r="O1694" s="13" t="str">
        <f>IF(Table2[[#This Row],[Stock Gap]]&lt;0, "Yes", "No")</f>
        <v>No</v>
      </c>
      <c r="P1694" s="13" t="str">
        <f>IF(Table2[[#This Row],[CurrentStock]]&lt;Table2[[#This Row],[ReorderLevel]],"Reorder", "Okay")</f>
        <v>Okay</v>
      </c>
      <c r="Q1694" s="13" t="str">
        <f>IF(Table2[[#This Row],[CurrentStock]]&gt;Table2[[#This Row],[ReorderLevel]]*3, "Overstock", "Okay")</f>
        <v>Overstock</v>
      </c>
    </row>
    <row r="1695" spans="1:17" x14ac:dyDescent="0.35">
      <c r="A1695">
        <v>24071</v>
      </c>
      <c r="B1695" t="s">
        <v>20</v>
      </c>
      <c r="C1695" t="s">
        <v>30</v>
      </c>
      <c r="D1695">
        <v>392</v>
      </c>
      <c r="E1695">
        <v>80</v>
      </c>
      <c r="F1695" s="2">
        <v>480.57</v>
      </c>
      <c r="G1695" t="s">
        <v>34</v>
      </c>
      <c r="H1695" s="1">
        <v>45398</v>
      </c>
      <c r="I1695" s="1">
        <v>45408</v>
      </c>
      <c r="J1695" t="s">
        <v>37</v>
      </c>
      <c r="K1695" s="8">
        <f>Table2[[#This Row],[CurrentStock]]*Table2[[#This Row],[UnitPrice]]</f>
        <v>188383.44</v>
      </c>
      <c r="L1695" t="str">
        <f>IF(Table2[[#This Row],[CurrentStock]]&lt;=Table2[[#This Row],[ReorderLevel]], "Reorder Needed", "Okay")</f>
        <v>Okay</v>
      </c>
      <c r="M1695" t="str">
        <f>IF(Table2[[#This Row],[CurrentStock]]-Table2[[#This Row],[ReorderLevel]]&lt;0,Table2[[#This Row],[CurrentStock]]-Table2[[#This Row],[ReorderLevel]],"")</f>
        <v/>
      </c>
      <c r="N1695" t="str">
        <f>IF(Table2[[#This Row],[Stock Gap]]&lt;0, "Understock","Okay")</f>
        <v>Okay</v>
      </c>
      <c r="O1695" s="13" t="str">
        <f>IF(Table2[[#This Row],[Stock Gap]]&lt;0, "Yes", "No")</f>
        <v>No</v>
      </c>
      <c r="P1695" s="13" t="str">
        <f>IF(Table2[[#This Row],[CurrentStock]]&lt;Table2[[#This Row],[ReorderLevel]],"Reorder", "Okay")</f>
        <v>Okay</v>
      </c>
      <c r="Q1695" s="13" t="str">
        <f>IF(Table2[[#This Row],[CurrentStock]]&gt;Table2[[#This Row],[ReorderLevel]]*3, "Overstock", "Okay")</f>
        <v>Overstock</v>
      </c>
    </row>
    <row r="1696" spans="1:17" x14ac:dyDescent="0.35">
      <c r="A1696">
        <v>93443</v>
      </c>
      <c r="B1696" t="s">
        <v>18</v>
      </c>
      <c r="C1696" t="s">
        <v>27</v>
      </c>
      <c r="D1696">
        <v>375</v>
      </c>
      <c r="E1696">
        <v>150</v>
      </c>
      <c r="F1696" s="2">
        <v>324.98</v>
      </c>
      <c r="G1696" t="s">
        <v>33</v>
      </c>
      <c r="H1696" s="1">
        <v>45434</v>
      </c>
      <c r="I1696" s="1">
        <v>45473</v>
      </c>
      <c r="J1696" t="s">
        <v>37</v>
      </c>
      <c r="K1696" s="8">
        <f>Table2[[#This Row],[CurrentStock]]*Table2[[#This Row],[UnitPrice]]</f>
        <v>121867.5</v>
      </c>
      <c r="L1696" t="str">
        <f>IF(Table2[[#This Row],[CurrentStock]]&lt;=Table2[[#This Row],[ReorderLevel]], "Reorder Needed", "Okay")</f>
        <v>Okay</v>
      </c>
      <c r="M1696" t="str">
        <f>IF(Table2[[#This Row],[CurrentStock]]-Table2[[#This Row],[ReorderLevel]]&lt;0,Table2[[#This Row],[CurrentStock]]-Table2[[#This Row],[ReorderLevel]],"")</f>
        <v/>
      </c>
      <c r="N1696" t="str">
        <f>IF(Table2[[#This Row],[Stock Gap]]&lt;0, "Understock","Okay")</f>
        <v>Okay</v>
      </c>
      <c r="O1696" s="13" t="str">
        <f>IF(Table2[[#This Row],[Stock Gap]]&lt;0, "Yes", "No")</f>
        <v>No</v>
      </c>
      <c r="P1696" s="13" t="str">
        <f>IF(Table2[[#This Row],[CurrentStock]]&lt;Table2[[#This Row],[ReorderLevel]],"Reorder", "Okay")</f>
        <v>Okay</v>
      </c>
      <c r="Q1696" s="13" t="str">
        <f>IF(Table2[[#This Row],[CurrentStock]]&gt;Table2[[#This Row],[ReorderLevel]]*3, "Overstock", "Okay")</f>
        <v>Okay</v>
      </c>
    </row>
    <row r="1697" spans="1:17" x14ac:dyDescent="0.35">
      <c r="A1697">
        <v>96217</v>
      </c>
      <c r="B1697" t="s">
        <v>10</v>
      </c>
      <c r="C1697" t="s">
        <v>26</v>
      </c>
      <c r="D1697">
        <v>191</v>
      </c>
      <c r="E1697">
        <v>30</v>
      </c>
      <c r="F1697" s="2">
        <v>391.18</v>
      </c>
      <c r="G1697" t="s">
        <v>32</v>
      </c>
      <c r="H1697" s="1">
        <v>45449</v>
      </c>
      <c r="I1697" s="1">
        <v>45488</v>
      </c>
      <c r="J1697" t="s">
        <v>36</v>
      </c>
      <c r="K1697" s="8">
        <f>Table2[[#This Row],[CurrentStock]]*Table2[[#This Row],[UnitPrice]]</f>
        <v>74715.38</v>
      </c>
      <c r="L1697" t="str">
        <f>IF(Table2[[#This Row],[CurrentStock]]&lt;=Table2[[#This Row],[ReorderLevel]], "Reorder Needed", "Okay")</f>
        <v>Okay</v>
      </c>
      <c r="M1697" t="str">
        <f>IF(Table2[[#This Row],[CurrentStock]]-Table2[[#This Row],[ReorderLevel]]&lt;0,Table2[[#This Row],[CurrentStock]]-Table2[[#This Row],[ReorderLevel]],"")</f>
        <v/>
      </c>
      <c r="N1697" t="str">
        <f>IF(Table2[[#This Row],[Stock Gap]]&lt;0, "Understock","Okay")</f>
        <v>Okay</v>
      </c>
      <c r="O1697" s="13" t="str">
        <f>IF(Table2[[#This Row],[Stock Gap]]&lt;0, "Yes", "No")</f>
        <v>No</v>
      </c>
      <c r="P1697" s="13" t="str">
        <f>IF(Table2[[#This Row],[CurrentStock]]&lt;Table2[[#This Row],[ReorderLevel]],"Reorder", "Okay")</f>
        <v>Okay</v>
      </c>
      <c r="Q1697" s="13" t="str">
        <f>IF(Table2[[#This Row],[CurrentStock]]&gt;Table2[[#This Row],[ReorderLevel]]*3, "Overstock", "Okay")</f>
        <v>Overstock</v>
      </c>
    </row>
    <row r="1698" spans="1:17" x14ac:dyDescent="0.35">
      <c r="A1698">
        <v>51232</v>
      </c>
      <c r="B1698" t="s">
        <v>16</v>
      </c>
      <c r="C1698" t="s">
        <v>29</v>
      </c>
      <c r="D1698">
        <v>233</v>
      </c>
      <c r="E1698">
        <v>30</v>
      </c>
      <c r="F1698" s="2">
        <v>131.93</v>
      </c>
      <c r="G1698" t="s">
        <v>31</v>
      </c>
      <c r="H1698" s="1">
        <v>45509</v>
      </c>
      <c r="I1698" s="1">
        <v>45528</v>
      </c>
      <c r="J1698" t="s">
        <v>38</v>
      </c>
      <c r="K1698" s="8">
        <f>Table2[[#This Row],[CurrentStock]]*Table2[[#This Row],[UnitPrice]]</f>
        <v>30739.690000000002</v>
      </c>
      <c r="L1698" t="str">
        <f>IF(Table2[[#This Row],[CurrentStock]]&lt;=Table2[[#This Row],[ReorderLevel]], "Reorder Needed", "Okay")</f>
        <v>Okay</v>
      </c>
      <c r="M1698" t="str">
        <f>IF(Table2[[#This Row],[CurrentStock]]-Table2[[#This Row],[ReorderLevel]]&lt;0,Table2[[#This Row],[CurrentStock]]-Table2[[#This Row],[ReorderLevel]],"")</f>
        <v/>
      </c>
      <c r="N1698" t="str">
        <f>IF(Table2[[#This Row],[Stock Gap]]&lt;0, "Understock","Okay")</f>
        <v>Okay</v>
      </c>
      <c r="O1698" s="13" t="str">
        <f>IF(Table2[[#This Row],[Stock Gap]]&lt;0, "Yes", "No")</f>
        <v>No</v>
      </c>
      <c r="P1698" s="13" t="str">
        <f>IF(Table2[[#This Row],[CurrentStock]]&lt;Table2[[#This Row],[ReorderLevel]],"Reorder", "Okay")</f>
        <v>Okay</v>
      </c>
      <c r="Q1698" s="13" t="str">
        <f>IF(Table2[[#This Row],[CurrentStock]]&gt;Table2[[#This Row],[ReorderLevel]]*3, "Overstock", "Okay")</f>
        <v>Overstock</v>
      </c>
    </row>
    <row r="1699" spans="1:17" x14ac:dyDescent="0.35">
      <c r="A1699">
        <v>93470</v>
      </c>
      <c r="B1699" t="s">
        <v>12</v>
      </c>
      <c r="C1699" t="s">
        <v>28</v>
      </c>
      <c r="D1699">
        <v>331</v>
      </c>
      <c r="E1699">
        <v>80</v>
      </c>
      <c r="F1699" s="2">
        <v>472.39</v>
      </c>
      <c r="G1699" t="s">
        <v>31</v>
      </c>
      <c r="H1699" s="1">
        <v>45595</v>
      </c>
      <c r="I1699" s="1">
        <v>45629</v>
      </c>
      <c r="J1699" t="s">
        <v>38</v>
      </c>
      <c r="K1699" s="8">
        <f>Table2[[#This Row],[CurrentStock]]*Table2[[#This Row],[UnitPrice]]</f>
        <v>156361.09</v>
      </c>
      <c r="L1699" t="str">
        <f>IF(Table2[[#This Row],[CurrentStock]]&lt;=Table2[[#This Row],[ReorderLevel]], "Reorder Needed", "Okay")</f>
        <v>Okay</v>
      </c>
      <c r="M1699" t="str">
        <f>IF(Table2[[#This Row],[CurrentStock]]-Table2[[#This Row],[ReorderLevel]]&lt;0,Table2[[#This Row],[CurrentStock]]-Table2[[#This Row],[ReorderLevel]],"")</f>
        <v/>
      </c>
      <c r="N1699" t="str">
        <f>IF(Table2[[#This Row],[Stock Gap]]&lt;0, "Understock","Okay")</f>
        <v>Okay</v>
      </c>
      <c r="O1699" s="13" t="str">
        <f>IF(Table2[[#This Row],[Stock Gap]]&lt;0, "Yes", "No")</f>
        <v>No</v>
      </c>
      <c r="P1699" s="13" t="str">
        <f>IF(Table2[[#This Row],[CurrentStock]]&lt;Table2[[#This Row],[ReorderLevel]],"Reorder", "Okay")</f>
        <v>Okay</v>
      </c>
      <c r="Q1699" s="13" t="str">
        <f>IF(Table2[[#This Row],[CurrentStock]]&gt;Table2[[#This Row],[ReorderLevel]]*3, "Overstock", "Okay")</f>
        <v>Overstock</v>
      </c>
    </row>
    <row r="1700" spans="1:17" x14ac:dyDescent="0.35">
      <c r="A1700">
        <v>81428</v>
      </c>
      <c r="B1700" t="s">
        <v>13</v>
      </c>
      <c r="C1700" t="s">
        <v>26</v>
      </c>
      <c r="D1700">
        <v>410</v>
      </c>
      <c r="E1700">
        <v>50</v>
      </c>
      <c r="F1700" s="2">
        <v>167.34</v>
      </c>
      <c r="G1700" t="s">
        <v>35</v>
      </c>
      <c r="H1700" s="1">
        <v>45643</v>
      </c>
      <c r="I1700" s="1">
        <v>45651</v>
      </c>
      <c r="J1700" t="s">
        <v>38</v>
      </c>
      <c r="K1700" s="8">
        <f>Table2[[#This Row],[CurrentStock]]*Table2[[#This Row],[UnitPrice]]</f>
        <v>68609.399999999994</v>
      </c>
      <c r="L1700" t="str">
        <f>IF(Table2[[#This Row],[CurrentStock]]&lt;=Table2[[#This Row],[ReorderLevel]], "Reorder Needed", "Okay")</f>
        <v>Okay</v>
      </c>
      <c r="M1700" t="str">
        <f>IF(Table2[[#This Row],[CurrentStock]]-Table2[[#This Row],[ReorderLevel]]&lt;0,Table2[[#This Row],[CurrentStock]]-Table2[[#This Row],[ReorderLevel]],"")</f>
        <v/>
      </c>
      <c r="N1700" t="str">
        <f>IF(Table2[[#This Row],[Stock Gap]]&lt;0, "Understock","Okay")</f>
        <v>Okay</v>
      </c>
      <c r="O1700" s="13" t="str">
        <f>IF(Table2[[#This Row],[Stock Gap]]&lt;0, "Yes", "No")</f>
        <v>No</v>
      </c>
      <c r="P1700" s="13" t="str">
        <f>IF(Table2[[#This Row],[CurrentStock]]&lt;Table2[[#This Row],[ReorderLevel]],"Reorder", "Okay")</f>
        <v>Okay</v>
      </c>
      <c r="Q1700" s="13" t="str">
        <f>IF(Table2[[#This Row],[CurrentStock]]&gt;Table2[[#This Row],[ReorderLevel]]*3, "Overstock", "Okay")</f>
        <v>Overstock</v>
      </c>
    </row>
    <row r="1701" spans="1:17" x14ac:dyDescent="0.35">
      <c r="A1701">
        <v>42322</v>
      </c>
      <c r="B1701" t="s">
        <v>24</v>
      </c>
      <c r="C1701" t="s">
        <v>30</v>
      </c>
      <c r="D1701">
        <v>405</v>
      </c>
      <c r="E1701">
        <v>100</v>
      </c>
      <c r="F1701" s="2">
        <v>160.37</v>
      </c>
      <c r="G1701" t="s">
        <v>35</v>
      </c>
      <c r="H1701" s="1">
        <v>45648</v>
      </c>
      <c r="I1701" s="1">
        <v>45668</v>
      </c>
      <c r="J1701" t="s">
        <v>38</v>
      </c>
      <c r="K1701" s="8">
        <f>Table2[[#This Row],[CurrentStock]]*Table2[[#This Row],[UnitPrice]]</f>
        <v>64949.85</v>
      </c>
      <c r="L1701" t="str">
        <f>IF(Table2[[#This Row],[CurrentStock]]&lt;=Table2[[#This Row],[ReorderLevel]], "Reorder Needed", "Okay")</f>
        <v>Okay</v>
      </c>
      <c r="M1701" t="str">
        <f>IF(Table2[[#This Row],[CurrentStock]]-Table2[[#This Row],[ReorderLevel]]&lt;0,Table2[[#This Row],[CurrentStock]]-Table2[[#This Row],[ReorderLevel]],"")</f>
        <v/>
      </c>
      <c r="N1701" t="str">
        <f>IF(Table2[[#This Row],[Stock Gap]]&lt;0, "Understock","Okay")</f>
        <v>Okay</v>
      </c>
      <c r="O1701" s="13" t="str">
        <f>IF(Table2[[#This Row],[Stock Gap]]&lt;0, "Yes", "No")</f>
        <v>No</v>
      </c>
      <c r="P1701" s="13" t="str">
        <f>IF(Table2[[#This Row],[CurrentStock]]&lt;Table2[[#This Row],[ReorderLevel]],"Reorder", "Okay")</f>
        <v>Okay</v>
      </c>
      <c r="Q1701" s="13" t="str">
        <f>IF(Table2[[#This Row],[CurrentStock]]&gt;Table2[[#This Row],[ReorderLevel]]*3, "Overstock", "Okay")</f>
        <v>Overstock</v>
      </c>
    </row>
    <row r="1702" spans="1:17" x14ac:dyDescent="0.35">
      <c r="A1702">
        <v>61030</v>
      </c>
      <c r="B1702" t="s">
        <v>15</v>
      </c>
      <c r="C1702" t="s">
        <v>29</v>
      </c>
      <c r="D1702">
        <v>462</v>
      </c>
      <c r="E1702">
        <v>30</v>
      </c>
      <c r="F1702" s="2">
        <v>218.69</v>
      </c>
      <c r="G1702" t="s">
        <v>33</v>
      </c>
      <c r="H1702" s="1">
        <v>45293</v>
      </c>
      <c r="I1702" s="1">
        <v>45319</v>
      </c>
      <c r="J1702" t="s">
        <v>38</v>
      </c>
      <c r="K1702" s="8">
        <f>Table2[[#This Row],[CurrentStock]]*Table2[[#This Row],[UnitPrice]]</f>
        <v>101034.78</v>
      </c>
      <c r="L1702" t="str">
        <f>IF(Table2[[#This Row],[CurrentStock]]&lt;=Table2[[#This Row],[ReorderLevel]], "Reorder Needed", "Okay")</f>
        <v>Okay</v>
      </c>
      <c r="M1702" t="str">
        <f>IF(Table2[[#This Row],[CurrentStock]]-Table2[[#This Row],[ReorderLevel]]&lt;0,Table2[[#This Row],[CurrentStock]]-Table2[[#This Row],[ReorderLevel]],"")</f>
        <v/>
      </c>
      <c r="N1702" t="str">
        <f>IF(Table2[[#This Row],[Stock Gap]]&lt;0, "Understock","Okay")</f>
        <v>Okay</v>
      </c>
      <c r="O1702" s="13" t="str">
        <f>IF(Table2[[#This Row],[Stock Gap]]&lt;0, "Yes", "No")</f>
        <v>No</v>
      </c>
      <c r="P1702" s="13" t="str">
        <f>IF(Table2[[#This Row],[CurrentStock]]&lt;Table2[[#This Row],[ReorderLevel]],"Reorder", "Okay")</f>
        <v>Okay</v>
      </c>
      <c r="Q1702" s="13" t="str">
        <f>IF(Table2[[#This Row],[CurrentStock]]&gt;Table2[[#This Row],[ReorderLevel]]*3, "Overstock", "Okay")</f>
        <v>Overstock</v>
      </c>
    </row>
    <row r="1703" spans="1:17" x14ac:dyDescent="0.35">
      <c r="A1703">
        <v>41795</v>
      </c>
      <c r="B1703" t="s">
        <v>12</v>
      </c>
      <c r="C1703" t="s">
        <v>28</v>
      </c>
      <c r="D1703">
        <v>81</v>
      </c>
      <c r="E1703">
        <v>100</v>
      </c>
      <c r="F1703" s="2">
        <v>101.34</v>
      </c>
      <c r="G1703" t="s">
        <v>32</v>
      </c>
      <c r="H1703" s="1">
        <v>45634</v>
      </c>
      <c r="I1703" s="1">
        <v>45671</v>
      </c>
      <c r="J1703" t="s">
        <v>38</v>
      </c>
      <c r="K1703" s="8">
        <f>Table2[[#This Row],[CurrentStock]]*Table2[[#This Row],[UnitPrice]]</f>
        <v>8208.5400000000009</v>
      </c>
      <c r="L1703" t="str">
        <f>IF(Table2[[#This Row],[CurrentStock]]&lt;=Table2[[#This Row],[ReorderLevel]], "Reorder Needed", "Okay")</f>
        <v>Reorder Needed</v>
      </c>
      <c r="M1703" s="7">
        <f>IF(Table2[[#This Row],[CurrentStock]]-Table2[[#This Row],[ReorderLevel]]&lt;0,Table2[[#This Row],[CurrentStock]]-Table2[[#This Row],[ReorderLevel]],"")</f>
        <v>-19</v>
      </c>
      <c r="N1703" t="str">
        <f>IF(Table2[[#This Row],[Stock Gap]]&lt;0, "Understock","Okay")</f>
        <v>Understock</v>
      </c>
      <c r="O1703" s="13" t="str">
        <f>IF(Table2[[#This Row],[Stock Gap]]&lt;0, "Yes", "No")</f>
        <v>Yes</v>
      </c>
      <c r="P1703" s="13" t="str">
        <f>IF(Table2[[#This Row],[CurrentStock]]&lt;Table2[[#This Row],[ReorderLevel]],"Reorder", "Okay")</f>
        <v>Reorder</v>
      </c>
      <c r="Q1703" s="13" t="str">
        <f>IF(Table2[[#This Row],[CurrentStock]]&gt;Table2[[#This Row],[ReorderLevel]]*3, "Overstock", "Okay")</f>
        <v>Okay</v>
      </c>
    </row>
    <row r="1704" spans="1:17" x14ac:dyDescent="0.35">
      <c r="A1704">
        <v>82102</v>
      </c>
      <c r="B1704" t="s">
        <v>9</v>
      </c>
      <c r="C1704" t="s">
        <v>26</v>
      </c>
      <c r="D1704">
        <v>390</v>
      </c>
      <c r="E1704">
        <v>40</v>
      </c>
      <c r="F1704" s="2">
        <v>57.26</v>
      </c>
      <c r="G1704" t="s">
        <v>31</v>
      </c>
      <c r="H1704" s="1">
        <v>45354</v>
      </c>
      <c r="I1704" s="1">
        <v>45392</v>
      </c>
      <c r="J1704" t="s">
        <v>37</v>
      </c>
      <c r="K1704" s="8">
        <f>Table2[[#This Row],[CurrentStock]]*Table2[[#This Row],[UnitPrice]]</f>
        <v>22331.399999999998</v>
      </c>
      <c r="L1704" t="str">
        <f>IF(Table2[[#This Row],[CurrentStock]]&lt;=Table2[[#This Row],[ReorderLevel]], "Reorder Needed", "Okay")</f>
        <v>Okay</v>
      </c>
      <c r="M1704" t="str">
        <f>IF(Table2[[#This Row],[CurrentStock]]-Table2[[#This Row],[ReorderLevel]]&lt;0,Table2[[#This Row],[CurrentStock]]-Table2[[#This Row],[ReorderLevel]],"")</f>
        <v/>
      </c>
      <c r="N1704" t="str">
        <f>IF(Table2[[#This Row],[Stock Gap]]&lt;0, "Understock","Okay")</f>
        <v>Okay</v>
      </c>
      <c r="O1704" s="13" t="str">
        <f>IF(Table2[[#This Row],[Stock Gap]]&lt;0, "Yes", "No")</f>
        <v>No</v>
      </c>
      <c r="P1704" s="13" t="str">
        <f>IF(Table2[[#This Row],[CurrentStock]]&lt;Table2[[#This Row],[ReorderLevel]],"Reorder", "Okay")</f>
        <v>Okay</v>
      </c>
      <c r="Q1704" s="13" t="str">
        <f>IF(Table2[[#This Row],[CurrentStock]]&gt;Table2[[#This Row],[ReorderLevel]]*3, "Overstock", "Okay")</f>
        <v>Overstock</v>
      </c>
    </row>
    <row r="1705" spans="1:17" x14ac:dyDescent="0.35">
      <c r="A1705">
        <v>28079</v>
      </c>
      <c r="B1705" t="s">
        <v>25</v>
      </c>
      <c r="C1705" t="s">
        <v>29</v>
      </c>
      <c r="D1705">
        <v>23</v>
      </c>
      <c r="E1705">
        <v>80</v>
      </c>
      <c r="F1705" s="2">
        <v>423.7</v>
      </c>
      <c r="G1705" t="s">
        <v>31</v>
      </c>
      <c r="H1705" s="1">
        <v>45452</v>
      </c>
      <c r="I1705" s="1">
        <v>45489</v>
      </c>
      <c r="J1705" t="s">
        <v>36</v>
      </c>
      <c r="K1705" s="8">
        <f>Table2[[#This Row],[CurrentStock]]*Table2[[#This Row],[UnitPrice]]</f>
        <v>9745.1</v>
      </c>
      <c r="L1705" t="str">
        <f>IF(Table2[[#This Row],[CurrentStock]]&lt;=Table2[[#This Row],[ReorderLevel]], "Reorder Needed", "Okay")</f>
        <v>Reorder Needed</v>
      </c>
      <c r="M1705" s="7">
        <f>IF(Table2[[#This Row],[CurrentStock]]-Table2[[#This Row],[ReorderLevel]]&lt;0,Table2[[#This Row],[CurrentStock]]-Table2[[#This Row],[ReorderLevel]],"")</f>
        <v>-57</v>
      </c>
      <c r="N1705" t="str">
        <f>IF(Table2[[#This Row],[Stock Gap]]&lt;0, "Understock","Okay")</f>
        <v>Understock</v>
      </c>
      <c r="O1705" s="13" t="str">
        <f>IF(Table2[[#This Row],[Stock Gap]]&lt;0, "Yes", "No")</f>
        <v>Yes</v>
      </c>
      <c r="P1705" s="13" t="str">
        <f>IF(Table2[[#This Row],[CurrentStock]]&lt;Table2[[#This Row],[ReorderLevel]],"Reorder", "Okay")</f>
        <v>Reorder</v>
      </c>
      <c r="Q1705" s="13" t="str">
        <f>IF(Table2[[#This Row],[CurrentStock]]&gt;Table2[[#This Row],[ReorderLevel]]*3, "Overstock", "Okay")</f>
        <v>Okay</v>
      </c>
    </row>
    <row r="1706" spans="1:17" x14ac:dyDescent="0.35">
      <c r="A1706">
        <v>58838</v>
      </c>
      <c r="B1706" t="s">
        <v>17</v>
      </c>
      <c r="C1706" t="s">
        <v>27</v>
      </c>
      <c r="D1706">
        <v>241</v>
      </c>
      <c r="E1706">
        <v>150</v>
      </c>
      <c r="F1706" s="2">
        <v>454.69</v>
      </c>
      <c r="G1706" t="s">
        <v>33</v>
      </c>
      <c r="H1706" s="1">
        <v>45438</v>
      </c>
      <c r="I1706" s="1">
        <v>45476</v>
      </c>
      <c r="J1706" t="s">
        <v>38</v>
      </c>
      <c r="K1706" s="8">
        <f>Table2[[#This Row],[CurrentStock]]*Table2[[#This Row],[UnitPrice]]</f>
        <v>109580.29</v>
      </c>
      <c r="L1706" t="str">
        <f>IF(Table2[[#This Row],[CurrentStock]]&lt;=Table2[[#This Row],[ReorderLevel]], "Reorder Needed", "Okay")</f>
        <v>Okay</v>
      </c>
      <c r="M1706" t="str">
        <f>IF(Table2[[#This Row],[CurrentStock]]-Table2[[#This Row],[ReorderLevel]]&lt;0,Table2[[#This Row],[CurrentStock]]-Table2[[#This Row],[ReorderLevel]],"")</f>
        <v/>
      </c>
      <c r="N1706" t="str">
        <f>IF(Table2[[#This Row],[Stock Gap]]&lt;0, "Understock","Okay")</f>
        <v>Okay</v>
      </c>
      <c r="O1706" s="13" t="str">
        <f>IF(Table2[[#This Row],[Stock Gap]]&lt;0, "Yes", "No")</f>
        <v>No</v>
      </c>
      <c r="P1706" s="13" t="str">
        <f>IF(Table2[[#This Row],[CurrentStock]]&lt;Table2[[#This Row],[ReorderLevel]],"Reorder", "Okay")</f>
        <v>Okay</v>
      </c>
      <c r="Q1706" s="13" t="str">
        <f>IF(Table2[[#This Row],[CurrentStock]]&gt;Table2[[#This Row],[ReorderLevel]]*3, "Overstock", "Okay")</f>
        <v>Okay</v>
      </c>
    </row>
    <row r="1707" spans="1:17" x14ac:dyDescent="0.35">
      <c r="A1707">
        <v>90488</v>
      </c>
      <c r="B1707" t="s">
        <v>14</v>
      </c>
      <c r="C1707" t="s">
        <v>28</v>
      </c>
      <c r="D1707">
        <v>287</v>
      </c>
      <c r="E1707">
        <v>30</v>
      </c>
      <c r="F1707" s="2">
        <v>76.92</v>
      </c>
      <c r="G1707" t="s">
        <v>33</v>
      </c>
      <c r="H1707" s="1">
        <v>45509</v>
      </c>
      <c r="I1707" s="1">
        <v>45543</v>
      </c>
      <c r="J1707" t="s">
        <v>37</v>
      </c>
      <c r="K1707" s="8">
        <f>Table2[[#This Row],[CurrentStock]]*Table2[[#This Row],[UnitPrice]]</f>
        <v>22076.04</v>
      </c>
      <c r="L1707" t="str">
        <f>IF(Table2[[#This Row],[CurrentStock]]&lt;=Table2[[#This Row],[ReorderLevel]], "Reorder Needed", "Okay")</f>
        <v>Okay</v>
      </c>
      <c r="M1707" t="str">
        <f>IF(Table2[[#This Row],[CurrentStock]]-Table2[[#This Row],[ReorderLevel]]&lt;0,Table2[[#This Row],[CurrentStock]]-Table2[[#This Row],[ReorderLevel]],"")</f>
        <v/>
      </c>
      <c r="N1707" t="str">
        <f>IF(Table2[[#This Row],[Stock Gap]]&lt;0, "Understock","Okay")</f>
        <v>Okay</v>
      </c>
      <c r="O1707" s="13" t="str">
        <f>IF(Table2[[#This Row],[Stock Gap]]&lt;0, "Yes", "No")</f>
        <v>No</v>
      </c>
      <c r="P1707" s="13" t="str">
        <f>IF(Table2[[#This Row],[CurrentStock]]&lt;Table2[[#This Row],[ReorderLevel]],"Reorder", "Okay")</f>
        <v>Okay</v>
      </c>
      <c r="Q1707" s="13" t="str">
        <f>IF(Table2[[#This Row],[CurrentStock]]&gt;Table2[[#This Row],[ReorderLevel]]*3, "Overstock", "Okay")</f>
        <v>Overstock</v>
      </c>
    </row>
    <row r="1708" spans="1:17" x14ac:dyDescent="0.35">
      <c r="A1708">
        <v>25636</v>
      </c>
      <c r="B1708" t="s">
        <v>18</v>
      </c>
      <c r="C1708" t="s">
        <v>27</v>
      </c>
      <c r="D1708">
        <v>225</v>
      </c>
      <c r="E1708">
        <v>20</v>
      </c>
      <c r="F1708" s="2">
        <v>180.95</v>
      </c>
      <c r="G1708" t="s">
        <v>35</v>
      </c>
      <c r="H1708" s="1">
        <v>45610</v>
      </c>
      <c r="I1708" s="1">
        <v>45641</v>
      </c>
      <c r="J1708" t="s">
        <v>36</v>
      </c>
      <c r="K1708" s="8">
        <f>Table2[[#This Row],[CurrentStock]]*Table2[[#This Row],[UnitPrice]]</f>
        <v>40713.75</v>
      </c>
      <c r="L1708" t="str">
        <f>IF(Table2[[#This Row],[CurrentStock]]&lt;=Table2[[#This Row],[ReorderLevel]], "Reorder Needed", "Okay")</f>
        <v>Okay</v>
      </c>
      <c r="M1708" t="str">
        <f>IF(Table2[[#This Row],[CurrentStock]]-Table2[[#This Row],[ReorderLevel]]&lt;0,Table2[[#This Row],[CurrentStock]]-Table2[[#This Row],[ReorderLevel]],"")</f>
        <v/>
      </c>
      <c r="N1708" t="str">
        <f>IF(Table2[[#This Row],[Stock Gap]]&lt;0, "Understock","Okay")</f>
        <v>Okay</v>
      </c>
      <c r="O1708" s="13" t="str">
        <f>IF(Table2[[#This Row],[Stock Gap]]&lt;0, "Yes", "No")</f>
        <v>No</v>
      </c>
      <c r="P1708" s="13" t="str">
        <f>IF(Table2[[#This Row],[CurrentStock]]&lt;Table2[[#This Row],[ReorderLevel]],"Reorder", "Okay")</f>
        <v>Okay</v>
      </c>
      <c r="Q1708" s="13" t="str">
        <f>IF(Table2[[#This Row],[CurrentStock]]&gt;Table2[[#This Row],[ReorderLevel]]*3, "Overstock", "Okay")</f>
        <v>Overstock</v>
      </c>
    </row>
    <row r="1709" spans="1:17" x14ac:dyDescent="0.35">
      <c r="A1709">
        <v>38357</v>
      </c>
      <c r="B1709" t="s">
        <v>19</v>
      </c>
      <c r="C1709" t="s">
        <v>28</v>
      </c>
      <c r="D1709">
        <v>451</v>
      </c>
      <c r="E1709">
        <v>20</v>
      </c>
      <c r="F1709" s="2">
        <v>86.84</v>
      </c>
      <c r="G1709" t="s">
        <v>34</v>
      </c>
      <c r="H1709" s="1">
        <v>45481</v>
      </c>
      <c r="I1709" s="1">
        <v>45520</v>
      </c>
      <c r="J1709" t="s">
        <v>36</v>
      </c>
      <c r="K1709" s="8">
        <f>Table2[[#This Row],[CurrentStock]]*Table2[[#This Row],[UnitPrice]]</f>
        <v>39164.840000000004</v>
      </c>
      <c r="L1709" t="str">
        <f>IF(Table2[[#This Row],[CurrentStock]]&lt;=Table2[[#This Row],[ReorderLevel]], "Reorder Needed", "Okay")</f>
        <v>Okay</v>
      </c>
      <c r="M1709" t="str">
        <f>IF(Table2[[#This Row],[CurrentStock]]-Table2[[#This Row],[ReorderLevel]]&lt;0,Table2[[#This Row],[CurrentStock]]-Table2[[#This Row],[ReorderLevel]],"")</f>
        <v/>
      </c>
      <c r="N1709" t="str">
        <f>IF(Table2[[#This Row],[Stock Gap]]&lt;0, "Understock","Okay")</f>
        <v>Okay</v>
      </c>
      <c r="O1709" s="13" t="str">
        <f>IF(Table2[[#This Row],[Stock Gap]]&lt;0, "Yes", "No")</f>
        <v>No</v>
      </c>
      <c r="P1709" s="13" t="str">
        <f>IF(Table2[[#This Row],[CurrentStock]]&lt;Table2[[#This Row],[ReorderLevel]],"Reorder", "Okay")</f>
        <v>Okay</v>
      </c>
      <c r="Q1709" s="13" t="str">
        <f>IF(Table2[[#This Row],[CurrentStock]]&gt;Table2[[#This Row],[ReorderLevel]]*3, "Overstock", "Okay")</f>
        <v>Overstock</v>
      </c>
    </row>
    <row r="1710" spans="1:17" x14ac:dyDescent="0.35">
      <c r="A1710">
        <v>23440</v>
      </c>
      <c r="B1710" t="s">
        <v>20</v>
      </c>
      <c r="C1710" t="s">
        <v>30</v>
      </c>
      <c r="D1710">
        <v>120</v>
      </c>
      <c r="E1710">
        <v>50</v>
      </c>
      <c r="F1710" s="2">
        <v>133.58000000000001</v>
      </c>
      <c r="G1710" t="s">
        <v>34</v>
      </c>
      <c r="H1710" s="1">
        <v>45507</v>
      </c>
      <c r="I1710" s="1">
        <v>45539</v>
      </c>
      <c r="J1710" t="s">
        <v>36</v>
      </c>
      <c r="K1710" s="8">
        <f>Table2[[#This Row],[CurrentStock]]*Table2[[#This Row],[UnitPrice]]</f>
        <v>16029.600000000002</v>
      </c>
      <c r="L1710" t="str">
        <f>IF(Table2[[#This Row],[CurrentStock]]&lt;=Table2[[#This Row],[ReorderLevel]], "Reorder Needed", "Okay")</f>
        <v>Okay</v>
      </c>
      <c r="M1710" t="str">
        <f>IF(Table2[[#This Row],[CurrentStock]]-Table2[[#This Row],[ReorderLevel]]&lt;0,Table2[[#This Row],[CurrentStock]]-Table2[[#This Row],[ReorderLevel]],"")</f>
        <v/>
      </c>
      <c r="N1710" t="str">
        <f>IF(Table2[[#This Row],[Stock Gap]]&lt;0, "Understock","Okay")</f>
        <v>Okay</v>
      </c>
      <c r="O1710" s="13" t="str">
        <f>IF(Table2[[#This Row],[Stock Gap]]&lt;0, "Yes", "No")</f>
        <v>No</v>
      </c>
      <c r="P1710" s="13" t="str">
        <f>IF(Table2[[#This Row],[CurrentStock]]&lt;Table2[[#This Row],[ReorderLevel]],"Reorder", "Okay")</f>
        <v>Okay</v>
      </c>
      <c r="Q1710" s="13" t="str">
        <f>IF(Table2[[#This Row],[CurrentStock]]&gt;Table2[[#This Row],[ReorderLevel]]*3, "Overstock", "Okay")</f>
        <v>Okay</v>
      </c>
    </row>
    <row r="1711" spans="1:17" x14ac:dyDescent="0.35">
      <c r="A1711">
        <v>58720</v>
      </c>
      <c r="B1711" t="s">
        <v>24</v>
      </c>
      <c r="C1711" t="s">
        <v>30</v>
      </c>
      <c r="D1711">
        <v>426</v>
      </c>
      <c r="E1711">
        <v>20</v>
      </c>
      <c r="F1711" s="2">
        <v>333.41</v>
      </c>
      <c r="G1711" t="s">
        <v>35</v>
      </c>
      <c r="H1711" s="1">
        <v>45490</v>
      </c>
      <c r="I1711" s="1">
        <v>45506</v>
      </c>
      <c r="J1711" t="s">
        <v>37</v>
      </c>
      <c r="K1711" s="8">
        <f>Table2[[#This Row],[CurrentStock]]*Table2[[#This Row],[UnitPrice]]</f>
        <v>142032.66</v>
      </c>
      <c r="L1711" t="str">
        <f>IF(Table2[[#This Row],[CurrentStock]]&lt;=Table2[[#This Row],[ReorderLevel]], "Reorder Needed", "Okay")</f>
        <v>Okay</v>
      </c>
      <c r="M1711" t="str">
        <f>IF(Table2[[#This Row],[CurrentStock]]-Table2[[#This Row],[ReorderLevel]]&lt;0,Table2[[#This Row],[CurrentStock]]-Table2[[#This Row],[ReorderLevel]],"")</f>
        <v/>
      </c>
      <c r="N1711" t="str">
        <f>IF(Table2[[#This Row],[Stock Gap]]&lt;0, "Understock","Okay")</f>
        <v>Okay</v>
      </c>
      <c r="O1711" s="13" t="str">
        <f>IF(Table2[[#This Row],[Stock Gap]]&lt;0, "Yes", "No")</f>
        <v>No</v>
      </c>
      <c r="P1711" s="13" t="str">
        <f>IF(Table2[[#This Row],[CurrentStock]]&lt;Table2[[#This Row],[ReorderLevel]],"Reorder", "Okay")</f>
        <v>Okay</v>
      </c>
      <c r="Q1711" s="13" t="str">
        <f>IF(Table2[[#This Row],[CurrentStock]]&gt;Table2[[#This Row],[ReorderLevel]]*3, "Overstock", "Okay")</f>
        <v>Overstock</v>
      </c>
    </row>
    <row r="1712" spans="1:17" x14ac:dyDescent="0.35">
      <c r="A1712">
        <v>66210</v>
      </c>
      <c r="B1712" t="s">
        <v>23</v>
      </c>
      <c r="C1712" t="s">
        <v>30</v>
      </c>
      <c r="D1712">
        <v>208</v>
      </c>
      <c r="E1712">
        <v>40</v>
      </c>
      <c r="F1712" s="2">
        <v>320.63</v>
      </c>
      <c r="G1712" t="s">
        <v>31</v>
      </c>
      <c r="H1712" s="1">
        <v>45606</v>
      </c>
      <c r="I1712" s="1">
        <v>45625</v>
      </c>
      <c r="J1712" t="s">
        <v>38</v>
      </c>
      <c r="K1712" s="8">
        <f>Table2[[#This Row],[CurrentStock]]*Table2[[#This Row],[UnitPrice]]</f>
        <v>66691.039999999994</v>
      </c>
      <c r="L1712" t="str">
        <f>IF(Table2[[#This Row],[CurrentStock]]&lt;=Table2[[#This Row],[ReorderLevel]], "Reorder Needed", "Okay")</f>
        <v>Okay</v>
      </c>
      <c r="M1712" t="str">
        <f>IF(Table2[[#This Row],[CurrentStock]]-Table2[[#This Row],[ReorderLevel]]&lt;0,Table2[[#This Row],[CurrentStock]]-Table2[[#This Row],[ReorderLevel]],"")</f>
        <v/>
      </c>
      <c r="N1712" t="str">
        <f>IF(Table2[[#This Row],[Stock Gap]]&lt;0, "Understock","Okay")</f>
        <v>Okay</v>
      </c>
      <c r="O1712" s="13" t="str">
        <f>IF(Table2[[#This Row],[Stock Gap]]&lt;0, "Yes", "No")</f>
        <v>No</v>
      </c>
      <c r="P1712" s="13" t="str">
        <f>IF(Table2[[#This Row],[CurrentStock]]&lt;Table2[[#This Row],[ReorderLevel]],"Reorder", "Okay")</f>
        <v>Okay</v>
      </c>
      <c r="Q1712" s="13" t="str">
        <f>IF(Table2[[#This Row],[CurrentStock]]&gt;Table2[[#This Row],[ReorderLevel]]*3, "Overstock", "Okay")</f>
        <v>Overstock</v>
      </c>
    </row>
    <row r="1713" spans="1:17" x14ac:dyDescent="0.35">
      <c r="A1713">
        <v>53950</v>
      </c>
      <c r="B1713" t="s">
        <v>15</v>
      </c>
      <c r="C1713" t="s">
        <v>29</v>
      </c>
      <c r="D1713">
        <v>106</v>
      </c>
      <c r="E1713">
        <v>150</v>
      </c>
      <c r="F1713" s="2">
        <v>489.72</v>
      </c>
      <c r="G1713" t="s">
        <v>33</v>
      </c>
      <c r="H1713" s="1">
        <v>45303</v>
      </c>
      <c r="I1713" s="1">
        <v>45326</v>
      </c>
      <c r="J1713" t="s">
        <v>38</v>
      </c>
      <c r="K1713" s="8">
        <f>Table2[[#This Row],[CurrentStock]]*Table2[[#This Row],[UnitPrice]]</f>
        <v>51910.32</v>
      </c>
      <c r="L1713" t="str">
        <f>IF(Table2[[#This Row],[CurrentStock]]&lt;=Table2[[#This Row],[ReorderLevel]], "Reorder Needed", "Okay")</f>
        <v>Reorder Needed</v>
      </c>
      <c r="M1713" s="7">
        <f>IF(Table2[[#This Row],[CurrentStock]]-Table2[[#This Row],[ReorderLevel]]&lt;0,Table2[[#This Row],[CurrentStock]]-Table2[[#This Row],[ReorderLevel]],"")</f>
        <v>-44</v>
      </c>
      <c r="N1713" t="str">
        <f>IF(Table2[[#This Row],[Stock Gap]]&lt;0, "Understock","Okay")</f>
        <v>Understock</v>
      </c>
      <c r="O1713" s="13" t="str">
        <f>IF(Table2[[#This Row],[Stock Gap]]&lt;0, "Yes", "No")</f>
        <v>Yes</v>
      </c>
      <c r="P1713" s="13" t="str">
        <f>IF(Table2[[#This Row],[CurrentStock]]&lt;Table2[[#This Row],[ReorderLevel]],"Reorder", "Okay")</f>
        <v>Reorder</v>
      </c>
      <c r="Q1713" s="13" t="str">
        <f>IF(Table2[[#This Row],[CurrentStock]]&gt;Table2[[#This Row],[ReorderLevel]]*3, "Overstock", "Okay")</f>
        <v>Okay</v>
      </c>
    </row>
    <row r="1714" spans="1:17" x14ac:dyDescent="0.35">
      <c r="A1714">
        <v>84385</v>
      </c>
      <c r="B1714" t="s">
        <v>13</v>
      </c>
      <c r="C1714" t="s">
        <v>26</v>
      </c>
      <c r="D1714">
        <v>496</v>
      </c>
      <c r="E1714">
        <v>40</v>
      </c>
      <c r="F1714" s="2">
        <v>5.65</v>
      </c>
      <c r="G1714" t="s">
        <v>35</v>
      </c>
      <c r="H1714" s="1">
        <v>45325</v>
      </c>
      <c r="I1714" s="1">
        <v>45362</v>
      </c>
      <c r="J1714" t="s">
        <v>36</v>
      </c>
      <c r="K1714" s="8">
        <f>Table2[[#This Row],[CurrentStock]]*Table2[[#This Row],[UnitPrice]]</f>
        <v>2802.4</v>
      </c>
      <c r="L1714" t="str">
        <f>IF(Table2[[#This Row],[CurrentStock]]&lt;=Table2[[#This Row],[ReorderLevel]], "Reorder Needed", "Okay")</f>
        <v>Okay</v>
      </c>
      <c r="M1714" t="str">
        <f>IF(Table2[[#This Row],[CurrentStock]]-Table2[[#This Row],[ReorderLevel]]&lt;0,Table2[[#This Row],[CurrentStock]]-Table2[[#This Row],[ReorderLevel]],"")</f>
        <v/>
      </c>
      <c r="N1714" t="str">
        <f>IF(Table2[[#This Row],[Stock Gap]]&lt;0, "Understock","Okay")</f>
        <v>Okay</v>
      </c>
      <c r="O1714" s="13" t="str">
        <f>IF(Table2[[#This Row],[Stock Gap]]&lt;0, "Yes", "No")</f>
        <v>No</v>
      </c>
      <c r="P1714" s="13" t="str">
        <f>IF(Table2[[#This Row],[CurrentStock]]&lt;Table2[[#This Row],[ReorderLevel]],"Reorder", "Okay")</f>
        <v>Okay</v>
      </c>
      <c r="Q1714" s="13" t="str">
        <f>IF(Table2[[#This Row],[CurrentStock]]&gt;Table2[[#This Row],[ReorderLevel]]*3, "Overstock", "Okay")</f>
        <v>Overstock</v>
      </c>
    </row>
    <row r="1715" spans="1:17" x14ac:dyDescent="0.35">
      <c r="A1715">
        <v>21273</v>
      </c>
      <c r="B1715" t="s">
        <v>17</v>
      </c>
      <c r="C1715" t="s">
        <v>27</v>
      </c>
      <c r="D1715">
        <v>108</v>
      </c>
      <c r="E1715">
        <v>80</v>
      </c>
      <c r="F1715" s="2">
        <v>79.47</v>
      </c>
      <c r="G1715" t="s">
        <v>35</v>
      </c>
      <c r="H1715" s="1">
        <v>45512</v>
      </c>
      <c r="I1715" s="1">
        <v>45549</v>
      </c>
      <c r="J1715" t="s">
        <v>36</v>
      </c>
      <c r="K1715" s="8">
        <f>Table2[[#This Row],[CurrentStock]]*Table2[[#This Row],[UnitPrice]]</f>
        <v>8582.76</v>
      </c>
      <c r="L1715" t="str">
        <f>IF(Table2[[#This Row],[CurrentStock]]&lt;=Table2[[#This Row],[ReorderLevel]], "Reorder Needed", "Okay")</f>
        <v>Okay</v>
      </c>
      <c r="M1715" t="str">
        <f>IF(Table2[[#This Row],[CurrentStock]]-Table2[[#This Row],[ReorderLevel]]&lt;0,Table2[[#This Row],[CurrentStock]]-Table2[[#This Row],[ReorderLevel]],"")</f>
        <v/>
      </c>
      <c r="N1715" t="str">
        <f>IF(Table2[[#This Row],[Stock Gap]]&lt;0, "Understock","Okay")</f>
        <v>Okay</v>
      </c>
      <c r="O1715" s="13" t="str">
        <f>IF(Table2[[#This Row],[Stock Gap]]&lt;0, "Yes", "No")</f>
        <v>No</v>
      </c>
      <c r="P1715" s="13" t="str">
        <f>IF(Table2[[#This Row],[CurrentStock]]&lt;Table2[[#This Row],[ReorderLevel]],"Reorder", "Okay")</f>
        <v>Okay</v>
      </c>
      <c r="Q1715" s="13" t="str">
        <f>IF(Table2[[#This Row],[CurrentStock]]&gt;Table2[[#This Row],[ReorderLevel]]*3, "Overstock", "Okay")</f>
        <v>Okay</v>
      </c>
    </row>
    <row r="1716" spans="1:17" x14ac:dyDescent="0.35">
      <c r="A1716">
        <v>79336</v>
      </c>
      <c r="B1716" t="s">
        <v>20</v>
      </c>
      <c r="C1716" t="s">
        <v>30</v>
      </c>
      <c r="D1716">
        <v>266</v>
      </c>
      <c r="E1716">
        <v>150</v>
      </c>
      <c r="F1716" s="2">
        <v>29.28</v>
      </c>
      <c r="G1716" t="s">
        <v>33</v>
      </c>
      <c r="H1716" s="1">
        <v>45439</v>
      </c>
      <c r="I1716" s="1">
        <v>45453</v>
      </c>
      <c r="J1716" t="s">
        <v>37</v>
      </c>
      <c r="K1716" s="8">
        <f>Table2[[#This Row],[CurrentStock]]*Table2[[#This Row],[UnitPrice]]</f>
        <v>7788.4800000000005</v>
      </c>
      <c r="L1716" t="str">
        <f>IF(Table2[[#This Row],[CurrentStock]]&lt;=Table2[[#This Row],[ReorderLevel]], "Reorder Needed", "Okay")</f>
        <v>Okay</v>
      </c>
      <c r="M1716" t="str">
        <f>IF(Table2[[#This Row],[CurrentStock]]-Table2[[#This Row],[ReorderLevel]]&lt;0,Table2[[#This Row],[CurrentStock]]-Table2[[#This Row],[ReorderLevel]],"")</f>
        <v/>
      </c>
      <c r="N1716" t="str">
        <f>IF(Table2[[#This Row],[Stock Gap]]&lt;0, "Understock","Okay")</f>
        <v>Okay</v>
      </c>
      <c r="O1716" s="13" t="str">
        <f>IF(Table2[[#This Row],[Stock Gap]]&lt;0, "Yes", "No")</f>
        <v>No</v>
      </c>
      <c r="P1716" s="13" t="str">
        <f>IF(Table2[[#This Row],[CurrentStock]]&lt;Table2[[#This Row],[ReorderLevel]],"Reorder", "Okay")</f>
        <v>Okay</v>
      </c>
      <c r="Q1716" s="13" t="str">
        <f>IF(Table2[[#This Row],[CurrentStock]]&gt;Table2[[#This Row],[ReorderLevel]]*3, "Overstock", "Okay")</f>
        <v>Okay</v>
      </c>
    </row>
    <row r="1717" spans="1:17" x14ac:dyDescent="0.35">
      <c r="A1717">
        <v>82651</v>
      </c>
      <c r="B1717" t="s">
        <v>10</v>
      </c>
      <c r="C1717" t="s">
        <v>26</v>
      </c>
      <c r="D1717">
        <v>231</v>
      </c>
      <c r="E1717">
        <v>30</v>
      </c>
      <c r="F1717" s="2">
        <v>155.43</v>
      </c>
      <c r="G1717" t="s">
        <v>32</v>
      </c>
      <c r="H1717" s="1">
        <v>45520</v>
      </c>
      <c r="I1717" s="1">
        <v>45526</v>
      </c>
      <c r="J1717" t="s">
        <v>37</v>
      </c>
      <c r="K1717" s="8">
        <f>Table2[[#This Row],[CurrentStock]]*Table2[[#This Row],[UnitPrice]]</f>
        <v>35904.33</v>
      </c>
      <c r="L1717" t="str">
        <f>IF(Table2[[#This Row],[CurrentStock]]&lt;=Table2[[#This Row],[ReorderLevel]], "Reorder Needed", "Okay")</f>
        <v>Okay</v>
      </c>
      <c r="M1717" t="str">
        <f>IF(Table2[[#This Row],[CurrentStock]]-Table2[[#This Row],[ReorderLevel]]&lt;0,Table2[[#This Row],[CurrentStock]]-Table2[[#This Row],[ReorderLevel]],"")</f>
        <v/>
      </c>
      <c r="N1717" t="str">
        <f>IF(Table2[[#This Row],[Stock Gap]]&lt;0, "Understock","Okay")</f>
        <v>Okay</v>
      </c>
      <c r="O1717" s="13" t="str">
        <f>IF(Table2[[#This Row],[Stock Gap]]&lt;0, "Yes", "No")</f>
        <v>No</v>
      </c>
      <c r="P1717" s="13" t="str">
        <f>IF(Table2[[#This Row],[CurrentStock]]&lt;Table2[[#This Row],[ReorderLevel]],"Reorder", "Okay")</f>
        <v>Okay</v>
      </c>
      <c r="Q1717" s="13" t="str">
        <f>IF(Table2[[#This Row],[CurrentStock]]&gt;Table2[[#This Row],[ReorderLevel]]*3, "Overstock", "Okay")</f>
        <v>Overstock</v>
      </c>
    </row>
    <row r="1718" spans="1:17" x14ac:dyDescent="0.35">
      <c r="A1718">
        <v>68596</v>
      </c>
      <c r="B1718" t="s">
        <v>25</v>
      </c>
      <c r="C1718" t="s">
        <v>29</v>
      </c>
      <c r="D1718">
        <v>414</v>
      </c>
      <c r="E1718">
        <v>20</v>
      </c>
      <c r="F1718" s="2">
        <v>8.01</v>
      </c>
      <c r="G1718" t="s">
        <v>32</v>
      </c>
      <c r="H1718" s="1">
        <v>45548</v>
      </c>
      <c r="I1718" s="1">
        <v>45564</v>
      </c>
      <c r="J1718" t="s">
        <v>38</v>
      </c>
      <c r="K1718" s="8">
        <f>Table2[[#This Row],[CurrentStock]]*Table2[[#This Row],[UnitPrice]]</f>
        <v>3316.14</v>
      </c>
      <c r="L1718" t="str">
        <f>IF(Table2[[#This Row],[CurrentStock]]&lt;=Table2[[#This Row],[ReorderLevel]], "Reorder Needed", "Okay")</f>
        <v>Okay</v>
      </c>
      <c r="M1718" t="str">
        <f>IF(Table2[[#This Row],[CurrentStock]]-Table2[[#This Row],[ReorderLevel]]&lt;0,Table2[[#This Row],[CurrentStock]]-Table2[[#This Row],[ReorderLevel]],"")</f>
        <v/>
      </c>
      <c r="N1718" t="str">
        <f>IF(Table2[[#This Row],[Stock Gap]]&lt;0, "Understock","Okay")</f>
        <v>Okay</v>
      </c>
      <c r="O1718" s="13" t="str">
        <f>IF(Table2[[#This Row],[Stock Gap]]&lt;0, "Yes", "No")</f>
        <v>No</v>
      </c>
      <c r="P1718" s="13" t="str">
        <f>IF(Table2[[#This Row],[CurrentStock]]&lt;Table2[[#This Row],[ReorderLevel]],"Reorder", "Okay")</f>
        <v>Okay</v>
      </c>
      <c r="Q1718" s="13" t="str">
        <f>IF(Table2[[#This Row],[CurrentStock]]&gt;Table2[[#This Row],[ReorderLevel]]*3, "Overstock", "Okay")</f>
        <v>Overstock</v>
      </c>
    </row>
    <row r="1719" spans="1:17" x14ac:dyDescent="0.35">
      <c r="A1719">
        <v>31818</v>
      </c>
      <c r="B1719" t="s">
        <v>21</v>
      </c>
      <c r="C1719" t="s">
        <v>26</v>
      </c>
      <c r="D1719">
        <v>421</v>
      </c>
      <c r="E1719">
        <v>100</v>
      </c>
      <c r="F1719" s="2">
        <v>285.93</v>
      </c>
      <c r="G1719" t="s">
        <v>33</v>
      </c>
      <c r="H1719" s="1">
        <v>45469</v>
      </c>
      <c r="I1719" s="1">
        <v>45505</v>
      </c>
      <c r="J1719" t="s">
        <v>38</v>
      </c>
      <c r="K1719" s="8">
        <f>Table2[[#This Row],[CurrentStock]]*Table2[[#This Row],[UnitPrice]]</f>
        <v>120376.53</v>
      </c>
      <c r="L1719" t="str">
        <f>IF(Table2[[#This Row],[CurrentStock]]&lt;=Table2[[#This Row],[ReorderLevel]], "Reorder Needed", "Okay")</f>
        <v>Okay</v>
      </c>
      <c r="M1719" t="str">
        <f>IF(Table2[[#This Row],[CurrentStock]]-Table2[[#This Row],[ReorderLevel]]&lt;0,Table2[[#This Row],[CurrentStock]]-Table2[[#This Row],[ReorderLevel]],"")</f>
        <v/>
      </c>
      <c r="N1719" t="str">
        <f>IF(Table2[[#This Row],[Stock Gap]]&lt;0, "Understock","Okay")</f>
        <v>Okay</v>
      </c>
      <c r="O1719" s="13" t="str">
        <f>IF(Table2[[#This Row],[Stock Gap]]&lt;0, "Yes", "No")</f>
        <v>No</v>
      </c>
      <c r="P1719" s="13" t="str">
        <f>IF(Table2[[#This Row],[CurrentStock]]&lt;Table2[[#This Row],[ReorderLevel]],"Reorder", "Okay")</f>
        <v>Okay</v>
      </c>
      <c r="Q1719" s="13" t="str">
        <f>IF(Table2[[#This Row],[CurrentStock]]&gt;Table2[[#This Row],[ReorderLevel]]*3, "Overstock", "Okay")</f>
        <v>Overstock</v>
      </c>
    </row>
    <row r="1720" spans="1:17" x14ac:dyDescent="0.35">
      <c r="A1720">
        <v>47790</v>
      </c>
      <c r="B1720" t="s">
        <v>18</v>
      </c>
      <c r="C1720" t="s">
        <v>27</v>
      </c>
      <c r="D1720">
        <v>61</v>
      </c>
      <c r="E1720">
        <v>30</v>
      </c>
      <c r="F1720" s="2">
        <v>436.21</v>
      </c>
      <c r="G1720" t="s">
        <v>31</v>
      </c>
      <c r="H1720" s="1">
        <v>45384</v>
      </c>
      <c r="I1720" s="1">
        <v>45415</v>
      </c>
      <c r="J1720" t="s">
        <v>38</v>
      </c>
      <c r="K1720" s="8">
        <f>Table2[[#This Row],[CurrentStock]]*Table2[[#This Row],[UnitPrice]]</f>
        <v>26608.809999999998</v>
      </c>
      <c r="L1720" t="str">
        <f>IF(Table2[[#This Row],[CurrentStock]]&lt;=Table2[[#This Row],[ReorderLevel]], "Reorder Needed", "Okay")</f>
        <v>Okay</v>
      </c>
      <c r="M1720" t="str">
        <f>IF(Table2[[#This Row],[CurrentStock]]-Table2[[#This Row],[ReorderLevel]]&lt;0,Table2[[#This Row],[CurrentStock]]-Table2[[#This Row],[ReorderLevel]],"")</f>
        <v/>
      </c>
      <c r="N1720" t="str">
        <f>IF(Table2[[#This Row],[Stock Gap]]&lt;0, "Understock","Okay")</f>
        <v>Okay</v>
      </c>
      <c r="O1720" s="13" t="str">
        <f>IF(Table2[[#This Row],[Stock Gap]]&lt;0, "Yes", "No")</f>
        <v>No</v>
      </c>
      <c r="P1720" s="13" t="str">
        <f>IF(Table2[[#This Row],[CurrentStock]]&lt;Table2[[#This Row],[ReorderLevel]],"Reorder", "Okay")</f>
        <v>Okay</v>
      </c>
      <c r="Q1720" s="13" t="str">
        <f>IF(Table2[[#This Row],[CurrentStock]]&gt;Table2[[#This Row],[ReorderLevel]]*3, "Overstock", "Okay")</f>
        <v>Okay</v>
      </c>
    </row>
    <row r="1721" spans="1:17" x14ac:dyDescent="0.35">
      <c r="A1721">
        <v>71526</v>
      </c>
      <c r="B1721" t="s">
        <v>20</v>
      </c>
      <c r="C1721" t="s">
        <v>30</v>
      </c>
      <c r="D1721">
        <v>0</v>
      </c>
      <c r="E1721">
        <v>40</v>
      </c>
      <c r="F1721" s="2">
        <v>166.72</v>
      </c>
      <c r="G1721" t="s">
        <v>34</v>
      </c>
      <c r="H1721" s="1">
        <v>45623</v>
      </c>
      <c r="I1721" s="1">
        <v>45647</v>
      </c>
      <c r="J1721" t="s">
        <v>38</v>
      </c>
      <c r="K1721" s="8">
        <f>Table2[[#This Row],[CurrentStock]]*Table2[[#This Row],[UnitPrice]]</f>
        <v>0</v>
      </c>
      <c r="L1721" t="str">
        <f>IF(Table2[[#This Row],[CurrentStock]]&lt;=Table2[[#This Row],[ReorderLevel]], "Reorder Needed", "Okay")</f>
        <v>Reorder Needed</v>
      </c>
      <c r="M1721" s="7">
        <f>IF(Table2[[#This Row],[CurrentStock]]-Table2[[#This Row],[ReorderLevel]]&lt;0,Table2[[#This Row],[CurrentStock]]-Table2[[#This Row],[ReorderLevel]],"")</f>
        <v>-40</v>
      </c>
      <c r="N1721" t="str">
        <f>IF(Table2[[#This Row],[Stock Gap]]&lt;0, "Understock","Okay")</f>
        <v>Understock</v>
      </c>
      <c r="O1721" s="13" t="str">
        <f>IF(Table2[[#This Row],[Stock Gap]]&lt;0, "Yes", "No")</f>
        <v>Yes</v>
      </c>
      <c r="P1721" s="13" t="str">
        <f>IF(Table2[[#This Row],[CurrentStock]]&lt;Table2[[#This Row],[ReorderLevel]],"Reorder", "Okay")</f>
        <v>Reorder</v>
      </c>
      <c r="Q1721" s="13" t="str">
        <f>IF(Table2[[#This Row],[CurrentStock]]&gt;Table2[[#This Row],[ReorderLevel]]*3, "Overstock", "Okay")</f>
        <v>Okay</v>
      </c>
    </row>
    <row r="1722" spans="1:17" x14ac:dyDescent="0.35">
      <c r="A1722">
        <v>41016</v>
      </c>
      <c r="B1722" t="s">
        <v>19</v>
      </c>
      <c r="C1722" t="s">
        <v>28</v>
      </c>
      <c r="D1722">
        <v>284</v>
      </c>
      <c r="E1722">
        <v>150</v>
      </c>
      <c r="F1722" s="2">
        <v>168.5</v>
      </c>
      <c r="G1722" t="s">
        <v>31</v>
      </c>
      <c r="H1722" s="1">
        <v>45438</v>
      </c>
      <c r="I1722" s="1">
        <v>45446</v>
      </c>
      <c r="J1722" t="s">
        <v>37</v>
      </c>
      <c r="K1722" s="8">
        <f>Table2[[#This Row],[CurrentStock]]*Table2[[#This Row],[UnitPrice]]</f>
        <v>47854</v>
      </c>
      <c r="L1722" t="str">
        <f>IF(Table2[[#This Row],[CurrentStock]]&lt;=Table2[[#This Row],[ReorderLevel]], "Reorder Needed", "Okay")</f>
        <v>Okay</v>
      </c>
      <c r="M1722" t="str">
        <f>IF(Table2[[#This Row],[CurrentStock]]-Table2[[#This Row],[ReorderLevel]]&lt;0,Table2[[#This Row],[CurrentStock]]-Table2[[#This Row],[ReorderLevel]],"")</f>
        <v/>
      </c>
      <c r="N1722" t="str">
        <f>IF(Table2[[#This Row],[Stock Gap]]&lt;0, "Understock","Okay")</f>
        <v>Okay</v>
      </c>
      <c r="O1722" s="13" t="str">
        <f>IF(Table2[[#This Row],[Stock Gap]]&lt;0, "Yes", "No")</f>
        <v>No</v>
      </c>
      <c r="P1722" s="13" t="str">
        <f>IF(Table2[[#This Row],[CurrentStock]]&lt;Table2[[#This Row],[ReorderLevel]],"Reorder", "Okay")</f>
        <v>Okay</v>
      </c>
      <c r="Q1722" s="13" t="str">
        <f>IF(Table2[[#This Row],[CurrentStock]]&gt;Table2[[#This Row],[ReorderLevel]]*3, "Overstock", "Okay")</f>
        <v>Okay</v>
      </c>
    </row>
    <row r="1723" spans="1:17" x14ac:dyDescent="0.35">
      <c r="A1723">
        <v>44626</v>
      </c>
      <c r="B1723" t="s">
        <v>24</v>
      </c>
      <c r="C1723" t="s">
        <v>30</v>
      </c>
      <c r="D1723">
        <v>21</v>
      </c>
      <c r="E1723">
        <v>30</v>
      </c>
      <c r="F1723" s="2">
        <v>113.78</v>
      </c>
      <c r="G1723" t="s">
        <v>32</v>
      </c>
      <c r="H1723" s="1">
        <v>45583</v>
      </c>
      <c r="I1723" s="1">
        <v>45607</v>
      </c>
      <c r="J1723" t="s">
        <v>37</v>
      </c>
      <c r="K1723" s="8">
        <f>Table2[[#This Row],[CurrentStock]]*Table2[[#This Row],[UnitPrice]]</f>
        <v>2389.38</v>
      </c>
      <c r="L1723" t="str">
        <f>IF(Table2[[#This Row],[CurrentStock]]&lt;=Table2[[#This Row],[ReorderLevel]], "Reorder Needed", "Okay")</f>
        <v>Reorder Needed</v>
      </c>
      <c r="M1723" s="7">
        <f>IF(Table2[[#This Row],[CurrentStock]]-Table2[[#This Row],[ReorderLevel]]&lt;0,Table2[[#This Row],[CurrentStock]]-Table2[[#This Row],[ReorderLevel]],"")</f>
        <v>-9</v>
      </c>
      <c r="N1723" t="str">
        <f>IF(Table2[[#This Row],[Stock Gap]]&lt;0, "Understock","Okay")</f>
        <v>Understock</v>
      </c>
      <c r="O1723" s="13" t="str">
        <f>IF(Table2[[#This Row],[Stock Gap]]&lt;0, "Yes", "No")</f>
        <v>Yes</v>
      </c>
      <c r="P1723" s="13" t="str">
        <f>IF(Table2[[#This Row],[CurrentStock]]&lt;Table2[[#This Row],[ReorderLevel]],"Reorder", "Okay")</f>
        <v>Reorder</v>
      </c>
      <c r="Q1723" s="13" t="str">
        <f>IF(Table2[[#This Row],[CurrentStock]]&gt;Table2[[#This Row],[ReorderLevel]]*3, "Overstock", "Okay")</f>
        <v>Okay</v>
      </c>
    </row>
    <row r="1724" spans="1:17" x14ac:dyDescent="0.35">
      <c r="A1724">
        <v>39473</v>
      </c>
      <c r="B1724" t="s">
        <v>23</v>
      </c>
      <c r="C1724" t="s">
        <v>30</v>
      </c>
      <c r="D1724">
        <v>252</v>
      </c>
      <c r="E1724">
        <v>80</v>
      </c>
      <c r="F1724" s="2">
        <v>165.1</v>
      </c>
      <c r="G1724" t="s">
        <v>32</v>
      </c>
      <c r="H1724" s="1">
        <v>45603</v>
      </c>
      <c r="I1724" s="1">
        <v>45627</v>
      </c>
      <c r="J1724" t="s">
        <v>38</v>
      </c>
      <c r="K1724" s="8">
        <f>Table2[[#This Row],[CurrentStock]]*Table2[[#This Row],[UnitPrice]]</f>
        <v>41605.199999999997</v>
      </c>
      <c r="L1724" t="str">
        <f>IF(Table2[[#This Row],[CurrentStock]]&lt;=Table2[[#This Row],[ReorderLevel]], "Reorder Needed", "Okay")</f>
        <v>Okay</v>
      </c>
      <c r="M1724" t="str">
        <f>IF(Table2[[#This Row],[CurrentStock]]-Table2[[#This Row],[ReorderLevel]]&lt;0,Table2[[#This Row],[CurrentStock]]-Table2[[#This Row],[ReorderLevel]],"")</f>
        <v/>
      </c>
      <c r="N1724" t="str">
        <f>IF(Table2[[#This Row],[Stock Gap]]&lt;0, "Understock","Okay")</f>
        <v>Okay</v>
      </c>
      <c r="O1724" s="13" t="str">
        <f>IF(Table2[[#This Row],[Stock Gap]]&lt;0, "Yes", "No")</f>
        <v>No</v>
      </c>
      <c r="P1724" s="13" t="str">
        <f>IF(Table2[[#This Row],[CurrentStock]]&lt;Table2[[#This Row],[ReorderLevel]],"Reorder", "Okay")</f>
        <v>Okay</v>
      </c>
      <c r="Q1724" s="13" t="str">
        <f>IF(Table2[[#This Row],[CurrentStock]]&gt;Table2[[#This Row],[ReorderLevel]]*3, "Overstock", "Okay")</f>
        <v>Overstock</v>
      </c>
    </row>
    <row r="1725" spans="1:17" x14ac:dyDescent="0.35">
      <c r="A1725">
        <v>52095</v>
      </c>
      <c r="B1725" t="s">
        <v>13</v>
      </c>
      <c r="C1725" t="s">
        <v>26</v>
      </c>
      <c r="D1725">
        <v>408</v>
      </c>
      <c r="E1725">
        <v>50</v>
      </c>
      <c r="F1725" s="2">
        <v>315.18</v>
      </c>
      <c r="G1725" t="s">
        <v>35</v>
      </c>
      <c r="H1725" s="1">
        <v>45402</v>
      </c>
      <c r="I1725" s="1">
        <v>45418</v>
      </c>
      <c r="J1725" t="s">
        <v>37</v>
      </c>
      <c r="K1725" s="8">
        <f>Table2[[#This Row],[CurrentStock]]*Table2[[#This Row],[UnitPrice]]</f>
        <v>128593.44</v>
      </c>
      <c r="L1725" t="str">
        <f>IF(Table2[[#This Row],[CurrentStock]]&lt;=Table2[[#This Row],[ReorderLevel]], "Reorder Needed", "Okay")</f>
        <v>Okay</v>
      </c>
      <c r="M1725" t="str">
        <f>IF(Table2[[#This Row],[CurrentStock]]-Table2[[#This Row],[ReorderLevel]]&lt;0,Table2[[#This Row],[CurrentStock]]-Table2[[#This Row],[ReorderLevel]],"")</f>
        <v/>
      </c>
      <c r="N1725" t="str">
        <f>IF(Table2[[#This Row],[Stock Gap]]&lt;0, "Understock","Okay")</f>
        <v>Okay</v>
      </c>
      <c r="O1725" s="13" t="str">
        <f>IF(Table2[[#This Row],[Stock Gap]]&lt;0, "Yes", "No")</f>
        <v>No</v>
      </c>
      <c r="P1725" s="13" t="str">
        <f>IF(Table2[[#This Row],[CurrentStock]]&lt;Table2[[#This Row],[ReorderLevel]],"Reorder", "Okay")</f>
        <v>Okay</v>
      </c>
      <c r="Q1725" s="13" t="str">
        <f>IF(Table2[[#This Row],[CurrentStock]]&gt;Table2[[#This Row],[ReorderLevel]]*3, "Overstock", "Okay")</f>
        <v>Overstock</v>
      </c>
    </row>
    <row r="1726" spans="1:17" x14ac:dyDescent="0.35">
      <c r="A1726">
        <v>17837</v>
      </c>
      <c r="B1726" t="s">
        <v>20</v>
      </c>
      <c r="C1726" t="s">
        <v>30</v>
      </c>
      <c r="D1726">
        <v>15</v>
      </c>
      <c r="E1726">
        <v>150</v>
      </c>
      <c r="F1726" s="2">
        <v>116.3</v>
      </c>
      <c r="G1726" t="s">
        <v>35</v>
      </c>
      <c r="H1726" s="1">
        <v>45457</v>
      </c>
      <c r="I1726" s="1">
        <v>45485</v>
      </c>
      <c r="J1726" t="s">
        <v>36</v>
      </c>
      <c r="K1726" s="8">
        <f>Table2[[#This Row],[CurrentStock]]*Table2[[#This Row],[UnitPrice]]</f>
        <v>1744.5</v>
      </c>
      <c r="L1726" t="str">
        <f>IF(Table2[[#This Row],[CurrentStock]]&lt;=Table2[[#This Row],[ReorderLevel]], "Reorder Needed", "Okay")</f>
        <v>Reorder Needed</v>
      </c>
      <c r="M1726" s="7">
        <f>IF(Table2[[#This Row],[CurrentStock]]-Table2[[#This Row],[ReorderLevel]]&lt;0,Table2[[#This Row],[CurrentStock]]-Table2[[#This Row],[ReorderLevel]],"")</f>
        <v>-135</v>
      </c>
      <c r="N1726" t="str">
        <f>IF(Table2[[#This Row],[Stock Gap]]&lt;0, "Understock","Okay")</f>
        <v>Understock</v>
      </c>
      <c r="O1726" s="13" t="str">
        <f>IF(Table2[[#This Row],[Stock Gap]]&lt;0, "Yes", "No")</f>
        <v>Yes</v>
      </c>
      <c r="P1726" s="13" t="str">
        <f>IF(Table2[[#This Row],[CurrentStock]]&lt;Table2[[#This Row],[ReorderLevel]],"Reorder", "Okay")</f>
        <v>Reorder</v>
      </c>
      <c r="Q1726" s="13" t="str">
        <f>IF(Table2[[#This Row],[CurrentStock]]&gt;Table2[[#This Row],[ReorderLevel]]*3, "Overstock", "Okay")</f>
        <v>Okay</v>
      </c>
    </row>
    <row r="1727" spans="1:17" x14ac:dyDescent="0.35">
      <c r="A1727">
        <v>75206</v>
      </c>
      <c r="B1727" t="s">
        <v>19</v>
      </c>
      <c r="C1727" t="s">
        <v>28</v>
      </c>
      <c r="D1727">
        <v>190</v>
      </c>
      <c r="E1727">
        <v>150</v>
      </c>
      <c r="F1727" s="2">
        <v>494.47</v>
      </c>
      <c r="G1727" t="s">
        <v>33</v>
      </c>
      <c r="H1727" s="1">
        <v>45627</v>
      </c>
      <c r="I1727" s="1">
        <v>45652</v>
      </c>
      <c r="J1727" t="s">
        <v>36</v>
      </c>
      <c r="K1727" s="8">
        <f>Table2[[#This Row],[CurrentStock]]*Table2[[#This Row],[UnitPrice]]</f>
        <v>93949.3</v>
      </c>
      <c r="L1727" t="str">
        <f>IF(Table2[[#This Row],[CurrentStock]]&lt;=Table2[[#This Row],[ReorderLevel]], "Reorder Needed", "Okay")</f>
        <v>Okay</v>
      </c>
      <c r="M1727" t="str">
        <f>IF(Table2[[#This Row],[CurrentStock]]-Table2[[#This Row],[ReorderLevel]]&lt;0,Table2[[#This Row],[CurrentStock]]-Table2[[#This Row],[ReorderLevel]],"")</f>
        <v/>
      </c>
      <c r="N1727" t="str">
        <f>IF(Table2[[#This Row],[Stock Gap]]&lt;0, "Understock","Okay")</f>
        <v>Okay</v>
      </c>
      <c r="O1727" s="13" t="str">
        <f>IF(Table2[[#This Row],[Stock Gap]]&lt;0, "Yes", "No")</f>
        <v>No</v>
      </c>
      <c r="P1727" s="13" t="str">
        <f>IF(Table2[[#This Row],[CurrentStock]]&lt;Table2[[#This Row],[ReorderLevel]],"Reorder", "Okay")</f>
        <v>Okay</v>
      </c>
      <c r="Q1727" s="13" t="str">
        <f>IF(Table2[[#This Row],[CurrentStock]]&gt;Table2[[#This Row],[ReorderLevel]]*3, "Overstock", "Okay")</f>
        <v>Okay</v>
      </c>
    </row>
    <row r="1728" spans="1:17" x14ac:dyDescent="0.35">
      <c r="A1728">
        <v>27388</v>
      </c>
      <c r="B1728" t="s">
        <v>15</v>
      </c>
      <c r="C1728" t="s">
        <v>29</v>
      </c>
      <c r="D1728">
        <v>333</v>
      </c>
      <c r="E1728">
        <v>40</v>
      </c>
      <c r="F1728" s="2">
        <v>448.63</v>
      </c>
      <c r="G1728" t="s">
        <v>32</v>
      </c>
      <c r="H1728" s="1">
        <v>45391</v>
      </c>
      <c r="I1728" s="1">
        <v>45426</v>
      </c>
      <c r="J1728" t="s">
        <v>37</v>
      </c>
      <c r="K1728" s="8">
        <f>Table2[[#This Row],[CurrentStock]]*Table2[[#This Row],[UnitPrice]]</f>
        <v>149393.79</v>
      </c>
      <c r="L1728" t="str">
        <f>IF(Table2[[#This Row],[CurrentStock]]&lt;=Table2[[#This Row],[ReorderLevel]], "Reorder Needed", "Okay")</f>
        <v>Okay</v>
      </c>
      <c r="M1728" t="str">
        <f>IF(Table2[[#This Row],[CurrentStock]]-Table2[[#This Row],[ReorderLevel]]&lt;0,Table2[[#This Row],[CurrentStock]]-Table2[[#This Row],[ReorderLevel]],"")</f>
        <v/>
      </c>
      <c r="N1728" t="str">
        <f>IF(Table2[[#This Row],[Stock Gap]]&lt;0, "Understock","Okay")</f>
        <v>Okay</v>
      </c>
      <c r="O1728" s="13" t="str">
        <f>IF(Table2[[#This Row],[Stock Gap]]&lt;0, "Yes", "No")</f>
        <v>No</v>
      </c>
      <c r="P1728" s="13" t="str">
        <f>IF(Table2[[#This Row],[CurrentStock]]&lt;Table2[[#This Row],[ReorderLevel]],"Reorder", "Okay")</f>
        <v>Okay</v>
      </c>
      <c r="Q1728" s="13" t="str">
        <f>IF(Table2[[#This Row],[CurrentStock]]&gt;Table2[[#This Row],[ReorderLevel]]*3, "Overstock", "Okay")</f>
        <v>Overstock</v>
      </c>
    </row>
    <row r="1729" spans="1:17" x14ac:dyDescent="0.35">
      <c r="A1729">
        <v>98271</v>
      </c>
      <c r="B1729" t="s">
        <v>15</v>
      </c>
      <c r="C1729" t="s">
        <v>29</v>
      </c>
      <c r="D1729">
        <v>29</v>
      </c>
      <c r="E1729">
        <v>150</v>
      </c>
      <c r="F1729" s="2">
        <v>168.78</v>
      </c>
      <c r="G1729" t="s">
        <v>35</v>
      </c>
      <c r="H1729" s="1">
        <v>45332</v>
      </c>
      <c r="I1729" s="1">
        <v>45346</v>
      </c>
      <c r="J1729" t="s">
        <v>36</v>
      </c>
      <c r="K1729" s="8">
        <f>Table2[[#This Row],[CurrentStock]]*Table2[[#This Row],[UnitPrice]]</f>
        <v>4894.62</v>
      </c>
      <c r="L1729" t="str">
        <f>IF(Table2[[#This Row],[CurrentStock]]&lt;=Table2[[#This Row],[ReorderLevel]], "Reorder Needed", "Okay")</f>
        <v>Reorder Needed</v>
      </c>
      <c r="M1729" s="7">
        <f>IF(Table2[[#This Row],[CurrentStock]]-Table2[[#This Row],[ReorderLevel]]&lt;0,Table2[[#This Row],[CurrentStock]]-Table2[[#This Row],[ReorderLevel]],"")</f>
        <v>-121</v>
      </c>
      <c r="N1729" t="str">
        <f>IF(Table2[[#This Row],[Stock Gap]]&lt;0, "Understock","Okay")</f>
        <v>Understock</v>
      </c>
      <c r="O1729" s="13" t="str">
        <f>IF(Table2[[#This Row],[Stock Gap]]&lt;0, "Yes", "No")</f>
        <v>Yes</v>
      </c>
      <c r="P1729" s="13" t="str">
        <f>IF(Table2[[#This Row],[CurrentStock]]&lt;Table2[[#This Row],[ReorderLevel]],"Reorder", "Okay")</f>
        <v>Reorder</v>
      </c>
      <c r="Q1729" s="13" t="str">
        <f>IF(Table2[[#This Row],[CurrentStock]]&gt;Table2[[#This Row],[ReorderLevel]]*3, "Overstock", "Okay")</f>
        <v>Okay</v>
      </c>
    </row>
    <row r="1730" spans="1:17" x14ac:dyDescent="0.35">
      <c r="A1730">
        <v>33212</v>
      </c>
      <c r="B1730" t="s">
        <v>25</v>
      </c>
      <c r="C1730" t="s">
        <v>29</v>
      </c>
      <c r="D1730">
        <v>359</v>
      </c>
      <c r="E1730">
        <v>150</v>
      </c>
      <c r="F1730" s="2">
        <v>425.46</v>
      </c>
      <c r="G1730" t="s">
        <v>31</v>
      </c>
      <c r="H1730" s="1">
        <v>45503</v>
      </c>
      <c r="I1730" s="1">
        <v>45527</v>
      </c>
      <c r="J1730" t="s">
        <v>36</v>
      </c>
      <c r="K1730" s="8">
        <f>Table2[[#This Row],[CurrentStock]]*Table2[[#This Row],[UnitPrice]]</f>
        <v>152740.13999999998</v>
      </c>
      <c r="L1730" t="str">
        <f>IF(Table2[[#This Row],[CurrentStock]]&lt;=Table2[[#This Row],[ReorderLevel]], "Reorder Needed", "Okay")</f>
        <v>Okay</v>
      </c>
      <c r="M1730" t="str">
        <f>IF(Table2[[#This Row],[CurrentStock]]-Table2[[#This Row],[ReorderLevel]]&lt;0,Table2[[#This Row],[CurrentStock]]-Table2[[#This Row],[ReorderLevel]],"")</f>
        <v/>
      </c>
      <c r="N1730" t="str">
        <f>IF(Table2[[#This Row],[Stock Gap]]&lt;0, "Understock","Okay")</f>
        <v>Okay</v>
      </c>
      <c r="O1730" s="13" t="str">
        <f>IF(Table2[[#This Row],[Stock Gap]]&lt;0, "Yes", "No")</f>
        <v>No</v>
      </c>
      <c r="P1730" s="13" t="str">
        <f>IF(Table2[[#This Row],[CurrentStock]]&lt;Table2[[#This Row],[ReorderLevel]],"Reorder", "Okay")</f>
        <v>Okay</v>
      </c>
      <c r="Q1730" s="13" t="str">
        <f>IF(Table2[[#This Row],[CurrentStock]]&gt;Table2[[#This Row],[ReorderLevel]]*3, "Overstock", "Okay")</f>
        <v>Okay</v>
      </c>
    </row>
    <row r="1731" spans="1:17" x14ac:dyDescent="0.35">
      <c r="A1731">
        <v>74708</v>
      </c>
      <c r="B1731" t="s">
        <v>10</v>
      </c>
      <c r="C1731" t="s">
        <v>26</v>
      </c>
      <c r="D1731">
        <v>261</v>
      </c>
      <c r="E1731">
        <v>100</v>
      </c>
      <c r="F1731" s="2">
        <v>210.5</v>
      </c>
      <c r="G1731" t="s">
        <v>34</v>
      </c>
      <c r="H1731" s="1">
        <v>45560</v>
      </c>
      <c r="I1731" s="1">
        <v>45593</v>
      </c>
      <c r="J1731" t="s">
        <v>36</v>
      </c>
      <c r="K1731" s="8">
        <f>Table2[[#This Row],[CurrentStock]]*Table2[[#This Row],[UnitPrice]]</f>
        <v>54940.5</v>
      </c>
      <c r="L1731" t="str">
        <f>IF(Table2[[#This Row],[CurrentStock]]&lt;=Table2[[#This Row],[ReorderLevel]], "Reorder Needed", "Okay")</f>
        <v>Okay</v>
      </c>
      <c r="M1731" t="str">
        <f>IF(Table2[[#This Row],[CurrentStock]]-Table2[[#This Row],[ReorderLevel]]&lt;0,Table2[[#This Row],[CurrentStock]]-Table2[[#This Row],[ReorderLevel]],"")</f>
        <v/>
      </c>
      <c r="N1731" t="str">
        <f>IF(Table2[[#This Row],[Stock Gap]]&lt;0, "Understock","Okay")</f>
        <v>Okay</v>
      </c>
      <c r="O1731" s="13" t="str">
        <f>IF(Table2[[#This Row],[Stock Gap]]&lt;0, "Yes", "No")</f>
        <v>No</v>
      </c>
      <c r="P1731" s="13" t="str">
        <f>IF(Table2[[#This Row],[CurrentStock]]&lt;Table2[[#This Row],[ReorderLevel]],"Reorder", "Okay")</f>
        <v>Okay</v>
      </c>
      <c r="Q1731" s="13" t="str">
        <f>IF(Table2[[#This Row],[CurrentStock]]&gt;Table2[[#This Row],[ReorderLevel]]*3, "Overstock", "Okay")</f>
        <v>Okay</v>
      </c>
    </row>
    <row r="1732" spans="1:17" x14ac:dyDescent="0.35">
      <c r="A1732">
        <v>44841</v>
      </c>
      <c r="B1732" t="s">
        <v>21</v>
      </c>
      <c r="C1732" t="s">
        <v>26</v>
      </c>
      <c r="D1732">
        <v>327</v>
      </c>
      <c r="E1732">
        <v>50</v>
      </c>
      <c r="F1732" s="2">
        <v>71.56</v>
      </c>
      <c r="G1732" t="s">
        <v>32</v>
      </c>
      <c r="H1732" s="1">
        <v>45406</v>
      </c>
      <c r="I1732" s="1">
        <v>45430</v>
      </c>
      <c r="J1732" t="s">
        <v>37</v>
      </c>
      <c r="K1732" s="8">
        <f>Table2[[#This Row],[CurrentStock]]*Table2[[#This Row],[UnitPrice]]</f>
        <v>23400.12</v>
      </c>
      <c r="L1732" t="str">
        <f>IF(Table2[[#This Row],[CurrentStock]]&lt;=Table2[[#This Row],[ReorderLevel]], "Reorder Needed", "Okay")</f>
        <v>Okay</v>
      </c>
      <c r="M1732" t="str">
        <f>IF(Table2[[#This Row],[CurrentStock]]-Table2[[#This Row],[ReorderLevel]]&lt;0,Table2[[#This Row],[CurrentStock]]-Table2[[#This Row],[ReorderLevel]],"")</f>
        <v/>
      </c>
      <c r="N1732" t="str">
        <f>IF(Table2[[#This Row],[Stock Gap]]&lt;0, "Understock","Okay")</f>
        <v>Okay</v>
      </c>
      <c r="O1732" s="13" t="str">
        <f>IF(Table2[[#This Row],[Stock Gap]]&lt;0, "Yes", "No")</f>
        <v>No</v>
      </c>
      <c r="P1732" s="13" t="str">
        <f>IF(Table2[[#This Row],[CurrentStock]]&lt;Table2[[#This Row],[ReorderLevel]],"Reorder", "Okay")</f>
        <v>Okay</v>
      </c>
      <c r="Q1732" s="13" t="str">
        <f>IF(Table2[[#This Row],[CurrentStock]]&gt;Table2[[#This Row],[ReorderLevel]]*3, "Overstock", "Okay")</f>
        <v>Overstock</v>
      </c>
    </row>
    <row r="1733" spans="1:17" x14ac:dyDescent="0.35">
      <c r="A1733">
        <v>93388</v>
      </c>
      <c r="B1733" t="s">
        <v>25</v>
      </c>
      <c r="C1733" t="s">
        <v>29</v>
      </c>
      <c r="D1733">
        <v>380</v>
      </c>
      <c r="E1733">
        <v>40</v>
      </c>
      <c r="F1733" s="2">
        <v>150.44999999999999</v>
      </c>
      <c r="G1733" t="s">
        <v>35</v>
      </c>
      <c r="H1733" s="1">
        <v>45374</v>
      </c>
      <c r="I1733" s="1">
        <v>45412</v>
      </c>
      <c r="J1733" t="s">
        <v>36</v>
      </c>
      <c r="K1733" s="8">
        <f>Table2[[#This Row],[CurrentStock]]*Table2[[#This Row],[UnitPrice]]</f>
        <v>57170.999999999993</v>
      </c>
      <c r="L1733" t="str">
        <f>IF(Table2[[#This Row],[CurrentStock]]&lt;=Table2[[#This Row],[ReorderLevel]], "Reorder Needed", "Okay")</f>
        <v>Okay</v>
      </c>
      <c r="M1733" t="str">
        <f>IF(Table2[[#This Row],[CurrentStock]]-Table2[[#This Row],[ReorderLevel]]&lt;0,Table2[[#This Row],[CurrentStock]]-Table2[[#This Row],[ReorderLevel]],"")</f>
        <v/>
      </c>
      <c r="N1733" t="str">
        <f>IF(Table2[[#This Row],[Stock Gap]]&lt;0, "Understock","Okay")</f>
        <v>Okay</v>
      </c>
      <c r="O1733" s="13" t="str">
        <f>IF(Table2[[#This Row],[Stock Gap]]&lt;0, "Yes", "No")</f>
        <v>No</v>
      </c>
      <c r="P1733" s="13" t="str">
        <f>IF(Table2[[#This Row],[CurrentStock]]&lt;Table2[[#This Row],[ReorderLevel]],"Reorder", "Okay")</f>
        <v>Okay</v>
      </c>
      <c r="Q1733" s="13" t="str">
        <f>IF(Table2[[#This Row],[CurrentStock]]&gt;Table2[[#This Row],[ReorderLevel]]*3, "Overstock", "Okay")</f>
        <v>Overstock</v>
      </c>
    </row>
    <row r="1734" spans="1:17" x14ac:dyDescent="0.35">
      <c r="A1734">
        <v>63616</v>
      </c>
      <c r="B1734" t="s">
        <v>12</v>
      </c>
      <c r="C1734" t="s">
        <v>28</v>
      </c>
      <c r="D1734">
        <v>155</v>
      </c>
      <c r="E1734">
        <v>100</v>
      </c>
      <c r="F1734" s="2">
        <v>390.66</v>
      </c>
      <c r="G1734" t="s">
        <v>34</v>
      </c>
      <c r="H1734" s="1">
        <v>45477</v>
      </c>
      <c r="I1734" s="1">
        <v>45486</v>
      </c>
      <c r="J1734" t="s">
        <v>37</v>
      </c>
      <c r="K1734" s="8">
        <f>Table2[[#This Row],[CurrentStock]]*Table2[[#This Row],[UnitPrice]]</f>
        <v>60552.3</v>
      </c>
      <c r="L1734" t="str">
        <f>IF(Table2[[#This Row],[CurrentStock]]&lt;=Table2[[#This Row],[ReorderLevel]], "Reorder Needed", "Okay")</f>
        <v>Okay</v>
      </c>
      <c r="M1734" t="str">
        <f>IF(Table2[[#This Row],[CurrentStock]]-Table2[[#This Row],[ReorderLevel]]&lt;0,Table2[[#This Row],[CurrentStock]]-Table2[[#This Row],[ReorderLevel]],"")</f>
        <v/>
      </c>
      <c r="N1734" t="str">
        <f>IF(Table2[[#This Row],[Stock Gap]]&lt;0, "Understock","Okay")</f>
        <v>Okay</v>
      </c>
      <c r="O1734" s="13" t="str">
        <f>IF(Table2[[#This Row],[Stock Gap]]&lt;0, "Yes", "No")</f>
        <v>No</v>
      </c>
      <c r="P1734" s="13" t="str">
        <f>IF(Table2[[#This Row],[CurrentStock]]&lt;Table2[[#This Row],[ReorderLevel]],"Reorder", "Okay")</f>
        <v>Okay</v>
      </c>
      <c r="Q1734" s="13" t="str">
        <f>IF(Table2[[#This Row],[CurrentStock]]&gt;Table2[[#This Row],[ReorderLevel]]*3, "Overstock", "Okay")</f>
        <v>Okay</v>
      </c>
    </row>
    <row r="1735" spans="1:17" x14ac:dyDescent="0.35">
      <c r="A1735">
        <v>76714</v>
      </c>
      <c r="B1735" t="s">
        <v>18</v>
      </c>
      <c r="C1735" t="s">
        <v>27</v>
      </c>
      <c r="D1735">
        <v>287</v>
      </c>
      <c r="E1735">
        <v>150</v>
      </c>
      <c r="F1735" s="2">
        <v>85.08</v>
      </c>
      <c r="G1735" t="s">
        <v>31</v>
      </c>
      <c r="H1735" s="1">
        <v>45622</v>
      </c>
      <c r="I1735" s="1">
        <v>45639</v>
      </c>
      <c r="J1735" t="s">
        <v>38</v>
      </c>
      <c r="K1735" s="8">
        <f>Table2[[#This Row],[CurrentStock]]*Table2[[#This Row],[UnitPrice]]</f>
        <v>24417.96</v>
      </c>
      <c r="L1735" t="str">
        <f>IF(Table2[[#This Row],[CurrentStock]]&lt;=Table2[[#This Row],[ReorderLevel]], "Reorder Needed", "Okay")</f>
        <v>Okay</v>
      </c>
      <c r="M1735" t="str">
        <f>IF(Table2[[#This Row],[CurrentStock]]-Table2[[#This Row],[ReorderLevel]]&lt;0,Table2[[#This Row],[CurrentStock]]-Table2[[#This Row],[ReorderLevel]],"")</f>
        <v/>
      </c>
      <c r="N1735" t="str">
        <f>IF(Table2[[#This Row],[Stock Gap]]&lt;0, "Understock","Okay")</f>
        <v>Okay</v>
      </c>
      <c r="O1735" s="13" t="str">
        <f>IF(Table2[[#This Row],[Stock Gap]]&lt;0, "Yes", "No")</f>
        <v>No</v>
      </c>
      <c r="P1735" s="13" t="str">
        <f>IF(Table2[[#This Row],[CurrentStock]]&lt;Table2[[#This Row],[ReorderLevel]],"Reorder", "Okay")</f>
        <v>Okay</v>
      </c>
      <c r="Q1735" s="13" t="str">
        <f>IF(Table2[[#This Row],[CurrentStock]]&gt;Table2[[#This Row],[ReorderLevel]]*3, "Overstock", "Okay")</f>
        <v>Okay</v>
      </c>
    </row>
    <row r="1736" spans="1:17" x14ac:dyDescent="0.35">
      <c r="A1736">
        <v>98306</v>
      </c>
      <c r="B1736" t="s">
        <v>15</v>
      </c>
      <c r="C1736" t="s">
        <v>29</v>
      </c>
      <c r="D1736">
        <v>420</v>
      </c>
      <c r="E1736">
        <v>20</v>
      </c>
      <c r="F1736" s="2">
        <v>193.75</v>
      </c>
      <c r="G1736" t="s">
        <v>35</v>
      </c>
      <c r="H1736" s="1">
        <v>45515</v>
      </c>
      <c r="I1736" s="1">
        <v>45522</v>
      </c>
      <c r="J1736" t="s">
        <v>38</v>
      </c>
      <c r="K1736" s="8">
        <f>Table2[[#This Row],[CurrentStock]]*Table2[[#This Row],[UnitPrice]]</f>
        <v>81375</v>
      </c>
      <c r="L1736" t="str">
        <f>IF(Table2[[#This Row],[CurrentStock]]&lt;=Table2[[#This Row],[ReorderLevel]], "Reorder Needed", "Okay")</f>
        <v>Okay</v>
      </c>
      <c r="M1736" t="str">
        <f>IF(Table2[[#This Row],[CurrentStock]]-Table2[[#This Row],[ReorderLevel]]&lt;0,Table2[[#This Row],[CurrentStock]]-Table2[[#This Row],[ReorderLevel]],"")</f>
        <v/>
      </c>
      <c r="N1736" t="str">
        <f>IF(Table2[[#This Row],[Stock Gap]]&lt;0, "Understock","Okay")</f>
        <v>Okay</v>
      </c>
      <c r="O1736" s="13" t="str">
        <f>IF(Table2[[#This Row],[Stock Gap]]&lt;0, "Yes", "No")</f>
        <v>No</v>
      </c>
      <c r="P1736" s="13" t="str">
        <f>IF(Table2[[#This Row],[CurrentStock]]&lt;Table2[[#This Row],[ReorderLevel]],"Reorder", "Okay")</f>
        <v>Okay</v>
      </c>
      <c r="Q1736" s="13" t="str">
        <f>IF(Table2[[#This Row],[CurrentStock]]&gt;Table2[[#This Row],[ReorderLevel]]*3, "Overstock", "Okay")</f>
        <v>Overstock</v>
      </c>
    </row>
    <row r="1737" spans="1:17" x14ac:dyDescent="0.35">
      <c r="A1737">
        <v>82126</v>
      </c>
      <c r="B1737" t="s">
        <v>19</v>
      </c>
      <c r="C1737" t="s">
        <v>28</v>
      </c>
      <c r="D1737">
        <v>170</v>
      </c>
      <c r="E1737">
        <v>80</v>
      </c>
      <c r="F1737" s="2">
        <v>441.33</v>
      </c>
      <c r="G1737" t="s">
        <v>32</v>
      </c>
      <c r="H1737" s="1">
        <v>45461</v>
      </c>
      <c r="I1737" s="1">
        <v>45496</v>
      </c>
      <c r="J1737" t="s">
        <v>38</v>
      </c>
      <c r="K1737" s="8">
        <f>Table2[[#This Row],[CurrentStock]]*Table2[[#This Row],[UnitPrice]]</f>
        <v>75026.099999999991</v>
      </c>
      <c r="L1737" t="str">
        <f>IF(Table2[[#This Row],[CurrentStock]]&lt;=Table2[[#This Row],[ReorderLevel]], "Reorder Needed", "Okay")</f>
        <v>Okay</v>
      </c>
      <c r="M1737" t="str">
        <f>IF(Table2[[#This Row],[CurrentStock]]-Table2[[#This Row],[ReorderLevel]]&lt;0,Table2[[#This Row],[CurrentStock]]-Table2[[#This Row],[ReorderLevel]],"")</f>
        <v/>
      </c>
      <c r="N1737" t="str">
        <f>IF(Table2[[#This Row],[Stock Gap]]&lt;0, "Understock","Okay")</f>
        <v>Okay</v>
      </c>
      <c r="O1737" s="13" t="str">
        <f>IF(Table2[[#This Row],[Stock Gap]]&lt;0, "Yes", "No")</f>
        <v>No</v>
      </c>
      <c r="P1737" s="13" t="str">
        <f>IF(Table2[[#This Row],[CurrentStock]]&lt;Table2[[#This Row],[ReorderLevel]],"Reorder", "Okay")</f>
        <v>Okay</v>
      </c>
      <c r="Q1737" s="13" t="str">
        <f>IF(Table2[[#This Row],[CurrentStock]]&gt;Table2[[#This Row],[ReorderLevel]]*3, "Overstock", "Okay")</f>
        <v>Okay</v>
      </c>
    </row>
    <row r="1738" spans="1:17" x14ac:dyDescent="0.35">
      <c r="A1738">
        <v>68171</v>
      </c>
      <c r="B1738" t="s">
        <v>20</v>
      </c>
      <c r="C1738" t="s">
        <v>30</v>
      </c>
      <c r="D1738">
        <v>56</v>
      </c>
      <c r="E1738">
        <v>150</v>
      </c>
      <c r="F1738" s="2">
        <v>349.26</v>
      </c>
      <c r="G1738" t="s">
        <v>34</v>
      </c>
      <c r="H1738" s="1">
        <v>45339</v>
      </c>
      <c r="I1738" s="1">
        <v>45359</v>
      </c>
      <c r="J1738" t="s">
        <v>37</v>
      </c>
      <c r="K1738" s="8">
        <f>Table2[[#This Row],[CurrentStock]]*Table2[[#This Row],[UnitPrice]]</f>
        <v>19558.559999999998</v>
      </c>
      <c r="L1738" t="str">
        <f>IF(Table2[[#This Row],[CurrentStock]]&lt;=Table2[[#This Row],[ReorderLevel]], "Reorder Needed", "Okay")</f>
        <v>Reorder Needed</v>
      </c>
      <c r="M1738" s="7">
        <f>IF(Table2[[#This Row],[CurrentStock]]-Table2[[#This Row],[ReorderLevel]]&lt;0,Table2[[#This Row],[CurrentStock]]-Table2[[#This Row],[ReorderLevel]],"")</f>
        <v>-94</v>
      </c>
      <c r="N1738" t="str">
        <f>IF(Table2[[#This Row],[Stock Gap]]&lt;0, "Understock","Okay")</f>
        <v>Understock</v>
      </c>
      <c r="O1738" s="13" t="str">
        <f>IF(Table2[[#This Row],[Stock Gap]]&lt;0, "Yes", "No")</f>
        <v>Yes</v>
      </c>
      <c r="P1738" s="13" t="str">
        <f>IF(Table2[[#This Row],[CurrentStock]]&lt;Table2[[#This Row],[ReorderLevel]],"Reorder", "Okay")</f>
        <v>Reorder</v>
      </c>
      <c r="Q1738" s="13" t="str">
        <f>IF(Table2[[#This Row],[CurrentStock]]&gt;Table2[[#This Row],[ReorderLevel]]*3, "Overstock", "Okay")</f>
        <v>Okay</v>
      </c>
    </row>
    <row r="1739" spans="1:17" x14ac:dyDescent="0.35">
      <c r="A1739">
        <v>87712</v>
      </c>
      <c r="B1739" t="s">
        <v>14</v>
      </c>
      <c r="C1739" t="s">
        <v>28</v>
      </c>
      <c r="D1739">
        <v>3</v>
      </c>
      <c r="E1739">
        <v>50</v>
      </c>
      <c r="F1739" s="2">
        <v>67.650000000000006</v>
      </c>
      <c r="G1739" t="s">
        <v>34</v>
      </c>
      <c r="H1739" s="1">
        <v>45300</v>
      </c>
      <c r="I1739" s="1">
        <v>45321</v>
      </c>
      <c r="J1739" t="s">
        <v>38</v>
      </c>
      <c r="K1739" s="8">
        <f>Table2[[#This Row],[CurrentStock]]*Table2[[#This Row],[UnitPrice]]</f>
        <v>202.95000000000002</v>
      </c>
      <c r="L1739" t="str">
        <f>IF(Table2[[#This Row],[CurrentStock]]&lt;=Table2[[#This Row],[ReorderLevel]], "Reorder Needed", "Okay")</f>
        <v>Reorder Needed</v>
      </c>
      <c r="M1739" s="7">
        <f>IF(Table2[[#This Row],[CurrentStock]]-Table2[[#This Row],[ReorderLevel]]&lt;0,Table2[[#This Row],[CurrentStock]]-Table2[[#This Row],[ReorderLevel]],"")</f>
        <v>-47</v>
      </c>
      <c r="N1739" t="str">
        <f>IF(Table2[[#This Row],[Stock Gap]]&lt;0, "Understock","Okay")</f>
        <v>Understock</v>
      </c>
      <c r="O1739" s="13" t="str">
        <f>IF(Table2[[#This Row],[Stock Gap]]&lt;0, "Yes", "No")</f>
        <v>Yes</v>
      </c>
      <c r="P1739" s="13" t="str">
        <f>IF(Table2[[#This Row],[CurrentStock]]&lt;Table2[[#This Row],[ReorderLevel]],"Reorder", "Okay")</f>
        <v>Reorder</v>
      </c>
      <c r="Q1739" s="13" t="str">
        <f>IF(Table2[[#This Row],[CurrentStock]]&gt;Table2[[#This Row],[ReorderLevel]]*3, "Overstock", "Okay")</f>
        <v>Okay</v>
      </c>
    </row>
    <row r="1740" spans="1:17" x14ac:dyDescent="0.35">
      <c r="A1740">
        <v>99432</v>
      </c>
      <c r="B1740" t="s">
        <v>21</v>
      </c>
      <c r="C1740" t="s">
        <v>26</v>
      </c>
      <c r="D1740">
        <v>42</v>
      </c>
      <c r="E1740">
        <v>40</v>
      </c>
      <c r="F1740" s="2">
        <v>22.32</v>
      </c>
      <c r="G1740" t="s">
        <v>33</v>
      </c>
      <c r="H1740" s="1">
        <v>45299</v>
      </c>
      <c r="I1740" s="1">
        <v>45325</v>
      </c>
      <c r="J1740" t="s">
        <v>38</v>
      </c>
      <c r="K1740" s="8">
        <f>Table2[[#This Row],[CurrentStock]]*Table2[[#This Row],[UnitPrice]]</f>
        <v>937.44</v>
      </c>
      <c r="L1740" t="str">
        <f>IF(Table2[[#This Row],[CurrentStock]]&lt;=Table2[[#This Row],[ReorderLevel]], "Reorder Needed", "Okay")</f>
        <v>Okay</v>
      </c>
      <c r="M1740" t="str">
        <f>IF(Table2[[#This Row],[CurrentStock]]-Table2[[#This Row],[ReorderLevel]]&lt;0,Table2[[#This Row],[CurrentStock]]-Table2[[#This Row],[ReorderLevel]],"")</f>
        <v/>
      </c>
      <c r="N1740" t="str">
        <f>IF(Table2[[#This Row],[Stock Gap]]&lt;0, "Understock","Okay")</f>
        <v>Okay</v>
      </c>
      <c r="O1740" s="13" t="str">
        <f>IF(Table2[[#This Row],[Stock Gap]]&lt;0, "Yes", "No")</f>
        <v>No</v>
      </c>
      <c r="P1740" s="13" t="str">
        <f>IF(Table2[[#This Row],[CurrentStock]]&lt;Table2[[#This Row],[ReorderLevel]],"Reorder", "Okay")</f>
        <v>Okay</v>
      </c>
      <c r="Q1740" s="13" t="str">
        <f>IF(Table2[[#This Row],[CurrentStock]]&gt;Table2[[#This Row],[ReorderLevel]]*3, "Overstock", "Okay")</f>
        <v>Okay</v>
      </c>
    </row>
    <row r="1741" spans="1:17" x14ac:dyDescent="0.35">
      <c r="A1741">
        <v>96472</v>
      </c>
      <c r="B1741" t="s">
        <v>17</v>
      </c>
      <c r="C1741" t="s">
        <v>27</v>
      </c>
      <c r="D1741">
        <v>423</v>
      </c>
      <c r="E1741">
        <v>100</v>
      </c>
      <c r="F1741" s="2">
        <v>414.08</v>
      </c>
      <c r="G1741" t="s">
        <v>33</v>
      </c>
      <c r="H1741" s="1">
        <v>45312</v>
      </c>
      <c r="I1741" s="1">
        <v>45340</v>
      </c>
      <c r="J1741" t="s">
        <v>38</v>
      </c>
      <c r="K1741" s="8">
        <f>Table2[[#This Row],[CurrentStock]]*Table2[[#This Row],[UnitPrice]]</f>
        <v>175155.84</v>
      </c>
      <c r="L1741" t="str">
        <f>IF(Table2[[#This Row],[CurrentStock]]&lt;=Table2[[#This Row],[ReorderLevel]], "Reorder Needed", "Okay")</f>
        <v>Okay</v>
      </c>
      <c r="M1741" t="str">
        <f>IF(Table2[[#This Row],[CurrentStock]]-Table2[[#This Row],[ReorderLevel]]&lt;0,Table2[[#This Row],[CurrentStock]]-Table2[[#This Row],[ReorderLevel]],"")</f>
        <v/>
      </c>
      <c r="N1741" t="str">
        <f>IF(Table2[[#This Row],[Stock Gap]]&lt;0, "Understock","Okay")</f>
        <v>Okay</v>
      </c>
      <c r="O1741" s="13" t="str">
        <f>IF(Table2[[#This Row],[Stock Gap]]&lt;0, "Yes", "No")</f>
        <v>No</v>
      </c>
      <c r="P1741" s="13" t="str">
        <f>IF(Table2[[#This Row],[CurrentStock]]&lt;Table2[[#This Row],[ReorderLevel]],"Reorder", "Okay")</f>
        <v>Okay</v>
      </c>
      <c r="Q1741" s="13" t="str">
        <f>IF(Table2[[#This Row],[CurrentStock]]&gt;Table2[[#This Row],[ReorderLevel]]*3, "Overstock", "Okay")</f>
        <v>Overstock</v>
      </c>
    </row>
    <row r="1742" spans="1:17" x14ac:dyDescent="0.35">
      <c r="A1742">
        <v>95141</v>
      </c>
      <c r="B1742" t="s">
        <v>23</v>
      </c>
      <c r="C1742" t="s">
        <v>30</v>
      </c>
      <c r="D1742">
        <v>147</v>
      </c>
      <c r="E1742">
        <v>40</v>
      </c>
      <c r="F1742" s="2">
        <v>212.73</v>
      </c>
      <c r="G1742" t="s">
        <v>34</v>
      </c>
      <c r="H1742" s="1">
        <v>45327</v>
      </c>
      <c r="I1742" s="1">
        <v>45340</v>
      </c>
      <c r="J1742" t="s">
        <v>36</v>
      </c>
      <c r="K1742" s="8">
        <f>Table2[[#This Row],[CurrentStock]]*Table2[[#This Row],[UnitPrice]]</f>
        <v>31271.309999999998</v>
      </c>
      <c r="L1742" t="str">
        <f>IF(Table2[[#This Row],[CurrentStock]]&lt;=Table2[[#This Row],[ReorderLevel]], "Reorder Needed", "Okay")</f>
        <v>Okay</v>
      </c>
      <c r="M1742" t="str">
        <f>IF(Table2[[#This Row],[CurrentStock]]-Table2[[#This Row],[ReorderLevel]]&lt;0,Table2[[#This Row],[CurrentStock]]-Table2[[#This Row],[ReorderLevel]],"")</f>
        <v/>
      </c>
      <c r="N1742" t="str">
        <f>IF(Table2[[#This Row],[Stock Gap]]&lt;0, "Understock","Okay")</f>
        <v>Okay</v>
      </c>
      <c r="O1742" s="13" t="str">
        <f>IF(Table2[[#This Row],[Stock Gap]]&lt;0, "Yes", "No")</f>
        <v>No</v>
      </c>
      <c r="P1742" s="13" t="str">
        <f>IF(Table2[[#This Row],[CurrentStock]]&lt;Table2[[#This Row],[ReorderLevel]],"Reorder", "Okay")</f>
        <v>Okay</v>
      </c>
      <c r="Q1742" s="13" t="str">
        <f>IF(Table2[[#This Row],[CurrentStock]]&gt;Table2[[#This Row],[ReorderLevel]]*3, "Overstock", "Okay")</f>
        <v>Overstock</v>
      </c>
    </row>
    <row r="1743" spans="1:17" x14ac:dyDescent="0.35">
      <c r="A1743">
        <v>83100</v>
      </c>
      <c r="B1743" t="s">
        <v>17</v>
      </c>
      <c r="C1743" t="s">
        <v>27</v>
      </c>
      <c r="D1743">
        <v>229</v>
      </c>
      <c r="E1743">
        <v>40</v>
      </c>
      <c r="F1743" s="2">
        <v>247.61</v>
      </c>
      <c r="G1743" t="s">
        <v>33</v>
      </c>
      <c r="H1743" s="1">
        <v>45654</v>
      </c>
      <c r="I1743" s="1">
        <v>45690</v>
      </c>
      <c r="J1743" t="s">
        <v>37</v>
      </c>
      <c r="K1743" s="8">
        <f>Table2[[#This Row],[CurrentStock]]*Table2[[#This Row],[UnitPrice]]</f>
        <v>56702.69</v>
      </c>
      <c r="L1743" t="str">
        <f>IF(Table2[[#This Row],[CurrentStock]]&lt;=Table2[[#This Row],[ReorderLevel]], "Reorder Needed", "Okay")</f>
        <v>Okay</v>
      </c>
      <c r="M1743" t="str">
        <f>IF(Table2[[#This Row],[CurrentStock]]-Table2[[#This Row],[ReorderLevel]]&lt;0,Table2[[#This Row],[CurrentStock]]-Table2[[#This Row],[ReorderLevel]],"")</f>
        <v/>
      </c>
      <c r="N1743" t="str">
        <f>IF(Table2[[#This Row],[Stock Gap]]&lt;0, "Understock","Okay")</f>
        <v>Okay</v>
      </c>
      <c r="O1743" s="13" t="str">
        <f>IF(Table2[[#This Row],[Stock Gap]]&lt;0, "Yes", "No")</f>
        <v>No</v>
      </c>
      <c r="P1743" s="13" t="str">
        <f>IF(Table2[[#This Row],[CurrentStock]]&lt;Table2[[#This Row],[ReorderLevel]],"Reorder", "Okay")</f>
        <v>Okay</v>
      </c>
      <c r="Q1743" s="13" t="str">
        <f>IF(Table2[[#This Row],[CurrentStock]]&gt;Table2[[#This Row],[ReorderLevel]]*3, "Overstock", "Okay")</f>
        <v>Overstock</v>
      </c>
    </row>
    <row r="1744" spans="1:17" x14ac:dyDescent="0.35">
      <c r="A1744">
        <v>17398</v>
      </c>
      <c r="B1744" t="s">
        <v>9</v>
      </c>
      <c r="C1744" t="s">
        <v>26</v>
      </c>
      <c r="D1744">
        <v>221</v>
      </c>
      <c r="E1744">
        <v>30</v>
      </c>
      <c r="F1744" s="2">
        <v>362.35</v>
      </c>
      <c r="G1744" t="s">
        <v>35</v>
      </c>
      <c r="H1744" s="1">
        <v>45512</v>
      </c>
      <c r="I1744" s="1">
        <v>45540</v>
      </c>
      <c r="J1744" t="s">
        <v>36</v>
      </c>
      <c r="K1744" s="8">
        <f>Table2[[#This Row],[CurrentStock]]*Table2[[#This Row],[UnitPrice]]</f>
        <v>80079.350000000006</v>
      </c>
      <c r="L1744" t="str">
        <f>IF(Table2[[#This Row],[CurrentStock]]&lt;=Table2[[#This Row],[ReorderLevel]], "Reorder Needed", "Okay")</f>
        <v>Okay</v>
      </c>
      <c r="M1744" t="str">
        <f>IF(Table2[[#This Row],[CurrentStock]]-Table2[[#This Row],[ReorderLevel]]&lt;0,Table2[[#This Row],[CurrentStock]]-Table2[[#This Row],[ReorderLevel]],"")</f>
        <v/>
      </c>
      <c r="N1744" t="str">
        <f>IF(Table2[[#This Row],[Stock Gap]]&lt;0, "Understock","Okay")</f>
        <v>Okay</v>
      </c>
      <c r="O1744" s="13" t="str">
        <f>IF(Table2[[#This Row],[Stock Gap]]&lt;0, "Yes", "No")</f>
        <v>No</v>
      </c>
      <c r="P1744" s="13" t="str">
        <f>IF(Table2[[#This Row],[CurrentStock]]&lt;Table2[[#This Row],[ReorderLevel]],"Reorder", "Okay")</f>
        <v>Okay</v>
      </c>
      <c r="Q1744" s="13" t="str">
        <f>IF(Table2[[#This Row],[CurrentStock]]&gt;Table2[[#This Row],[ReorderLevel]]*3, "Overstock", "Okay")</f>
        <v>Overstock</v>
      </c>
    </row>
    <row r="1745" spans="1:17" x14ac:dyDescent="0.35">
      <c r="A1745">
        <v>93220</v>
      </c>
      <c r="B1745" t="s">
        <v>11</v>
      </c>
      <c r="C1745" t="s">
        <v>27</v>
      </c>
      <c r="D1745">
        <v>41</v>
      </c>
      <c r="E1745">
        <v>30</v>
      </c>
      <c r="F1745" s="2">
        <v>140.05000000000001</v>
      </c>
      <c r="G1745" t="s">
        <v>32</v>
      </c>
      <c r="H1745" s="1">
        <v>45387</v>
      </c>
      <c r="I1745" s="1">
        <v>45405</v>
      </c>
      <c r="J1745" t="s">
        <v>38</v>
      </c>
      <c r="K1745" s="8">
        <f>Table2[[#This Row],[CurrentStock]]*Table2[[#This Row],[UnitPrice]]</f>
        <v>5742.05</v>
      </c>
      <c r="L1745" t="str">
        <f>IF(Table2[[#This Row],[CurrentStock]]&lt;=Table2[[#This Row],[ReorderLevel]], "Reorder Needed", "Okay")</f>
        <v>Okay</v>
      </c>
      <c r="M1745" t="str">
        <f>IF(Table2[[#This Row],[CurrentStock]]-Table2[[#This Row],[ReorderLevel]]&lt;0,Table2[[#This Row],[CurrentStock]]-Table2[[#This Row],[ReorderLevel]],"")</f>
        <v/>
      </c>
      <c r="N1745" t="str">
        <f>IF(Table2[[#This Row],[Stock Gap]]&lt;0, "Understock","Okay")</f>
        <v>Okay</v>
      </c>
      <c r="O1745" s="13" t="str">
        <f>IF(Table2[[#This Row],[Stock Gap]]&lt;0, "Yes", "No")</f>
        <v>No</v>
      </c>
      <c r="P1745" s="13" t="str">
        <f>IF(Table2[[#This Row],[CurrentStock]]&lt;Table2[[#This Row],[ReorderLevel]],"Reorder", "Okay")</f>
        <v>Okay</v>
      </c>
      <c r="Q1745" s="13" t="str">
        <f>IF(Table2[[#This Row],[CurrentStock]]&gt;Table2[[#This Row],[ReorderLevel]]*3, "Overstock", "Okay")</f>
        <v>Okay</v>
      </c>
    </row>
    <row r="1746" spans="1:17" x14ac:dyDescent="0.35">
      <c r="A1746">
        <v>57411</v>
      </c>
      <c r="B1746" t="s">
        <v>16</v>
      </c>
      <c r="C1746" t="s">
        <v>29</v>
      </c>
      <c r="D1746">
        <v>319</v>
      </c>
      <c r="E1746">
        <v>30</v>
      </c>
      <c r="F1746" s="2">
        <v>200.33</v>
      </c>
      <c r="G1746" t="s">
        <v>32</v>
      </c>
      <c r="H1746" s="1">
        <v>45604</v>
      </c>
      <c r="I1746" s="1">
        <v>45641</v>
      </c>
      <c r="J1746" t="s">
        <v>37</v>
      </c>
      <c r="K1746" s="8">
        <f>Table2[[#This Row],[CurrentStock]]*Table2[[#This Row],[UnitPrice]]</f>
        <v>63905.270000000004</v>
      </c>
      <c r="L1746" t="str">
        <f>IF(Table2[[#This Row],[CurrentStock]]&lt;=Table2[[#This Row],[ReorderLevel]], "Reorder Needed", "Okay")</f>
        <v>Okay</v>
      </c>
      <c r="M1746" t="str">
        <f>IF(Table2[[#This Row],[CurrentStock]]-Table2[[#This Row],[ReorderLevel]]&lt;0,Table2[[#This Row],[CurrentStock]]-Table2[[#This Row],[ReorderLevel]],"")</f>
        <v/>
      </c>
      <c r="N1746" t="str">
        <f>IF(Table2[[#This Row],[Stock Gap]]&lt;0, "Understock","Okay")</f>
        <v>Okay</v>
      </c>
      <c r="O1746" s="13" t="str">
        <f>IF(Table2[[#This Row],[Stock Gap]]&lt;0, "Yes", "No")</f>
        <v>No</v>
      </c>
      <c r="P1746" s="13" t="str">
        <f>IF(Table2[[#This Row],[CurrentStock]]&lt;Table2[[#This Row],[ReorderLevel]],"Reorder", "Okay")</f>
        <v>Okay</v>
      </c>
      <c r="Q1746" s="13" t="str">
        <f>IF(Table2[[#This Row],[CurrentStock]]&gt;Table2[[#This Row],[ReorderLevel]]*3, "Overstock", "Okay")</f>
        <v>Overstock</v>
      </c>
    </row>
    <row r="1747" spans="1:17" x14ac:dyDescent="0.35">
      <c r="A1747">
        <v>95997</v>
      </c>
      <c r="B1747" t="s">
        <v>21</v>
      </c>
      <c r="C1747" t="s">
        <v>26</v>
      </c>
      <c r="D1747">
        <v>88</v>
      </c>
      <c r="E1747">
        <v>80</v>
      </c>
      <c r="F1747" s="2">
        <v>255.1</v>
      </c>
      <c r="G1747" t="s">
        <v>35</v>
      </c>
      <c r="H1747" s="1">
        <v>45530</v>
      </c>
      <c r="I1747" s="1">
        <v>45568</v>
      </c>
      <c r="J1747" t="s">
        <v>37</v>
      </c>
      <c r="K1747" s="8">
        <f>Table2[[#This Row],[CurrentStock]]*Table2[[#This Row],[UnitPrice]]</f>
        <v>22448.799999999999</v>
      </c>
      <c r="L1747" t="str">
        <f>IF(Table2[[#This Row],[CurrentStock]]&lt;=Table2[[#This Row],[ReorderLevel]], "Reorder Needed", "Okay")</f>
        <v>Okay</v>
      </c>
      <c r="M1747" t="str">
        <f>IF(Table2[[#This Row],[CurrentStock]]-Table2[[#This Row],[ReorderLevel]]&lt;0,Table2[[#This Row],[CurrentStock]]-Table2[[#This Row],[ReorderLevel]],"")</f>
        <v/>
      </c>
      <c r="N1747" t="str">
        <f>IF(Table2[[#This Row],[Stock Gap]]&lt;0, "Understock","Okay")</f>
        <v>Okay</v>
      </c>
      <c r="O1747" s="13" t="str">
        <f>IF(Table2[[#This Row],[Stock Gap]]&lt;0, "Yes", "No")</f>
        <v>No</v>
      </c>
      <c r="P1747" s="13" t="str">
        <f>IF(Table2[[#This Row],[CurrentStock]]&lt;Table2[[#This Row],[ReorderLevel]],"Reorder", "Okay")</f>
        <v>Okay</v>
      </c>
      <c r="Q1747" s="13" t="str">
        <f>IF(Table2[[#This Row],[CurrentStock]]&gt;Table2[[#This Row],[ReorderLevel]]*3, "Overstock", "Okay")</f>
        <v>Okay</v>
      </c>
    </row>
    <row r="1748" spans="1:17" x14ac:dyDescent="0.35">
      <c r="A1748">
        <v>47918</v>
      </c>
      <c r="B1748" t="s">
        <v>22</v>
      </c>
      <c r="C1748" t="s">
        <v>29</v>
      </c>
      <c r="D1748">
        <v>467</v>
      </c>
      <c r="E1748">
        <v>100</v>
      </c>
      <c r="F1748" s="2">
        <v>418.78</v>
      </c>
      <c r="G1748" t="s">
        <v>35</v>
      </c>
      <c r="H1748" s="1">
        <v>45320</v>
      </c>
      <c r="I1748" s="1">
        <v>45341</v>
      </c>
      <c r="J1748" t="s">
        <v>38</v>
      </c>
      <c r="K1748" s="8">
        <f>Table2[[#This Row],[CurrentStock]]*Table2[[#This Row],[UnitPrice]]</f>
        <v>195570.25999999998</v>
      </c>
      <c r="L1748" t="str">
        <f>IF(Table2[[#This Row],[CurrentStock]]&lt;=Table2[[#This Row],[ReorderLevel]], "Reorder Needed", "Okay")</f>
        <v>Okay</v>
      </c>
      <c r="M1748" t="str">
        <f>IF(Table2[[#This Row],[CurrentStock]]-Table2[[#This Row],[ReorderLevel]]&lt;0,Table2[[#This Row],[CurrentStock]]-Table2[[#This Row],[ReorderLevel]],"")</f>
        <v/>
      </c>
      <c r="N1748" t="str">
        <f>IF(Table2[[#This Row],[Stock Gap]]&lt;0, "Understock","Okay")</f>
        <v>Okay</v>
      </c>
      <c r="O1748" s="13" t="str">
        <f>IF(Table2[[#This Row],[Stock Gap]]&lt;0, "Yes", "No")</f>
        <v>No</v>
      </c>
      <c r="P1748" s="13" t="str">
        <f>IF(Table2[[#This Row],[CurrentStock]]&lt;Table2[[#This Row],[ReorderLevel]],"Reorder", "Okay")</f>
        <v>Okay</v>
      </c>
      <c r="Q1748" s="13" t="str">
        <f>IF(Table2[[#This Row],[CurrentStock]]&gt;Table2[[#This Row],[ReorderLevel]]*3, "Overstock", "Okay")</f>
        <v>Overstock</v>
      </c>
    </row>
    <row r="1749" spans="1:17" x14ac:dyDescent="0.35">
      <c r="A1749">
        <v>20349</v>
      </c>
      <c r="B1749" t="s">
        <v>17</v>
      </c>
      <c r="C1749" t="s">
        <v>27</v>
      </c>
      <c r="D1749">
        <v>387</v>
      </c>
      <c r="E1749">
        <v>100</v>
      </c>
      <c r="F1749" s="2">
        <v>331.61</v>
      </c>
      <c r="G1749" t="s">
        <v>35</v>
      </c>
      <c r="H1749" s="1">
        <v>45326</v>
      </c>
      <c r="I1749" s="1">
        <v>45336</v>
      </c>
      <c r="J1749" t="s">
        <v>36</v>
      </c>
      <c r="K1749" s="8">
        <f>Table2[[#This Row],[CurrentStock]]*Table2[[#This Row],[UnitPrice]]</f>
        <v>128333.07</v>
      </c>
      <c r="L1749" t="str">
        <f>IF(Table2[[#This Row],[CurrentStock]]&lt;=Table2[[#This Row],[ReorderLevel]], "Reorder Needed", "Okay")</f>
        <v>Okay</v>
      </c>
      <c r="M1749" t="str">
        <f>IF(Table2[[#This Row],[CurrentStock]]-Table2[[#This Row],[ReorderLevel]]&lt;0,Table2[[#This Row],[CurrentStock]]-Table2[[#This Row],[ReorderLevel]],"")</f>
        <v/>
      </c>
      <c r="N1749" t="str">
        <f>IF(Table2[[#This Row],[Stock Gap]]&lt;0, "Understock","Okay")</f>
        <v>Okay</v>
      </c>
      <c r="O1749" s="13" t="str">
        <f>IF(Table2[[#This Row],[Stock Gap]]&lt;0, "Yes", "No")</f>
        <v>No</v>
      </c>
      <c r="P1749" s="13" t="str">
        <f>IF(Table2[[#This Row],[CurrentStock]]&lt;Table2[[#This Row],[ReorderLevel]],"Reorder", "Okay")</f>
        <v>Okay</v>
      </c>
      <c r="Q1749" s="13" t="str">
        <f>IF(Table2[[#This Row],[CurrentStock]]&gt;Table2[[#This Row],[ReorderLevel]]*3, "Overstock", "Okay")</f>
        <v>Overstock</v>
      </c>
    </row>
    <row r="1750" spans="1:17" x14ac:dyDescent="0.35">
      <c r="A1750">
        <v>17660</v>
      </c>
      <c r="B1750" t="s">
        <v>20</v>
      </c>
      <c r="C1750" t="s">
        <v>30</v>
      </c>
      <c r="D1750">
        <v>316</v>
      </c>
      <c r="E1750">
        <v>40</v>
      </c>
      <c r="F1750" s="2">
        <v>375.15</v>
      </c>
      <c r="G1750" t="s">
        <v>34</v>
      </c>
      <c r="H1750" s="1">
        <v>45362</v>
      </c>
      <c r="I1750" s="1">
        <v>45381</v>
      </c>
      <c r="J1750" t="s">
        <v>38</v>
      </c>
      <c r="K1750" s="8">
        <f>Table2[[#This Row],[CurrentStock]]*Table2[[#This Row],[UnitPrice]]</f>
        <v>118547.4</v>
      </c>
      <c r="L1750" t="str">
        <f>IF(Table2[[#This Row],[CurrentStock]]&lt;=Table2[[#This Row],[ReorderLevel]], "Reorder Needed", "Okay")</f>
        <v>Okay</v>
      </c>
      <c r="M1750" t="str">
        <f>IF(Table2[[#This Row],[CurrentStock]]-Table2[[#This Row],[ReorderLevel]]&lt;0,Table2[[#This Row],[CurrentStock]]-Table2[[#This Row],[ReorderLevel]],"")</f>
        <v/>
      </c>
      <c r="N1750" t="str">
        <f>IF(Table2[[#This Row],[Stock Gap]]&lt;0, "Understock","Okay")</f>
        <v>Okay</v>
      </c>
      <c r="O1750" s="13" t="str">
        <f>IF(Table2[[#This Row],[Stock Gap]]&lt;0, "Yes", "No")</f>
        <v>No</v>
      </c>
      <c r="P1750" s="13" t="str">
        <f>IF(Table2[[#This Row],[CurrentStock]]&lt;Table2[[#This Row],[ReorderLevel]],"Reorder", "Okay")</f>
        <v>Okay</v>
      </c>
      <c r="Q1750" s="13" t="str">
        <f>IF(Table2[[#This Row],[CurrentStock]]&gt;Table2[[#This Row],[ReorderLevel]]*3, "Overstock", "Okay")</f>
        <v>Overstock</v>
      </c>
    </row>
    <row r="1751" spans="1:17" x14ac:dyDescent="0.35">
      <c r="A1751">
        <v>49913</v>
      </c>
      <c r="B1751" t="s">
        <v>14</v>
      </c>
      <c r="C1751" t="s">
        <v>28</v>
      </c>
      <c r="D1751">
        <v>154</v>
      </c>
      <c r="E1751">
        <v>100</v>
      </c>
      <c r="F1751" s="2">
        <v>110.93</v>
      </c>
      <c r="G1751" t="s">
        <v>33</v>
      </c>
      <c r="H1751" s="1">
        <v>45591</v>
      </c>
      <c r="I1751" s="1">
        <v>45617</v>
      </c>
      <c r="J1751" t="s">
        <v>36</v>
      </c>
      <c r="K1751" s="8">
        <f>Table2[[#This Row],[CurrentStock]]*Table2[[#This Row],[UnitPrice]]</f>
        <v>17083.22</v>
      </c>
      <c r="L1751" t="str">
        <f>IF(Table2[[#This Row],[CurrentStock]]&lt;=Table2[[#This Row],[ReorderLevel]], "Reorder Needed", "Okay")</f>
        <v>Okay</v>
      </c>
      <c r="M1751" t="str">
        <f>IF(Table2[[#This Row],[CurrentStock]]-Table2[[#This Row],[ReorderLevel]]&lt;0,Table2[[#This Row],[CurrentStock]]-Table2[[#This Row],[ReorderLevel]],"")</f>
        <v/>
      </c>
      <c r="N1751" t="str">
        <f>IF(Table2[[#This Row],[Stock Gap]]&lt;0, "Understock","Okay")</f>
        <v>Okay</v>
      </c>
      <c r="O1751" s="13" t="str">
        <f>IF(Table2[[#This Row],[Stock Gap]]&lt;0, "Yes", "No")</f>
        <v>No</v>
      </c>
      <c r="P1751" s="13" t="str">
        <f>IF(Table2[[#This Row],[CurrentStock]]&lt;Table2[[#This Row],[ReorderLevel]],"Reorder", "Okay")</f>
        <v>Okay</v>
      </c>
      <c r="Q1751" s="13" t="str">
        <f>IF(Table2[[#This Row],[CurrentStock]]&gt;Table2[[#This Row],[ReorderLevel]]*3, "Overstock", "Okay")</f>
        <v>Okay</v>
      </c>
    </row>
    <row r="1752" spans="1:17" x14ac:dyDescent="0.35">
      <c r="A1752">
        <v>24919</v>
      </c>
      <c r="B1752" t="s">
        <v>11</v>
      </c>
      <c r="C1752" t="s">
        <v>27</v>
      </c>
      <c r="D1752">
        <v>227</v>
      </c>
      <c r="E1752">
        <v>20</v>
      </c>
      <c r="F1752" s="2">
        <v>129.07</v>
      </c>
      <c r="G1752" t="s">
        <v>32</v>
      </c>
      <c r="H1752" s="1">
        <v>45592</v>
      </c>
      <c r="I1752" s="1">
        <v>45616</v>
      </c>
      <c r="J1752" t="s">
        <v>37</v>
      </c>
      <c r="K1752" s="8">
        <f>Table2[[#This Row],[CurrentStock]]*Table2[[#This Row],[UnitPrice]]</f>
        <v>29298.89</v>
      </c>
      <c r="L1752" t="str">
        <f>IF(Table2[[#This Row],[CurrentStock]]&lt;=Table2[[#This Row],[ReorderLevel]], "Reorder Needed", "Okay")</f>
        <v>Okay</v>
      </c>
      <c r="M1752" t="str">
        <f>IF(Table2[[#This Row],[CurrentStock]]-Table2[[#This Row],[ReorderLevel]]&lt;0,Table2[[#This Row],[CurrentStock]]-Table2[[#This Row],[ReorderLevel]],"")</f>
        <v/>
      </c>
      <c r="N1752" t="str">
        <f>IF(Table2[[#This Row],[Stock Gap]]&lt;0, "Understock","Okay")</f>
        <v>Okay</v>
      </c>
      <c r="O1752" s="13" t="str">
        <f>IF(Table2[[#This Row],[Stock Gap]]&lt;0, "Yes", "No")</f>
        <v>No</v>
      </c>
      <c r="P1752" s="13" t="str">
        <f>IF(Table2[[#This Row],[CurrentStock]]&lt;Table2[[#This Row],[ReorderLevel]],"Reorder", "Okay")</f>
        <v>Okay</v>
      </c>
      <c r="Q1752" s="13" t="str">
        <f>IF(Table2[[#This Row],[CurrentStock]]&gt;Table2[[#This Row],[ReorderLevel]]*3, "Overstock", "Okay")</f>
        <v>Overstock</v>
      </c>
    </row>
    <row r="1753" spans="1:17" x14ac:dyDescent="0.35">
      <c r="A1753">
        <v>24242</v>
      </c>
      <c r="B1753" t="s">
        <v>19</v>
      </c>
      <c r="C1753" t="s">
        <v>28</v>
      </c>
      <c r="D1753">
        <v>15</v>
      </c>
      <c r="E1753">
        <v>40</v>
      </c>
      <c r="F1753" s="2">
        <v>377.27</v>
      </c>
      <c r="G1753" t="s">
        <v>31</v>
      </c>
      <c r="H1753" s="1">
        <v>45365</v>
      </c>
      <c r="I1753" s="1">
        <v>45387</v>
      </c>
      <c r="J1753" t="s">
        <v>38</v>
      </c>
      <c r="K1753" s="8">
        <f>Table2[[#This Row],[CurrentStock]]*Table2[[#This Row],[UnitPrice]]</f>
        <v>5659.0499999999993</v>
      </c>
      <c r="L1753" t="str">
        <f>IF(Table2[[#This Row],[CurrentStock]]&lt;=Table2[[#This Row],[ReorderLevel]], "Reorder Needed", "Okay")</f>
        <v>Reorder Needed</v>
      </c>
      <c r="M1753" s="7">
        <f>IF(Table2[[#This Row],[CurrentStock]]-Table2[[#This Row],[ReorderLevel]]&lt;0,Table2[[#This Row],[CurrentStock]]-Table2[[#This Row],[ReorderLevel]],"")</f>
        <v>-25</v>
      </c>
      <c r="N1753" t="str">
        <f>IF(Table2[[#This Row],[Stock Gap]]&lt;0, "Understock","Okay")</f>
        <v>Understock</v>
      </c>
      <c r="O1753" s="13" t="str">
        <f>IF(Table2[[#This Row],[Stock Gap]]&lt;0, "Yes", "No")</f>
        <v>Yes</v>
      </c>
      <c r="P1753" s="13" t="str">
        <f>IF(Table2[[#This Row],[CurrentStock]]&lt;Table2[[#This Row],[ReorderLevel]],"Reorder", "Okay")</f>
        <v>Reorder</v>
      </c>
      <c r="Q1753" s="13" t="str">
        <f>IF(Table2[[#This Row],[CurrentStock]]&gt;Table2[[#This Row],[ReorderLevel]]*3, "Overstock", "Okay")</f>
        <v>Okay</v>
      </c>
    </row>
    <row r="1754" spans="1:17" x14ac:dyDescent="0.35">
      <c r="A1754">
        <v>75950</v>
      </c>
      <c r="B1754" t="s">
        <v>12</v>
      </c>
      <c r="C1754" t="s">
        <v>28</v>
      </c>
      <c r="D1754">
        <v>58</v>
      </c>
      <c r="E1754">
        <v>50</v>
      </c>
      <c r="F1754" s="2">
        <v>167.49</v>
      </c>
      <c r="G1754" t="s">
        <v>35</v>
      </c>
      <c r="H1754" s="1">
        <v>45361</v>
      </c>
      <c r="I1754" s="1">
        <v>45379</v>
      </c>
      <c r="J1754" t="s">
        <v>38</v>
      </c>
      <c r="K1754" s="8">
        <f>Table2[[#This Row],[CurrentStock]]*Table2[[#This Row],[UnitPrice]]</f>
        <v>9714.42</v>
      </c>
      <c r="L1754" t="str">
        <f>IF(Table2[[#This Row],[CurrentStock]]&lt;=Table2[[#This Row],[ReorderLevel]], "Reorder Needed", "Okay")</f>
        <v>Okay</v>
      </c>
      <c r="M1754" t="str">
        <f>IF(Table2[[#This Row],[CurrentStock]]-Table2[[#This Row],[ReorderLevel]]&lt;0,Table2[[#This Row],[CurrentStock]]-Table2[[#This Row],[ReorderLevel]],"")</f>
        <v/>
      </c>
      <c r="N1754" t="str">
        <f>IF(Table2[[#This Row],[Stock Gap]]&lt;0, "Understock","Okay")</f>
        <v>Okay</v>
      </c>
      <c r="O1754" s="13" t="str">
        <f>IF(Table2[[#This Row],[Stock Gap]]&lt;0, "Yes", "No")</f>
        <v>No</v>
      </c>
      <c r="P1754" s="13" t="str">
        <f>IF(Table2[[#This Row],[CurrentStock]]&lt;Table2[[#This Row],[ReorderLevel]],"Reorder", "Okay")</f>
        <v>Okay</v>
      </c>
      <c r="Q1754" s="13" t="str">
        <f>IF(Table2[[#This Row],[CurrentStock]]&gt;Table2[[#This Row],[ReorderLevel]]*3, "Overstock", "Okay")</f>
        <v>Okay</v>
      </c>
    </row>
    <row r="1755" spans="1:17" x14ac:dyDescent="0.35">
      <c r="A1755">
        <v>41676</v>
      </c>
      <c r="B1755" t="s">
        <v>18</v>
      </c>
      <c r="C1755" t="s">
        <v>27</v>
      </c>
      <c r="D1755">
        <v>50</v>
      </c>
      <c r="E1755">
        <v>80</v>
      </c>
      <c r="F1755" s="2">
        <v>373.16</v>
      </c>
      <c r="G1755" t="s">
        <v>34</v>
      </c>
      <c r="H1755" s="1">
        <v>45637</v>
      </c>
      <c r="I1755" s="1">
        <v>45653</v>
      </c>
      <c r="J1755" t="s">
        <v>36</v>
      </c>
      <c r="K1755" s="8">
        <f>Table2[[#This Row],[CurrentStock]]*Table2[[#This Row],[UnitPrice]]</f>
        <v>18658</v>
      </c>
      <c r="L1755" t="str">
        <f>IF(Table2[[#This Row],[CurrentStock]]&lt;=Table2[[#This Row],[ReorderLevel]], "Reorder Needed", "Okay")</f>
        <v>Reorder Needed</v>
      </c>
      <c r="M1755" s="7">
        <f>IF(Table2[[#This Row],[CurrentStock]]-Table2[[#This Row],[ReorderLevel]]&lt;0,Table2[[#This Row],[CurrentStock]]-Table2[[#This Row],[ReorderLevel]],"")</f>
        <v>-30</v>
      </c>
      <c r="N1755" t="str">
        <f>IF(Table2[[#This Row],[Stock Gap]]&lt;0, "Understock","Okay")</f>
        <v>Understock</v>
      </c>
      <c r="O1755" s="13" t="str">
        <f>IF(Table2[[#This Row],[Stock Gap]]&lt;0, "Yes", "No")</f>
        <v>Yes</v>
      </c>
      <c r="P1755" s="13" t="str">
        <f>IF(Table2[[#This Row],[CurrentStock]]&lt;Table2[[#This Row],[ReorderLevel]],"Reorder", "Okay")</f>
        <v>Reorder</v>
      </c>
      <c r="Q1755" s="13" t="str">
        <f>IF(Table2[[#This Row],[CurrentStock]]&gt;Table2[[#This Row],[ReorderLevel]]*3, "Overstock", "Okay")</f>
        <v>Okay</v>
      </c>
    </row>
    <row r="1756" spans="1:17" x14ac:dyDescent="0.35">
      <c r="A1756">
        <v>82369</v>
      </c>
      <c r="B1756" t="s">
        <v>10</v>
      </c>
      <c r="C1756" t="s">
        <v>26</v>
      </c>
      <c r="D1756">
        <v>239</v>
      </c>
      <c r="E1756">
        <v>20</v>
      </c>
      <c r="F1756" s="2">
        <v>350.63</v>
      </c>
      <c r="G1756" t="s">
        <v>34</v>
      </c>
      <c r="H1756" s="1">
        <v>45408</v>
      </c>
      <c r="I1756" s="1">
        <v>45415</v>
      </c>
      <c r="J1756" t="s">
        <v>38</v>
      </c>
      <c r="K1756" s="8">
        <f>Table2[[#This Row],[CurrentStock]]*Table2[[#This Row],[UnitPrice]]</f>
        <v>83800.569999999992</v>
      </c>
      <c r="L1756" t="str">
        <f>IF(Table2[[#This Row],[CurrentStock]]&lt;=Table2[[#This Row],[ReorderLevel]], "Reorder Needed", "Okay")</f>
        <v>Okay</v>
      </c>
      <c r="M1756" t="str">
        <f>IF(Table2[[#This Row],[CurrentStock]]-Table2[[#This Row],[ReorderLevel]]&lt;0,Table2[[#This Row],[CurrentStock]]-Table2[[#This Row],[ReorderLevel]],"")</f>
        <v/>
      </c>
      <c r="N1756" t="str">
        <f>IF(Table2[[#This Row],[Stock Gap]]&lt;0, "Understock","Okay")</f>
        <v>Okay</v>
      </c>
      <c r="O1756" s="13" t="str">
        <f>IF(Table2[[#This Row],[Stock Gap]]&lt;0, "Yes", "No")</f>
        <v>No</v>
      </c>
      <c r="P1756" s="13" t="str">
        <f>IF(Table2[[#This Row],[CurrentStock]]&lt;Table2[[#This Row],[ReorderLevel]],"Reorder", "Okay")</f>
        <v>Okay</v>
      </c>
      <c r="Q1756" s="13" t="str">
        <f>IF(Table2[[#This Row],[CurrentStock]]&gt;Table2[[#This Row],[ReorderLevel]]*3, "Overstock", "Okay")</f>
        <v>Overstock</v>
      </c>
    </row>
    <row r="1757" spans="1:17" x14ac:dyDescent="0.35">
      <c r="A1757">
        <v>64843</v>
      </c>
      <c r="B1757" t="s">
        <v>24</v>
      </c>
      <c r="C1757" t="s">
        <v>30</v>
      </c>
      <c r="D1757">
        <v>23</v>
      </c>
      <c r="E1757">
        <v>40</v>
      </c>
      <c r="F1757" s="2">
        <v>282.01</v>
      </c>
      <c r="G1757" t="s">
        <v>31</v>
      </c>
      <c r="H1757" s="1">
        <v>45396</v>
      </c>
      <c r="I1757" s="1">
        <v>45419</v>
      </c>
      <c r="J1757" t="s">
        <v>38</v>
      </c>
      <c r="K1757" s="8">
        <f>Table2[[#This Row],[CurrentStock]]*Table2[[#This Row],[UnitPrice]]</f>
        <v>6486.23</v>
      </c>
      <c r="L1757" t="str">
        <f>IF(Table2[[#This Row],[CurrentStock]]&lt;=Table2[[#This Row],[ReorderLevel]], "Reorder Needed", "Okay")</f>
        <v>Reorder Needed</v>
      </c>
      <c r="M1757" s="7">
        <f>IF(Table2[[#This Row],[CurrentStock]]-Table2[[#This Row],[ReorderLevel]]&lt;0,Table2[[#This Row],[CurrentStock]]-Table2[[#This Row],[ReorderLevel]],"")</f>
        <v>-17</v>
      </c>
      <c r="N1757" t="str">
        <f>IF(Table2[[#This Row],[Stock Gap]]&lt;0, "Understock","Okay")</f>
        <v>Understock</v>
      </c>
      <c r="O1757" s="13" t="str">
        <f>IF(Table2[[#This Row],[Stock Gap]]&lt;0, "Yes", "No")</f>
        <v>Yes</v>
      </c>
      <c r="P1757" s="13" t="str">
        <f>IF(Table2[[#This Row],[CurrentStock]]&lt;Table2[[#This Row],[ReorderLevel]],"Reorder", "Okay")</f>
        <v>Reorder</v>
      </c>
      <c r="Q1757" s="13" t="str">
        <f>IF(Table2[[#This Row],[CurrentStock]]&gt;Table2[[#This Row],[ReorderLevel]]*3, "Overstock", "Okay")</f>
        <v>Okay</v>
      </c>
    </row>
    <row r="1758" spans="1:17" x14ac:dyDescent="0.35">
      <c r="A1758">
        <v>20108</v>
      </c>
      <c r="B1758" t="s">
        <v>15</v>
      </c>
      <c r="C1758" t="s">
        <v>29</v>
      </c>
      <c r="D1758">
        <v>196</v>
      </c>
      <c r="E1758">
        <v>40</v>
      </c>
      <c r="F1758" s="2">
        <v>7.79</v>
      </c>
      <c r="G1758" t="s">
        <v>34</v>
      </c>
      <c r="H1758" s="1">
        <v>45554</v>
      </c>
      <c r="I1758" s="1">
        <v>45564</v>
      </c>
      <c r="J1758" t="s">
        <v>38</v>
      </c>
      <c r="K1758" s="8">
        <f>Table2[[#This Row],[CurrentStock]]*Table2[[#This Row],[UnitPrice]]</f>
        <v>1526.84</v>
      </c>
      <c r="L1758" t="str">
        <f>IF(Table2[[#This Row],[CurrentStock]]&lt;=Table2[[#This Row],[ReorderLevel]], "Reorder Needed", "Okay")</f>
        <v>Okay</v>
      </c>
      <c r="M1758" t="str">
        <f>IF(Table2[[#This Row],[CurrentStock]]-Table2[[#This Row],[ReorderLevel]]&lt;0,Table2[[#This Row],[CurrentStock]]-Table2[[#This Row],[ReorderLevel]],"")</f>
        <v/>
      </c>
      <c r="N1758" t="str">
        <f>IF(Table2[[#This Row],[Stock Gap]]&lt;0, "Understock","Okay")</f>
        <v>Okay</v>
      </c>
      <c r="O1758" s="13" t="str">
        <f>IF(Table2[[#This Row],[Stock Gap]]&lt;0, "Yes", "No")</f>
        <v>No</v>
      </c>
      <c r="P1758" s="13" t="str">
        <f>IF(Table2[[#This Row],[CurrentStock]]&lt;Table2[[#This Row],[ReorderLevel]],"Reorder", "Okay")</f>
        <v>Okay</v>
      </c>
      <c r="Q1758" s="13" t="str">
        <f>IF(Table2[[#This Row],[CurrentStock]]&gt;Table2[[#This Row],[ReorderLevel]]*3, "Overstock", "Okay")</f>
        <v>Overstock</v>
      </c>
    </row>
    <row r="1759" spans="1:17" x14ac:dyDescent="0.35">
      <c r="A1759">
        <v>84693</v>
      </c>
      <c r="B1759" t="s">
        <v>17</v>
      </c>
      <c r="C1759" t="s">
        <v>27</v>
      </c>
      <c r="D1759">
        <v>365</v>
      </c>
      <c r="E1759">
        <v>30</v>
      </c>
      <c r="F1759" s="2">
        <v>260.60000000000002</v>
      </c>
      <c r="G1759" t="s">
        <v>33</v>
      </c>
      <c r="H1759" s="1">
        <v>45465</v>
      </c>
      <c r="I1759" s="1">
        <v>45476</v>
      </c>
      <c r="J1759" t="s">
        <v>36</v>
      </c>
      <c r="K1759" s="8">
        <f>Table2[[#This Row],[CurrentStock]]*Table2[[#This Row],[UnitPrice]]</f>
        <v>95119.000000000015</v>
      </c>
      <c r="L1759" t="str">
        <f>IF(Table2[[#This Row],[CurrentStock]]&lt;=Table2[[#This Row],[ReorderLevel]], "Reorder Needed", "Okay")</f>
        <v>Okay</v>
      </c>
      <c r="M1759" t="str">
        <f>IF(Table2[[#This Row],[CurrentStock]]-Table2[[#This Row],[ReorderLevel]]&lt;0,Table2[[#This Row],[CurrentStock]]-Table2[[#This Row],[ReorderLevel]],"")</f>
        <v/>
      </c>
      <c r="N1759" t="str">
        <f>IF(Table2[[#This Row],[Stock Gap]]&lt;0, "Understock","Okay")</f>
        <v>Okay</v>
      </c>
      <c r="O1759" s="13" t="str">
        <f>IF(Table2[[#This Row],[Stock Gap]]&lt;0, "Yes", "No")</f>
        <v>No</v>
      </c>
      <c r="P1759" s="13" t="str">
        <f>IF(Table2[[#This Row],[CurrentStock]]&lt;Table2[[#This Row],[ReorderLevel]],"Reorder", "Okay")</f>
        <v>Okay</v>
      </c>
      <c r="Q1759" s="13" t="str">
        <f>IF(Table2[[#This Row],[CurrentStock]]&gt;Table2[[#This Row],[ReorderLevel]]*3, "Overstock", "Okay")</f>
        <v>Overstock</v>
      </c>
    </row>
    <row r="1760" spans="1:17" x14ac:dyDescent="0.35">
      <c r="A1760">
        <v>46067</v>
      </c>
      <c r="B1760" t="s">
        <v>18</v>
      </c>
      <c r="C1760" t="s">
        <v>27</v>
      </c>
      <c r="D1760">
        <v>352</v>
      </c>
      <c r="E1760">
        <v>50</v>
      </c>
      <c r="F1760" s="2">
        <v>401.96</v>
      </c>
      <c r="G1760" t="s">
        <v>34</v>
      </c>
      <c r="H1760" s="1">
        <v>45616</v>
      </c>
      <c r="I1760" s="1">
        <v>45625</v>
      </c>
      <c r="J1760" t="s">
        <v>36</v>
      </c>
      <c r="K1760" s="8">
        <f>Table2[[#This Row],[CurrentStock]]*Table2[[#This Row],[UnitPrice]]</f>
        <v>141489.91999999998</v>
      </c>
      <c r="L1760" t="str">
        <f>IF(Table2[[#This Row],[CurrentStock]]&lt;=Table2[[#This Row],[ReorderLevel]], "Reorder Needed", "Okay")</f>
        <v>Okay</v>
      </c>
      <c r="M1760" t="str">
        <f>IF(Table2[[#This Row],[CurrentStock]]-Table2[[#This Row],[ReorderLevel]]&lt;0,Table2[[#This Row],[CurrentStock]]-Table2[[#This Row],[ReorderLevel]],"")</f>
        <v/>
      </c>
      <c r="N1760" t="str">
        <f>IF(Table2[[#This Row],[Stock Gap]]&lt;0, "Understock","Okay")</f>
        <v>Okay</v>
      </c>
      <c r="O1760" s="13" t="str">
        <f>IF(Table2[[#This Row],[Stock Gap]]&lt;0, "Yes", "No")</f>
        <v>No</v>
      </c>
      <c r="P1760" s="13" t="str">
        <f>IF(Table2[[#This Row],[CurrentStock]]&lt;Table2[[#This Row],[ReorderLevel]],"Reorder", "Okay")</f>
        <v>Okay</v>
      </c>
      <c r="Q1760" s="13" t="str">
        <f>IF(Table2[[#This Row],[CurrentStock]]&gt;Table2[[#This Row],[ReorderLevel]]*3, "Overstock", "Okay")</f>
        <v>Overstock</v>
      </c>
    </row>
    <row r="1761" spans="1:17" x14ac:dyDescent="0.35">
      <c r="A1761">
        <v>55852</v>
      </c>
      <c r="B1761" t="s">
        <v>13</v>
      </c>
      <c r="C1761" t="s">
        <v>26</v>
      </c>
      <c r="D1761">
        <v>121</v>
      </c>
      <c r="E1761">
        <v>80</v>
      </c>
      <c r="F1761" s="2">
        <v>110.61</v>
      </c>
      <c r="G1761" t="s">
        <v>33</v>
      </c>
      <c r="H1761" s="1">
        <v>45651</v>
      </c>
      <c r="I1761" s="1">
        <v>45656</v>
      </c>
      <c r="J1761" t="s">
        <v>37</v>
      </c>
      <c r="K1761" s="8">
        <f>Table2[[#This Row],[CurrentStock]]*Table2[[#This Row],[UnitPrice]]</f>
        <v>13383.81</v>
      </c>
      <c r="L1761" t="str">
        <f>IF(Table2[[#This Row],[CurrentStock]]&lt;=Table2[[#This Row],[ReorderLevel]], "Reorder Needed", "Okay")</f>
        <v>Okay</v>
      </c>
      <c r="M1761" t="str">
        <f>IF(Table2[[#This Row],[CurrentStock]]-Table2[[#This Row],[ReorderLevel]]&lt;0,Table2[[#This Row],[CurrentStock]]-Table2[[#This Row],[ReorderLevel]],"")</f>
        <v/>
      </c>
      <c r="N1761" t="str">
        <f>IF(Table2[[#This Row],[Stock Gap]]&lt;0, "Understock","Okay")</f>
        <v>Okay</v>
      </c>
      <c r="O1761" s="13" t="str">
        <f>IF(Table2[[#This Row],[Stock Gap]]&lt;0, "Yes", "No")</f>
        <v>No</v>
      </c>
      <c r="P1761" s="13" t="str">
        <f>IF(Table2[[#This Row],[CurrentStock]]&lt;Table2[[#This Row],[ReorderLevel]],"Reorder", "Okay")</f>
        <v>Okay</v>
      </c>
      <c r="Q1761" s="13" t="str">
        <f>IF(Table2[[#This Row],[CurrentStock]]&gt;Table2[[#This Row],[ReorderLevel]]*3, "Overstock", "Okay")</f>
        <v>Okay</v>
      </c>
    </row>
    <row r="1762" spans="1:17" x14ac:dyDescent="0.35">
      <c r="A1762">
        <v>35099</v>
      </c>
      <c r="B1762" t="s">
        <v>25</v>
      </c>
      <c r="C1762" t="s">
        <v>29</v>
      </c>
      <c r="D1762">
        <v>68</v>
      </c>
      <c r="E1762">
        <v>80</v>
      </c>
      <c r="F1762" s="2">
        <v>219.51</v>
      </c>
      <c r="G1762" t="s">
        <v>33</v>
      </c>
      <c r="H1762" s="1">
        <v>45635</v>
      </c>
      <c r="I1762" s="1">
        <v>45658</v>
      </c>
      <c r="J1762" t="s">
        <v>36</v>
      </c>
      <c r="K1762" s="8">
        <f>Table2[[#This Row],[CurrentStock]]*Table2[[#This Row],[UnitPrice]]</f>
        <v>14926.68</v>
      </c>
      <c r="L1762" t="str">
        <f>IF(Table2[[#This Row],[CurrentStock]]&lt;=Table2[[#This Row],[ReorderLevel]], "Reorder Needed", "Okay")</f>
        <v>Reorder Needed</v>
      </c>
      <c r="M1762" s="7">
        <f>IF(Table2[[#This Row],[CurrentStock]]-Table2[[#This Row],[ReorderLevel]]&lt;0,Table2[[#This Row],[CurrentStock]]-Table2[[#This Row],[ReorderLevel]],"")</f>
        <v>-12</v>
      </c>
      <c r="N1762" t="str">
        <f>IF(Table2[[#This Row],[Stock Gap]]&lt;0, "Understock","Okay")</f>
        <v>Understock</v>
      </c>
      <c r="O1762" s="13" t="str">
        <f>IF(Table2[[#This Row],[Stock Gap]]&lt;0, "Yes", "No")</f>
        <v>Yes</v>
      </c>
      <c r="P1762" s="13" t="str">
        <f>IF(Table2[[#This Row],[CurrentStock]]&lt;Table2[[#This Row],[ReorderLevel]],"Reorder", "Okay")</f>
        <v>Reorder</v>
      </c>
      <c r="Q1762" s="13" t="str">
        <f>IF(Table2[[#This Row],[CurrentStock]]&gt;Table2[[#This Row],[ReorderLevel]]*3, "Overstock", "Okay")</f>
        <v>Okay</v>
      </c>
    </row>
    <row r="1763" spans="1:17" x14ac:dyDescent="0.35">
      <c r="A1763">
        <v>31788</v>
      </c>
      <c r="B1763" t="s">
        <v>18</v>
      </c>
      <c r="C1763" t="s">
        <v>27</v>
      </c>
      <c r="D1763">
        <v>225</v>
      </c>
      <c r="E1763">
        <v>40</v>
      </c>
      <c r="F1763" s="2">
        <v>360.26</v>
      </c>
      <c r="G1763" t="s">
        <v>31</v>
      </c>
      <c r="H1763" s="1">
        <v>45478</v>
      </c>
      <c r="I1763" s="1">
        <v>45485</v>
      </c>
      <c r="J1763" t="s">
        <v>36</v>
      </c>
      <c r="K1763" s="8">
        <f>Table2[[#This Row],[CurrentStock]]*Table2[[#This Row],[UnitPrice]]</f>
        <v>81058.5</v>
      </c>
      <c r="L1763" t="str">
        <f>IF(Table2[[#This Row],[CurrentStock]]&lt;=Table2[[#This Row],[ReorderLevel]], "Reorder Needed", "Okay")</f>
        <v>Okay</v>
      </c>
      <c r="M1763" t="str">
        <f>IF(Table2[[#This Row],[CurrentStock]]-Table2[[#This Row],[ReorderLevel]]&lt;0,Table2[[#This Row],[CurrentStock]]-Table2[[#This Row],[ReorderLevel]],"")</f>
        <v/>
      </c>
      <c r="N1763" t="str">
        <f>IF(Table2[[#This Row],[Stock Gap]]&lt;0, "Understock","Okay")</f>
        <v>Okay</v>
      </c>
      <c r="O1763" s="13" t="str">
        <f>IF(Table2[[#This Row],[Stock Gap]]&lt;0, "Yes", "No")</f>
        <v>No</v>
      </c>
      <c r="P1763" s="13" t="str">
        <f>IF(Table2[[#This Row],[CurrentStock]]&lt;Table2[[#This Row],[ReorderLevel]],"Reorder", "Okay")</f>
        <v>Okay</v>
      </c>
      <c r="Q1763" s="13" t="str">
        <f>IF(Table2[[#This Row],[CurrentStock]]&gt;Table2[[#This Row],[ReorderLevel]]*3, "Overstock", "Okay")</f>
        <v>Overstock</v>
      </c>
    </row>
    <row r="1764" spans="1:17" x14ac:dyDescent="0.35">
      <c r="A1764">
        <v>75911</v>
      </c>
      <c r="B1764" t="s">
        <v>20</v>
      </c>
      <c r="C1764" t="s">
        <v>30</v>
      </c>
      <c r="D1764">
        <v>245</v>
      </c>
      <c r="E1764">
        <v>30</v>
      </c>
      <c r="F1764" s="2">
        <v>462.59</v>
      </c>
      <c r="G1764" t="s">
        <v>32</v>
      </c>
      <c r="H1764" s="1">
        <v>45442</v>
      </c>
      <c r="I1764" s="1">
        <v>45467</v>
      </c>
      <c r="J1764" t="s">
        <v>38</v>
      </c>
      <c r="K1764" s="8">
        <f>Table2[[#This Row],[CurrentStock]]*Table2[[#This Row],[UnitPrice]]</f>
        <v>113334.54999999999</v>
      </c>
      <c r="L1764" t="str">
        <f>IF(Table2[[#This Row],[CurrentStock]]&lt;=Table2[[#This Row],[ReorderLevel]], "Reorder Needed", "Okay")</f>
        <v>Okay</v>
      </c>
      <c r="M1764" t="str">
        <f>IF(Table2[[#This Row],[CurrentStock]]-Table2[[#This Row],[ReorderLevel]]&lt;0,Table2[[#This Row],[CurrentStock]]-Table2[[#This Row],[ReorderLevel]],"")</f>
        <v/>
      </c>
      <c r="N1764" t="str">
        <f>IF(Table2[[#This Row],[Stock Gap]]&lt;0, "Understock","Okay")</f>
        <v>Okay</v>
      </c>
      <c r="O1764" s="13" t="str">
        <f>IF(Table2[[#This Row],[Stock Gap]]&lt;0, "Yes", "No")</f>
        <v>No</v>
      </c>
      <c r="P1764" s="13" t="str">
        <f>IF(Table2[[#This Row],[CurrentStock]]&lt;Table2[[#This Row],[ReorderLevel]],"Reorder", "Okay")</f>
        <v>Okay</v>
      </c>
      <c r="Q1764" s="13" t="str">
        <f>IF(Table2[[#This Row],[CurrentStock]]&gt;Table2[[#This Row],[ReorderLevel]]*3, "Overstock", "Okay")</f>
        <v>Overstock</v>
      </c>
    </row>
    <row r="1765" spans="1:17" x14ac:dyDescent="0.35">
      <c r="A1765">
        <v>29984</v>
      </c>
      <c r="B1765" t="s">
        <v>16</v>
      </c>
      <c r="C1765" t="s">
        <v>29</v>
      </c>
      <c r="D1765">
        <v>150</v>
      </c>
      <c r="E1765">
        <v>50</v>
      </c>
      <c r="F1765" s="2">
        <v>14.07</v>
      </c>
      <c r="G1765" t="s">
        <v>31</v>
      </c>
      <c r="H1765" s="1">
        <v>45548</v>
      </c>
      <c r="I1765" s="1">
        <v>45567</v>
      </c>
      <c r="J1765" t="s">
        <v>37</v>
      </c>
      <c r="K1765" s="8">
        <f>Table2[[#This Row],[CurrentStock]]*Table2[[#This Row],[UnitPrice]]</f>
        <v>2110.5</v>
      </c>
      <c r="L1765" t="str">
        <f>IF(Table2[[#This Row],[CurrentStock]]&lt;=Table2[[#This Row],[ReorderLevel]], "Reorder Needed", "Okay")</f>
        <v>Okay</v>
      </c>
      <c r="M1765" t="str">
        <f>IF(Table2[[#This Row],[CurrentStock]]-Table2[[#This Row],[ReorderLevel]]&lt;0,Table2[[#This Row],[CurrentStock]]-Table2[[#This Row],[ReorderLevel]],"")</f>
        <v/>
      </c>
      <c r="N1765" t="str">
        <f>IF(Table2[[#This Row],[Stock Gap]]&lt;0, "Understock","Okay")</f>
        <v>Okay</v>
      </c>
      <c r="O1765" s="13" t="str">
        <f>IF(Table2[[#This Row],[Stock Gap]]&lt;0, "Yes", "No")</f>
        <v>No</v>
      </c>
      <c r="P1765" s="13" t="str">
        <f>IF(Table2[[#This Row],[CurrentStock]]&lt;Table2[[#This Row],[ReorderLevel]],"Reorder", "Okay")</f>
        <v>Okay</v>
      </c>
      <c r="Q1765" s="13" t="str">
        <f>IF(Table2[[#This Row],[CurrentStock]]&gt;Table2[[#This Row],[ReorderLevel]]*3, "Overstock", "Okay")</f>
        <v>Okay</v>
      </c>
    </row>
    <row r="1766" spans="1:17" x14ac:dyDescent="0.35">
      <c r="A1766">
        <v>48516</v>
      </c>
      <c r="B1766" t="s">
        <v>12</v>
      </c>
      <c r="C1766" t="s">
        <v>28</v>
      </c>
      <c r="D1766">
        <v>305</v>
      </c>
      <c r="E1766">
        <v>50</v>
      </c>
      <c r="F1766" s="2">
        <v>262.94</v>
      </c>
      <c r="G1766" t="s">
        <v>35</v>
      </c>
      <c r="H1766" s="1">
        <v>45656</v>
      </c>
      <c r="I1766" s="1">
        <v>45666</v>
      </c>
      <c r="J1766" t="s">
        <v>37</v>
      </c>
      <c r="K1766" s="8">
        <f>Table2[[#This Row],[CurrentStock]]*Table2[[#This Row],[UnitPrice]]</f>
        <v>80196.7</v>
      </c>
      <c r="L1766" t="str">
        <f>IF(Table2[[#This Row],[CurrentStock]]&lt;=Table2[[#This Row],[ReorderLevel]], "Reorder Needed", "Okay")</f>
        <v>Okay</v>
      </c>
      <c r="M1766" t="str">
        <f>IF(Table2[[#This Row],[CurrentStock]]-Table2[[#This Row],[ReorderLevel]]&lt;0,Table2[[#This Row],[CurrentStock]]-Table2[[#This Row],[ReorderLevel]],"")</f>
        <v/>
      </c>
      <c r="N1766" t="str">
        <f>IF(Table2[[#This Row],[Stock Gap]]&lt;0, "Understock","Okay")</f>
        <v>Okay</v>
      </c>
      <c r="O1766" s="13" t="str">
        <f>IF(Table2[[#This Row],[Stock Gap]]&lt;0, "Yes", "No")</f>
        <v>No</v>
      </c>
      <c r="P1766" s="13" t="str">
        <f>IF(Table2[[#This Row],[CurrentStock]]&lt;Table2[[#This Row],[ReorderLevel]],"Reorder", "Okay")</f>
        <v>Okay</v>
      </c>
      <c r="Q1766" s="13" t="str">
        <f>IF(Table2[[#This Row],[CurrentStock]]&gt;Table2[[#This Row],[ReorderLevel]]*3, "Overstock", "Okay")</f>
        <v>Overstock</v>
      </c>
    </row>
    <row r="1767" spans="1:17" x14ac:dyDescent="0.35">
      <c r="A1767">
        <v>74198</v>
      </c>
      <c r="B1767" t="s">
        <v>17</v>
      </c>
      <c r="C1767" t="s">
        <v>27</v>
      </c>
      <c r="D1767">
        <v>434</v>
      </c>
      <c r="E1767">
        <v>100</v>
      </c>
      <c r="F1767" s="2">
        <v>412.78</v>
      </c>
      <c r="G1767" t="s">
        <v>33</v>
      </c>
      <c r="H1767" s="1">
        <v>45462</v>
      </c>
      <c r="I1767" s="1">
        <v>45493</v>
      </c>
      <c r="J1767" t="s">
        <v>37</v>
      </c>
      <c r="K1767" s="8">
        <f>Table2[[#This Row],[CurrentStock]]*Table2[[#This Row],[UnitPrice]]</f>
        <v>179146.52</v>
      </c>
      <c r="L1767" t="str">
        <f>IF(Table2[[#This Row],[CurrentStock]]&lt;=Table2[[#This Row],[ReorderLevel]], "Reorder Needed", "Okay")</f>
        <v>Okay</v>
      </c>
      <c r="M1767" t="str">
        <f>IF(Table2[[#This Row],[CurrentStock]]-Table2[[#This Row],[ReorderLevel]]&lt;0,Table2[[#This Row],[CurrentStock]]-Table2[[#This Row],[ReorderLevel]],"")</f>
        <v/>
      </c>
      <c r="N1767" t="str">
        <f>IF(Table2[[#This Row],[Stock Gap]]&lt;0, "Understock","Okay")</f>
        <v>Okay</v>
      </c>
      <c r="O1767" s="13" t="str">
        <f>IF(Table2[[#This Row],[Stock Gap]]&lt;0, "Yes", "No")</f>
        <v>No</v>
      </c>
      <c r="P1767" s="13" t="str">
        <f>IF(Table2[[#This Row],[CurrentStock]]&lt;Table2[[#This Row],[ReorderLevel]],"Reorder", "Okay")</f>
        <v>Okay</v>
      </c>
      <c r="Q1767" s="13" t="str">
        <f>IF(Table2[[#This Row],[CurrentStock]]&gt;Table2[[#This Row],[ReorderLevel]]*3, "Overstock", "Okay")</f>
        <v>Overstock</v>
      </c>
    </row>
    <row r="1768" spans="1:17" x14ac:dyDescent="0.35">
      <c r="A1768">
        <v>81895</v>
      </c>
      <c r="B1768" t="s">
        <v>23</v>
      </c>
      <c r="C1768" t="s">
        <v>30</v>
      </c>
      <c r="D1768">
        <v>96</v>
      </c>
      <c r="E1768">
        <v>20</v>
      </c>
      <c r="F1768" s="2">
        <v>349.65</v>
      </c>
      <c r="G1768" t="s">
        <v>35</v>
      </c>
      <c r="H1768" s="1">
        <v>45392</v>
      </c>
      <c r="I1768" s="1">
        <v>45419</v>
      </c>
      <c r="J1768" t="s">
        <v>38</v>
      </c>
      <c r="K1768" s="8">
        <f>Table2[[#This Row],[CurrentStock]]*Table2[[#This Row],[UnitPrice]]</f>
        <v>33566.399999999994</v>
      </c>
      <c r="L1768" t="str">
        <f>IF(Table2[[#This Row],[CurrentStock]]&lt;=Table2[[#This Row],[ReorderLevel]], "Reorder Needed", "Okay")</f>
        <v>Okay</v>
      </c>
      <c r="M1768" t="str">
        <f>IF(Table2[[#This Row],[CurrentStock]]-Table2[[#This Row],[ReorderLevel]]&lt;0,Table2[[#This Row],[CurrentStock]]-Table2[[#This Row],[ReorderLevel]],"")</f>
        <v/>
      </c>
      <c r="N1768" t="str">
        <f>IF(Table2[[#This Row],[Stock Gap]]&lt;0, "Understock","Okay")</f>
        <v>Okay</v>
      </c>
      <c r="O1768" s="13" t="str">
        <f>IF(Table2[[#This Row],[Stock Gap]]&lt;0, "Yes", "No")</f>
        <v>No</v>
      </c>
      <c r="P1768" s="13" t="str">
        <f>IF(Table2[[#This Row],[CurrentStock]]&lt;Table2[[#This Row],[ReorderLevel]],"Reorder", "Okay")</f>
        <v>Okay</v>
      </c>
      <c r="Q1768" s="13" t="str">
        <f>IF(Table2[[#This Row],[CurrentStock]]&gt;Table2[[#This Row],[ReorderLevel]]*3, "Overstock", "Okay")</f>
        <v>Overstock</v>
      </c>
    </row>
    <row r="1769" spans="1:17" x14ac:dyDescent="0.35">
      <c r="A1769">
        <v>51936</v>
      </c>
      <c r="B1769" t="s">
        <v>14</v>
      </c>
      <c r="C1769" t="s">
        <v>28</v>
      </c>
      <c r="D1769">
        <v>282</v>
      </c>
      <c r="E1769">
        <v>100</v>
      </c>
      <c r="F1769" s="2">
        <v>376.42</v>
      </c>
      <c r="G1769" t="s">
        <v>35</v>
      </c>
      <c r="H1769" s="1">
        <v>45336</v>
      </c>
      <c r="I1769" s="1">
        <v>45363</v>
      </c>
      <c r="J1769" t="s">
        <v>36</v>
      </c>
      <c r="K1769" s="8">
        <f>Table2[[#This Row],[CurrentStock]]*Table2[[#This Row],[UnitPrice]]</f>
        <v>106150.44</v>
      </c>
      <c r="L1769" t="str">
        <f>IF(Table2[[#This Row],[CurrentStock]]&lt;=Table2[[#This Row],[ReorderLevel]], "Reorder Needed", "Okay")</f>
        <v>Okay</v>
      </c>
      <c r="M1769" t="str">
        <f>IF(Table2[[#This Row],[CurrentStock]]-Table2[[#This Row],[ReorderLevel]]&lt;0,Table2[[#This Row],[CurrentStock]]-Table2[[#This Row],[ReorderLevel]],"")</f>
        <v/>
      </c>
      <c r="N1769" t="str">
        <f>IF(Table2[[#This Row],[Stock Gap]]&lt;0, "Understock","Okay")</f>
        <v>Okay</v>
      </c>
      <c r="O1769" s="13" t="str">
        <f>IF(Table2[[#This Row],[Stock Gap]]&lt;0, "Yes", "No")</f>
        <v>No</v>
      </c>
      <c r="P1769" s="13" t="str">
        <f>IF(Table2[[#This Row],[CurrentStock]]&lt;Table2[[#This Row],[ReorderLevel]],"Reorder", "Okay")</f>
        <v>Okay</v>
      </c>
      <c r="Q1769" s="13" t="str">
        <f>IF(Table2[[#This Row],[CurrentStock]]&gt;Table2[[#This Row],[ReorderLevel]]*3, "Overstock", "Okay")</f>
        <v>Okay</v>
      </c>
    </row>
    <row r="1770" spans="1:17" x14ac:dyDescent="0.35">
      <c r="A1770">
        <v>92298</v>
      </c>
      <c r="B1770" t="s">
        <v>12</v>
      </c>
      <c r="C1770" t="s">
        <v>28</v>
      </c>
      <c r="D1770">
        <v>260</v>
      </c>
      <c r="E1770">
        <v>100</v>
      </c>
      <c r="F1770" s="2">
        <v>480.91</v>
      </c>
      <c r="G1770" t="s">
        <v>32</v>
      </c>
      <c r="H1770" s="1">
        <v>45340</v>
      </c>
      <c r="I1770" s="1">
        <v>45350</v>
      </c>
      <c r="J1770" t="s">
        <v>38</v>
      </c>
      <c r="K1770" s="8">
        <f>Table2[[#This Row],[CurrentStock]]*Table2[[#This Row],[UnitPrice]]</f>
        <v>125036.6</v>
      </c>
      <c r="L1770" t="str">
        <f>IF(Table2[[#This Row],[CurrentStock]]&lt;=Table2[[#This Row],[ReorderLevel]], "Reorder Needed", "Okay")</f>
        <v>Okay</v>
      </c>
      <c r="M1770" t="str">
        <f>IF(Table2[[#This Row],[CurrentStock]]-Table2[[#This Row],[ReorderLevel]]&lt;0,Table2[[#This Row],[CurrentStock]]-Table2[[#This Row],[ReorderLevel]],"")</f>
        <v/>
      </c>
      <c r="N1770" t="str">
        <f>IF(Table2[[#This Row],[Stock Gap]]&lt;0, "Understock","Okay")</f>
        <v>Okay</v>
      </c>
      <c r="O1770" s="13" t="str">
        <f>IF(Table2[[#This Row],[Stock Gap]]&lt;0, "Yes", "No")</f>
        <v>No</v>
      </c>
      <c r="P1770" s="13" t="str">
        <f>IF(Table2[[#This Row],[CurrentStock]]&lt;Table2[[#This Row],[ReorderLevel]],"Reorder", "Okay")</f>
        <v>Okay</v>
      </c>
      <c r="Q1770" s="13" t="str">
        <f>IF(Table2[[#This Row],[CurrentStock]]&gt;Table2[[#This Row],[ReorderLevel]]*3, "Overstock", "Okay")</f>
        <v>Okay</v>
      </c>
    </row>
    <row r="1771" spans="1:17" x14ac:dyDescent="0.35">
      <c r="A1771">
        <v>26689</v>
      </c>
      <c r="B1771" t="s">
        <v>11</v>
      </c>
      <c r="C1771" t="s">
        <v>27</v>
      </c>
      <c r="D1771">
        <v>211</v>
      </c>
      <c r="E1771">
        <v>50</v>
      </c>
      <c r="F1771" s="2">
        <v>466.96</v>
      </c>
      <c r="G1771" t="s">
        <v>33</v>
      </c>
      <c r="H1771" s="1">
        <v>45463</v>
      </c>
      <c r="I1771" s="1">
        <v>45489</v>
      </c>
      <c r="J1771" t="s">
        <v>38</v>
      </c>
      <c r="K1771" s="8">
        <f>Table2[[#This Row],[CurrentStock]]*Table2[[#This Row],[UnitPrice]]</f>
        <v>98528.56</v>
      </c>
      <c r="L1771" t="str">
        <f>IF(Table2[[#This Row],[CurrentStock]]&lt;=Table2[[#This Row],[ReorderLevel]], "Reorder Needed", "Okay")</f>
        <v>Okay</v>
      </c>
      <c r="M1771" t="str">
        <f>IF(Table2[[#This Row],[CurrentStock]]-Table2[[#This Row],[ReorderLevel]]&lt;0,Table2[[#This Row],[CurrentStock]]-Table2[[#This Row],[ReorderLevel]],"")</f>
        <v/>
      </c>
      <c r="N1771" t="str">
        <f>IF(Table2[[#This Row],[Stock Gap]]&lt;0, "Understock","Okay")</f>
        <v>Okay</v>
      </c>
      <c r="O1771" s="13" t="str">
        <f>IF(Table2[[#This Row],[Stock Gap]]&lt;0, "Yes", "No")</f>
        <v>No</v>
      </c>
      <c r="P1771" s="13" t="str">
        <f>IF(Table2[[#This Row],[CurrentStock]]&lt;Table2[[#This Row],[ReorderLevel]],"Reorder", "Okay")</f>
        <v>Okay</v>
      </c>
      <c r="Q1771" s="13" t="str">
        <f>IF(Table2[[#This Row],[CurrentStock]]&gt;Table2[[#This Row],[ReorderLevel]]*3, "Overstock", "Okay")</f>
        <v>Overstock</v>
      </c>
    </row>
    <row r="1772" spans="1:17" x14ac:dyDescent="0.35">
      <c r="A1772">
        <v>85519</v>
      </c>
      <c r="B1772" t="s">
        <v>21</v>
      </c>
      <c r="C1772" t="s">
        <v>26</v>
      </c>
      <c r="D1772">
        <v>441</v>
      </c>
      <c r="E1772">
        <v>150</v>
      </c>
      <c r="F1772" s="2">
        <v>473.65</v>
      </c>
      <c r="G1772" t="s">
        <v>33</v>
      </c>
      <c r="H1772" s="1">
        <v>45409</v>
      </c>
      <c r="I1772" s="1">
        <v>45444</v>
      </c>
      <c r="J1772" t="s">
        <v>37</v>
      </c>
      <c r="K1772" s="8">
        <f>Table2[[#This Row],[CurrentStock]]*Table2[[#This Row],[UnitPrice]]</f>
        <v>208879.65</v>
      </c>
      <c r="L1772" t="str">
        <f>IF(Table2[[#This Row],[CurrentStock]]&lt;=Table2[[#This Row],[ReorderLevel]], "Reorder Needed", "Okay")</f>
        <v>Okay</v>
      </c>
      <c r="M1772" t="str">
        <f>IF(Table2[[#This Row],[CurrentStock]]-Table2[[#This Row],[ReorderLevel]]&lt;0,Table2[[#This Row],[CurrentStock]]-Table2[[#This Row],[ReorderLevel]],"")</f>
        <v/>
      </c>
      <c r="N1772" t="str">
        <f>IF(Table2[[#This Row],[Stock Gap]]&lt;0, "Understock","Okay")</f>
        <v>Okay</v>
      </c>
      <c r="O1772" s="13" t="str">
        <f>IF(Table2[[#This Row],[Stock Gap]]&lt;0, "Yes", "No")</f>
        <v>No</v>
      </c>
      <c r="P1772" s="13" t="str">
        <f>IF(Table2[[#This Row],[CurrentStock]]&lt;Table2[[#This Row],[ReorderLevel]],"Reorder", "Okay")</f>
        <v>Okay</v>
      </c>
      <c r="Q1772" s="13" t="str">
        <f>IF(Table2[[#This Row],[CurrentStock]]&gt;Table2[[#This Row],[ReorderLevel]]*3, "Overstock", "Okay")</f>
        <v>Okay</v>
      </c>
    </row>
    <row r="1773" spans="1:17" x14ac:dyDescent="0.35">
      <c r="A1773">
        <v>29504</v>
      </c>
      <c r="B1773" t="s">
        <v>21</v>
      </c>
      <c r="C1773" t="s">
        <v>26</v>
      </c>
      <c r="D1773">
        <v>205</v>
      </c>
      <c r="E1773">
        <v>30</v>
      </c>
      <c r="F1773" s="2">
        <v>480.06</v>
      </c>
      <c r="G1773" t="s">
        <v>31</v>
      </c>
      <c r="H1773" s="1">
        <v>45351</v>
      </c>
      <c r="I1773" s="1">
        <v>45365</v>
      </c>
      <c r="J1773" t="s">
        <v>36</v>
      </c>
      <c r="K1773" s="8">
        <f>Table2[[#This Row],[CurrentStock]]*Table2[[#This Row],[UnitPrice]]</f>
        <v>98412.3</v>
      </c>
      <c r="L1773" t="str">
        <f>IF(Table2[[#This Row],[CurrentStock]]&lt;=Table2[[#This Row],[ReorderLevel]], "Reorder Needed", "Okay")</f>
        <v>Okay</v>
      </c>
      <c r="M1773" t="str">
        <f>IF(Table2[[#This Row],[CurrentStock]]-Table2[[#This Row],[ReorderLevel]]&lt;0,Table2[[#This Row],[CurrentStock]]-Table2[[#This Row],[ReorderLevel]],"")</f>
        <v/>
      </c>
      <c r="N1773" t="str">
        <f>IF(Table2[[#This Row],[Stock Gap]]&lt;0, "Understock","Okay")</f>
        <v>Okay</v>
      </c>
      <c r="O1773" s="13" t="str">
        <f>IF(Table2[[#This Row],[Stock Gap]]&lt;0, "Yes", "No")</f>
        <v>No</v>
      </c>
      <c r="P1773" s="13" t="str">
        <f>IF(Table2[[#This Row],[CurrentStock]]&lt;Table2[[#This Row],[ReorderLevel]],"Reorder", "Okay")</f>
        <v>Okay</v>
      </c>
      <c r="Q1773" s="13" t="str">
        <f>IF(Table2[[#This Row],[CurrentStock]]&gt;Table2[[#This Row],[ReorderLevel]]*3, "Overstock", "Okay")</f>
        <v>Overstock</v>
      </c>
    </row>
    <row r="1774" spans="1:17" x14ac:dyDescent="0.35">
      <c r="A1774">
        <v>51745</v>
      </c>
      <c r="B1774" t="s">
        <v>21</v>
      </c>
      <c r="C1774" t="s">
        <v>26</v>
      </c>
      <c r="D1774">
        <v>178</v>
      </c>
      <c r="E1774">
        <v>20</v>
      </c>
      <c r="F1774" s="2">
        <v>478.61</v>
      </c>
      <c r="G1774" t="s">
        <v>33</v>
      </c>
      <c r="H1774" s="1">
        <v>45600</v>
      </c>
      <c r="I1774" s="1">
        <v>45635</v>
      </c>
      <c r="J1774" t="s">
        <v>38</v>
      </c>
      <c r="K1774" s="8">
        <f>Table2[[#This Row],[CurrentStock]]*Table2[[#This Row],[UnitPrice]]</f>
        <v>85192.58</v>
      </c>
      <c r="L1774" t="str">
        <f>IF(Table2[[#This Row],[CurrentStock]]&lt;=Table2[[#This Row],[ReorderLevel]], "Reorder Needed", "Okay")</f>
        <v>Okay</v>
      </c>
      <c r="M1774" t="str">
        <f>IF(Table2[[#This Row],[CurrentStock]]-Table2[[#This Row],[ReorderLevel]]&lt;0,Table2[[#This Row],[CurrentStock]]-Table2[[#This Row],[ReorderLevel]],"")</f>
        <v/>
      </c>
      <c r="N1774" t="str">
        <f>IF(Table2[[#This Row],[Stock Gap]]&lt;0, "Understock","Okay")</f>
        <v>Okay</v>
      </c>
      <c r="O1774" s="13" t="str">
        <f>IF(Table2[[#This Row],[Stock Gap]]&lt;0, "Yes", "No")</f>
        <v>No</v>
      </c>
      <c r="P1774" s="13" t="str">
        <f>IF(Table2[[#This Row],[CurrentStock]]&lt;Table2[[#This Row],[ReorderLevel]],"Reorder", "Okay")</f>
        <v>Okay</v>
      </c>
      <c r="Q1774" s="13" t="str">
        <f>IF(Table2[[#This Row],[CurrentStock]]&gt;Table2[[#This Row],[ReorderLevel]]*3, "Overstock", "Okay")</f>
        <v>Overstock</v>
      </c>
    </row>
    <row r="1775" spans="1:17" x14ac:dyDescent="0.35">
      <c r="A1775">
        <v>21230</v>
      </c>
      <c r="B1775" t="s">
        <v>18</v>
      </c>
      <c r="C1775" t="s">
        <v>27</v>
      </c>
      <c r="D1775">
        <v>494</v>
      </c>
      <c r="E1775">
        <v>150</v>
      </c>
      <c r="F1775" s="2">
        <v>439.04</v>
      </c>
      <c r="G1775" t="s">
        <v>31</v>
      </c>
      <c r="H1775" s="1">
        <v>45550</v>
      </c>
      <c r="I1775" s="1">
        <v>45560</v>
      </c>
      <c r="J1775" t="s">
        <v>38</v>
      </c>
      <c r="K1775" s="8">
        <f>Table2[[#This Row],[CurrentStock]]*Table2[[#This Row],[UnitPrice]]</f>
        <v>216885.76000000001</v>
      </c>
      <c r="L1775" t="str">
        <f>IF(Table2[[#This Row],[CurrentStock]]&lt;=Table2[[#This Row],[ReorderLevel]], "Reorder Needed", "Okay")</f>
        <v>Okay</v>
      </c>
      <c r="M1775" t="str">
        <f>IF(Table2[[#This Row],[CurrentStock]]-Table2[[#This Row],[ReorderLevel]]&lt;0,Table2[[#This Row],[CurrentStock]]-Table2[[#This Row],[ReorderLevel]],"")</f>
        <v/>
      </c>
      <c r="N1775" t="str">
        <f>IF(Table2[[#This Row],[Stock Gap]]&lt;0, "Understock","Okay")</f>
        <v>Okay</v>
      </c>
      <c r="O1775" s="13" t="str">
        <f>IF(Table2[[#This Row],[Stock Gap]]&lt;0, "Yes", "No")</f>
        <v>No</v>
      </c>
      <c r="P1775" s="13" t="str">
        <f>IF(Table2[[#This Row],[CurrentStock]]&lt;Table2[[#This Row],[ReorderLevel]],"Reorder", "Okay")</f>
        <v>Okay</v>
      </c>
      <c r="Q1775" s="13" t="str">
        <f>IF(Table2[[#This Row],[CurrentStock]]&gt;Table2[[#This Row],[ReorderLevel]]*3, "Overstock", "Okay")</f>
        <v>Overstock</v>
      </c>
    </row>
    <row r="1776" spans="1:17" x14ac:dyDescent="0.35">
      <c r="A1776">
        <v>24962</v>
      </c>
      <c r="B1776" t="s">
        <v>19</v>
      </c>
      <c r="C1776" t="s">
        <v>28</v>
      </c>
      <c r="D1776">
        <v>145</v>
      </c>
      <c r="E1776">
        <v>100</v>
      </c>
      <c r="F1776" s="2">
        <v>466.15</v>
      </c>
      <c r="G1776" t="s">
        <v>31</v>
      </c>
      <c r="H1776" s="1">
        <v>45352</v>
      </c>
      <c r="I1776" s="1">
        <v>45382</v>
      </c>
      <c r="J1776" t="s">
        <v>36</v>
      </c>
      <c r="K1776" s="8">
        <f>Table2[[#This Row],[CurrentStock]]*Table2[[#This Row],[UnitPrice]]</f>
        <v>67591.75</v>
      </c>
      <c r="L1776" t="str">
        <f>IF(Table2[[#This Row],[CurrentStock]]&lt;=Table2[[#This Row],[ReorderLevel]], "Reorder Needed", "Okay")</f>
        <v>Okay</v>
      </c>
      <c r="M1776" t="str">
        <f>IF(Table2[[#This Row],[CurrentStock]]-Table2[[#This Row],[ReorderLevel]]&lt;0,Table2[[#This Row],[CurrentStock]]-Table2[[#This Row],[ReorderLevel]],"")</f>
        <v/>
      </c>
      <c r="N1776" t="str">
        <f>IF(Table2[[#This Row],[Stock Gap]]&lt;0, "Understock","Okay")</f>
        <v>Okay</v>
      </c>
      <c r="O1776" s="13" t="str">
        <f>IF(Table2[[#This Row],[Stock Gap]]&lt;0, "Yes", "No")</f>
        <v>No</v>
      </c>
      <c r="P1776" s="13" t="str">
        <f>IF(Table2[[#This Row],[CurrentStock]]&lt;Table2[[#This Row],[ReorderLevel]],"Reorder", "Okay")</f>
        <v>Okay</v>
      </c>
      <c r="Q1776" s="13" t="str">
        <f>IF(Table2[[#This Row],[CurrentStock]]&gt;Table2[[#This Row],[ReorderLevel]]*3, "Overstock", "Okay")</f>
        <v>Okay</v>
      </c>
    </row>
    <row r="1777" spans="1:17" x14ac:dyDescent="0.35">
      <c r="A1777">
        <v>93040</v>
      </c>
      <c r="B1777" t="s">
        <v>15</v>
      </c>
      <c r="C1777" t="s">
        <v>29</v>
      </c>
      <c r="D1777">
        <v>20</v>
      </c>
      <c r="E1777">
        <v>40</v>
      </c>
      <c r="F1777" s="2">
        <v>415.16</v>
      </c>
      <c r="G1777" t="s">
        <v>34</v>
      </c>
      <c r="H1777" s="1">
        <v>45318</v>
      </c>
      <c r="I1777" s="1">
        <v>45331</v>
      </c>
      <c r="J1777" t="s">
        <v>38</v>
      </c>
      <c r="K1777" s="8">
        <f>Table2[[#This Row],[CurrentStock]]*Table2[[#This Row],[UnitPrice]]</f>
        <v>8303.2000000000007</v>
      </c>
      <c r="L1777" t="str">
        <f>IF(Table2[[#This Row],[CurrentStock]]&lt;=Table2[[#This Row],[ReorderLevel]], "Reorder Needed", "Okay")</f>
        <v>Reorder Needed</v>
      </c>
      <c r="M1777" s="7">
        <f>IF(Table2[[#This Row],[CurrentStock]]-Table2[[#This Row],[ReorderLevel]]&lt;0,Table2[[#This Row],[CurrentStock]]-Table2[[#This Row],[ReorderLevel]],"")</f>
        <v>-20</v>
      </c>
      <c r="N1777" t="str">
        <f>IF(Table2[[#This Row],[Stock Gap]]&lt;0, "Understock","Okay")</f>
        <v>Understock</v>
      </c>
      <c r="O1777" s="13" t="str">
        <f>IF(Table2[[#This Row],[Stock Gap]]&lt;0, "Yes", "No")</f>
        <v>Yes</v>
      </c>
      <c r="P1777" s="13" t="str">
        <f>IF(Table2[[#This Row],[CurrentStock]]&lt;Table2[[#This Row],[ReorderLevel]],"Reorder", "Okay")</f>
        <v>Reorder</v>
      </c>
      <c r="Q1777" s="13" t="str">
        <f>IF(Table2[[#This Row],[CurrentStock]]&gt;Table2[[#This Row],[ReorderLevel]]*3, "Overstock", "Okay")</f>
        <v>Okay</v>
      </c>
    </row>
    <row r="1778" spans="1:17" x14ac:dyDescent="0.35">
      <c r="A1778">
        <v>63648</v>
      </c>
      <c r="B1778" t="s">
        <v>10</v>
      </c>
      <c r="C1778" t="s">
        <v>26</v>
      </c>
      <c r="D1778">
        <v>298</v>
      </c>
      <c r="E1778">
        <v>150</v>
      </c>
      <c r="F1778" s="2">
        <v>279.01</v>
      </c>
      <c r="G1778" t="s">
        <v>32</v>
      </c>
      <c r="H1778" s="1">
        <v>45503</v>
      </c>
      <c r="I1778" s="1">
        <v>45519</v>
      </c>
      <c r="J1778" t="s">
        <v>38</v>
      </c>
      <c r="K1778" s="8">
        <f>Table2[[#This Row],[CurrentStock]]*Table2[[#This Row],[UnitPrice]]</f>
        <v>83144.98</v>
      </c>
      <c r="L1778" t="str">
        <f>IF(Table2[[#This Row],[CurrentStock]]&lt;=Table2[[#This Row],[ReorderLevel]], "Reorder Needed", "Okay")</f>
        <v>Okay</v>
      </c>
      <c r="M1778" t="str">
        <f>IF(Table2[[#This Row],[CurrentStock]]-Table2[[#This Row],[ReorderLevel]]&lt;0,Table2[[#This Row],[CurrentStock]]-Table2[[#This Row],[ReorderLevel]],"")</f>
        <v/>
      </c>
      <c r="N1778" t="str">
        <f>IF(Table2[[#This Row],[Stock Gap]]&lt;0, "Understock","Okay")</f>
        <v>Okay</v>
      </c>
      <c r="O1778" s="13" t="str">
        <f>IF(Table2[[#This Row],[Stock Gap]]&lt;0, "Yes", "No")</f>
        <v>No</v>
      </c>
      <c r="P1778" s="13" t="str">
        <f>IF(Table2[[#This Row],[CurrentStock]]&lt;Table2[[#This Row],[ReorderLevel]],"Reorder", "Okay")</f>
        <v>Okay</v>
      </c>
      <c r="Q1778" s="13" t="str">
        <f>IF(Table2[[#This Row],[CurrentStock]]&gt;Table2[[#This Row],[ReorderLevel]]*3, "Overstock", "Okay")</f>
        <v>Okay</v>
      </c>
    </row>
    <row r="1779" spans="1:17" x14ac:dyDescent="0.35">
      <c r="A1779">
        <v>78993</v>
      </c>
      <c r="B1779" t="s">
        <v>10</v>
      </c>
      <c r="C1779" t="s">
        <v>26</v>
      </c>
      <c r="D1779">
        <v>97</v>
      </c>
      <c r="E1779">
        <v>100</v>
      </c>
      <c r="F1779" s="2">
        <v>278.72000000000003</v>
      </c>
      <c r="G1779" t="s">
        <v>34</v>
      </c>
      <c r="H1779" s="1">
        <v>45319</v>
      </c>
      <c r="I1779" s="1">
        <v>45332</v>
      </c>
      <c r="J1779" t="s">
        <v>38</v>
      </c>
      <c r="K1779" s="8">
        <f>Table2[[#This Row],[CurrentStock]]*Table2[[#This Row],[UnitPrice]]</f>
        <v>27035.840000000004</v>
      </c>
      <c r="L1779" t="str">
        <f>IF(Table2[[#This Row],[CurrentStock]]&lt;=Table2[[#This Row],[ReorderLevel]], "Reorder Needed", "Okay")</f>
        <v>Reorder Needed</v>
      </c>
      <c r="M1779" s="7">
        <f>IF(Table2[[#This Row],[CurrentStock]]-Table2[[#This Row],[ReorderLevel]]&lt;0,Table2[[#This Row],[CurrentStock]]-Table2[[#This Row],[ReorderLevel]],"")</f>
        <v>-3</v>
      </c>
      <c r="N1779" t="str">
        <f>IF(Table2[[#This Row],[Stock Gap]]&lt;0, "Understock","Okay")</f>
        <v>Understock</v>
      </c>
      <c r="O1779" s="13" t="str">
        <f>IF(Table2[[#This Row],[Stock Gap]]&lt;0, "Yes", "No")</f>
        <v>Yes</v>
      </c>
      <c r="P1779" s="13" t="str">
        <f>IF(Table2[[#This Row],[CurrentStock]]&lt;Table2[[#This Row],[ReorderLevel]],"Reorder", "Okay")</f>
        <v>Reorder</v>
      </c>
      <c r="Q1779" s="13" t="str">
        <f>IF(Table2[[#This Row],[CurrentStock]]&gt;Table2[[#This Row],[ReorderLevel]]*3, "Overstock", "Okay")</f>
        <v>Okay</v>
      </c>
    </row>
    <row r="1780" spans="1:17" x14ac:dyDescent="0.35">
      <c r="A1780">
        <v>62330</v>
      </c>
      <c r="B1780" t="s">
        <v>23</v>
      </c>
      <c r="C1780" t="s">
        <v>30</v>
      </c>
      <c r="D1780">
        <v>286</v>
      </c>
      <c r="E1780">
        <v>30</v>
      </c>
      <c r="F1780" s="2">
        <v>477.06</v>
      </c>
      <c r="G1780" t="s">
        <v>34</v>
      </c>
      <c r="H1780" s="1">
        <v>45310</v>
      </c>
      <c r="I1780" s="1">
        <v>45331</v>
      </c>
      <c r="J1780" t="s">
        <v>38</v>
      </c>
      <c r="K1780" s="8">
        <f>Table2[[#This Row],[CurrentStock]]*Table2[[#This Row],[UnitPrice]]</f>
        <v>136439.16</v>
      </c>
      <c r="L1780" t="str">
        <f>IF(Table2[[#This Row],[CurrentStock]]&lt;=Table2[[#This Row],[ReorderLevel]], "Reorder Needed", "Okay")</f>
        <v>Okay</v>
      </c>
      <c r="M1780" t="str">
        <f>IF(Table2[[#This Row],[CurrentStock]]-Table2[[#This Row],[ReorderLevel]]&lt;0,Table2[[#This Row],[CurrentStock]]-Table2[[#This Row],[ReorderLevel]],"")</f>
        <v/>
      </c>
      <c r="N1780" t="str">
        <f>IF(Table2[[#This Row],[Stock Gap]]&lt;0, "Understock","Okay")</f>
        <v>Okay</v>
      </c>
      <c r="O1780" s="13" t="str">
        <f>IF(Table2[[#This Row],[Stock Gap]]&lt;0, "Yes", "No")</f>
        <v>No</v>
      </c>
      <c r="P1780" s="13" t="str">
        <f>IF(Table2[[#This Row],[CurrentStock]]&lt;Table2[[#This Row],[ReorderLevel]],"Reorder", "Okay")</f>
        <v>Okay</v>
      </c>
      <c r="Q1780" s="13" t="str">
        <f>IF(Table2[[#This Row],[CurrentStock]]&gt;Table2[[#This Row],[ReorderLevel]]*3, "Overstock", "Okay")</f>
        <v>Overstock</v>
      </c>
    </row>
    <row r="1781" spans="1:17" x14ac:dyDescent="0.35">
      <c r="A1781">
        <v>31883</v>
      </c>
      <c r="B1781" t="s">
        <v>24</v>
      </c>
      <c r="C1781" t="s">
        <v>30</v>
      </c>
      <c r="D1781">
        <v>411</v>
      </c>
      <c r="E1781">
        <v>100</v>
      </c>
      <c r="F1781" s="2">
        <v>246.07</v>
      </c>
      <c r="G1781" t="s">
        <v>31</v>
      </c>
      <c r="H1781" s="1">
        <v>45414</v>
      </c>
      <c r="I1781" s="1">
        <v>45419</v>
      </c>
      <c r="J1781" t="s">
        <v>37</v>
      </c>
      <c r="K1781" s="8">
        <f>Table2[[#This Row],[CurrentStock]]*Table2[[#This Row],[UnitPrice]]</f>
        <v>101134.77</v>
      </c>
      <c r="L1781" t="str">
        <f>IF(Table2[[#This Row],[CurrentStock]]&lt;=Table2[[#This Row],[ReorderLevel]], "Reorder Needed", "Okay")</f>
        <v>Okay</v>
      </c>
      <c r="M1781" t="str">
        <f>IF(Table2[[#This Row],[CurrentStock]]-Table2[[#This Row],[ReorderLevel]]&lt;0,Table2[[#This Row],[CurrentStock]]-Table2[[#This Row],[ReorderLevel]],"")</f>
        <v/>
      </c>
      <c r="N1781" t="str">
        <f>IF(Table2[[#This Row],[Stock Gap]]&lt;0, "Understock","Okay")</f>
        <v>Okay</v>
      </c>
      <c r="O1781" s="13" t="str">
        <f>IF(Table2[[#This Row],[Stock Gap]]&lt;0, "Yes", "No")</f>
        <v>No</v>
      </c>
      <c r="P1781" s="13" t="str">
        <f>IF(Table2[[#This Row],[CurrentStock]]&lt;Table2[[#This Row],[ReorderLevel]],"Reorder", "Okay")</f>
        <v>Okay</v>
      </c>
      <c r="Q1781" s="13" t="str">
        <f>IF(Table2[[#This Row],[CurrentStock]]&gt;Table2[[#This Row],[ReorderLevel]]*3, "Overstock", "Okay")</f>
        <v>Overstock</v>
      </c>
    </row>
    <row r="1782" spans="1:17" x14ac:dyDescent="0.35">
      <c r="A1782">
        <v>61319</v>
      </c>
      <c r="B1782" t="s">
        <v>13</v>
      </c>
      <c r="C1782" t="s">
        <v>26</v>
      </c>
      <c r="D1782">
        <v>20</v>
      </c>
      <c r="E1782">
        <v>80</v>
      </c>
      <c r="F1782" s="2">
        <v>102.32</v>
      </c>
      <c r="G1782" t="s">
        <v>34</v>
      </c>
      <c r="H1782" s="1">
        <v>45497</v>
      </c>
      <c r="I1782" s="1">
        <v>45516</v>
      </c>
      <c r="J1782" t="s">
        <v>37</v>
      </c>
      <c r="K1782" s="8">
        <f>Table2[[#This Row],[CurrentStock]]*Table2[[#This Row],[UnitPrice]]</f>
        <v>2046.3999999999999</v>
      </c>
      <c r="L1782" t="str">
        <f>IF(Table2[[#This Row],[CurrentStock]]&lt;=Table2[[#This Row],[ReorderLevel]], "Reorder Needed", "Okay")</f>
        <v>Reorder Needed</v>
      </c>
      <c r="M1782" s="7">
        <f>IF(Table2[[#This Row],[CurrentStock]]-Table2[[#This Row],[ReorderLevel]]&lt;0,Table2[[#This Row],[CurrentStock]]-Table2[[#This Row],[ReorderLevel]],"")</f>
        <v>-60</v>
      </c>
      <c r="N1782" t="str">
        <f>IF(Table2[[#This Row],[Stock Gap]]&lt;0, "Understock","Okay")</f>
        <v>Understock</v>
      </c>
      <c r="O1782" s="13" t="str">
        <f>IF(Table2[[#This Row],[Stock Gap]]&lt;0, "Yes", "No")</f>
        <v>Yes</v>
      </c>
      <c r="P1782" s="13" t="str">
        <f>IF(Table2[[#This Row],[CurrentStock]]&lt;Table2[[#This Row],[ReorderLevel]],"Reorder", "Okay")</f>
        <v>Reorder</v>
      </c>
      <c r="Q1782" s="13" t="str">
        <f>IF(Table2[[#This Row],[CurrentStock]]&gt;Table2[[#This Row],[ReorderLevel]]*3, "Overstock", "Okay")</f>
        <v>Okay</v>
      </c>
    </row>
    <row r="1783" spans="1:17" x14ac:dyDescent="0.35">
      <c r="A1783">
        <v>43971</v>
      </c>
      <c r="B1783" t="s">
        <v>25</v>
      </c>
      <c r="C1783" t="s">
        <v>29</v>
      </c>
      <c r="D1783">
        <v>311</v>
      </c>
      <c r="E1783">
        <v>30</v>
      </c>
      <c r="F1783" s="2">
        <v>407.49</v>
      </c>
      <c r="G1783" t="s">
        <v>34</v>
      </c>
      <c r="H1783" s="1">
        <v>45611</v>
      </c>
      <c r="I1783" s="1">
        <v>45623</v>
      </c>
      <c r="J1783" t="s">
        <v>36</v>
      </c>
      <c r="K1783" s="8">
        <f>Table2[[#This Row],[CurrentStock]]*Table2[[#This Row],[UnitPrice]]</f>
        <v>126729.39</v>
      </c>
      <c r="L1783" t="str">
        <f>IF(Table2[[#This Row],[CurrentStock]]&lt;=Table2[[#This Row],[ReorderLevel]], "Reorder Needed", "Okay")</f>
        <v>Okay</v>
      </c>
      <c r="M1783" t="str">
        <f>IF(Table2[[#This Row],[CurrentStock]]-Table2[[#This Row],[ReorderLevel]]&lt;0,Table2[[#This Row],[CurrentStock]]-Table2[[#This Row],[ReorderLevel]],"")</f>
        <v/>
      </c>
      <c r="N1783" t="str">
        <f>IF(Table2[[#This Row],[Stock Gap]]&lt;0, "Understock","Okay")</f>
        <v>Okay</v>
      </c>
      <c r="O1783" s="13" t="str">
        <f>IF(Table2[[#This Row],[Stock Gap]]&lt;0, "Yes", "No")</f>
        <v>No</v>
      </c>
      <c r="P1783" s="13" t="str">
        <f>IF(Table2[[#This Row],[CurrentStock]]&lt;Table2[[#This Row],[ReorderLevel]],"Reorder", "Okay")</f>
        <v>Okay</v>
      </c>
      <c r="Q1783" s="13" t="str">
        <f>IF(Table2[[#This Row],[CurrentStock]]&gt;Table2[[#This Row],[ReorderLevel]]*3, "Overstock", "Okay")</f>
        <v>Overstock</v>
      </c>
    </row>
    <row r="1784" spans="1:17" x14ac:dyDescent="0.35">
      <c r="A1784">
        <v>30114</v>
      </c>
      <c r="B1784" t="s">
        <v>20</v>
      </c>
      <c r="C1784" t="s">
        <v>30</v>
      </c>
      <c r="D1784">
        <v>200</v>
      </c>
      <c r="E1784">
        <v>100</v>
      </c>
      <c r="F1784" s="2">
        <v>125.75</v>
      </c>
      <c r="G1784" t="s">
        <v>31</v>
      </c>
      <c r="H1784" s="1">
        <v>45510</v>
      </c>
      <c r="I1784" s="1">
        <v>45545</v>
      </c>
      <c r="J1784" t="s">
        <v>38</v>
      </c>
      <c r="K1784" s="8">
        <f>Table2[[#This Row],[CurrentStock]]*Table2[[#This Row],[UnitPrice]]</f>
        <v>25150</v>
      </c>
      <c r="L1784" t="str">
        <f>IF(Table2[[#This Row],[CurrentStock]]&lt;=Table2[[#This Row],[ReorderLevel]], "Reorder Needed", "Okay")</f>
        <v>Okay</v>
      </c>
      <c r="M1784" t="str">
        <f>IF(Table2[[#This Row],[CurrentStock]]-Table2[[#This Row],[ReorderLevel]]&lt;0,Table2[[#This Row],[CurrentStock]]-Table2[[#This Row],[ReorderLevel]],"")</f>
        <v/>
      </c>
      <c r="N1784" t="str">
        <f>IF(Table2[[#This Row],[Stock Gap]]&lt;0, "Understock","Okay")</f>
        <v>Okay</v>
      </c>
      <c r="O1784" s="13" t="str">
        <f>IF(Table2[[#This Row],[Stock Gap]]&lt;0, "Yes", "No")</f>
        <v>No</v>
      </c>
      <c r="P1784" s="13" t="str">
        <f>IF(Table2[[#This Row],[CurrentStock]]&lt;Table2[[#This Row],[ReorderLevel]],"Reorder", "Okay")</f>
        <v>Okay</v>
      </c>
      <c r="Q1784" s="13" t="str">
        <f>IF(Table2[[#This Row],[CurrentStock]]&gt;Table2[[#This Row],[ReorderLevel]]*3, "Overstock", "Okay")</f>
        <v>Okay</v>
      </c>
    </row>
    <row r="1785" spans="1:17" x14ac:dyDescent="0.35">
      <c r="A1785">
        <v>48973</v>
      </c>
      <c r="B1785" t="s">
        <v>15</v>
      </c>
      <c r="C1785" t="s">
        <v>29</v>
      </c>
      <c r="D1785">
        <v>428</v>
      </c>
      <c r="E1785">
        <v>100</v>
      </c>
      <c r="F1785" s="2">
        <v>357.25</v>
      </c>
      <c r="G1785" t="s">
        <v>33</v>
      </c>
      <c r="H1785" s="1">
        <v>45344</v>
      </c>
      <c r="I1785" s="1">
        <v>45350</v>
      </c>
      <c r="J1785" t="s">
        <v>38</v>
      </c>
      <c r="K1785" s="8">
        <f>Table2[[#This Row],[CurrentStock]]*Table2[[#This Row],[UnitPrice]]</f>
        <v>152903</v>
      </c>
      <c r="L1785" t="str">
        <f>IF(Table2[[#This Row],[CurrentStock]]&lt;=Table2[[#This Row],[ReorderLevel]], "Reorder Needed", "Okay")</f>
        <v>Okay</v>
      </c>
      <c r="M1785" t="str">
        <f>IF(Table2[[#This Row],[CurrentStock]]-Table2[[#This Row],[ReorderLevel]]&lt;0,Table2[[#This Row],[CurrentStock]]-Table2[[#This Row],[ReorderLevel]],"")</f>
        <v/>
      </c>
      <c r="N1785" t="str">
        <f>IF(Table2[[#This Row],[Stock Gap]]&lt;0, "Understock","Okay")</f>
        <v>Okay</v>
      </c>
      <c r="O1785" s="13" t="str">
        <f>IF(Table2[[#This Row],[Stock Gap]]&lt;0, "Yes", "No")</f>
        <v>No</v>
      </c>
      <c r="P1785" s="13" t="str">
        <f>IF(Table2[[#This Row],[CurrentStock]]&lt;Table2[[#This Row],[ReorderLevel]],"Reorder", "Okay")</f>
        <v>Okay</v>
      </c>
      <c r="Q1785" s="13" t="str">
        <f>IF(Table2[[#This Row],[CurrentStock]]&gt;Table2[[#This Row],[ReorderLevel]]*3, "Overstock", "Okay")</f>
        <v>Overstock</v>
      </c>
    </row>
    <row r="1786" spans="1:17" x14ac:dyDescent="0.35">
      <c r="A1786">
        <v>93611</v>
      </c>
      <c r="B1786" t="s">
        <v>12</v>
      </c>
      <c r="C1786" t="s">
        <v>28</v>
      </c>
      <c r="D1786">
        <v>346</v>
      </c>
      <c r="E1786">
        <v>50</v>
      </c>
      <c r="F1786" s="2">
        <v>401.34</v>
      </c>
      <c r="G1786" t="s">
        <v>32</v>
      </c>
      <c r="H1786" s="1">
        <v>45380</v>
      </c>
      <c r="I1786" s="1">
        <v>45415</v>
      </c>
      <c r="J1786" t="s">
        <v>37</v>
      </c>
      <c r="K1786" s="8">
        <f>Table2[[#This Row],[CurrentStock]]*Table2[[#This Row],[UnitPrice]]</f>
        <v>138863.63999999998</v>
      </c>
      <c r="L1786" t="str">
        <f>IF(Table2[[#This Row],[CurrentStock]]&lt;=Table2[[#This Row],[ReorderLevel]], "Reorder Needed", "Okay")</f>
        <v>Okay</v>
      </c>
      <c r="M1786" t="str">
        <f>IF(Table2[[#This Row],[CurrentStock]]-Table2[[#This Row],[ReorderLevel]]&lt;0,Table2[[#This Row],[CurrentStock]]-Table2[[#This Row],[ReorderLevel]],"")</f>
        <v/>
      </c>
      <c r="N1786" t="str">
        <f>IF(Table2[[#This Row],[Stock Gap]]&lt;0, "Understock","Okay")</f>
        <v>Okay</v>
      </c>
      <c r="O1786" s="13" t="str">
        <f>IF(Table2[[#This Row],[Stock Gap]]&lt;0, "Yes", "No")</f>
        <v>No</v>
      </c>
      <c r="P1786" s="13" t="str">
        <f>IF(Table2[[#This Row],[CurrentStock]]&lt;Table2[[#This Row],[ReorderLevel]],"Reorder", "Okay")</f>
        <v>Okay</v>
      </c>
      <c r="Q1786" s="13" t="str">
        <f>IF(Table2[[#This Row],[CurrentStock]]&gt;Table2[[#This Row],[ReorderLevel]]*3, "Overstock", "Okay")</f>
        <v>Overstock</v>
      </c>
    </row>
    <row r="1787" spans="1:17" x14ac:dyDescent="0.35">
      <c r="A1787">
        <v>42632</v>
      </c>
      <c r="B1787" t="s">
        <v>13</v>
      </c>
      <c r="C1787" t="s">
        <v>26</v>
      </c>
      <c r="D1787">
        <v>55</v>
      </c>
      <c r="E1787">
        <v>40</v>
      </c>
      <c r="F1787" s="2">
        <v>312.75</v>
      </c>
      <c r="G1787" t="s">
        <v>34</v>
      </c>
      <c r="H1787" s="1">
        <v>45511</v>
      </c>
      <c r="I1787" s="1">
        <v>45527</v>
      </c>
      <c r="J1787" t="s">
        <v>38</v>
      </c>
      <c r="K1787" s="8">
        <f>Table2[[#This Row],[CurrentStock]]*Table2[[#This Row],[UnitPrice]]</f>
        <v>17201.25</v>
      </c>
      <c r="L1787" t="str">
        <f>IF(Table2[[#This Row],[CurrentStock]]&lt;=Table2[[#This Row],[ReorderLevel]], "Reorder Needed", "Okay")</f>
        <v>Okay</v>
      </c>
      <c r="M1787" t="str">
        <f>IF(Table2[[#This Row],[CurrentStock]]-Table2[[#This Row],[ReorderLevel]]&lt;0,Table2[[#This Row],[CurrentStock]]-Table2[[#This Row],[ReorderLevel]],"")</f>
        <v/>
      </c>
      <c r="N1787" t="str">
        <f>IF(Table2[[#This Row],[Stock Gap]]&lt;0, "Understock","Okay")</f>
        <v>Okay</v>
      </c>
      <c r="O1787" s="13" t="str">
        <f>IF(Table2[[#This Row],[Stock Gap]]&lt;0, "Yes", "No")</f>
        <v>No</v>
      </c>
      <c r="P1787" s="13" t="str">
        <f>IF(Table2[[#This Row],[CurrentStock]]&lt;Table2[[#This Row],[ReorderLevel]],"Reorder", "Okay")</f>
        <v>Okay</v>
      </c>
      <c r="Q1787" s="13" t="str">
        <f>IF(Table2[[#This Row],[CurrentStock]]&gt;Table2[[#This Row],[ReorderLevel]]*3, "Overstock", "Okay")</f>
        <v>Okay</v>
      </c>
    </row>
    <row r="1788" spans="1:17" x14ac:dyDescent="0.35">
      <c r="A1788">
        <v>65175</v>
      </c>
      <c r="B1788" t="s">
        <v>21</v>
      </c>
      <c r="C1788" t="s">
        <v>26</v>
      </c>
      <c r="D1788">
        <v>235</v>
      </c>
      <c r="E1788">
        <v>20</v>
      </c>
      <c r="F1788" s="2">
        <v>415.6</v>
      </c>
      <c r="G1788" t="s">
        <v>31</v>
      </c>
      <c r="H1788" s="1">
        <v>45325</v>
      </c>
      <c r="I1788" s="1">
        <v>45342</v>
      </c>
      <c r="J1788" t="s">
        <v>36</v>
      </c>
      <c r="K1788" s="8">
        <f>Table2[[#This Row],[CurrentStock]]*Table2[[#This Row],[UnitPrice]]</f>
        <v>97666</v>
      </c>
      <c r="L1788" t="str">
        <f>IF(Table2[[#This Row],[CurrentStock]]&lt;=Table2[[#This Row],[ReorderLevel]], "Reorder Needed", "Okay")</f>
        <v>Okay</v>
      </c>
      <c r="M1788" t="str">
        <f>IF(Table2[[#This Row],[CurrentStock]]-Table2[[#This Row],[ReorderLevel]]&lt;0,Table2[[#This Row],[CurrentStock]]-Table2[[#This Row],[ReorderLevel]],"")</f>
        <v/>
      </c>
      <c r="N1788" t="str">
        <f>IF(Table2[[#This Row],[Stock Gap]]&lt;0, "Understock","Okay")</f>
        <v>Okay</v>
      </c>
      <c r="O1788" s="13" t="str">
        <f>IF(Table2[[#This Row],[Stock Gap]]&lt;0, "Yes", "No")</f>
        <v>No</v>
      </c>
      <c r="P1788" s="13" t="str">
        <f>IF(Table2[[#This Row],[CurrentStock]]&lt;Table2[[#This Row],[ReorderLevel]],"Reorder", "Okay")</f>
        <v>Okay</v>
      </c>
      <c r="Q1788" s="13" t="str">
        <f>IF(Table2[[#This Row],[CurrentStock]]&gt;Table2[[#This Row],[ReorderLevel]]*3, "Overstock", "Okay")</f>
        <v>Overstock</v>
      </c>
    </row>
    <row r="1789" spans="1:17" x14ac:dyDescent="0.35">
      <c r="A1789">
        <v>36190</v>
      </c>
      <c r="B1789" t="s">
        <v>13</v>
      </c>
      <c r="C1789" t="s">
        <v>26</v>
      </c>
      <c r="D1789">
        <v>229</v>
      </c>
      <c r="E1789">
        <v>80</v>
      </c>
      <c r="F1789" s="2">
        <v>159.38999999999999</v>
      </c>
      <c r="G1789" t="s">
        <v>34</v>
      </c>
      <c r="H1789" s="1">
        <v>45532</v>
      </c>
      <c r="I1789" s="1">
        <v>45543</v>
      </c>
      <c r="J1789" t="s">
        <v>38</v>
      </c>
      <c r="K1789" s="8">
        <f>Table2[[#This Row],[CurrentStock]]*Table2[[#This Row],[UnitPrice]]</f>
        <v>36500.31</v>
      </c>
      <c r="L1789" t="str">
        <f>IF(Table2[[#This Row],[CurrentStock]]&lt;=Table2[[#This Row],[ReorderLevel]], "Reorder Needed", "Okay")</f>
        <v>Okay</v>
      </c>
      <c r="M1789" t="str">
        <f>IF(Table2[[#This Row],[CurrentStock]]-Table2[[#This Row],[ReorderLevel]]&lt;0,Table2[[#This Row],[CurrentStock]]-Table2[[#This Row],[ReorderLevel]],"")</f>
        <v/>
      </c>
      <c r="N1789" t="str">
        <f>IF(Table2[[#This Row],[Stock Gap]]&lt;0, "Understock","Okay")</f>
        <v>Okay</v>
      </c>
      <c r="O1789" s="13" t="str">
        <f>IF(Table2[[#This Row],[Stock Gap]]&lt;0, "Yes", "No")</f>
        <v>No</v>
      </c>
      <c r="P1789" s="13" t="str">
        <f>IF(Table2[[#This Row],[CurrentStock]]&lt;Table2[[#This Row],[ReorderLevel]],"Reorder", "Okay")</f>
        <v>Okay</v>
      </c>
      <c r="Q1789" s="13" t="str">
        <f>IF(Table2[[#This Row],[CurrentStock]]&gt;Table2[[#This Row],[ReorderLevel]]*3, "Overstock", "Okay")</f>
        <v>Okay</v>
      </c>
    </row>
    <row r="1790" spans="1:17" x14ac:dyDescent="0.35">
      <c r="A1790">
        <v>89455</v>
      </c>
      <c r="B1790" t="s">
        <v>13</v>
      </c>
      <c r="C1790" t="s">
        <v>26</v>
      </c>
      <c r="D1790">
        <v>360</v>
      </c>
      <c r="E1790">
        <v>150</v>
      </c>
      <c r="F1790" s="2">
        <v>6.73</v>
      </c>
      <c r="G1790" t="s">
        <v>35</v>
      </c>
      <c r="H1790" s="1">
        <v>45395</v>
      </c>
      <c r="I1790" s="1">
        <v>45415</v>
      </c>
      <c r="J1790" t="s">
        <v>38</v>
      </c>
      <c r="K1790" s="8">
        <f>Table2[[#This Row],[CurrentStock]]*Table2[[#This Row],[UnitPrice]]</f>
        <v>2422.8000000000002</v>
      </c>
      <c r="L1790" t="str">
        <f>IF(Table2[[#This Row],[CurrentStock]]&lt;=Table2[[#This Row],[ReorderLevel]], "Reorder Needed", "Okay")</f>
        <v>Okay</v>
      </c>
      <c r="M1790" t="str">
        <f>IF(Table2[[#This Row],[CurrentStock]]-Table2[[#This Row],[ReorderLevel]]&lt;0,Table2[[#This Row],[CurrentStock]]-Table2[[#This Row],[ReorderLevel]],"")</f>
        <v/>
      </c>
      <c r="N1790" t="str">
        <f>IF(Table2[[#This Row],[Stock Gap]]&lt;0, "Understock","Okay")</f>
        <v>Okay</v>
      </c>
      <c r="O1790" s="13" t="str">
        <f>IF(Table2[[#This Row],[Stock Gap]]&lt;0, "Yes", "No")</f>
        <v>No</v>
      </c>
      <c r="P1790" s="13" t="str">
        <f>IF(Table2[[#This Row],[CurrentStock]]&lt;Table2[[#This Row],[ReorderLevel]],"Reorder", "Okay")</f>
        <v>Okay</v>
      </c>
      <c r="Q1790" s="13" t="str">
        <f>IF(Table2[[#This Row],[CurrentStock]]&gt;Table2[[#This Row],[ReorderLevel]]*3, "Overstock", "Okay")</f>
        <v>Okay</v>
      </c>
    </row>
    <row r="1791" spans="1:17" x14ac:dyDescent="0.35">
      <c r="A1791">
        <v>39692</v>
      </c>
      <c r="B1791" t="s">
        <v>13</v>
      </c>
      <c r="C1791" t="s">
        <v>26</v>
      </c>
      <c r="D1791">
        <v>1</v>
      </c>
      <c r="E1791">
        <v>150</v>
      </c>
      <c r="F1791" s="2">
        <v>296.74</v>
      </c>
      <c r="G1791" t="s">
        <v>34</v>
      </c>
      <c r="H1791" s="1">
        <v>45482</v>
      </c>
      <c r="I1791" s="1">
        <v>45489</v>
      </c>
      <c r="J1791" t="s">
        <v>36</v>
      </c>
      <c r="K1791" s="8">
        <f>Table2[[#This Row],[CurrentStock]]*Table2[[#This Row],[UnitPrice]]</f>
        <v>296.74</v>
      </c>
      <c r="L1791" t="str">
        <f>IF(Table2[[#This Row],[CurrentStock]]&lt;=Table2[[#This Row],[ReorderLevel]], "Reorder Needed", "Okay")</f>
        <v>Reorder Needed</v>
      </c>
      <c r="M1791" s="7">
        <f>IF(Table2[[#This Row],[CurrentStock]]-Table2[[#This Row],[ReorderLevel]]&lt;0,Table2[[#This Row],[CurrentStock]]-Table2[[#This Row],[ReorderLevel]],"")</f>
        <v>-149</v>
      </c>
      <c r="N1791" t="str">
        <f>IF(Table2[[#This Row],[Stock Gap]]&lt;0, "Understock","Okay")</f>
        <v>Understock</v>
      </c>
      <c r="O1791" s="13" t="str">
        <f>IF(Table2[[#This Row],[Stock Gap]]&lt;0, "Yes", "No")</f>
        <v>Yes</v>
      </c>
      <c r="P1791" s="13" t="str">
        <f>IF(Table2[[#This Row],[CurrentStock]]&lt;Table2[[#This Row],[ReorderLevel]],"Reorder", "Okay")</f>
        <v>Reorder</v>
      </c>
      <c r="Q1791" s="13" t="str">
        <f>IF(Table2[[#This Row],[CurrentStock]]&gt;Table2[[#This Row],[ReorderLevel]]*3, "Overstock", "Okay")</f>
        <v>Okay</v>
      </c>
    </row>
    <row r="1792" spans="1:17" x14ac:dyDescent="0.35">
      <c r="A1792">
        <v>19605</v>
      </c>
      <c r="B1792" t="s">
        <v>11</v>
      </c>
      <c r="C1792" t="s">
        <v>27</v>
      </c>
      <c r="D1792">
        <v>476</v>
      </c>
      <c r="E1792">
        <v>100</v>
      </c>
      <c r="F1792" s="2">
        <v>68.900000000000006</v>
      </c>
      <c r="G1792" t="s">
        <v>34</v>
      </c>
      <c r="H1792" s="1">
        <v>45464</v>
      </c>
      <c r="I1792" s="1">
        <v>45500</v>
      </c>
      <c r="J1792" t="s">
        <v>36</v>
      </c>
      <c r="K1792" s="8">
        <f>Table2[[#This Row],[CurrentStock]]*Table2[[#This Row],[UnitPrice]]</f>
        <v>32796.400000000001</v>
      </c>
      <c r="L1792" t="str">
        <f>IF(Table2[[#This Row],[CurrentStock]]&lt;=Table2[[#This Row],[ReorderLevel]], "Reorder Needed", "Okay")</f>
        <v>Okay</v>
      </c>
      <c r="M1792" t="str">
        <f>IF(Table2[[#This Row],[CurrentStock]]-Table2[[#This Row],[ReorderLevel]]&lt;0,Table2[[#This Row],[CurrentStock]]-Table2[[#This Row],[ReorderLevel]],"")</f>
        <v/>
      </c>
      <c r="N1792" t="str">
        <f>IF(Table2[[#This Row],[Stock Gap]]&lt;0, "Understock","Okay")</f>
        <v>Okay</v>
      </c>
      <c r="O1792" s="13" t="str">
        <f>IF(Table2[[#This Row],[Stock Gap]]&lt;0, "Yes", "No")</f>
        <v>No</v>
      </c>
      <c r="P1792" s="13" t="str">
        <f>IF(Table2[[#This Row],[CurrentStock]]&lt;Table2[[#This Row],[ReorderLevel]],"Reorder", "Okay")</f>
        <v>Okay</v>
      </c>
      <c r="Q1792" s="13" t="str">
        <f>IF(Table2[[#This Row],[CurrentStock]]&gt;Table2[[#This Row],[ReorderLevel]]*3, "Overstock", "Okay")</f>
        <v>Overstock</v>
      </c>
    </row>
    <row r="1793" spans="1:17" x14ac:dyDescent="0.35">
      <c r="A1793">
        <v>68618</v>
      </c>
      <c r="B1793" t="s">
        <v>18</v>
      </c>
      <c r="C1793" t="s">
        <v>27</v>
      </c>
      <c r="D1793">
        <v>112</v>
      </c>
      <c r="E1793">
        <v>100</v>
      </c>
      <c r="F1793" s="2">
        <v>460.97</v>
      </c>
      <c r="G1793" t="s">
        <v>34</v>
      </c>
      <c r="H1793" s="1">
        <v>45502</v>
      </c>
      <c r="I1793" s="1">
        <v>45526</v>
      </c>
      <c r="J1793" t="s">
        <v>37</v>
      </c>
      <c r="K1793" s="8">
        <f>Table2[[#This Row],[CurrentStock]]*Table2[[#This Row],[UnitPrice]]</f>
        <v>51628.639999999999</v>
      </c>
      <c r="L1793" t="str">
        <f>IF(Table2[[#This Row],[CurrentStock]]&lt;=Table2[[#This Row],[ReorderLevel]], "Reorder Needed", "Okay")</f>
        <v>Okay</v>
      </c>
      <c r="M1793" t="str">
        <f>IF(Table2[[#This Row],[CurrentStock]]-Table2[[#This Row],[ReorderLevel]]&lt;0,Table2[[#This Row],[CurrentStock]]-Table2[[#This Row],[ReorderLevel]],"")</f>
        <v/>
      </c>
      <c r="N1793" t="str">
        <f>IF(Table2[[#This Row],[Stock Gap]]&lt;0, "Understock","Okay")</f>
        <v>Okay</v>
      </c>
      <c r="O1793" s="13" t="str">
        <f>IF(Table2[[#This Row],[Stock Gap]]&lt;0, "Yes", "No")</f>
        <v>No</v>
      </c>
      <c r="P1793" s="13" t="str">
        <f>IF(Table2[[#This Row],[CurrentStock]]&lt;Table2[[#This Row],[ReorderLevel]],"Reorder", "Okay")</f>
        <v>Okay</v>
      </c>
      <c r="Q1793" s="13" t="str">
        <f>IF(Table2[[#This Row],[CurrentStock]]&gt;Table2[[#This Row],[ReorderLevel]]*3, "Overstock", "Okay")</f>
        <v>Okay</v>
      </c>
    </row>
    <row r="1794" spans="1:17" x14ac:dyDescent="0.35">
      <c r="A1794">
        <v>33386</v>
      </c>
      <c r="B1794" t="s">
        <v>13</v>
      </c>
      <c r="C1794" t="s">
        <v>26</v>
      </c>
      <c r="D1794">
        <v>440</v>
      </c>
      <c r="E1794">
        <v>20</v>
      </c>
      <c r="F1794" s="2">
        <v>234.75</v>
      </c>
      <c r="G1794" t="s">
        <v>31</v>
      </c>
      <c r="H1794" s="1">
        <v>45454</v>
      </c>
      <c r="I1794" s="1">
        <v>45468</v>
      </c>
      <c r="J1794" t="s">
        <v>36</v>
      </c>
      <c r="K1794" s="8">
        <f>Table2[[#This Row],[CurrentStock]]*Table2[[#This Row],[UnitPrice]]</f>
        <v>103290</v>
      </c>
      <c r="L1794" t="str">
        <f>IF(Table2[[#This Row],[CurrentStock]]&lt;=Table2[[#This Row],[ReorderLevel]], "Reorder Needed", "Okay")</f>
        <v>Okay</v>
      </c>
      <c r="M1794" t="str">
        <f>IF(Table2[[#This Row],[CurrentStock]]-Table2[[#This Row],[ReorderLevel]]&lt;0,Table2[[#This Row],[CurrentStock]]-Table2[[#This Row],[ReorderLevel]],"")</f>
        <v/>
      </c>
      <c r="N1794" t="str">
        <f>IF(Table2[[#This Row],[Stock Gap]]&lt;0, "Understock","Okay")</f>
        <v>Okay</v>
      </c>
      <c r="O1794" s="13" t="str">
        <f>IF(Table2[[#This Row],[Stock Gap]]&lt;0, "Yes", "No")</f>
        <v>No</v>
      </c>
      <c r="P1794" s="13" t="str">
        <f>IF(Table2[[#This Row],[CurrentStock]]&lt;Table2[[#This Row],[ReorderLevel]],"Reorder", "Okay")</f>
        <v>Okay</v>
      </c>
      <c r="Q1794" s="13" t="str">
        <f>IF(Table2[[#This Row],[CurrentStock]]&gt;Table2[[#This Row],[ReorderLevel]]*3, "Overstock", "Okay")</f>
        <v>Overstock</v>
      </c>
    </row>
    <row r="1795" spans="1:17" x14ac:dyDescent="0.35">
      <c r="A1795">
        <v>65097</v>
      </c>
      <c r="B1795" t="s">
        <v>9</v>
      </c>
      <c r="C1795" t="s">
        <v>26</v>
      </c>
      <c r="D1795">
        <v>33</v>
      </c>
      <c r="E1795">
        <v>40</v>
      </c>
      <c r="F1795" s="2">
        <v>347.99</v>
      </c>
      <c r="G1795" t="s">
        <v>34</v>
      </c>
      <c r="H1795" s="1">
        <v>45551</v>
      </c>
      <c r="I1795" s="1">
        <v>45568</v>
      </c>
      <c r="J1795" t="s">
        <v>37</v>
      </c>
      <c r="K1795" s="8">
        <f>Table2[[#This Row],[CurrentStock]]*Table2[[#This Row],[UnitPrice]]</f>
        <v>11483.67</v>
      </c>
      <c r="L1795" t="str">
        <f>IF(Table2[[#This Row],[CurrentStock]]&lt;=Table2[[#This Row],[ReorderLevel]], "Reorder Needed", "Okay")</f>
        <v>Reorder Needed</v>
      </c>
      <c r="M1795" s="7">
        <f>IF(Table2[[#This Row],[CurrentStock]]-Table2[[#This Row],[ReorderLevel]]&lt;0,Table2[[#This Row],[CurrentStock]]-Table2[[#This Row],[ReorderLevel]],"")</f>
        <v>-7</v>
      </c>
      <c r="N1795" t="str">
        <f>IF(Table2[[#This Row],[Stock Gap]]&lt;0, "Understock","Okay")</f>
        <v>Understock</v>
      </c>
      <c r="O1795" s="13" t="str">
        <f>IF(Table2[[#This Row],[Stock Gap]]&lt;0, "Yes", "No")</f>
        <v>Yes</v>
      </c>
      <c r="P1795" s="13" t="str">
        <f>IF(Table2[[#This Row],[CurrentStock]]&lt;Table2[[#This Row],[ReorderLevel]],"Reorder", "Okay")</f>
        <v>Reorder</v>
      </c>
      <c r="Q1795" s="13" t="str">
        <f>IF(Table2[[#This Row],[CurrentStock]]&gt;Table2[[#This Row],[ReorderLevel]]*3, "Overstock", "Okay")</f>
        <v>Okay</v>
      </c>
    </row>
    <row r="1796" spans="1:17" x14ac:dyDescent="0.35">
      <c r="A1796">
        <v>55167</v>
      </c>
      <c r="B1796" t="s">
        <v>24</v>
      </c>
      <c r="C1796" t="s">
        <v>30</v>
      </c>
      <c r="D1796">
        <v>115</v>
      </c>
      <c r="E1796">
        <v>50</v>
      </c>
      <c r="F1796" s="2">
        <v>187.5</v>
      </c>
      <c r="G1796" t="s">
        <v>31</v>
      </c>
      <c r="H1796" s="1">
        <v>45541</v>
      </c>
      <c r="I1796" s="1">
        <v>45567</v>
      </c>
      <c r="J1796" t="s">
        <v>37</v>
      </c>
      <c r="K1796" s="8">
        <f>Table2[[#This Row],[CurrentStock]]*Table2[[#This Row],[UnitPrice]]</f>
        <v>21562.5</v>
      </c>
      <c r="L1796" t="str">
        <f>IF(Table2[[#This Row],[CurrentStock]]&lt;=Table2[[#This Row],[ReorderLevel]], "Reorder Needed", "Okay")</f>
        <v>Okay</v>
      </c>
      <c r="M1796" t="str">
        <f>IF(Table2[[#This Row],[CurrentStock]]-Table2[[#This Row],[ReorderLevel]]&lt;0,Table2[[#This Row],[CurrentStock]]-Table2[[#This Row],[ReorderLevel]],"")</f>
        <v/>
      </c>
      <c r="N1796" t="str">
        <f>IF(Table2[[#This Row],[Stock Gap]]&lt;0, "Understock","Okay")</f>
        <v>Okay</v>
      </c>
      <c r="O1796" s="13" t="str">
        <f>IF(Table2[[#This Row],[Stock Gap]]&lt;0, "Yes", "No")</f>
        <v>No</v>
      </c>
      <c r="P1796" s="13" t="str">
        <f>IF(Table2[[#This Row],[CurrentStock]]&lt;Table2[[#This Row],[ReorderLevel]],"Reorder", "Okay")</f>
        <v>Okay</v>
      </c>
      <c r="Q1796" s="13" t="str">
        <f>IF(Table2[[#This Row],[CurrentStock]]&gt;Table2[[#This Row],[ReorderLevel]]*3, "Overstock", "Okay")</f>
        <v>Okay</v>
      </c>
    </row>
    <row r="1797" spans="1:17" x14ac:dyDescent="0.35">
      <c r="A1797">
        <v>42259</v>
      </c>
      <c r="B1797" t="s">
        <v>11</v>
      </c>
      <c r="C1797" t="s">
        <v>27</v>
      </c>
      <c r="D1797">
        <v>175</v>
      </c>
      <c r="E1797">
        <v>20</v>
      </c>
      <c r="F1797" s="2">
        <v>284.94</v>
      </c>
      <c r="G1797" t="s">
        <v>35</v>
      </c>
      <c r="H1797" s="1">
        <v>45472</v>
      </c>
      <c r="I1797" s="1">
        <v>45479</v>
      </c>
      <c r="J1797" t="s">
        <v>36</v>
      </c>
      <c r="K1797" s="8">
        <f>Table2[[#This Row],[CurrentStock]]*Table2[[#This Row],[UnitPrice]]</f>
        <v>49864.5</v>
      </c>
      <c r="L1797" t="str">
        <f>IF(Table2[[#This Row],[CurrentStock]]&lt;=Table2[[#This Row],[ReorderLevel]], "Reorder Needed", "Okay")</f>
        <v>Okay</v>
      </c>
      <c r="M1797" t="str">
        <f>IF(Table2[[#This Row],[CurrentStock]]-Table2[[#This Row],[ReorderLevel]]&lt;0,Table2[[#This Row],[CurrentStock]]-Table2[[#This Row],[ReorderLevel]],"")</f>
        <v/>
      </c>
      <c r="N1797" t="str">
        <f>IF(Table2[[#This Row],[Stock Gap]]&lt;0, "Understock","Okay")</f>
        <v>Okay</v>
      </c>
      <c r="O1797" s="13" t="str">
        <f>IF(Table2[[#This Row],[Stock Gap]]&lt;0, "Yes", "No")</f>
        <v>No</v>
      </c>
      <c r="P1797" s="13" t="str">
        <f>IF(Table2[[#This Row],[CurrentStock]]&lt;Table2[[#This Row],[ReorderLevel]],"Reorder", "Okay")</f>
        <v>Okay</v>
      </c>
      <c r="Q1797" s="13" t="str">
        <f>IF(Table2[[#This Row],[CurrentStock]]&gt;Table2[[#This Row],[ReorderLevel]]*3, "Overstock", "Okay")</f>
        <v>Overstock</v>
      </c>
    </row>
    <row r="1798" spans="1:17" x14ac:dyDescent="0.35">
      <c r="A1798">
        <v>53199</v>
      </c>
      <c r="B1798" t="s">
        <v>17</v>
      </c>
      <c r="C1798" t="s">
        <v>27</v>
      </c>
      <c r="D1798">
        <v>493</v>
      </c>
      <c r="E1798">
        <v>40</v>
      </c>
      <c r="F1798" s="2">
        <v>480.3</v>
      </c>
      <c r="G1798" t="s">
        <v>35</v>
      </c>
      <c r="H1798" s="1">
        <v>45377</v>
      </c>
      <c r="I1798" s="1">
        <v>45401</v>
      </c>
      <c r="J1798" t="s">
        <v>38</v>
      </c>
      <c r="K1798" s="8">
        <f>Table2[[#This Row],[CurrentStock]]*Table2[[#This Row],[UnitPrice]]</f>
        <v>236787.9</v>
      </c>
      <c r="L1798" t="str">
        <f>IF(Table2[[#This Row],[CurrentStock]]&lt;=Table2[[#This Row],[ReorderLevel]], "Reorder Needed", "Okay")</f>
        <v>Okay</v>
      </c>
      <c r="M1798" t="str">
        <f>IF(Table2[[#This Row],[CurrentStock]]-Table2[[#This Row],[ReorderLevel]]&lt;0,Table2[[#This Row],[CurrentStock]]-Table2[[#This Row],[ReorderLevel]],"")</f>
        <v/>
      </c>
      <c r="N1798" t="str">
        <f>IF(Table2[[#This Row],[Stock Gap]]&lt;0, "Understock","Okay")</f>
        <v>Okay</v>
      </c>
      <c r="O1798" s="13" t="str">
        <f>IF(Table2[[#This Row],[Stock Gap]]&lt;0, "Yes", "No")</f>
        <v>No</v>
      </c>
      <c r="P1798" s="13" t="str">
        <f>IF(Table2[[#This Row],[CurrentStock]]&lt;Table2[[#This Row],[ReorderLevel]],"Reorder", "Okay")</f>
        <v>Okay</v>
      </c>
      <c r="Q1798" s="13" t="str">
        <f>IF(Table2[[#This Row],[CurrentStock]]&gt;Table2[[#This Row],[ReorderLevel]]*3, "Overstock", "Okay")</f>
        <v>Overstock</v>
      </c>
    </row>
    <row r="1799" spans="1:17" x14ac:dyDescent="0.35">
      <c r="A1799">
        <v>15717</v>
      </c>
      <c r="B1799" t="s">
        <v>20</v>
      </c>
      <c r="C1799" t="s">
        <v>30</v>
      </c>
      <c r="D1799">
        <v>106</v>
      </c>
      <c r="E1799">
        <v>150</v>
      </c>
      <c r="F1799" s="2">
        <v>339.3</v>
      </c>
      <c r="G1799" t="s">
        <v>31</v>
      </c>
      <c r="H1799" s="1">
        <v>45501</v>
      </c>
      <c r="I1799" s="1">
        <v>45516</v>
      </c>
      <c r="J1799" t="s">
        <v>38</v>
      </c>
      <c r="K1799" s="8">
        <f>Table2[[#This Row],[CurrentStock]]*Table2[[#This Row],[UnitPrice]]</f>
        <v>35965.800000000003</v>
      </c>
      <c r="L1799" t="str">
        <f>IF(Table2[[#This Row],[CurrentStock]]&lt;=Table2[[#This Row],[ReorderLevel]], "Reorder Needed", "Okay")</f>
        <v>Reorder Needed</v>
      </c>
      <c r="M1799" s="7">
        <f>IF(Table2[[#This Row],[CurrentStock]]-Table2[[#This Row],[ReorderLevel]]&lt;0,Table2[[#This Row],[CurrentStock]]-Table2[[#This Row],[ReorderLevel]],"")</f>
        <v>-44</v>
      </c>
      <c r="N1799" t="str">
        <f>IF(Table2[[#This Row],[Stock Gap]]&lt;0, "Understock","Okay")</f>
        <v>Understock</v>
      </c>
      <c r="O1799" s="13" t="str">
        <f>IF(Table2[[#This Row],[Stock Gap]]&lt;0, "Yes", "No")</f>
        <v>Yes</v>
      </c>
      <c r="P1799" s="13" t="str">
        <f>IF(Table2[[#This Row],[CurrentStock]]&lt;Table2[[#This Row],[ReorderLevel]],"Reorder", "Okay")</f>
        <v>Reorder</v>
      </c>
      <c r="Q1799" s="13" t="str">
        <f>IF(Table2[[#This Row],[CurrentStock]]&gt;Table2[[#This Row],[ReorderLevel]]*3, "Overstock", "Okay")</f>
        <v>Okay</v>
      </c>
    </row>
    <row r="1800" spans="1:17" x14ac:dyDescent="0.35">
      <c r="A1800">
        <v>25198</v>
      </c>
      <c r="B1800" t="s">
        <v>20</v>
      </c>
      <c r="C1800" t="s">
        <v>30</v>
      </c>
      <c r="D1800">
        <v>342</v>
      </c>
      <c r="E1800">
        <v>20</v>
      </c>
      <c r="F1800" s="2">
        <v>341.47</v>
      </c>
      <c r="G1800" t="s">
        <v>34</v>
      </c>
      <c r="H1800" s="1">
        <v>45420</v>
      </c>
      <c r="I1800" s="1">
        <v>45433</v>
      </c>
      <c r="J1800" t="s">
        <v>37</v>
      </c>
      <c r="K1800" s="8">
        <f>Table2[[#This Row],[CurrentStock]]*Table2[[#This Row],[UnitPrice]]</f>
        <v>116782.74</v>
      </c>
      <c r="L1800" t="str">
        <f>IF(Table2[[#This Row],[CurrentStock]]&lt;=Table2[[#This Row],[ReorderLevel]], "Reorder Needed", "Okay")</f>
        <v>Okay</v>
      </c>
      <c r="M1800" t="str">
        <f>IF(Table2[[#This Row],[CurrentStock]]-Table2[[#This Row],[ReorderLevel]]&lt;0,Table2[[#This Row],[CurrentStock]]-Table2[[#This Row],[ReorderLevel]],"")</f>
        <v/>
      </c>
      <c r="N1800" t="str">
        <f>IF(Table2[[#This Row],[Stock Gap]]&lt;0, "Understock","Okay")</f>
        <v>Okay</v>
      </c>
      <c r="O1800" s="13" t="str">
        <f>IF(Table2[[#This Row],[Stock Gap]]&lt;0, "Yes", "No")</f>
        <v>No</v>
      </c>
      <c r="P1800" s="13" t="str">
        <f>IF(Table2[[#This Row],[CurrentStock]]&lt;Table2[[#This Row],[ReorderLevel]],"Reorder", "Okay")</f>
        <v>Okay</v>
      </c>
      <c r="Q1800" s="13" t="str">
        <f>IF(Table2[[#This Row],[CurrentStock]]&gt;Table2[[#This Row],[ReorderLevel]]*3, "Overstock", "Okay")</f>
        <v>Overstock</v>
      </c>
    </row>
    <row r="1801" spans="1:17" x14ac:dyDescent="0.35">
      <c r="A1801">
        <v>36547</v>
      </c>
      <c r="B1801" t="s">
        <v>16</v>
      </c>
      <c r="C1801" t="s">
        <v>29</v>
      </c>
      <c r="D1801">
        <v>145</v>
      </c>
      <c r="E1801">
        <v>150</v>
      </c>
      <c r="F1801" s="2">
        <v>414.7</v>
      </c>
      <c r="G1801" t="s">
        <v>34</v>
      </c>
      <c r="H1801" s="1">
        <v>45378</v>
      </c>
      <c r="I1801" s="1">
        <v>45393</v>
      </c>
      <c r="J1801" t="s">
        <v>38</v>
      </c>
      <c r="K1801" s="8">
        <f>Table2[[#This Row],[CurrentStock]]*Table2[[#This Row],[UnitPrice]]</f>
        <v>60131.5</v>
      </c>
      <c r="L1801" t="str">
        <f>IF(Table2[[#This Row],[CurrentStock]]&lt;=Table2[[#This Row],[ReorderLevel]], "Reorder Needed", "Okay")</f>
        <v>Reorder Needed</v>
      </c>
      <c r="M1801" s="7">
        <f>IF(Table2[[#This Row],[CurrentStock]]-Table2[[#This Row],[ReorderLevel]]&lt;0,Table2[[#This Row],[CurrentStock]]-Table2[[#This Row],[ReorderLevel]],"")</f>
        <v>-5</v>
      </c>
      <c r="N1801" t="str">
        <f>IF(Table2[[#This Row],[Stock Gap]]&lt;0, "Understock","Okay")</f>
        <v>Understock</v>
      </c>
      <c r="O1801" s="13" t="str">
        <f>IF(Table2[[#This Row],[Stock Gap]]&lt;0, "Yes", "No")</f>
        <v>Yes</v>
      </c>
      <c r="P1801" s="13" t="str">
        <f>IF(Table2[[#This Row],[CurrentStock]]&lt;Table2[[#This Row],[ReorderLevel]],"Reorder", "Okay")</f>
        <v>Reorder</v>
      </c>
      <c r="Q1801" s="13" t="str">
        <f>IF(Table2[[#This Row],[CurrentStock]]&gt;Table2[[#This Row],[ReorderLevel]]*3, "Overstock", "Okay")</f>
        <v>Okay</v>
      </c>
    </row>
    <row r="1802" spans="1:17" x14ac:dyDescent="0.35">
      <c r="A1802">
        <v>98636</v>
      </c>
      <c r="B1802" t="s">
        <v>16</v>
      </c>
      <c r="C1802" t="s">
        <v>29</v>
      </c>
      <c r="D1802">
        <v>446</v>
      </c>
      <c r="E1802">
        <v>20</v>
      </c>
      <c r="F1802" s="2">
        <v>92.65</v>
      </c>
      <c r="G1802" t="s">
        <v>31</v>
      </c>
      <c r="H1802" s="1">
        <v>45461</v>
      </c>
      <c r="I1802" s="1">
        <v>45491</v>
      </c>
      <c r="J1802" t="s">
        <v>37</v>
      </c>
      <c r="K1802" s="8">
        <f>Table2[[#This Row],[CurrentStock]]*Table2[[#This Row],[UnitPrice]]</f>
        <v>41321.9</v>
      </c>
      <c r="L1802" t="str">
        <f>IF(Table2[[#This Row],[CurrentStock]]&lt;=Table2[[#This Row],[ReorderLevel]], "Reorder Needed", "Okay")</f>
        <v>Okay</v>
      </c>
      <c r="M1802" t="str">
        <f>IF(Table2[[#This Row],[CurrentStock]]-Table2[[#This Row],[ReorderLevel]]&lt;0,Table2[[#This Row],[CurrentStock]]-Table2[[#This Row],[ReorderLevel]],"")</f>
        <v/>
      </c>
      <c r="N1802" t="str">
        <f>IF(Table2[[#This Row],[Stock Gap]]&lt;0, "Understock","Okay")</f>
        <v>Okay</v>
      </c>
      <c r="O1802" s="13" t="str">
        <f>IF(Table2[[#This Row],[Stock Gap]]&lt;0, "Yes", "No")</f>
        <v>No</v>
      </c>
      <c r="P1802" s="13" t="str">
        <f>IF(Table2[[#This Row],[CurrentStock]]&lt;Table2[[#This Row],[ReorderLevel]],"Reorder", "Okay")</f>
        <v>Okay</v>
      </c>
      <c r="Q1802" s="13" t="str">
        <f>IF(Table2[[#This Row],[CurrentStock]]&gt;Table2[[#This Row],[ReorderLevel]]*3, "Overstock", "Okay")</f>
        <v>Overstock</v>
      </c>
    </row>
    <row r="1803" spans="1:17" x14ac:dyDescent="0.35">
      <c r="A1803">
        <v>24248</v>
      </c>
      <c r="B1803" t="s">
        <v>24</v>
      </c>
      <c r="C1803" t="s">
        <v>30</v>
      </c>
      <c r="D1803">
        <v>491</v>
      </c>
      <c r="E1803">
        <v>50</v>
      </c>
      <c r="F1803" s="2">
        <v>140.91</v>
      </c>
      <c r="G1803" t="s">
        <v>32</v>
      </c>
      <c r="H1803" s="1">
        <v>45330</v>
      </c>
      <c r="I1803" s="1">
        <v>45355</v>
      </c>
      <c r="J1803" t="s">
        <v>37</v>
      </c>
      <c r="K1803" s="8">
        <f>Table2[[#This Row],[CurrentStock]]*Table2[[#This Row],[UnitPrice]]</f>
        <v>69186.81</v>
      </c>
      <c r="L1803" t="str">
        <f>IF(Table2[[#This Row],[CurrentStock]]&lt;=Table2[[#This Row],[ReorderLevel]], "Reorder Needed", "Okay")</f>
        <v>Okay</v>
      </c>
      <c r="M1803" t="str">
        <f>IF(Table2[[#This Row],[CurrentStock]]-Table2[[#This Row],[ReorderLevel]]&lt;0,Table2[[#This Row],[CurrentStock]]-Table2[[#This Row],[ReorderLevel]],"")</f>
        <v/>
      </c>
      <c r="N1803" t="str">
        <f>IF(Table2[[#This Row],[Stock Gap]]&lt;0, "Understock","Okay")</f>
        <v>Okay</v>
      </c>
      <c r="O1803" s="13" t="str">
        <f>IF(Table2[[#This Row],[Stock Gap]]&lt;0, "Yes", "No")</f>
        <v>No</v>
      </c>
      <c r="P1803" s="13" t="str">
        <f>IF(Table2[[#This Row],[CurrentStock]]&lt;Table2[[#This Row],[ReorderLevel]],"Reorder", "Okay")</f>
        <v>Okay</v>
      </c>
      <c r="Q1803" s="13" t="str">
        <f>IF(Table2[[#This Row],[CurrentStock]]&gt;Table2[[#This Row],[ReorderLevel]]*3, "Overstock", "Okay")</f>
        <v>Overstock</v>
      </c>
    </row>
    <row r="1804" spans="1:17" x14ac:dyDescent="0.35">
      <c r="A1804">
        <v>87994</v>
      </c>
      <c r="B1804" t="s">
        <v>16</v>
      </c>
      <c r="C1804" t="s">
        <v>29</v>
      </c>
      <c r="D1804">
        <v>151</v>
      </c>
      <c r="E1804">
        <v>20</v>
      </c>
      <c r="F1804" s="2">
        <v>184.01</v>
      </c>
      <c r="G1804" t="s">
        <v>33</v>
      </c>
      <c r="H1804" s="1">
        <v>45437</v>
      </c>
      <c r="I1804" s="1">
        <v>45456</v>
      </c>
      <c r="J1804" t="s">
        <v>36</v>
      </c>
      <c r="K1804" s="8">
        <f>Table2[[#This Row],[CurrentStock]]*Table2[[#This Row],[UnitPrice]]</f>
        <v>27785.51</v>
      </c>
      <c r="L1804" t="str">
        <f>IF(Table2[[#This Row],[CurrentStock]]&lt;=Table2[[#This Row],[ReorderLevel]], "Reorder Needed", "Okay")</f>
        <v>Okay</v>
      </c>
      <c r="M1804" t="str">
        <f>IF(Table2[[#This Row],[CurrentStock]]-Table2[[#This Row],[ReorderLevel]]&lt;0,Table2[[#This Row],[CurrentStock]]-Table2[[#This Row],[ReorderLevel]],"")</f>
        <v/>
      </c>
      <c r="N1804" t="str">
        <f>IF(Table2[[#This Row],[Stock Gap]]&lt;0, "Understock","Okay")</f>
        <v>Okay</v>
      </c>
      <c r="O1804" s="13" t="str">
        <f>IF(Table2[[#This Row],[Stock Gap]]&lt;0, "Yes", "No")</f>
        <v>No</v>
      </c>
      <c r="P1804" s="13" t="str">
        <f>IF(Table2[[#This Row],[CurrentStock]]&lt;Table2[[#This Row],[ReorderLevel]],"Reorder", "Okay")</f>
        <v>Okay</v>
      </c>
      <c r="Q1804" s="13" t="str">
        <f>IF(Table2[[#This Row],[CurrentStock]]&gt;Table2[[#This Row],[ReorderLevel]]*3, "Overstock", "Okay")</f>
        <v>Overstock</v>
      </c>
    </row>
    <row r="1805" spans="1:17" x14ac:dyDescent="0.35">
      <c r="A1805">
        <v>44094</v>
      </c>
      <c r="B1805" t="s">
        <v>25</v>
      </c>
      <c r="C1805" t="s">
        <v>29</v>
      </c>
      <c r="D1805">
        <v>375</v>
      </c>
      <c r="E1805">
        <v>20</v>
      </c>
      <c r="F1805" s="2">
        <v>441.89</v>
      </c>
      <c r="G1805" t="s">
        <v>32</v>
      </c>
      <c r="H1805" s="1">
        <v>45519</v>
      </c>
      <c r="I1805" s="1">
        <v>45554</v>
      </c>
      <c r="J1805" t="s">
        <v>38</v>
      </c>
      <c r="K1805" s="8">
        <f>Table2[[#This Row],[CurrentStock]]*Table2[[#This Row],[UnitPrice]]</f>
        <v>165708.75</v>
      </c>
      <c r="L1805" t="str">
        <f>IF(Table2[[#This Row],[CurrentStock]]&lt;=Table2[[#This Row],[ReorderLevel]], "Reorder Needed", "Okay")</f>
        <v>Okay</v>
      </c>
      <c r="M1805" t="str">
        <f>IF(Table2[[#This Row],[CurrentStock]]-Table2[[#This Row],[ReorderLevel]]&lt;0,Table2[[#This Row],[CurrentStock]]-Table2[[#This Row],[ReorderLevel]],"")</f>
        <v/>
      </c>
      <c r="N1805" t="str">
        <f>IF(Table2[[#This Row],[Stock Gap]]&lt;0, "Understock","Okay")</f>
        <v>Okay</v>
      </c>
      <c r="O1805" s="13" t="str">
        <f>IF(Table2[[#This Row],[Stock Gap]]&lt;0, "Yes", "No")</f>
        <v>No</v>
      </c>
      <c r="P1805" s="13" t="str">
        <f>IF(Table2[[#This Row],[CurrentStock]]&lt;Table2[[#This Row],[ReorderLevel]],"Reorder", "Okay")</f>
        <v>Okay</v>
      </c>
      <c r="Q1805" s="13" t="str">
        <f>IF(Table2[[#This Row],[CurrentStock]]&gt;Table2[[#This Row],[ReorderLevel]]*3, "Overstock", "Okay")</f>
        <v>Overstock</v>
      </c>
    </row>
    <row r="1806" spans="1:17" x14ac:dyDescent="0.35">
      <c r="A1806">
        <v>42089</v>
      </c>
      <c r="B1806" t="s">
        <v>24</v>
      </c>
      <c r="C1806" t="s">
        <v>30</v>
      </c>
      <c r="D1806">
        <v>93</v>
      </c>
      <c r="E1806">
        <v>50</v>
      </c>
      <c r="F1806" s="2">
        <v>181.4</v>
      </c>
      <c r="G1806" t="s">
        <v>33</v>
      </c>
      <c r="H1806" s="1">
        <v>45541</v>
      </c>
      <c r="I1806" s="1">
        <v>45564</v>
      </c>
      <c r="J1806" t="s">
        <v>38</v>
      </c>
      <c r="K1806" s="8">
        <f>Table2[[#This Row],[CurrentStock]]*Table2[[#This Row],[UnitPrice]]</f>
        <v>16870.2</v>
      </c>
      <c r="L1806" t="str">
        <f>IF(Table2[[#This Row],[CurrentStock]]&lt;=Table2[[#This Row],[ReorderLevel]], "Reorder Needed", "Okay")</f>
        <v>Okay</v>
      </c>
      <c r="M1806" t="str">
        <f>IF(Table2[[#This Row],[CurrentStock]]-Table2[[#This Row],[ReorderLevel]]&lt;0,Table2[[#This Row],[CurrentStock]]-Table2[[#This Row],[ReorderLevel]],"")</f>
        <v/>
      </c>
      <c r="N1806" t="str">
        <f>IF(Table2[[#This Row],[Stock Gap]]&lt;0, "Understock","Okay")</f>
        <v>Okay</v>
      </c>
      <c r="O1806" s="13" t="str">
        <f>IF(Table2[[#This Row],[Stock Gap]]&lt;0, "Yes", "No")</f>
        <v>No</v>
      </c>
      <c r="P1806" s="13" t="str">
        <f>IF(Table2[[#This Row],[CurrentStock]]&lt;Table2[[#This Row],[ReorderLevel]],"Reorder", "Okay")</f>
        <v>Okay</v>
      </c>
      <c r="Q1806" s="13" t="str">
        <f>IF(Table2[[#This Row],[CurrentStock]]&gt;Table2[[#This Row],[ReorderLevel]]*3, "Overstock", "Okay")</f>
        <v>Okay</v>
      </c>
    </row>
    <row r="1807" spans="1:17" x14ac:dyDescent="0.35">
      <c r="A1807">
        <v>92864</v>
      </c>
      <c r="B1807" t="s">
        <v>15</v>
      </c>
      <c r="C1807" t="s">
        <v>29</v>
      </c>
      <c r="D1807">
        <v>397</v>
      </c>
      <c r="E1807">
        <v>40</v>
      </c>
      <c r="F1807" s="2">
        <v>54.01</v>
      </c>
      <c r="G1807" t="s">
        <v>33</v>
      </c>
      <c r="H1807" s="1">
        <v>45601</v>
      </c>
      <c r="I1807" s="1">
        <v>45611</v>
      </c>
      <c r="J1807" t="s">
        <v>38</v>
      </c>
      <c r="K1807" s="8">
        <f>Table2[[#This Row],[CurrentStock]]*Table2[[#This Row],[UnitPrice]]</f>
        <v>21441.969999999998</v>
      </c>
      <c r="L1807" t="str">
        <f>IF(Table2[[#This Row],[CurrentStock]]&lt;=Table2[[#This Row],[ReorderLevel]], "Reorder Needed", "Okay")</f>
        <v>Okay</v>
      </c>
      <c r="M1807" t="str">
        <f>IF(Table2[[#This Row],[CurrentStock]]-Table2[[#This Row],[ReorderLevel]]&lt;0,Table2[[#This Row],[CurrentStock]]-Table2[[#This Row],[ReorderLevel]],"")</f>
        <v/>
      </c>
      <c r="N1807" t="str">
        <f>IF(Table2[[#This Row],[Stock Gap]]&lt;0, "Understock","Okay")</f>
        <v>Okay</v>
      </c>
      <c r="O1807" s="13" t="str">
        <f>IF(Table2[[#This Row],[Stock Gap]]&lt;0, "Yes", "No")</f>
        <v>No</v>
      </c>
      <c r="P1807" s="13" t="str">
        <f>IF(Table2[[#This Row],[CurrentStock]]&lt;Table2[[#This Row],[ReorderLevel]],"Reorder", "Okay")</f>
        <v>Okay</v>
      </c>
      <c r="Q1807" s="13" t="str">
        <f>IF(Table2[[#This Row],[CurrentStock]]&gt;Table2[[#This Row],[ReorderLevel]]*3, "Overstock", "Okay")</f>
        <v>Overstock</v>
      </c>
    </row>
    <row r="1808" spans="1:17" x14ac:dyDescent="0.35">
      <c r="A1808">
        <v>17084</v>
      </c>
      <c r="B1808" t="s">
        <v>9</v>
      </c>
      <c r="C1808" t="s">
        <v>26</v>
      </c>
      <c r="D1808">
        <v>90</v>
      </c>
      <c r="E1808">
        <v>50</v>
      </c>
      <c r="F1808" s="2">
        <v>405.85</v>
      </c>
      <c r="G1808" t="s">
        <v>35</v>
      </c>
      <c r="H1808" s="1">
        <v>45480</v>
      </c>
      <c r="I1808" s="1">
        <v>45486</v>
      </c>
      <c r="J1808" t="s">
        <v>37</v>
      </c>
      <c r="K1808" s="8">
        <f>Table2[[#This Row],[CurrentStock]]*Table2[[#This Row],[UnitPrice]]</f>
        <v>36526.5</v>
      </c>
      <c r="L1808" t="str">
        <f>IF(Table2[[#This Row],[CurrentStock]]&lt;=Table2[[#This Row],[ReorderLevel]], "Reorder Needed", "Okay")</f>
        <v>Okay</v>
      </c>
      <c r="M1808" t="str">
        <f>IF(Table2[[#This Row],[CurrentStock]]-Table2[[#This Row],[ReorderLevel]]&lt;0,Table2[[#This Row],[CurrentStock]]-Table2[[#This Row],[ReorderLevel]],"")</f>
        <v/>
      </c>
      <c r="N1808" t="str">
        <f>IF(Table2[[#This Row],[Stock Gap]]&lt;0, "Understock","Okay")</f>
        <v>Okay</v>
      </c>
      <c r="O1808" s="13" t="str">
        <f>IF(Table2[[#This Row],[Stock Gap]]&lt;0, "Yes", "No")</f>
        <v>No</v>
      </c>
      <c r="P1808" s="13" t="str">
        <f>IF(Table2[[#This Row],[CurrentStock]]&lt;Table2[[#This Row],[ReorderLevel]],"Reorder", "Okay")</f>
        <v>Okay</v>
      </c>
      <c r="Q1808" s="13" t="str">
        <f>IF(Table2[[#This Row],[CurrentStock]]&gt;Table2[[#This Row],[ReorderLevel]]*3, "Overstock", "Okay")</f>
        <v>Okay</v>
      </c>
    </row>
    <row r="1809" spans="1:17" x14ac:dyDescent="0.35">
      <c r="A1809">
        <v>46668</v>
      </c>
      <c r="B1809" t="s">
        <v>16</v>
      </c>
      <c r="C1809" t="s">
        <v>29</v>
      </c>
      <c r="D1809">
        <v>369</v>
      </c>
      <c r="E1809">
        <v>30</v>
      </c>
      <c r="F1809" s="2">
        <v>412.98</v>
      </c>
      <c r="G1809" t="s">
        <v>32</v>
      </c>
      <c r="H1809" s="1">
        <v>45498</v>
      </c>
      <c r="I1809" s="1">
        <v>45534</v>
      </c>
      <c r="J1809" t="s">
        <v>36</v>
      </c>
      <c r="K1809" s="8">
        <f>Table2[[#This Row],[CurrentStock]]*Table2[[#This Row],[UnitPrice]]</f>
        <v>152389.62</v>
      </c>
      <c r="L1809" t="str">
        <f>IF(Table2[[#This Row],[CurrentStock]]&lt;=Table2[[#This Row],[ReorderLevel]], "Reorder Needed", "Okay")</f>
        <v>Okay</v>
      </c>
      <c r="M1809" t="str">
        <f>IF(Table2[[#This Row],[CurrentStock]]-Table2[[#This Row],[ReorderLevel]]&lt;0,Table2[[#This Row],[CurrentStock]]-Table2[[#This Row],[ReorderLevel]],"")</f>
        <v/>
      </c>
      <c r="N1809" t="str">
        <f>IF(Table2[[#This Row],[Stock Gap]]&lt;0, "Understock","Okay")</f>
        <v>Okay</v>
      </c>
      <c r="O1809" s="13" t="str">
        <f>IF(Table2[[#This Row],[Stock Gap]]&lt;0, "Yes", "No")</f>
        <v>No</v>
      </c>
      <c r="P1809" s="13" t="str">
        <f>IF(Table2[[#This Row],[CurrentStock]]&lt;Table2[[#This Row],[ReorderLevel]],"Reorder", "Okay")</f>
        <v>Okay</v>
      </c>
      <c r="Q1809" s="13" t="str">
        <f>IF(Table2[[#This Row],[CurrentStock]]&gt;Table2[[#This Row],[ReorderLevel]]*3, "Overstock", "Okay")</f>
        <v>Overstock</v>
      </c>
    </row>
    <row r="1810" spans="1:17" x14ac:dyDescent="0.35">
      <c r="A1810">
        <v>14601</v>
      </c>
      <c r="B1810" t="s">
        <v>12</v>
      </c>
      <c r="C1810" t="s">
        <v>28</v>
      </c>
      <c r="D1810">
        <v>198</v>
      </c>
      <c r="E1810">
        <v>80</v>
      </c>
      <c r="F1810" s="2">
        <v>90.95</v>
      </c>
      <c r="G1810" t="s">
        <v>31</v>
      </c>
      <c r="H1810" s="1">
        <v>45612</v>
      </c>
      <c r="I1810" s="1">
        <v>45630</v>
      </c>
      <c r="J1810" t="s">
        <v>38</v>
      </c>
      <c r="K1810" s="8">
        <f>Table2[[#This Row],[CurrentStock]]*Table2[[#This Row],[UnitPrice]]</f>
        <v>18008.100000000002</v>
      </c>
      <c r="L1810" t="str">
        <f>IF(Table2[[#This Row],[CurrentStock]]&lt;=Table2[[#This Row],[ReorderLevel]], "Reorder Needed", "Okay")</f>
        <v>Okay</v>
      </c>
      <c r="M1810" t="str">
        <f>IF(Table2[[#This Row],[CurrentStock]]-Table2[[#This Row],[ReorderLevel]]&lt;0,Table2[[#This Row],[CurrentStock]]-Table2[[#This Row],[ReorderLevel]],"")</f>
        <v/>
      </c>
      <c r="N1810" t="str">
        <f>IF(Table2[[#This Row],[Stock Gap]]&lt;0, "Understock","Okay")</f>
        <v>Okay</v>
      </c>
      <c r="O1810" s="13" t="str">
        <f>IF(Table2[[#This Row],[Stock Gap]]&lt;0, "Yes", "No")</f>
        <v>No</v>
      </c>
      <c r="P1810" s="13" t="str">
        <f>IF(Table2[[#This Row],[CurrentStock]]&lt;Table2[[#This Row],[ReorderLevel]],"Reorder", "Okay")</f>
        <v>Okay</v>
      </c>
      <c r="Q1810" s="13" t="str">
        <f>IF(Table2[[#This Row],[CurrentStock]]&gt;Table2[[#This Row],[ReorderLevel]]*3, "Overstock", "Okay")</f>
        <v>Okay</v>
      </c>
    </row>
    <row r="1811" spans="1:17" x14ac:dyDescent="0.35">
      <c r="A1811">
        <v>50854</v>
      </c>
      <c r="B1811" t="s">
        <v>11</v>
      </c>
      <c r="C1811" t="s">
        <v>27</v>
      </c>
      <c r="D1811">
        <v>268</v>
      </c>
      <c r="E1811">
        <v>50</v>
      </c>
      <c r="F1811" s="2">
        <v>168.8</v>
      </c>
      <c r="G1811" t="s">
        <v>31</v>
      </c>
      <c r="H1811" s="1">
        <v>45391</v>
      </c>
      <c r="I1811" s="1">
        <v>45405</v>
      </c>
      <c r="J1811" t="s">
        <v>37</v>
      </c>
      <c r="K1811" s="8">
        <f>Table2[[#This Row],[CurrentStock]]*Table2[[#This Row],[UnitPrice]]</f>
        <v>45238.400000000001</v>
      </c>
      <c r="L1811" t="str">
        <f>IF(Table2[[#This Row],[CurrentStock]]&lt;=Table2[[#This Row],[ReorderLevel]], "Reorder Needed", "Okay")</f>
        <v>Okay</v>
      </c>
      <c r="M1811" t="str">
        <f>IF(Table2[[#This Row],[CurrentStock]]-Table2[[#This Row],[ReorderLevel]]&lt;0,Table2[[#This Row],[CurrentStock]]-Table2[[#This Row],[ReorderLevel]],"")</f>
        <v/>
      </c>
      <c r="N1811" t="str">
        <f>IF(Table2[[#This Row],[Stock Gap]]&lt;0, "Understock","Okay")</f>
        <v>Okay</v>
      </c>
      <c r="O1811" s="13" t="str">
        <f>IF(Table2[[#This Row],[Stock Gap]]&lt;0, "Yes", "No")</f>
        <v>No</v>
      </c>
      <c r="P1811" s="13" t="str">
        <f>IF(Table2[[#This Row],[CurrentStock]]&lt;Table2[[#This Row],[ReorderLevel]],"Reorder", "Okay")</f>
        <v>Okay</v>
      </c>
      <c r="Q1811" s="13" t="str">
        <f>IF(Table2[[#This Row],[CurrentStock]]&gt;Table2[[#This Row],[ReorderLevel]]*3, "Overstock", "Okay")</f>
        <v>Overstock</v>
      </c>
    </row>
    <row r="1812" spans="1:17" x14ac:dyDescent="0.35">
      <c r="A1812">
        <v>97191</v>
      </c>
      <c r="B1812" t="s">
        <v>24</v>
      </c>
      <c r="C1812" t="s">
        <v>30</v>
      </c>
      <c r="D1812">
        <v>65</v>
      </c>
      <c r="E1812">
        <v>150</v>
      </c>
      <c r="F1812" s="2">
        <v>278.14999999999998</v>
      </c>
      <c r="G1812" t="s">
        <v>33</v>
      </c>
      <c r="H1812" s="1">
        <v>45628</v>
      </c>
      <c r="I1812" s="1">
        <v>45650</v>
      </c>
      <c r="J1812" t="s">
        <v>37</v>
      </c>
      <c r="K1812" s="8">
        <f>Table2[[#This Row],[CurrentStock]]*Table2[[#This Row],[UnitPrice]]</f>
        <v>18079.75</v>
      </c>
      <c r="L1812" t="str">
        <f>IF(Table2[[#This Row],[CurrentStock]]&lt;=Table2[[#This Row],[ReorderLevel]], "Reorder Needed", "Okay")</f>
        <v>Reorder Needed</v>
      </c>
      <c r="M1812" s="7">
        <f>IF(Table2[[#This Row],[CurrentStock]]-Table2[[#This Row],[ReorderLevel]]&lt;0,Table2[[#This Row],[CurrentStock]]-Table2[[#This Row],[ReorderLevel]],"")</f>
        <v>-85</v>
      </c>
      <c r="N1812" t="str">
        <f>IF(Table2[[#This Row],[Stock Gap]]&lt;0, "Understock","Okay")</f>
        <v>Understock</v>
      </c>
      <c r="O1812" s="13" t="str">
        <f>IF(Table2[[#This Row],[Stock Gap]]&lt;0, "Yes", "No")</f>
        <v>Yes</v>
      </c>
      <c r="P1812" s="13" t="str">
        <f>IF(Table2[[#This Row],[CurrentStock]]&lt;Table2[[#This Row],[ReorderLevel]],"Reorder", "Okay")</f>
        <v>Reorder</v>
      </c>
      <c r="Q1812" s="13" t="str">
        <f>IF(Table2[[#This Row],[CurrentStock]]&gt;Table2[[#This Row],[ReorderLevel]]*3, "Overstock", "Okay")</f>
        <v>Okay</v>
      </c>
    </row>
    <row r="1813" spans="1:17" x14ac:dyDescent="0.35">
      <c r="A1813">
        <v>41300</v>
      </c>
      <c r="B1813" t="s">
        <v>22</v>
      </c>
      <c r="C1813" t="s">
        <v>29</v>
      </c>
      <c r="D1813">
        <v>63</v>
      </c>
      <c r="E1813">
        <v>30</v>
      </c>
      <c r="F1813" s="2">
        <v>289.08999999999997</v>
      </c>
      <c r="G1813" t="s">
        <v>34</v>
      </c>
      <c r="H1813" s="1">
        <v>45453</v>
      </c>
      <c r="I1813" s="1">
        <v>45459</v>
      </c>
      <c r="J1813" t="s">
        <v>38</v>
      </c>
      <c r="K1813" s="8">
        <f>Table2[[#This Row],[CurrentStock]]*Table2[[#This Row],[UnitPrice]]</f>
        <v>18212.669999999998</v>
      </c>
      <c r="L1813" t="str">
        <f>IF(Table2[[#This Row],[CurrentStock]]&lt;=Table2[[#This Row],[ReorderLevel]], "Reorder Needed", "Okay")</f>
        <v>Okay</v>
      </c>
      <c r="M1813" t="str">
        <f>IF(Table2[[#This Row],[CurrentStock]]-Table2[[#This Row],[ReorderLevel]]&lt;0,Table2[[#This Row],[CurrentStock]]-Table2[[#This Row],[ReorderLevel]],"")</f>
        <v/>
      </c>
      <c r="N1813" t="str">
        <f>IF(Table2[[#This Row],[Stock Gap]]&lt;0, "Understock","Okay")</f>
        <v>Okay</v>
      </c>
      <c r="O1813" s="13" t="str">
        <f>IF(Table2[[#This Row],[Stock Gap]]&lt;0, "Yes", "No")</f>
        <v>No</v>
      </c>
      <c r="P1813" s="13" t="str">
        <f>IF(Table2[[#This Row],[CurrentStock]]&lt;Table2[[#This Row],[ReorderLevel]],"Reorder", "Okay")</f>
        <v>Okay</v>
      </c>
      <c r="Q1813" s="13" t="str">
        <f>IF(Table2[[#This Row],[CurrentStock]]&gt;Table2[[#This Row],[ReorderLevel]]*3, "Overstock", "Okay")</f>
        <v>Okay</v>
      </c>
    </row>
    <row r="1814" spans="1:17" x14ac:dyDescent="0.35">
      <c r="A1814">
        <v>66422</v>
      </c>
      <c r="B1814" t="s">
        <v>13</v>
      </c>
      <c r="C1814" t="s">
        <v>26</v>
      </c>
      <c r="D1814">
        <v>470</v>
      </c>
      <c r="E1814">
        <v>80</v>
      </c>
      <c r="F1814" s="2">
        <v>405.26</v>
      </c>
      <c r="G1814" t="s">
        <v>35</v>
      </c>
      <c r="H1814" s="1">
        <v>45398</v>
      </c>
      <c r="I1814" s="1">
        <v>45410</v>
      </c>
      <c r="J1814" t="s">
        <v>36</v>
      </c>
      <c r="K1814" s="8">
        <f>Table2[[#This Row],[CurrentStock]]*Table2[[#This Row],[UnitPrice]]</f>
        <v>190472.19999999998</v>
      </c>
      <c r="L1814" t="str">
        <f>IF(Table2[[#This Row],[CurrentStock]]&lt;=Table2[[#This Row],[ReorderLevel]], "Reorder Needed", "Okay")</f>
        <v>Okay</v>
      </c>
      <c r="M1814" t="str">
        <f>IF(Table2[[#This Row],[CurrentStock]]-Table2[[#This Row],[ReorderLevel]]&lt;0,Table2[[#This Row],[CurrentStock]]-Table2[[#This Row],[ReorderLevel]],"")</f>
        <v/>
      </c>
      <c r="N1814" t="str">
        <f>IF(Table2[[#This Row],[Stock Gap]]&lt;0, "Understock","Okay")</f>
        <v>Okay</v>
      </c>
      <c r="O1814" s="13" t="str">
        <f>IF(Table2[[#This Row],[Stock Gap]]&lt;0, "Yes", "No")</f>
        <v>No</v>
      </c>
      <c r="P1814" s="13" t="str">
        <f>IF(Table2[[#This Row],[CurrentStock]]&lt;Table2[[#This Row],[ReorderLevel]],"Reorder", "Okay")</f>
        <v>Okay</v>
      </c>
      <c r="Q1814" s="13" t="str">
        <f>IF(Table2[[#This Row],[CurrentStock]]&gt;Table2[[#This Row],[ReorderLevel]]*3, "Overstock", "Okay")</f>
        <v>Overstock</v>
      </c>
    </row>
    <row r="1815" spans="1:17" x14ac:dyDescent="0.35">
      <c r="A1815">
        <v>67135</v>
      </c>
      <c r="B1815" t="s">
        <v>12</v>
      </c>
      <c r="C1815" t="s">
        <v>28</v>
      </c>
      <c r="D1815">
        <v>435</v>
      </c>
      <c r="E1815">
        <v>100</v>
      </c>
      <c r="F1815" s="2">
        <v>257.7</v>
      </c>
      <c r="G1815" t="s">
        <v>34</v>
      </c>
      <c r="H1815" s="1">
        <v>45541</v>
      </c>
      <c r="I1815" s="1">
        <v>45568</v>
      </c>
      <c r="J1815" t="s">
        <v>37</v>
      </c>
      <c r="K1815" s="8">
        <f>Table2[[#This Row],[CurrentStock]]*Table2[[#This Row],[UnitPrice]]</f>
        <v>112099.5</v>
      </c>
      <c r="L1815" t="str">
        <f>IF(Table2[[#This Row],[CurrentStock]]&lt;=Table2[[#This Row],[ReorderLevel]], "Reorder Needed", "Okay")</f>
        <v>Okay</v>
      </c>
      <c r="M1815" t="str">
        <f>IF(Table2[[#This Row],[CurrentStock]]-Table2[[#This Row],[ReorderLevel]]&lt;0,Table2[[#This Row],[CurrentStock]]-Table2[[#This Row],[ReorderLevel]],"")</f>
        <v/>
      </c>
      <c r="N1815" t="str">
        <f>IF(Table2[[#This Row],[Stock Gap]]&lt;0, "Understock","Okay")</f>
        <v>Okay</v>
      </c>
      <c r="O1815" s="13" t="str">
        <f>IF(Table2[[#This Row],[Stock Gap]]&lt;0, "Yes", "No")</f>
        <v>No</v>
      </c>
      <c r="P1815" s="13" t="str">
        <f>IF(Table2[[#This Row],[CurrentStock]]&lt;Table2[[#This Row],[ReorderLevel]],"Reorder", "Okay")</f>
        <v>Okay</v>
      </c>
      <c r="Q1815" s="13" t="str">
        <f>IF(Table2[[#This Row],[CurrentStock]]&gt;Table2[[#This Row],[ReorderLevel]]*3, "Overstock", "Okay")</f>
        <v>Overstock</v>
      </c>
    </row>
    <row r="1816" spans="1:17" x14ac:dyDescent="0.35">
      <c r="A1816">
        <v>40085</v>
      </c>
      <c r="B1816" t="s">
        <v>19</v>
      </c>
      <c r="C1816" t="s">
        <v>28</v>
      </c>
      <c r="D1816">
        <v>16</v>
      </c>
      <c r="E1816">
        <v>150</v>
      </c>
      <c r="F1816" s="2">
        <v>46.04</v>
      </c>
      <c r="G1816" t="s">
        <v>33</v>
      </c>
      <c r="H1816" s="1">
        <v>45601</v>
      </c>
      <c r="I1816" s="1">
        <v>45632</v>
      </c>
      <c r="J1816" t="s">
        <v>37</v>
      </c>
      <c r="K1816" s="8">
        <f>Table2[[#This Row],[CurrentStock]]*Table2[[#This Row],[UnitPrice]]</f>
        <v>736.64</v>
      </c>
      <c r="L1816" t="str">
        <f>IF(Table2[[#This Row],[CurrentStock]]&lt;=Table2[[#This Row],[ReorderLevel]], "Reorder Needed", "Okay")</f>
        <v>Reorder Needed</v>
      </c>
      <c r="M1816" s="7">
        <f>IF(Table2[[#This Row],[CurrentStock]]-Table2[[#This Row],[ReorderLevel]]&lt;0,Table2[[#This Row],[CurrentStock]]-Table2[[#This Row],[ReorderLevel]],"")</f>
        <v>-134</v>
      </c>
      <c r="N1816" t="str">
        <f>IF(Table2[[#This Row],[Stock Gap]]&lt;0, "Understock","Okay")</f>
        <v>Understock</v>
      </c>
      <c r="O1816" s="13" t="str">
        <f>IF(Table2[[#This Row],[Stock Gap]]&lt;0, "Yes", "No")</f>
        <v>Yes</v>
      </c>
      <c r="P1816" s="13" t="str">
        <f>IF(Table2[[#This Row],[CurrentStock]]&lt;Table2[[#This Row],[ReorderLevel]],"Reorder", "Okay")</f>
        <v>Reorder</v>
      </c>
      <c r="Q1816" s="13" t="str">
        <f>IF(Table2[[#This Row],[CurrentStock]]&gt;Table2[[#This Row],[ReorderLevel]]*3, "Overstock", "Okay")</f>
        <v>Okay</v>
      </c>
    </row>
    <row r="1817" spans="1:17" x14ac:dyDescent="0.35">
      <c r="A1817">
        <v>26057</v>
      </c>
      <c r="B1817" t="s">
        <v>9</v>
      </c>
      <c r="C1817" t="s">
        <v>26</v>
      </c>
      <c r="D1817">
        <v>111</v>
      </c>
      <c r="E1817">
        <v>100</v>
      </c>
      <c r="F1817" s="2">
        <v>298.58999999999997</v>
      </c>
      <c r="G1817" t="s">
        <v>32</v>
      </c>
      <c r="H1817" s="1">
        <v>45298</v>
      </c>
      <c r="I1817" s="1">
        <v>45328</v>
      </c>
      <c r="J1817" t="s">
        <v>38</v>
      </c>
      <c r="K1817" s="8">
        <f>Table2[[#This Row],[CurrentStock]]*Table2[[#This Row],[UnitPrice]]</f>
        <v>33143.49</v>
      </c>
      <c r="L1817" t="str">
        <f>IF(Table2[[#This Row],[CurrentStock]]&lt;=Table2[[#This Row],[ReorderLevel]], "Reorder Needed", "Okay")</f>
        <v>Okay</v>
      </c>
      <c r="M1817" t="str">
        <f>IF(Table2[[#This Row],[CurrentStock]]-Table2[[#This Row],[ReorderLevel]]&lt;0,Table2[[#This Row],[CurrentStock]]-Table2[[#This Row],[ReorderLevel]],"")</f>
        <v/>
      </c>
      <c r="N1817" t="str">
        <f>IF(Table2[[#This Row],[Stock Gap]]&lt;0, "Understock","Okay")</f>
        <v>Okay</v>
      </c>
      <c r="O1817" s="13" t="str">
        <f>IF(Table2[[#This Row],[Stock Gap]]&lt;0, "Yes", "No")</f>
        <v>No</v>
      </c>
      <c r="P1817" s="13" t="str">
        <f>IF(Table2[[#This Row],[CurrentStock]]&lt;Table2[[#This Row],[ReorderLevel]],"Reorder", "Okay")</f>
        <v>Okay</v>
      </c>
      <c r="Q1817" s="13" t="str">
        <f>IF(Table2[[#This Row],[CurrentStock]]&gt;Table2[[#This Row],[ReorderLevel]]*3, "Overstock", "Okay")</f>
        <v>Okay</v>
      </c>
    </row>
    <row r="1818" spans="1:17" x14ac:dyDescent="0.35">
      <c r="A1818">
        <v>43149</v>
      </c>
      <c r="B1818" t="s">
        <v>22</v>
      </c>
      <c r="C1818" t="s">
        <v>29</v>
      </c>
      <c r="D1818">
        <v>477</v>
      </c>
      <c r="E1818">
        <v>150</v>
      </c>
      <c r="F1818" s="2">
        <v>219.95</v>
      </c>
      <c r="G1818" t="s">
        <v>35</v>
      </c>
      <c r="H1818" s="1">
        <v>45406</v>
      </c>
      <c r="I1818" s="1">
        <v>45434</v>
      </c>
      <c r="J1818" t="s">
        <v>38</v>
      </c>
      <c r="K1818" s="8">
        <f>Table2[[#This Row],[CurrentStock]]*Table2[[#This Row],[UnitPrice]]</f>
        <v>104916.15</v>
      </c>
      <c r="L1818" t="str">
        <f>IF(Table2[[#This Row],[CurrentStock]]&lt;=Table2[[#This Row],[ReorderLevel]], "Reorder Needed", "Okay")</f>
        <v>Okay</v>
      </c>
      <c r="M1818" t="str">
        <f>IF(Table2[[#This Row],[CurrentStock]]-Table2[[#This Row],[ReorderLevel]]&lt;0,Table2[[#This Row],[CurrentStock]]-Table2[[#This Row],[ReorderLevel]],"")</f>
        <v/>
      </c>
      <c r="N1818" t="str">
        <f>IF(Table2[[#This Row],[Stock Gap]]&lt;0, "Understock","Okay")</f>
        <v>Okay</v>
      </c>
      <c r="O1818" s="13" t="str">
        <f>IF(Table2[[#This Row],[Stock Gap]]&lt;0, "Yes", "No")</f>
        <v>No</v>
      </c>
      <c r="P1818" s="13" t="str">
        <f>IF(Table2[[#This Row],[CurrentStock]]&lt;Table2[[#This Row],[ReorderLevel]],"Reorder", "Okay")</f>
        <v>Okay</v>
      </c>
      <c r="Q1818" s="13" t="str">
        <f>IF(Table2[[#This Row],[CurrentStock]]&gt;Table2[[#This Row],[ReorderLevel]]*3, "Overstock", "Okay")</f>
        <v>Overstock</v>
      </c>
    </row>
    <row r="1819" spans="1:17" x14ac:dyDescent="0.35">
      <c r="A1819">
        <v>66869</v>
      </c>
      <c r="B1819" t="s">
        <v>15</v>
      </c>
      <c r="C1819" t="s">
        <v>29</v>
      </c>
      <c r="D1819">
        <v>274</v>
      </c>
      <c r="E1819">
        <v>150</v>
      </c>
      <c r="F1819" s="2">
        <v>152.16</v>
      </c>
      <c r="G1819" t="s">
        <v>34</v>
      </c>
      <c r="H1819" s="1">
        <v>45335</v>
      </c>
      <c r="I1819" s="1">
        <v>45353</v>
      </c>
      <c r="J1819" t="s">
        <v>36</v>
      </c>
      <c r="K1819" s="8">
        <f>Table2[[#This Row],[CurrentStock]]*Table2[[#This Row],[UnitPrice]]</f>
        <v>41691.839999999997</v>
      </c>
      <c r="L1819" t="str">
        <f>IF(Table2[[#This Row],[CurrentStock]]&lt;=Table2[[#This Row],[ReorderLevel]], "Reorder Needed", "Okay")</f>
        <v>Okay</v>
      </c>
      <c r="M1819" t="str">
        <f>IF(Table2[[#This Row],[CurrentStock]]-Table2[[#This Row],[ReorderLevel]]&lt;0,Table2[[#This Row],[CurrentStock]]-Table2[[#This Row],[ReorderLevel]],"")</f>
        <v/>
      </c>
      <c r="N1819" t="str">
        <f>IF(Table2[[#This Row],[Stock Gap]]&lt;0, "Understock","Okay")</f>
        <v>Okay</v>
      </c>
      <c r="O1819" s="13" t="str">
        <f>IF(Table2[[#This Row],[Stock Gap]]&lt;0, "Yes", "No")</f>
        <v>No</v>
      </c>
      <c r="P1819" s="13" t="str">
        <f>IF(Table2[[#This Row],[CurrentStock]]&lt;Table2[[#This Row],[ReorderLevel]],"Reorder", "Okay")</f>
        <v>Okay</v>
      </c>
      <c r="Q1819" s="13" t="str">
        <f>IF(Table2[[#This Row],[CurrentStock]]&gt;Table2[[#This Row],[ReorderLevel]]*3, "Overstock", "Okay")</f>
        <v>Okay</v>
      </c>
    </row>
    <row r="1820" spans="1:17" x14ac:dyDescent="0.35">
      <c r="A1820">
        <v>65333</v>
      </c>
      <c r="B1820" t="s">
        <v>23</v>
      </c>
      <c r="C1820" t="s">
        <v>30</v>
      </c>
      <c r="D1820">
        <v>380</v>
      </c>
      <c r="E1820">
        <v>80</v>
      </c>
      <c r="F1820" s="2">
        <v>425.32</v>
      </c>
      <c r="G1820" t="s">
        <v>31</v>
      </c>
      <c r="H1820" s="1">
        <v>45377</v>
      </c>
      <c r="I1820" s="1">
        <v>45384</v>
      </c>
      <c r="J1820" t="s">
        <v>37</v>
      </c>
      <c r="K1820" s="8">
        <f>Table2[[#This Row],[CurrentStock]]*Table2[[#This Row],[UnitPrice]]</f>
        <v>161621.6</v>
      </c>
      <c r="L1820" t="str">
        <f>IF(Table2[[#This Row],[CurrentStock]]&lt;=Table2[[#This Row],[ReorderLevel]], "Reorder Needed", "Okay")</f>
        <v>Okay</v>
      </c>
      <c r="M1820" t="str">
        <f>IF(Table2[[#This Row],[CurrentStock]]-Table2[[#This Row],[ReorderLevel]]&lt;0,Table2[[#This Row],[CurrentStock]]-Table2[[#This Row],[ReorderLevel]],"")</f>
        <v/>
      </c>
      <c r="N1820" t="str">
        <f>IF(Table2[[#This Row],[Stock Gap]]&lt;0, "Understock","Okay")</f>
        <v>Okay</v>
      </c>
      <c r="O1820" s="13" t="str">
        <f>IF(Table2[[#This Row],[Stock Gap]]&lt;0, "Yes", "No")</f>
        <v>No</v>
      </c>
      <c r="P1820" s="13" t="str">
        <f>IF(Table2[[#This Row],[CurrentStock]]&lt;Table2[[#This Row],[ReorderLevel]],"Reorder", "Okay")</f>
        <v>Okay</v>
      </c>
      <c r="Q1820" s="13" t="str">
        <f>IF(Table2[[#This Row],[CurrentStock]]&gt;Table2[[#This Row],[ReorderLevel]]*3, "Overstock", "Okay")</f>
        <v>Overstock</v>
      </c>
    </row>
    <row r="1821" spans="1:17" x14ac:dyDescent="0.35">
      <c r="A1821">
        <v>10792</v>
      </c>
      <c r="B1821" t="s">
        <v>11</v>
      </c>
      <c r="C1821" t="s">
        <v>27</v>
      </c>
      <c r="D1821">
        <v>447</v>
      </c>
      <c r="E1821">
        <v>150</v>
      </c>
      <c r="F1821" s="2">
        <v>286.57</v>
      </c>
      <c r="G1821" t="s">
        <v>33</v>
      </c>
      <c r="H1821" s="1">
        <v>45617</v>
      </c>
      <c r="I1821" s="1">
        <v>45622</v>
      </c>
      <c r="J1821" t="s">
        <v>37</v>
      </c>
      <c r="K1821" s="8">
        <f>Table2[[#This Row],[CurrentStock]]*Table2[[#This Row],[UnitPrice]]</f>
        <v>128096.79</v>
      </c>
      <c r="L1821" t="str">
        <f>IF(Table2[[#This Row],[CurrentStock]]&lt;=Table2[[#This Row],[ReorderLevel]], "Reorder Needed", "Okay")</f>
        <v>Okay</v>
      </c>
      <c r="M1821" t="str">
        <f>IF(Table2[[#This Row],[CurrentStock]]-Table2[[#This Row],[ReorderLevel]]&lt;0,Table2[[#This Row],[CurrentStock]]-Table2[[#This Row],[ReorderLevel]],"")</f>
        <v/>
      </c>
      <c r="N1821" t="str">
        <f>IF(Table2[[#This Row],[Stock Gap]]&lt;0, "Understock","Okay")</f>
        <v>Okay</v>
      </c>
      <c r="O1821" s="13" t="str">
        <f>IF(Table2[[#This Row],[Stock Gap]]&lt;0, "Yes", "No")</f>
        <v>No</v>
      </c>
      <c r="P1821" s="13" t="str">
        <f>IF(Table2[[#This Row],[CurrentStock]]&lt;Table2[[#This Row],[ReorderLevel]],"Reorder", "Okay")</f>
        <v>Okay</v>
      </c>
      <c r="Q1821" s="13" t="str">
        <f>IF(Table2[[#This Row],[CurrentStock]]&gt;Table2[[#This Row],[ReorderLevel]]*3, "Overstock", "Okay")</f>
        <v>Okay</v>
      </c>
    </row>
    <row r="1822" spans="1:17" x14ac:dyDescent="0.35">
      <c r="A1822">
        <v>54870</v>
      </c>
      <c r="B1822" t="s">
        <v>23</v>
      </c>
      <c r="C1822" t="s">
        <v>30</v>
      </c>
      <c r="D1822">
        <v>130</v>
      </c>
      <c r="E1822">
        <v>40</v>
      </c>
      <c r="F1822" s="2">
        <v>97.02</v>
      </c>
      <c r="G1822" t="s">
        <v>32</v>
      </c>
      <c r="H1822" s="1">
        <v>45404</v>
      </c>
      <c r="I1822" s="1">
        <v>45409</v>
      </c>
      <c r="J1822" t="s">
        <v>37</v>
      </c>
      <c r="K1822" s="8">
        <f>Table2[[#This Row],[CurrentStock]]*Table2[[#This Row],[UnitPrice]]</f>
        <v>12612.6</v>
      </c>
      <c r="L1822" t="str">
        <f>IF(Table2[[#This Row],[CurrentStock]]&lt;=Table2[[#This Row],[ReorderLevel]], "Reorder Needed", "Okay")</f>
        <v>Okay</v>
      </c>
      <c r="M1822" t="str">
        <f>IF(Table2[[#This Row],[CurrentStock]]-Table2[[#This Row],[ReorderLevel]]&lt;0,Table2[[#This Row],[CurrentStock]]-Table2[[#This Row],[ReorderLevel]],"")</f>
        <v/>
      </c>
      <c r="N1822" t="str">
        <f>IF(Table2[[#This Row],[Stock Gap]]&lt;0, "Understock","Okay")</f>
        <v>Okay</v>
      </c>
      <c r="O1822" s="13" t="str">
        <f>IF(Table2[[#This Row],[Stock Gap]]&lt;0, "Yes", "No")</f>
        <v>No</v>
      </c>
      <c r="P1822" s="13" t="str">
        <f>IF(Table2[[#This Row],[CurrentStock]]&lt;Table2[[#This Row],[ReorderLevel]],"Reorder", "Okay")</f>
        <v>Okay</v>
      </c>
      <c r="Q1822" s="13" t="str">
        <f>IF(Table2[[#This Row],[CurrentStock]]&gt;Table2[[#This Row],[ReorderLevel]]*3, "Overstock", "Okay")</f>
        <v>Overstock</v>
      </c>
    </row>
    <row r="1823" spans="1:17" x14ac:dyDescent="0.35">
      <c r="A1823">
        <v>24937</v>
      </c>
      <c r="B1823" t="s">
        <v>14</v>
      </c>
      <c r="C1823" t="s">
        <v>28</v>
      </c>
      <c r="D1823">
        <v>157</v>
      </c>
      <c r="E1823">
        <v>40</v>
      </c>
      <c r="F1823" s="2">
        <v>78.41</v>
      </c>
      <c r="G1823" t="s">
        <v>31</v>
      </c>
      <c r="H1823" s="1">
        <v>45560</v>
      </c>
      <c r="I1823" s="1">
        <v>45584</v>
      </c>
      <c r="J1823" t="s">
        <v>36</v>
      </c>
      <c r="K1823" s="8">
        <f>Table2[[#This Row],[CurrentStock]]*Table2[[#This Row],[UnitPrice]]</f>
        <v>12310.369999999999</v>
      </c>
      <c r="L1823" t="str">
        <f>IF(Table2[[#This Row],[CurrentStock]]&lt;=Table2[[#This Row],[ReorderLevel]], "Reorder Needed", "Okay")</f>
        <v>Okay</v>
      </c>
      <c r="M1823" t="str">
        <f>IF(Table2[[#This Row],[CurrentStock]]-Table2[[#This Row],[ReorderLevel]]&lt;0,Table2[[#This Row],[CurrentStock]]-Table2[[#This Row],[ReorderLevel]],"")</f>
        <v/>
      </c>
      <c r="N1823" t="str">
        <f>IF(Table2[[#This Row],[Stock Gap]]&lt;0, "Understock","Okay")</f>
        <v>Okay</v>
      </c>
      <c r="O1823" s="13" t="str">
        <f>IF(Table2[[#This Row],[Stock Gap]]&lt;0, "Yes", "No")</f>
        <v>No</v>
      </c>
      <c r="P1823" s="13" t="str">
        <f>IF(Table2[[#This Row],[CurrentStock]]&lt;Table2[[#This Row],[ReorderLevel]],"Reorder", "Okay")</f>
        <v>Okay</v>
      </c>
      <c r="Q1823" s="13" t="str">
        <f>IF(Table2[[#This Row],[CurrentStock]]&gt;Table2[[#This Row],[ReorderLevel]]*3, "Overstock", "Okay")</f>
        <v>Overstock</v>
      </c>
    </row>
    <row r="1824" spans="1:17" x14ac:dyDescent="0.35">
      <c r="A1824">
        <v>58122</v>
      </c>
      <c r="B1824" t="s">
        <v>17</v>
      </c>
      <c r="C1824" t="s">
        <v>27</v>
      </c>
      <c r="D1824">
        <v>303</v>
      </c>
      <c r="E1824">
        <v>50</v>
      </c>
      <c r="F1824" s="2">
        <v>43.96</v>
      </c>
      <c r="G1824" t="s">
        <v>33</v>
      </c>
      <c r="H1824" s="1">
        <v>45533</v>
      </c>
      <c r="I1824" s="1">
        <v>45571</v>
      </c>
      <c r="J1824" t="s">
        <v>36</v>
      </c>
      <c r="K1824" s="8">
        <f>Table2[[#This Row],[CurrentStock]]*Table2[[#This Row],[UnitPrice]]</f>
        <v>13319.880000000001</v>
      </c>
      <c r="L1824" t="str">
        <f>IF(Table2[[#This Row],[CurrentStock]]&lt;=Table2[[#This Row],[ReorderLevel]], "Reorder Needed", "Okay")</f>
        <v>Okay</v>
      </c>
      <c r="M1824" t="str">
        <f>IF(Table2[[#This Row],[CurrentStock]]-Table2[[#This Row],[ReorderLevel]]&lt;0,Table2[[#This Row],[CurrentStock]]-Table2[[#This Row],[ReorderLevel]],"")</f>
        <v/>
      </c>
      <c r="N1824" t="str">
        <f>IF(Table2[[#This Row],[Stock Gap]]&lt;0, "Understock","Okay")</f>
        <v>Okay</v>
      </c>
      <c r="O1824" s="13" t="str">
        <f>IF(Table2[[#This Row],[Stock Gap]]&lt;0, "Yes", "No")</f>
        <v>No</v>
      </c>
      <c r="P1824" s="13" t="str">
        <f>IF(Table2[[#This Row],[CurrentStock]]&lt;Table2[[#This Row],[ReorderLevel]],"Reorder", "Okay")</f>
        <v>Okay</v>
      </c>
      <c r="Q1824" s="13" t="str">
        <f>IF(Table2[[#This Row],[CurrentStock]]&gt;Table2[[#This Row],[ReorderLevel]]*3, "Overstock", "Okay")</f>
        <v>Overstock</v>
      </c>
    </row>
    <row r="1825" spans="1:17" x14ac:dyDescent="0.35">
      <c r="A1825">
        <v>73175</v>
      </c>
      <c r="B1825" t="s">
        <v>14</v>
      </c>
      <c r="C1825" t="s">
        <v>28</v>
      </c>
      <c r="D1825">
        <v>385</v>
      </c>
      <c r="E1825">
        <v>150</v>
      </c>
      <c r="F1825" s="2">
        <v>183.39</v>
      </c>
      <c r="G1825" t="s">
        <v>32</v>
      </c>
      <c r="H1825" s="1">
        <v>45447</v>
      </c>
      <c r="I1825" s="1">
        <v>45472</v>
      </c>
      <c r="J1825" t="s">
        <v>38</v>
      </c>
      <c r="K1825" s="8">
        <f>Table2[[#This Row],[CurrentStock]]*Table2[[#This Row],[UnitPrice]]</f>
        <v>70605.149999999994</v>
      </c>
      <c r="L1825" t="str">
        <f>IF(Table2[[#This Row],[CurrentStock]]&lt;=Table2[[#This Row],[ReorderLevel]], "Reorder Needed", "Okay")</f>
        <v>Okay</v>
      </c>
      <c r="M1825" t="str">
        <f>IF(Table2[[#This Row],[CurrentStock]]-Table2[[#This Row],[ReorderLevel]]&lt;0,Table2[[#This Row],[CurrentStock]]-Table2[[#This Row],[ReorderLevel]],"")</f>
        <v/>
      </c>
      <c r="N1825" t="str">
        <f>IF(Table2[[#This Row],[Stock Gap]]&lt;0, "Understock","Okay")</f>
        <v>Okay</v>
      </c>
      <c r="O1825" s="13" t="str">
        <f>IF(Table2[[#This Row],[Stock Gap]]&lt;0, "Yes", "No")</f>
        <v>No</v>
      </c>
      <c r="P1825" s="13" t="str">
        <f>IF(Table2[[#This Row],[CurrentStock]]&lt;Table2[[#This Row],[ReorderLevel]],"Reorder", "Okay")</f>
        <v>Okay</v>
      </c>
      <c r="Q1825" s="13" t="str">
        <f>IF(Table2[[#This Row],[CurrentStock]]&gt;Table2[[#This Row],[ReorderLevel]]*3, "Overstock", "Okay")</f>
        <v>Okay</v>
      </c>
    </row>
    <row r="1826" spans="1:17" x14ac:dyDescent="0.35">
      <c r="A1826">
        <v>21447</v>
      </c>
      <c r="B1826" t="s">
        <v>20</v>
      </c>
      <c r="C1826" t="s">
        <v>30</v>
      </c>
      <c r="D1826">
        <v>200</v>
      </c>
      <c r="E1826">
        <v>50</v>
      </c>
      <c r="F1826" s="2">
        <v>197.11</v>
      </c>
      <c r="G1826" t="s">
        <v>31</v>
      </c>
      <c r="H1826" s="1">
        <v>45516</v>
      </c>
      <c r="I1826" s="1">
        <v>45524</v>
      </c>
      <c r="J1826" t="s">
        <v>38</v>
      </c>
      <c r="K1826" s="8">
        <f>Table2[[#This Row],[CurrentStock]]*Table2[[#This Row],[UnitPrice]]</f>
        <v>39422</v>
      </c>
      <c r="L1826" t="str">
        <f>IF(Table2[[#This Row],[CurrentStock]]&lt;=Table2[[#This Row],[ReorderLevel]], "Reorder Needed", "Okay")</f>
        <v>Okay</v>
      </c>
      <c r="M1826" t="str">
        <f>IF(Table2[[#This Row],[CurrentStock]]-Table2[[#This Row],[ReorderLevel]]&lt;0,Table2[[#This Row],[CurrentStock]]-Table2[[#This Row],[ReorderLevel]],"")</f>
        <v/>
      </c>
      <c r="N1826" t="str">
        <f>IF(Table2[[#This Row],[Stock Gap]]&lt;0, "Understock","Okay")</f>
        <v>Okay</v>
      </c>
      <c r="O1826" s="13" t="str">
        <f>IF(Table2[[#This Row],[Stock Gap]]&lt;0, "Yes", "No")</f>
        <v>No</v>
      </c>
      <c r="P1826" s="13" t="str">
        <f>IF(Table2[[#This Row],[CurrentStock]]&lt;Table2[[#This Row],[ReorderLevel]],"Reorder", "Okay")</f>
        <v>Okay</v>
      </c>
      <c r="Q1826" s="13" t="str">
        <f>IF(Table2[[#This Row],[CurrentStock]]&gt;Table2[[#This Row],[ReorderLevel]]*3, "Overstock", "Okay")</f>
        <v>Overstock</v>
      </c>
    </row>
    <row r="1827" spans="1:17" x14ac:dyDescent="0.35">
      <c r="A1827">
        <v>12589</v>
      </c>
      <c r="B1827" t="s">
        <v>13</v>
      </c>
      <c r="C1827" t="s">
        <v>26</v>
      </c>
      <c r="D1827">
        <v>150</v>
      </c>
      <c r="E1827">
        <v>50</v>
      </c>
      <c r="F1827" s="2">
        <v>28.08</v>
      </c>
      <c r="G1827" t="s">
        <v>34</v>
      </c>
      <c r="H1827" s="1">
        <v>45645</v>
      </c>
      <c r="I1827" s="1">
        <v>45651</v>
      </c>
      <c r="J1827" t="s">
        <v>37</v>
      </c>
      <c r="K1827" s="8">
        <f>Table2[[#This Row],[CurrentStock]]*Table2[[#This Row],[UnitPrice]]</f>
        <v>4212</v>
      </c>
      <c r="L1827" t="str">
        <f>IF(Table2[[#This Row],[CurrentStock]]&lt;=Table2[[#This Row],[ReorderLevel]], "Reorder Needed", "Okay")</f>
        <v>Okay</v>
      </c>
      <c r="M1827" t="str">
        <f>IF(Table2[[#This Row],[CurrentStock]]-Table2[[#This Row],[ReorderLevel]]&lt;0,Table2[[#This Row],[CurrentStock]]-Table2[[#This Row],[ReorderLevel]],"")</f>
        <v/>
      </c>
      <c r="N1827" t="str">
        <f>IF(Table2[[#This Row],[Stock Gap]]&lt;0, "Understock","Okay")</f>
        <v>Okay</v>
      </c>
      <c r="O1827" s="13" t="str">
        <f>IF(Table2[[#This Row],[Stock Gap]]&lt;0, "Yes", "No")</f>
        <v>No</v>
      </c>
      <c r="P1827" s="13" t="str">
        <f>IF(Table2[[#This Row],[CurrentStock]]&lt;Table2[[#This Row],[ReorderLevel]],"Reorder", "Okay")</f>
        <v>Okay</v>
      </c>
      <c r="Q1827" s="13" t="str">
        <f>IF(Table2[[#This Row],[CurrentStock]]&gt;Table2[[#This Row],[ReorderLevel]]*3, "Overstock", "Okay")</f>
        <v>Okay</v>
      </c>
    </row>
    <row r="1828" spans="1:17" x14ac:dyDescent="0.35">
      <c r="A1828">
        <v>71104</v>
      </c>
      <c r="B1828" t="s">
        <v>20</v>
      </c>
      <c r="C1828" t="s">
        <v>30</v>
      </c>
      <c r="D1828">
        <v>167</v>
      </c>
      <c r="E1828">
        <v>20</v>
      </c>
      <c r="F1828" s="2">
        <v>139.61000000000001</v>
      </c>
      <c r="G1828" t="s">
        <v>34</v>
      </c>
      <c r="H1828" s="1">
        <v>45519</v>
      </c>
      <c r="I1828" s="1">
        <v>45535</v>
      </c>
      <c r="J1828" t="s">
        <v>36</v>
      </c>
      <c r="K1828" s="8">
        <f>Table2[[#This Row],[CurrentStock]]*Table2[[#This Row],[UnitPrice]]</f>
        <v>23314.870000000003</v>
      </c>
      <c r="L1828" t="str">
        <f>IF(Table2[[#This Row],[CurrentStock]]&lt;=Table2[[#This Row],[ReorderLevel]], "Reorder Needed", "Okay")</f>
        <v>Okay</v>
      </c>
      <c r="M1828" t="str">
        <f>IF(Table2[[#This Row],[CurrentStock]]-Table2[[#This Row],[ReorderLevel]]&lt;0,Table2[[#This Row],[CurrentStock]]-Table2[[#This Row],[ReorderLevel]],"")</f>
        <v/>
      </c>
      <c r="N1828" t="str">
        <f>IF(Table2[[#This Row],[Stock Gap]]&lt;0, "Understock","Okay")</f>
        <v>Okay</v>
      </c>
      <c r="O1828" s="13" t="str">
        <f>IF(Table2[[#This Row],[Stock Gap]]&lt;0, "Yes", "No")</f>
        <v>No</v>
      </c>
      <c r="P1828" s="13" t="str">
        <f>IF(Table2[[#This Row],[CurrentStock]]&lt;Table2[[#This Row],[ReorderLevel]],"Reorder", "Okay")</f>
        <v>Okay</v>
      </c>
      <c r="Q1828" s="13" t="str">
        <f>IF(Table2[[#This Row],[CurrentStock]]&gt;Table2[[#This Row],[ReorderLevel]]*3, "Overstock", "Okay")</f>
        <v>Overstock</v>
      </c>
    </row>
    <row r="1829" spans="1:17" x14ac:dyDescent="0.35">
      <c r="A1829">
        <v>60298</v>
      </c>
      <c r="B1829" t="s">
        <v>14</v>
      </c>
      <c r="C1829" t="s">
        <v>28</v>
      </c>
      <c r="D1829">
        <v>45</v>
      </c>
      <c r="E1829">
        <v>100</v>
      </c>
      <c r="F1829" s="2">
        <v>352.51</v>
      </c>
      <c r="G1829" t="s">
        <v>35</v>
      </c>
      <c r="H1829" s="1">
        <v>45651</v>
      </c>
      <c r="I1829" s="1">
        <v>45660</v>
      </c>
      <c r="J1829" t="s">
        <v>36</v>
      </c>
      <c r="K1829" s="8">
        <f>Table2[[#This Row],[CurrentStock]]*Table2[[#This Row],[UnitPrice]]</f>
        <v>15862.949999999999</v>
      </c>
      <c r="L1829" t="str">
        <f>IF(Table2[[#This Row],[CurrentStock]]&lt;=Table2[[#This Row],[ReorderLevel]], "Reorder Needed", "Okay")</f>
        <v>Reorder Needed</v>
      </c>
      <c r="M1829" s="7">
        <f>IF(Table2[[#This Row],[CurrentStock]]-Table2[[#This Row],[ReorderLevel]]&lt;0,Table2[[#This Row],[CurrentStock]]-Table2[[#This Row],[ReorderLevel]],"")</f>
        <v>-55</v>
      </c>
      <c r="N1829" t="str">
        <f>IF(Table2[[#This Row],[Stock Gap]]&lt;0, "Understock","Okay")</f>
        <v>Understock</v>
      </c>
      <c r="O1829" s="13" t="str">
        <f>IF(Table2[[#This Row],[Stock Gap]]&lt;0, "Yes", "No")</f>
        <v>Yes</v>
      </c>
      <c r="P1829" s="13" t="str">
        <f>IF(Table2[[#This Row],[CurrentStock]]&lt;Table2[[#This Row],[ReorderLevel]],"Reorder", "Okay")</f>
        <v>Reorder</v>
      </c>
      <c r="Q1829" s="13" t="str">
        <f>IF(Table2[[#This Row],[CurrentStock]]&gt;Table2[[#This Row],[ReorderLevel]]*3, "Overstock", "Okay")</f>
        <v>Okay</v>
      </c>
    </row>
    <row r="1830" spans="1:17" x14ac:dyDescent="0.35">
      <c r="A1830">
        <v>46366</v>
      </c>
      <c r="B1830" t="s">
        <v>12</v>
      </c>
      <c r="C1830" t="s">
        <v>28</v>
      </c>
      <c r="D1830">
        <v>499</v>
      </c>
      <c r="E1830">
        <v>150</v>
      </c>
      <c r="F1830" s="2">
        <v>172.63</v>
      </c>
      <c r="G1830" t="s">
        <v>33</v>
      </c>
      <c r="H1830" s="1">
        <v>45373</v>
      </c>
      <c r="I1830" s="1">
        <v>45389</v>
      </c>
      <c r="J1830" t="s">
        <v>37</v>
      </c>
      <c r="K1830" s="8">
        <f>Table2[[#This Row],[CurrentStock]]*Table2[[#This Row],[UnitPrice]]</f>
        <v>86142.37</v>
      </c>
      <c r="L1830" t="str">
        <f>IF(Table2[[#This Row],[CurrentStock]]&lt;=Table2[[#This Row],[ReorderLevel]], "Reorder Needed", "Okay")</f>
        <v>Okay</v>
      </c>
      <c r="M1830" t="str">
        <f>IF(Table2[[#This Row],[CurrentStock]]-Table2[[#This Row],[ReorderLevel]]&lt;0,Table2[[#This Row],[CurrentStock]]-Table2[[#This Row],[ReorderLevel]],"")</f>
        <v/>
      </c>
      <c r="N1830" t="str">
        <f>IF(Table2[[#This Row],[Stock Gap]]&lt;0, "Understock","Okay")</f>
        <v>Okay</v>
      </c>
      <c r="O1830" s="13" t="str">
        <f>IF(Table2[[#This Row],[Stock Gap]]&lt;0, "Yes", "No")</f>
        <v>No</v>
      </c>
      <c r="P1830" s="13" t="str">
        <f>IF(Table2[[#This Row],[CurrentStock]]&lt;Table2[[#This Row],[ReorderLevel]],"Reorder", "Okay")</f>
        <v>Okay</v>
      </c>
      <c r="Q1830" s="13" t="str">
        <f>IF(Table2[[#This Row],[CurrentStock]]&gt;Table2[[#This Row],[ReorderLevel]]*3, "Overstock", "Okay")</f>
        <v>Overstock</v>
      </c>
    </row>
    <row r="1831" spans="1:17" x14ac:dyDescent="0.35">
      <c r="A1831">
        <v>45779</v>
      </c>
      <c r="B1831" t="s">
        <v>24</v>
      </c>
      <c r="C1831" t="s">
        <v>30</v>
      </c>
      <c r="D1831">
        <v>371</v>
      </c>
      <c r="E1831">
        <v>20</v>
      </c>
      <c r="F1831" s="2">
        <v>374.65</v>
      </c>
      <c r="G1831" t="s">
        <v>31</v>
      </c>
      <c r="H1831" s="1">
        <v>45598</v>
      </c>
      <c r="I1831" s="1">
        <v>45610</v>
      </c>
      <c r="J1831" t="s">
        <v>37</v>
      </c>
      <c r="K1831" s="8">
        <f>Table2[[#This Row],[CurrentStock]]*Table2[[#This Row],[UnitPrice]]</f>
        <v>138995.15</v>
      </c>
      <c r="L1831" t="str">
        <f>IF(Table2[[#This Row],[CurrentStock]]&lt;=Table2[[#This Row],[ReorderLevel]], "Reorder Needed", "Okay")</f>
        <v>Okay</v>
      </c>
      <c r="M1831" t="str">
        <f>IF(Table2[[#This Row],[CurrentStock]]-Table2[[#This Row],[ReorderLevel]]&lt;0,Table2[[#This Row],[CurrentStock]]-Table2[[#This Row],[ReorderLevel]],"")</f>
        <v/>
      </c>
      <c r="N1831" t="str">
        <f>IF(Table2[[#This Row],[Stock Gap]]&lt;0, "Understock","Okay")</f>
        <v>Okay</v>
      </c>
      <c r="O1831" s="13" t="str">
        <f>IF(Table2[[#This Row],[Stock Gap]]&lt;0, "Yes", "No")</f>
        <v>No</v>
      </c>
      <c r="P1831" s="13" t="str">
        <f>IF(Table2[[#This Row],[CurrentStock]]&lt;Table2[[#This Row],[ReorderLevel]],"Reorder", "Okay")</f>
        <v>Okay</v>
      </c>
      <c r="Q1831" s="13" t="str">
        <f>IF(Table2[[#This Row],[CurrentStock]]&gt;Table2[[#This Row],[ReorderLevel]]*3, "Overstock", "Okay")</f>
        <v>Overstock</v>
      </c>
    </row>
    <row r="1832" spans="1:17" x14ac:dyDescent="0.35">
      <c r="A1832">
        <v>76555</v>
      </c>
      <c r="B1832" t="s">
        <v>12</v>
      </c>
      <c r="C1832" t="s">
        <v>28</v>
      </c>
      <c r="D1832">
        <v>284</v>
      </c>
      <c r="E1832">
        <v>30</v>
      </c>
      <c r="F1832" s="2">
        <v>479.6</v>
      </c>
      <c r="G1832" t="s">
        <v>32</v>
      </c>
      <c r="H1832" s="1">
        <v>45577</v>
      </c>
      <c r="I1832" s="1">
        <v>45611</v>
      </c>
      <c r="J1832" t="s">
        <v>36</v>
      </c>
      <c r="K1832" s="8">
        <f>Table2[[#This Row],[CurrentStock]]*Table2[[#This Row],[UnitPrice]]</f>
        <v>136206.39999999999</v>
      </c>
      <c r="L1832" t="str">
        <f>IF(Table2[[#This Row],[CurrentStock]]&lt;=Table2[[#This Row],[ReorderLevel]], "Reorder Needed", "Okay")</f>
        <v>Okay</v>
      </c>
      <c r="M1832" t="str">
        <f>IF(Table2[[#This Row],[CurrentStock]]-Table2[[#This Row],[ReorderLevel]]&lt;0,Table2[[#This Row],[CurrentStock]]-Table2[[#This Row],[ReorderLevel]],"")</f>
        <v/>
      </c>
      <c r="N1832" t="str">
        <f>IF(Table2[[#This Row],[Stock Gap]]&lt;0, "Understock","Okay")</f>
        <v>Okay</v>
      </c>
      <c r="O1832" s="13" t="str">
        <f>IF(Table2[[#This Row],[Stock Gap]]&lt;0, "Yes", "No")</f>
        <v>No</v>
      </c>
      <c r="P1832" s="13" t="str">
        <f>IF(Table2[[#This Row],[CurrentStock]]&lt;Table2[[#This Row],[ReorderLevel]],"Reorder", "Okay")</f>
        <v>Okay</v>
      </c>
      <c r="Q1832" s="13" t="str">
        <f>IF(Table2[[#This Row],[CurrentStock]]&gt;Table2[[#This Row],[ReorderLevel]]*3, "Overstock", "Okay")</f>
        <v>Overstock</v>
      </c>
    </row>
    <row r="1833" spans="1:17" x14ac:dyDescent="0.35">
      <c r="A1833">
        <v>65165</v>
      </c>
      <c r="B1833" t="s">
        <v>24</v>
      </c>
      <c r="C1833" t="s">
        <v>30</v>
      </c>
      <c r="D1833">
        <v>278</v>
      </c>
      <c r="E1833">
        <v>40</v>
      </c>
      <c r="F1833" s="2">
        <v>272.06</v>
      </c>
      <c r="G1833" t="s">
        <v>35</v>
      </c>
      <c r="H1833" s="1">
        <v>45415</v>
      </c>
      <c r="I1833" s="1">
        <v>45432</v>
      </c>
      <c r="J1833" t="s">
        <v>38</v>
      </c>
      <c r="K1833" s="8">
        <f>Table2[[#This Row],[CurrentStock]]*Table2[[#This Row],[UnitPrice]]</f>
        <v>75632.680000000008</v>
      </c>
      <c r="L1833" t="str">
        <f>IF(Table2[[#This Row],[CurrentStock]]&lt;=Table2[[#This Row],[ReorderLevel]], "Reorder Needed", "Okay")</f>
        <v>Okay</v>
      </c>
      <c r="M1833" t="str">
        <f>IF(Table2[[#This Row],[CurrentStock]]-Table2[[#This Row],[ReorderLevel]]&lt;0,Table2[[#This Row],[CurrentStock]]-Table2[[#This Row],[ReorderLevel]],"")</f>
        <v/>
      </c>
      <c r="N1833" t="str">
        <f>IF(Table2[[#This Row],[Stock Gap]]&lt;0, "Understock","Okay")</f>
        <v>Okay</v>
      </c>
      <c r="O1833" s="13" t="str">
        <f>IF(Table2[[#This Row],[Stock Gap]]&lt;0, "Yes", "No")</f>
        <v>No</v>
      </c>
      <c r="P1833" s="13" t="str">
        <f>IF(Table2[[#This Row],[CurrentStock]]&lt;Table2[[#This Row],[ReorderLevel]],"Reorder", "Okay")</f>
        <v>Okay</v>
      </c>
      <c r="Q1833" s="13" t="str">
        <f>IF(Table2[[#This Row],[CurrentStock]]&gt;Table2[[#This Row],[ReorderLevel]]*3, "Overstock", "Okay")</f>
        <v>Overstock</v>
      </c>
    </row>
    <row r="1834" spans="1:17" x14ac:dyDescent="0.35">
      <c r="A1834">
        <v>97404</v>
      </c>
      <c r="B1834" t="s">
        <v>19</v>
      </c>
      <c r="C1834" t="s">
        <v>28</v>
      </c>
      <c r="D1834">
        <v>460</v>
      </c>
      <c r="E1834">
        <v>20</v>
      </c>
      <c r="F1834" s="2">
        <v>312.45999999999998</v>
      </c>
      <c r="G1834" t="s">
        <v>35</v>
      </c>
      <c r="H1834" s="1">
        <v>45439</v>
      </c>
      <c r="I1834" s="1">
        <v>45457</v>
      </c>
      <c r="J1834" t="s">
        <v>37</v>
      </c>
      <c r="K1834" s="8">
        <f>Table2[[#This Row],[CurrentStock]]*Table2[[#This Row],[UnitPrice]]</f>
        <v>143731.59999999998</v>
      </c>
      <c r="L1834" t="str">
        <f>IF(Table2[[#This Row],[CurrentStock]]&lt;=Table2[[#This Row],[ReorderLevel]], "Reorder Needed", "Okay")</f>
        <v>Okay</v>
      </c>
      <c r="M1834" t="str">
        <f>IF(Table2[[#This Row],[CurrentStock]]-Table2[[#This Row],[ReorderLevel]]&lt;0,Table2[[#This Row],[CurrentStock]]-Table2[[#This Row],[ReorderLevel]],"")</f>
        <v/>
      </c>
      <c r="N1834" t="str">
        <f>IF(Table2[[#This Row],[Stock Gap]]&lt;0, "Understock","Okay")</f>
        <v>Okay</v>
      </c>
      <c r="O1834" s="13" t="str">
        <f>IF(Table2[[#This Row],[Stock Gap]]&lt;0, "Yes", "No")</f>
        <v>No</v>
      </c>
      <c r="P1834" s="13" t="str">
        <f>IF(Table2[[#This Row],[CurrentStock]]&lt;Table2[[#This Row],[ReorderLevel]],"Reorder", "Okay")</f>
        <v>Okay</v>
      </c>
      <c r="Q1834" s="13" t="str">
        <f>IF(Table2[[#This Row],[CurrentStock]]&gt;Table2[[#This Row],[ReorderLevel]]*3, "Overstock", "Okay")</f>
        <v>Overstock</v>
      </c>
    </row>
    <row r="1835" spans="1:17" x14ac:dyDescent="0.35">
      <c r="A1835">
        <v>94351</v>
      </c>
      <c r="B1835" t="s">
        <v>19</v>
      </c>
      <c r="C1835" t="s">
        <v>28</v>
      </c>
      <c r="D1835">
        <v>469</v>
      </c>
      <c r="E1835">
        <v>30</v>
      </c>
      <c r="F1835" s="2">
        <v>268.58999999999997</v>
      </c>
      <c r="G1835" t="s">
        <v>32</v>
      </c>
      <c r="H1835" s="1">
        <v>45523</v>
      </c>
      <c r="I1835" s="1">
        <v>45530</v>
      </c>
      <c r="J1835" t="s">
        <v>38</v>
      </c>
      <c r="K1835" s="8">
        <f>Table2[[#This Row],[CurrentStock]]*Table2[[#This Row],[UnitPrice]]</f>
        <v>125968.70999999999</v>
      </c>
      <c r="L1835" t="str">
        <f>IF(Table2[[#This Row],[CurrentStock]]&lt;=Table2[[#This Row],[ReorderLevel]], "Reorder Needed", "Okay")</f>
        <v>Okay</v>
      </c>
      <c r="M1835" t="str">
        <f>IF(Table2[[#This Row],[CurrentStock]]-Table2[[#This Row],[ReorderLevel]]&lt;0,Table2[[#This Row],[CurrentStock]]-Table2[[#This Row],[ReorderLevel]],"")</f>
        <v/>
      </c>
      <c r="N1835" t="str">
        <f>IF(Table2[[#This Row],[Stock Gap]]&lt;0, "Understock","Okay")</f>
        <v>Okay</v>
      </c>
      <c r="O1835" s="13" t="str">
        <f>IF(Table2[[#This Row],[Stock Gap]]&lt;0, "Yes", "No")</f>
        <v>No</v>
      </c>
      <c r="P1835" s="13" t="str">
        <f>IF(Table2[[#This Row],[CurrentStock]]&lt;Table2[[#This Row],[ReorderLevel]],"Reorder", "Okay")</f>
        <v>Okay</v>
      </c>
      <c r="Q1835" s="13" t="str">
        <f>IF(Table2[[#This Row],[CurrentStock]]&gt;Table2[[#This Row],[ReorderLevel]]*3, "Overstock", "Okay")</f>
        <v>Overstock</v>
      </c>
    </row>
    <row r="1836" spans="1:17" x14ac:dyDescent="0.35">
      <c r="A1836">
        <v>97081</v>
      </c>
      <c r="B1836" t="s">
        <v>23</v>
      </c>
      <c r="C1836" t="s">
        <v>30</v>
      </c>
      <c r="D1836">
        <v>380</v>
      </c>
      <c r="E1836">
        <v>20</v>
      </c>
      <c r="F1836" s="2">
        <v>192.83</v>
      </c>
      <c r="G1836" t="s">
        <v>35</v>
      </c>
      <c r="H1836" s="1">
        <v>45411</v>
      </c>
      <c r="I1836" s="1">
        <v>45431</v>
      </c>
      <c r="J1836" t="s">
        <v>38</v>
      </c>
      <c r="K1836" s="8">
        <f>Table2[[#This Row],[CurrentStock]]*Table2[[#This Row],[UnitPrice]]</f>
        <v>73275.400000000009</v>
      </c>
      <c r="L1836" t="str">
        <f>IF(Table2[[#This Row],[CurrentStock]]&lt;=Table2[[#This Row],[ReorderLevel]], "Reorder Needed", "Okay")</f>
        <v>Okay</v>
      </c>
      <c r="M1836" t="str">
        <f>IF(Table2[[#This Row],[CurrentStock]]-Table2[[#This Row],[ReorderLevel]]&lt;0,Table2[[#This Row],[CurrentStock]]-Table2[[#This Row],[ReorderLevel]],"")</f>
        <v/>
      </c>
      <c r="N1836" t="str">
        <f>IF(Table2[[#This Row],[Stock Gap]]&lt;0, "Understock","Okay")</f>
        <v>Okay</v>
      </c>
      <c r="O1836" s="13" t="str">
        <f>IF(Table2[[#This Row],[Stock Gap]]&lt;0, "Yes", "No")</f>
        <v>No</v>
      </c>
      <c r="P1836" s="13" t="str">
        <f>IF(Table2[[#This Row],[CurrentStock]]&lt;Table2[[#This Row],[ReorderLevel]],"Reorder", "Okay")</f>
        <v>Okay</v>
      </c>
      <c r="Q1836" s="13" t="str">
        <f>IF(Table2[[#This Row],[CurrentStock]]&gt;Table2[[#This Row],[ReorderLevel]]*3, "Overstock", "Okay")</f>
        <v>Overstock</v>
      </c>
    </row>
    <row r="1837" spans="1:17" x14ac:dyDescent="0.35">
      <c r="A1837">
        <v>72979</v>
      </c>
      <c r="B1837" t="s">
        <v>17</v>
      </c>
      <c r="C1837" t="s">
        <v>27</v>
      </c>
      <c r="D1837">
        <v>311</v>
      </c>
      <c r="E1837">
        <v>100</v>
      </c>
      <c r="F1837" s="2">
        <v>270.52999999999997</v>
      </c>
      <c r="G1837" t="s">
        <v>32</v>
      </c>
      <c r="H1837" s="1">
        <v>45480</v>
      </c>
      <c r="I1837" s="1">
        <v>45488</v>
      </c>
      <c r="J1837" t="s">
        <v>36</v>
      </c>
      <c r="K1837" s="8">
        <f>Table2[[#This Row],[CurrentStock]]*Table2[[#This Row],[UnitPrice]]</f>
        <v>84134.829999999987</v>
      </c>
      <c r="L1837" t="str">
        <f>IF(Table2[[#This Row],[CurrentStock]]&lt;=Table2[[#This Row],[ReorderLevel]], "Reorder Needed", "Okay")</f>
        <v>Okay</v>
      </c>
      <c r="M1837" t="str">
        <f>IF(Table2[[#This Row],[CurrentStock]]-Table2[[#This Row],[ReorderLevel]]&lt;0,Table2[[#This Row],[CurrentStock]]-Table2[[#This Row],[ReorderLevel]],"")</f>
        <v/>
      </c>
      <c r="N1837" t="str">
        <f>IF(Table2[[#This Row],[Stock Gap]]&lt;0, "Understock","Okay")</f>
        <v>Okay</v>
      </c>
      <c r="O1837" s="13" t="str">
        <f>IF(Table2[[#This Row],[Stock Gap]]&lt;0, "Yes", "No")</f>
        <v>No</v>
      </c>
      <c r="P1837" s="13" t="str">
        <f>IF(Table2[[#This Row],[CurrentStock]]&lt;Table2[[#This Row],[ReorderLevel]],"Reorder", "Okay")</f>
        <v>Okay</v>
      </c>
      <c r="Q1837" s="13" t="str">
        <f>IF(Table2[[#This Row],[CurrentStock]]&gt;Table2[[#This Row],[ReorderLevel]]*3, "Overstock", "Okay")</f>
        <v>Overstock</v>
      </c>
    </row>
    <row r="1838" spans="1:17" x14ac:dyDescent="0.35">
      <c r="A1838">
        <v>27007</v>
      </c>
      <c r="B1838" t="s">
        <v>14</v>
      </c>
      <c r="C1838" t="s">
        <v>28</v>
      </c>
      <c r="D1838">
        <v>483</v>
      </c>
      <c r="E1838">
        <v>80</v>
      </c>
      <c r="F1838" s="2">
        <v>156.35</v>
      </c>
      <c r="G1838" t="s">
        <v>35</v>
      </c>
      <c r="H1838" s="1">
        <v>45419</v>
      </c>
      <c r="I1838" s="1">
        <v>45444</v>
      </c>
      <c r="J1838" t="s">
        <v>36</v>
      </c>
      <c r="K1838" s="8">
        <f>Table2[[#This Row],[CurrentStock]]*Table2[[#This Row],[UnitPrice]]</f>
        <v>75517.05</v>
      </c>
      <c r="L1838" t="str">
        <f>IF(Table2[[#This Row],[CurrentStock]]&lt;=Table2[[#This Row],[ReorderLevel]], "Reorder Needed", "Okay")</f>
        <v>Okay</v>
      </c>
      <c r="M1838" t="str">
        <f>IF(Table2[[#This Row],[CurrentStock]]-Table2[[#This Row],[ReorderLevel]]&lt;0,Table2[[#This Row],[CurrentStock]]-Table2[[#This Row],[ReorderLevel]],"")</f>
        <v/>
      </c>
      <c r="N1838" t="str">
        <f>IF(Table2[[#This Row],[Stock Gap]]&lt;0, "Understock","Okay")</f>
        <v>Okay</v>
      </c>
      <c r="O1838" s="13" t="str">
        <f>IF(Table2[[#This Row],[Stock Gap]]&lt;0, "Yes", "No")</f>
        <v>No</v>
      </c>
      <c r="P1838" s="13" t="str">
        <f>IF(Table2[[#This Row],[CurrentStock]]&lt;Table2[[#This Row],[ReorderLevel]],"Reorder", "Okay")</f>
        <v>Okay</v>
      </c>
      <c r="Q1838" s="13" t="str">
        <f>IF(Table2[[#This Row],[CurrentStock]]&gt;Table2[[#This Row],[ReorderLevel]]*3, "Overstock", "Okay")</f>
        <v>Overstock</v>
      </c>
    </row>
    <row r="1839" spans="1:17" x14ac:dyDescent="0.35">
      <c r="A1839">
        <v>74367</v>
      </c>
      <c r="B1839" t="s">
        <v>24</v>
      </c>
      <c r="C1839" t="s">
        <v>30</v>
      </c>
      <c r="D1839">
        <v>385</v>
      </c>
      <c r="E1839">
        <v>20</v>
      </c>
      <c r="F1839" s="2">
        <v>242.42</v>
      </c>
      <c r="G1839" t="s">
        <v>34</v>
      </c>
      <c r="H1839" s="1">
        <v>45336</v>
      </c>
      <c r="I1839" s="1">
        <v>45358</v>
      </c>
      <c r="J1839" t="s">
        <v>38</v>
      </c>
      <c r="K1839" s="8">
        <f>Table2[[#This Row],[CurrentStock]]*Table2[[#This Row],[UnitPrice]]</f>
        <v>93331.7</v>
      </c>
      <c r="L1839" t="str">
        <f>IF(Table2[[#This Row],[CurrentStock]]&lt;=Table2[[#This Row],[ReorderLevel]], "Reorder Needed", "Okay")</f>
        <v>Okay</v>
      </c>
      <c r="M1839" t="str">
        <f>IF(Table2[[#This Row],[CurrentStock]]-Table2[[#This Row],[ReorderLevel]]&lt;0,Table2[[#This Row],[CurrentStock]]-Table2[[#This Row],[ReorderLevel]],"")</f>
        <v/>
      </c>
      <c r="N1839" t="str">
        <f>IF(Table2[[#This Row],[Stock Gap]]&lt;0, "Understock","Okay")</f>
        <v>Okay</v>
      </c>
      <c r="O1839" s="13" t="str">
        <f>IF(Table2[[#This Row],[Stock Gap]]&lt;0, "Yes", "No")</f>
        <v>No</v>
      </c>
      <c r="P1839" s="13" t="str">
        <f>IF(Table2[[#This Row],[CurrentStock]]&lt;Table2[[#This Row],[ReorderLevel]],"Reorder", "Okay")</f>
        <v>Okay</v>
      </c>
      <c r="Q1839" s="13" t="str">
        <f>IF(Table2[[#This Row],[CurrentStock]]&gt;Table2[[#This Row],[ReorderLevel]]*3, "Overstock", "Okay")</f>
        <v>Overstock</v>
      </c>
    </row>
    <row r="1840" spans="1:17" x14ac:dyDescent="0.35">
      <c r="A1840">
        <v>70482</v>
      </c>
      <c r="B1840" t="s">
        <v>18</v>
      </c>
      <c r="C1840" t="s">
        <v>27</v>
      </c>
      <c r="D1840">
        <v>88</v>
      </c>
      <c r="E1840">
        <v>30</v>
      </c>
      <c r="F1840" s="2">
        <v>226.45</v>
      </c>
      <c r="G1840" t="s">
        <v>31</v>
      </c>
      <c r="H1840" s="1">
        <v>45519</v>
      </c>
      <c r="I1840" s="1">
        <v>45558</v>
      </c>
      <c r="J1840" t="s">
        <v>36</v>
      </c>
      <c r="K1840" s="8">
        <f>Table2[[#This Row],[CurrentStock]]*Table2[[#This Row],[UnitPrice]]</f>
        <v>19927.599999999999</v>
      </c>
      <c r="L1840" t="str">
        <f>IF(Table2[[#This Row],[CurrentStock]]&lt;=Table2[[#This Row],[ReorderLevel]], "Reorder Needed", "Okay")</f>
        <v>Okay</v>
      </c>
      <c r="M1840" t="str">
        <f>IF(Table2[[#This Row],[CurrentStock]]-Table2[[#This Row],[ReorderLevel]]&lt;0,Table2[[#This Row],[CurrentStock]]-Table2[[#This Row],[ReorderLevel]],"")</f>
        <v/>
      </c>
      <c r="N1840" t="str">
        <f>IF(Table2[[#This Row],[Stock Gap]]&lt;0, "Understock","Okay")</f>
        <v>Okay</v>
      </c>
      <c r="O1840" s="13" t="str">
        <f>IF(Table2[[#This Row],[Stock Gap]]&lt;0, "Yes", "No")</f>
        <v>No</v>
      </c>
      <c r="P1840" s="13" t="str">
        <f>IF(Table2[[#This Row],[CurrentStock]]&lt;Table2[[#This Row],[ReorderLevel]],"Reorder", "Okay")</f>
        <v>Okay</v>
      </c>
      <c r="Q1840" s="13" t="str">
        <f>IF(Table2[[#This Row],[CurrentStock]]&gt;Table2[[#This Row],[ReorderLevel]]*3, "Overstock", "Okay")</f>
        <v>Okay</v>
      </c>
    </row>
    <row r="1841" spans="1:17" x14ac:dyDescent="0.35">
      <c r="A1841">
        <v>30967</v>
      </c>
      <c r="B1841" t="s">
        <v>14</v>
      </c>
      <c r="C1841" t="s">
        <v>28</v>
      </c>
      <c r="D1841">
        <v>359</v>
      </c>
      <c r="E1841">
        <v>100</v>
      </c>
      <c r="F1841" s="2">
        <v>232.36</v>
      </c>
      <c r="G1841" t="s">
        <v>32</v>
      </c>
      <c r="H1841" s="1">
        <v>45592</v>
      </c>
      <c r="I1841" s="1">
        <v>45603</v>
      </c>
      <c r="J1841" t="s">
        <v>36</v>
      </c>
      <c r="K1841" s="8">
        <f>Table2[[#This Row],[CurrentStock]]*Table2[[#This Row],[UnitPrice]]</f>
        <v>83417.240000000005</v>
      </c>
      <c r="L1841" t="str">
        <f>IF(Table2[[#This Row],[CurrentStock]]&lt;=Table2[[#This Row],[ReorderLevel]], "Reorder Needed", "Okay")</f>
        <v>Okay</v>
      </c>
      <c r="M1841" t="str">
        <f>IF(Table2[[#This Row],[CurrentStock]]-Table2[[#This Row],[ReorderLevel]]&lt;0,Table2[[#This Row],[CurrentStock]]-Table2[[#This Row],[ReorderLevel]],"")</f>
        <v/>
      </c>
      <c r="N1841" t="str">
        <f>IF(Table2[[#This Row],[Stock Gap]]&lt;0, "Understock","Okay")</f>
        <v>Okay</v>
      </c>
      <c r="O1841" s="13" t="str">
        <f>IF(Table2[[#This Row],[Stock Gap]]&lt;0, "Yes", "No")</f>
        <v>No</v>
      </c>
      <c r="P1841" s="13" t="str">
        <f>IF(Table2[[#This Row],[CurrentStock]]&lt;Table2[[#This Row],[ReorderLevel]],"Reorder", "Okay")</f>
        <v>Okay</v>
      </c>
      <c r="Q1841" s="13" t="str">
        <f>IF(Table2[[#This Row],[CurrentStock]]&gt;Table2[[#This Row],[ReorderLevel]]*3, "Overstock", "Okay")</f>
        <v>Overstock</v>
      </c>
    </row>
    <row r="1842" spans="1:17" x14ac:dyDescent="0.35">
      <c r="A1842">
        <v>70200</v>
      </c>
      <c r="B1842" t="s">
        <v>17</v>
      </c>
      <c r="C1842" t="s">
        <v>27</v>
      </c>
      <c r="D1842">
        <v>476</v>
      </c>
      <c r="E1842">
        <v>30</v>
      </c>
      <c r="F1842" s="2">
        <v>469.75</v>
      </c>
      <c r="G1842" t="s">
        <v>32</v>
      </c>
      <c r="H1842" s="1">
        <v>45403</v>
      </c>
      <c r="I1842" s="1">
        <v>45436</v>
      </c>
      <c r="J1842" t="s">
        <v>38</v>
      </c>
      <c r="K1842" s="8">
        <f>Table2[[#This Row],[CurrentStock]]*Table2[[#This Row],[UnitPrice]]</f>
        <v>223601</v>
      </c>
      <c r="L1842" t="str">
        <f>IF(Table2[[#This Row],[CurrentStock]]&lt;=Table2[[#This Row],[ReorderLevel]], "Reorder Needed", "Okay")</f>
        <v>Okay</v>
      </c>
      <c r="M1842" t="str">
        <f>IF(Table2[[#This Row],[CurrentStock]]-Table2[[#This Row],[ReorderLevel]]&lt;0,Table2[[#This Row],[CurrentStock]]-Table2[[#This Row],[ReorderLevel]],"")</f>
        <v/>
      </c>
      <c r="N1842" t="str">
        <f>IF(Table2[[#This Row],[Stock Gap]]&lt;0, "Understock","Okay")</f>
        <v>Okay</v>
      </c>
      <c r="O1842" s="13" t="str">
        <f>IF(Table2[[#This Row],[Stock Gap]]&lt;0, "Yes", "No")</f>
        <v>No</v>
      </c>
      <c r="P1842" s="13" t="str">
        <f>IF(Table2[[#This Row],[CurrentStock]]&lt;Table2[[#This Row],[ReorderLevel]],"Reorder", "Okay")</f>
        <v>Okay</v>
      </c>
      <c r="Q1842" s="13" t="str">
        <f>IF(Table2[[#This Row],[CurrentStock]]&gt;Table2[[#This Row],[ReorderLevel]]*3, "Overstock", "Okay")</f>
        <v>Overstock</v>
      </c>
    </row>
    <row r="1843" spans="1:17" x14ac:dyDescent="0.35">
      <c r="A1843">
        <v>70587</v>
      </c>
      <c r="B1843" t="s">
        <v>22</v>
      </c>
      <c r="C1843" t="s">
        <v>29</v>
      </c>
      <c r="D1843">
        <v>458</v>
      </c>
      <c r="E1843">
        <v>20</v>
      </c>
      <c r="F1843" s="2">
        <v>26.95</v>
      </c>
      <c r="G1843" t="s">
        <v>32</v>
      </c>
      <c r="H1843" s="1">
        <v>45588</v>
      </c>
      <c r="I1843" s="1">
        <v>45601</v>
      </c>
      <c r="J1843" t="s">
        <v>37</v>
      </c>
      <c r="K1843" s="8">
        <f>Table2[[#This Row],[CurrentStock]]*Table2[[#This Row],[UnitPrice]]</f>
        <v>12343.1</v>
      </c>
      <c r="L1843" t="str">
        <f>IF(Table2[[#This Row],[CurrentStock]]&lt;=Table2[[#This Row],[ReorderLevel]], "Reorder Needed", "Okay")</f>
        <v>Okay</v>
      </c>
      <c r="M1843" t="str">
        <f>IF(Table2[[#This Row],[CurrentStock]]-Table2[[#This Row],[ReorderLevel]]&lt;0,Table2[[#This Row],[CurrentStock]]-Table2[[#This Row],[ReorderLevel]],"")</f>
        <v/>
      </c>
      <c r="N1843" t="str">
        <f>IF(Table2[[#This Row],[Stock Gap]]&lt;0, "Understock","Okay")</f>
        <v>Okay</v>
      </c>
      <c r="O1843" s="13" t="str">
        <f>IF(Table2[[#This Row],[Stock Gap]]&lt;0, "Yes", "No")</f>
        <v>No</v>
      </c>
      <c r="P1843" s="13" t="str">
        <f>IF(Table2[[#This Row],[CurrentStock]]&lt;Table2[[#This Row],[ReorderLevel]],"Reorder", "Okay")</f>
        <v>Okay</v>
      </c>
      <c r="Q1843" s="13" t="str">
        <f>IF(Table2[[#This Row],[CurrentStock]]&gt;Table2[[#This Row],[ReorderLevel]]*3, "Overstock", "Okay")</f>
        <v>Overstock</v>
      </c>
    </row>
    <row r="1844" spans="1:17" x14ac:dyDescent="0.35">
      <c r="A1844">
        <v>31661</v>
      </c>
      <c r="B1844" t="s">
        <v>15</v>
      </c>
      <c r="C1844" t="s">
        <v>29</v>
      </c>
      <c r="D1844">
        <v>353</v>
      </c>
      <c r="E1844">
        <v>20</v>
      </c>
      <c r="F1844" s="2">
        <v>218.2</v>
      </c>
      <c r="G1844" t="s">
        <v>32</v>
      </c>
      <c r="H1844" s="1">
        <v>45629</v>
      </c>
      <c r="I1844" s="1">
        <v>45647</v>
      </c>
      <c r="J1844" t="s">
        <v>36</v>
      </c>
      <c r="K1844" s="8">
        <f>Table2[[#This Row],[CurrentStock]]*Table2[[#This Row],[UnitPrice]]</f>
        <v>77024.599999999991</v>
      </c>
      <c r="L1844" t="str">
        <f>IF(Table2[[#This Row],[CurrentStock]]&lt;=Table2[[#This Row],[ReorderLevel]], "Reorder Needed", "Okay")</f>
        <v>Okay</v>
      </c>
      <c r="M1844" t="str">
        <f>IF(Table2[[#This Row],[CurrentStock]]-Table2[[#This Row],[ReorderLevel]]&lt;0,Table2[[#This Row],[CurrentStock]]-Table2[[#This Row],[ReorderLevel]],"")</f>
        <v/>
      </c>
      <c r="N1844" t="str">
        <f>IF(Table2[[#This Row],[Stock Gap]]&lt;0, "Understock","Okay")</f>
        <v>Okay</v>
      </c>
      <c r="O1844" s="13" t="str">
        <f>IF(Table2[[#This Row],[Stock Gap]]&lt;0, "Yes", "No")</f>
        <v>No</v>
      </c>
      <c r="P1844" s="13" t="str">
        <f>IF(Table2[[#This Row],[CurrentStock]]&lt;Table2[[#This Row],[ReorderLevel]],"Reorder", "Okay")</f>
        <v>Okay</v>
      </c>
      <c r="Q1844" s="13" t="str">
        <f>IF(Table2[[#This Row],[CurrentStock]]&gt;Table2[[#This Row],[ReorderLevel]]*3, "Overstock", "Okay")</f>
        <v>Overstock</v>
      </c>
    </row>
    <row r="1845" spans="1:17" x14ac:dyDescent="0.35">
      <c r="A1845">
        <v>34198</v>
      </c>
      <c r="B1845" t="s">
        <v>12</v>
      </c>
      <c r="C1845" t="s">
        <v>28</v>
      </c>
      <c r="D1845">
        <v>308</v>
      </c>
      <c r="E1845">
        <v>50</v>
      </c>
      <c r="F1845" s="2">
        <v>55.69</v>
      </c>
      <c r="G1845" t="s">
        <v>32</v>
      </c>
      <c r="H1845" s="1">
        <v>45562</v>
      </c>
      <c r="I1845" s="1">
        <v>45586</v>
      </c>
      <c r="J1845" t="s">
        <v>37</v>
      </c>
      <c r="K1845" s="8">
        <f>Table2[[#This Row],[CurrentStock]]*Table2[[#This Row],[UnitPrice]]</f>
        <v>17152.52</v>
      </c>
      <c r="L1845" t="str">
        <f>IF(Table2[[#This Row],[CurrentStock]]&lt;=Table2[[#This Row],[ReorderLevel]], "Reorder Needed", "Okay")</f>
        <v>Okay</v>
      </c>
      <c r="M1845" t="str">
        <f>IF(Table2[[#This Row],[CurrentStock]]-Table2[[#This Row],[ReorderLevel]]&lt;0,Table2[[#This Row],[CurrentStock]]-Table2[[#This Row],[ReorderLevel]],"")</f>
        <v/>
      </c>
      <c r="N1845" t="str">
        <f>IF(Table2[[#This Row],[Stock Gap]]&lt;0, "Understock","Okay")</f>
        <v>Okay</v>
      </c>
      <c r="O1845" s="13" t="str">
        <f>IF(Table2[[#This Row],[Stock Gap]]&lt;0, "Yes", "No")</f>
        <v>No</v>
      </c>
      <c r="P1845" s="13" t="str">
        <f>IF(Table2[[#This Row],[CurrentStock]]&lt;Table2[[#This Row],[ReorderLevel]],"Reorder", "Okay")</f>
        <v>Okay</v>
      </c>
      <c r="Q1845" s="13" t="str">
        <f>IF(Table2[[#This Row],[CurrentStock]]&gt;Table2[[#This Row],[ReorderLevel]]*3, "Overstock", "Okay")</f>
        <v>Overstock</v>
      </c>
    </row>
    <row r="1846" spans="1:17" x14ac:dyDescent="0.35">
      <c r="A1846">
        <v>47443</v>
      </c>
      <c r="B1846" t="s">
        <v>24</v>
      </c>
      <c r="C1846" t="s">
        <v>30</v>
      </c>
      <c r="D1846">
        <v>473</v>
      </c>
      <c r="E1846">
        <v>80</v>
      </c>
      <c r="F1846" s="2">
        <v>206.01</v>
      </c>
      <c r="G1846" t="s">
        <v>35</v>
      </c>
      <c r="H1846" s="1">
        <v>45597</v>
      </c>
      <c r="I1846" s="1">
        <v>45603</v>
      </c>
      <c r="J1846" t="s">
        <v>36</v>
      </c>
      <c r="K1846" s="8">
        <f>Table2[[#This Row],[CurrentStock]]*Table2[[#This Row],[UnitPrice]]</f>
        <v>97442.73</v>
      </c>
      <c r="L1846" t="str">
        <f>IF(Table2[[#This Row],[CurrentStock]]&lt;=Table2[[#This Row],[ReorderLevel]], "Reorder Needed", "Okay")</f>
        <v>Okay</v>
      </c>
      <c r="M1846" t="str">
        <f>IF(Table2[[#This Row],[CurrentStock]]-Table2[[#This Row],[ReorderLevel]]&lt;0,Table2[[#This Row],[CurrentStock]]-Table2[[#This Row],[ReorderLevel]],"")</f>
        <v/>
      </c>
      <c r="N1846" t="str">
        <f>IF(Table2[[#This Row],[Stock Gap]]&lt;0, "Understock","Okay")</f>
        <v>Okay</v>
      </c>
      <c r="O1846" s="13" t="str">
        <f>IF(Table2[[#This Row],[Stock Gap]]&lt;0, "Yes", "No")</f>
        <v>No</v>
      </c>
      <c r="P1846" s="13" t="str">
        <f>IF(Table2[[#This Row],[CurrentStock]]&lt;Table2[[#This Row],[ReorderLevel]],"Reorder", "Okay")</f>
        <v>Okay</v>
      </c>
      <c r="Q1846" s="13" t="str">
        <f>IF(Table2[[#This Row],[CurrentStock]]&gt;Table2[[#This Row],[ReorderLevel]]*3, "Overstock", "Okay")</f>
        <v>Overstock</v>
      </c>
    </row>
    <row r="1847" spans="1:17" x14ac:dyDescent="0.35">
      <c r="A1847">
        <v>57280</v>
      </c>
      <c r="B1847" t="s">
        <v>23</v>
      </c>
      <c r="C1847" t="s">
        <v>30</v>
      </c>
      <c r="D1847">
        <v>374</v>
      </c>
      <c r="E1847">
        <v>80</v>
      </c>
      <c r="F1847" s="2">
        <v>270.92</v>
      </c>
      <c r="G1847" t="s">
        <v>32</v>
      </c>
      <c r="H1847" s="1">
        <v>45293</v>
      </c>
      <c r="I1847" s="1">
        <v>45315</v>
      </c>
      <c r="J1847" t="s">
        <v>37</v>
      </c>
      <c r="K1847" s="8">
        <f>Table2[[#This Row],[CurrentStock]]*Table2[[#This Row],[UnitPrice]]</f>
        <v>101324.08</v>
      </c>
      <c r="L1847" t="str">
        <f>IF(Table2[[#This Row],[CurrentStock]]&lt;=Table2[[#This Row],[ReorderLevel]], "Reorder Needed", "Okay")</f>
        <v>Okay</v>
      </c>
      <c r="M1847" t="str">
        <f>IF(Table2[[#This Row],[CurrentStock]]-Table2[[#This Row],[ReorderLevel]]&lt;0,Table2[[#This Row],[CurrentStock]]-Table2[[#This Row],[ReorderLevel]],"")</f>
        <v/>
      </c>
      <c r="N1847" t="str">
        <f>IF(Table2[[#This Row],[Stock Gap]]&lt;0, "Understock","Okay")</f>
        <v>Okay</v>
      </c>
      <c r="O1847" s="13" t="str">
        <f>IF(Table2[[#This Row],[Stock Gap]]&lt;0, "Yes", "No")</f>
        <v>No</v>
      </c>
      <c r="P1847" s="13" t="str">
        <f>IF(Table2[[#This Row],[CurrentStock]]&lt;Table2[[#This Row],[ReorderLevel]],"Reorder", "Okay")</f>
        <v>Okay</v>
      </c>
      <c r="Q1847" s="13" t="str">
        <f>IF(Table2[[#This Row],[CurrentStock]]&gt;Table2[[#This Row],[ReorderLevel]]*3, "Overstock", "Okay")</f>
        <v>Overstock</v>
      </c>
    </row>
    <row r="1848" spans="1:17" x14ac:dyDescent="0.35">
      <c r="A1848">
        <v>53025</v>
      </c>
      <c r="B1848" t="s">
        <v>17</v>
      </c>
      <c r="C1848" t="s">
        <v>27</v>
      </c>
      <c r="D1848">
        <v>278</v>
      </c>
      <c r="E1848">
        <v>30</v>
      </c>
      <c r="F1848" s="2">
        <v>407.49</v>
      </c>
      <c r="G1848" t="s">
        <v>32</v>
      </c>
      <c r="H1848" s="1">
        <v>45596</v>
      </c>
      <c r="I1848" s="1">
        <v>45634</v>
      </c>
      <c r="J1848" t="s">
        <v>38</v>
      </c>
      <c r="K1848" s="8">
        <f>Table2[[#This Row],[CurrentStock]]*Table2[[#This Row],[UnitPrice]]</f>
        <v>113282.22</v>
      </c>
      <c r="L1848" t="str">
        <f>IF(Table2[[#This Row],[CurrentStock]]&lt;=Table2[[#This Row],[ReorderLevel]], "Reorder Needed", "Okay")</f>
        <v>Okay</v>
      </c>
      <c r="M1848" t="str">
        <f>IF(Table2[[#This Row],[CurrentStock]]-Table2[[#This Row],[ReorderLevel]]&lt;0,Table2[[#This Row],[CurrentStock]]-Table2[[#This Row],[ReorderLevel]],"")</f>
        <v/>
      </c>
      <c r="N1848" t="str">
        <f>IF(Table2[[#This Row],[Stock Gap]]&lt;0, "Understock","Okay")</f>
        <v>Okay</v>
      </c>
      <c r="O1848" s="13" t="str">
        <f>IF(Table2[[#This Row],[Stock Gap]]&lt;0, "Yes", "No")</f>
        <v>No</v>
      </c>
      <c r="P1848" s="13" t="str">
        <f>IF(Table2[[#This Row],[CurrentStock]]&lt;Table2[[#This Row],[ReorderLevel]],"Reorder", "Okay")</f>
        <v>Okay</v>
      </c>
      <c r="Q1848" s="13" t="str">
        <f>IF(Table2[[#This Row],[CurrentStock]]&gt;Table2[[#This Row],[ReorderLevel]]*3, "Overstock", "Okay")</f>
        <v>Overstock</v>
      </c>
    </row>
    <row r="1849" spans="1:17" x14ac:dyDescent="0.35">
      <c r="A1849">
        <v>69169</v>
      </c>
      <c r="B1849" t="s">
        <v>19</v>
      </c>
      <c r="C1849" t="s">
        <v>28</v>
      </c>
      <c r="D1849">
        <v>442</v>
      </c>
      <c r="E1849">
        <v>80</v>
      </c>
      <c r="F1849" s="2">
        <v>305.64</v>
      </c>
      <c r="G1849" t="s">
        <v>34</v>
      </c>
      <c r="H1849" s="1">
        <v>45611</v>
      </c>
      <c r="I1849" s="1">
        <v>45617</v>
      </c>
      <c r="J1849" t="s">
        <v>36</v>
      </c>
      <c r="K1849" s="8">
        <f>Table2[[#This Row],[CurrentStock]]*Table2[[#This Row],[UnitPrice]]</f>
        <v>135092.88</v>
      </c>
      <c r="L1849" t="str">
        <f>IF(Table2[[#This Row],[CurrentStock]]&lt;=Table2[[#This Row],[ReorderLevel]], "Reorder Needed", "Okay")</f>
        <v>Okay</v>
      </c>
      <c r="M1849" t="str">
        <f>IF(Table2[[#This Row],[CurrentStock]]-Table2[[#This Row],[ReorderLevel]]&lt;0,Table2[[#This Row],[CurrentStock]]-Table2[[#This Row],[ReorderLevel]],"")</f>
        <v/>
      </c>
      <c r="N1849" t="str">
        <f>IF(Table2[[#This Row],[Stock Gap]]&lt;0, "Understock","Okay")</f>
        <v>Okay</v>
      </c>
      <c r="O1849" s="13" t="str">
        <f>IF(Table2[[#This Row],[Stock Gap]]&lt;0, "Yes", "No")</f>
        <v>No</v>
      </c>
      <c r="P1849" s="13" t="str">
        <f>IF(Table2[[#This Row],[CurrentStock]]&lt;Table2[[#This Row],[ReorderLevel]],"Reorder", "Okay")</f>
        <v>Okay</v>
      </c>
      <c r="Q1849" s="13" t="str">
        <f>IF(Table2[[#This Row],[CurrentStock]]&gt;Table2[[#This Row],[ReorderLevel]]*3, "Overstock", "Okay")</f>
        <v>Overstock</v>
      </c>
    </row>
    <row r="1850" spans="1:17" x14ac:dyDescent="0.35">
      <c r="A1850">
        <v>15131</v>
      </c>
      <c r="B1850" t="s">
        <v>21</v>
      </c>
      <c r="C1850" t="s">
        <v>26</v>
      </c>
      <c r="D1850">
        <v>392</v>
      </c>
      <c r="E1850">
        <v>30</v>
      </c>
      <c r="F1850" s="2">
        <v>386.35</v>
      </c>
      <c r="G1850" t="s">
        <v>33</v>
      </c>
      <c r="H1850" s="1">
        <v>45523</v>
      </c>
      <c r="I1850" s="1">
        <v>45537</v>
      </c>
      <c r="J1850" t="s">
        <v>37</v>
      </c>
      <c r="K1850" s="8">
        <f>Table2[[#This Row],[CurrentStock]]*Table2[[#This Row],[UnitPrice]]</f>
        <v>151449.20000000001</v>
      </c>
      <c r="L1850" t="str">
        <f>IF(Table2[[#This Row],[CurrentStock]]&lt;=Table2[[#This Row],[ReorderLevel]], "Reorder Needed", "Okay")</f>
        <v>Okay</v>
      </c>
      <c r="M1850" t="str">
        <f>IF(Table2[[#This Row],[CurrentStock]]-Table2[[#This Row],[ReorderLevel]]&lt;0,Table2[[#This Row],[CurrentStock]]-Table2[[#This Row],[ReorderLevel]],"")</f>
        <v/>
      </c>
      <c r="N1850" t="str">
        <f>IF(Table2[[#This Row],[Stock Gap]]&lt;0, "Understock","Okay")</f>
        <v>Okay</v>
      </c>
      <c r="O1850" s="13" t="str">
        <f>IF(Table2[[#This Row],[Stock Gap]]&lt;0, "Yes", "No")</f>
        <v>No</v>
      </c>
      <c r="P1850" s="13" t="str">
        <f>IF(Table2[[#This Row],[CurrentStock]]&lt;Table2[[#This Row],[ReorderLevel]],"Reorder", "Okay")</f>
        <v>Okay</v>
      </c>
      <c r="Q1850" s="13" t="str">
        <f>IF(Table2[[#This Row],[CurrentStock]]&gt;Table2[[#This Row],[ReorderLevel]]*3, "Overstock", "Okay")</f>
        <v>Overstock</v>
      </c>
    </row>
    <row r="1851" spans="1:17" x14ac:dyDescent="0.35">
      <c r="A1851">
        <v>10891</v>
      </c>
      <c r="B1851" t="s">
        <v>11</v>
      </c>
      <c r="C1851" t="s">
        <v>27</v>
      </c>
      <c r="D1851">
        <v>491</v>
      </c>
      <c r="E1851">
        <v>20</v>
      </c>
      <c r="F1851" s="2">
        <v>348.56</v>
      </c>
      <c r="G1851" t="s">
        <v>35</v>
      </c>
      <c r="H1851" s="1">
        <v>45628</v>
      </c>
      <c r="I1851" s="1">
        <v>45665</v>
      </c>
      <c r="J1851" t="s">
        <v>38</v>
      </c>
      <c r="K1851" s="8">
        <f>Table2[[#This Row],[CurrentStock]]*Table2[[#This Row],[UnitPrice]]</f>
        <v>171142.96</v>
      </c>
      <c r="L1851" t="str">
        <f>IF(Table2[[#This Row],[CurrentStock]]&lt;=Table2[[#This Row],[ReorderLevel]], "Reorder Needed", "Okay")</f>
        <v>Okay</v>
      </c>
      <c r="M1851" t="str">
        <f>IF(Table2[[#This Row],[CurrentStock]]-Table2[[#This Row],[ReorderLevel]]&lt;0,Table2[[#This Row],[CurrentStock]]-Table2[[#This Row],[ReorderLevel]],"")</f>
        <v/>
      </c>
      <c r="N1851" t="str">
        <f>IF(Table2[[#This Row],[Stock Gap]]&lt;0, "Understock","Okay")</f>
        <v>Okay</v>
      </c>
      <c r="O1851" s="13" t="str">
        <f>IF(Table2[[#This Row],[Stock Gap]]&lt;0, "Yes", "No")</f>
        <v>No</v>
      </c>
      <c r="P1851" s="13" t="str">
        <f>IF(Table2[[#This Row],[CurrentStock]]&lt;Table2[[#This Row],[ReorderLevel]],"Reorder", "Okay")</f>
        <v>Okay</v>
      </c>
      <c r="Q1851" s="13" t="str">
        <f>IF(Table2[[#This Row],[CurrentStock]]&gt;Table2[[#This Row],[ReorderLevel]]*3, "Overstock", "Okay")</f>
        <v>Overstock</v>
      </c>
    </row>
    <row r="1852" spans="1:17" x14ac:dyDescent="0.35">
      <c r="A1852">
        <v>32778</v>
      </c>
      <c r="B1852" t="s">
        <v>9</v>
      </c>
      <c r="C1852" t="s">
        <v>26</v>
      </c>
      <c r="D1852">
        <v>96</v>
      </c>
      <c r="E1852">
        <v>20</v>
      </c>
      <c r="F1852" s="2">
        <v>106.76</v>
      </c>
      <c r="G1852" t="s">
        <v>31</v>
      </c>
      <c r="H1852" s="1">
        <v>45584</v>
      </c>
      <c r="I1852" s="1">
        <v>45590</v>
      </c>
      <c r="J1852" t="s">
        <v>36</v>
      </c>
      <c r="K1852" s="8">
        <f>Table2[[#This Row],[CurrentStock]]*Table2[[#This Row],[UnitPrice]]</f>
        <v>10248.960000000001</v>
      </c>
      <c r="L1852" t="str">
        <f>IF(Table2[[#This Row],[CurrentStock]]&lt;=Table2[[#This Row],[ReorderLevel]], "Reorder Needed", "Okay")</f>
        <v>Okay</v>
      </c>
      <c r="M1852" t="str">
        <f>IF(Table2[[#This Row],[CurrentStock]]-Table2[[#This Row],[ReorderLevel]]&lt;0,Table2[[#This Row],[CurrentStock]]-Table2[[#This Row],[ReorderLevel]],"")</f>
        <v/>
      </c>
      <c r="N1852" t="str">
        <f>IF(Table2[[#This Row],[Stock Gap]]&lt;0, "Understock","Okay")</f>
        <v>Okay</v>
      </c>
      <c r="O1852" s="13" t="str">
        <f>IF(Table2[[#This Row],[Stock Gap]]&lt;0, "Yes", "No")</f>
        <v>No</v>
      </c>
      <c r="P1852" s="13" t="str">
        <f>IF(Table2[[#This Row],[CurrentStock]]&lt;Table2[[#This Row],[ReorderLevel]],"Reorder", "Okay")</f>
        <v>Okay</v>
      </c>
      <c r="Q1852" s="13" t="str">
        <f>IF(Table2[[#This Row],[CurrentStock]]&gt;Table2[[#This Row],[ReorderLevel]]*3, "Overstock", "Okay")</f>
        <v>Overstock</v>
      </c>
    </row>
    <row r="1853" spans="1:17" x14ac:dyDescent="0.35">
      <c r="A1853">
        <v>29521</v>
      </c>
      <c r="B1853" t="s">
        <v>23</v>
      </c>
      <c r="C1853" t="s">
        <v>30</v>
      </c>
      <c r="D1853">
        <v>434</v>
      </c>
      <c r="E1853">
        <v>80</v>
      </c>
      <c r="F1853" s="2">
        <v>467.07</v>
      </c>
      <c r="G1853" t="s">
        <v>31</v>
      </c>
      <c r="H1853" s="1">
        <v>45495</v>
      </c>
      <c r="I1853" s="1">
        <v>45504</v>
      </c>
      <c r="J1853" t="s">
        <v>37</v>
      </c>
      <c r="K1853" s="8">
        <f>Table2[[#This Row],[CurrentStock]]*Table2[[#This Row],[UnitPrice]]</f>
        <v>202708.38</v>
      </c>
      <c r="L1853" t="str">
        <f>IF(Table2[[#This Row],[CurrentStock]]&lt;=Table2[[#This Row],[ReorderLevel]], "Reorder Needed", "Okay")</f>
        <v>Okay</v>
      </c>
      <c r="M1853" t="str">
        <f>IF(Table2[[#This Row],[CurrentStock]]-Table2[[#This Row],[ReorderLevel]]&lt;0,Table2[[#This Row],[CurrentStock]]-Table2[[#This Row],[ReorderLevel]],"")</f>
        <v/>
      </c>
      <c r="N1853" t="str">
        <f>IF(Table2[[#This Row],[Stock Gap]]&lt;0, "Understock","Okay")</f>
        <v>Okay</v>
      </c>
      <c r="O1853" s="13" t="str">
        <f>IF(Table2[[#This Row],[Stock Gap]]&lt;0, "Yes", "No")</f>
        <v>No</v>
      </c>
      <c r="P1853" s="13" t="str">
        <f>IF(Table2[[#This Row],[CurrentStock]]&lt;Table2[[#This Row],[ReorderLevel]],"Reorder", "Okay")</f>
        <v>Okay</v>
      </c>
      <c r="Q1853" s="13" t="str">
        <f>IF(Table2[[#This Row],[CurrentStock]]&gt;Table2[[#This Row],[ReorderLevel]]*3, "Overstock", "Okay")</f>
        <v>Overstock</v>
      </c>
    </row>
    <row r="1854" spans="1:17" x14ac:dyDescent="0.35">
      <c r="A1854">
        <v>50376</v>
      </c>
      <c r="B1854" t="s">
        <v>14</v>
      </c>
      <c r="C1854" t="s">
        <v>28</v>
      </c>
      <c r="D1854">
        <v>372</v>
      </c>
      <c r="E1854">
        <v>30</v>
      </c>
      <c r="F1854" s="2">
        <v>176.52</v>
      </c>
      <c r="G1854" t="s">
        <v>32</v>
      </c>
      <c r="H1854" s="1">
        <v>45509</v>
      </c>
      <c r="I1854" s="1">
        <v>45528</v>
      </c>
      <c r="J1854" t="s">
        <v>38</v>
      </c>
      <c r="K1854" s="8">
        <f>Table2[[#This Row],[CurrentStock]]*Table2[[#This Row],[UnitPrice]]</f>
        <v>65665.440000000002</v>
      </c>
      <c r="L1854" t="str">
        <f>IF(Table2[[#This Row],[CurrentStock]]&lt;=Table2[[#This Row],[ReorderLevel]], "Reorder Needed", "Okay")</f>
        <v>Okay</v>
      </c>
      <c r="M1854" t="str">
        <f>IF(Table2[[#This Row],[CurrentStock]]-Table2[[#This Row],[ReorderLevel]]&lt;0,Table2[[#This Row],[CurrentStock]]-Table2[[#This Row],[ReorderLevel]],"")</f>
        <v/>
      </c>
      <c r="N1854" t="str">
        <f>IF(Table2[[#This Row],[Stock Gap]]&lt;0, "Understock","Okay")</f>
        <v>Okay</v>
      </c>
      <c r="O1854" s="13" t="str">
        <f>IF(Table2[[#This Row],[Stock Gap]]&lt;0, "Yes", "No")</f>
        <v>No</v>
      </c>
      <c r="P1854" s="13" t="str">
        <f>IF(Table2[[#This Row],[CurrentStock]]&lt;Table2[[#This Row],[ReorderLevel]],"Reorder", "Okay")</f>
        <v>Okay</v>
      </c>
      <c r="Q1854" s="13" t="str">
        <f>IF(Table2[[#This Row],[CurrentStock]]&gt;Table2[[#This Row],[ReorderLevel]]*3, "Overstock", "Okay")</f>
        <v>Overstock</v>
      </c>
    </row>
    <row r="1855" spans="1:17" x14ac:dyDescent="0.35">
      <c r="A1855">
        <v>46775</v>
      </c>
      <c r="B1855" t="s">
        <v>18</v>
      </c>
      <c r="C1855" t="s">
        <v>27</v>
      </c>
      <c r="D1855">
        <v>76</v>
      </c>
      <c r="E1855">
        <v>80</v>
      </c>
      <c r="F1855" s="2">
        <v>213.43</v>
      </c>
      <c r="G1855" t="s">
        <v>32</v>
      </c>
      <c r="H1855" s="1">
        <v>45401</v>
      </c>
      <c r="I1855" s="1">
        <v>45438</v>
      </c>
      <c r="J1855" t="s">
        <v>38</v>
      </c>
      <c r="K1855" s="8">
        <f>Table2[[#This Row],[CurrentStock]]*Table2[[#This Row],[UnitPrice]]</f>
        <v>16220.68</v>
      </c>
      <c r="L1855" t="str">
        <f>IF(Table2[[#This Row],[CurrentStock]]&lt;=Table2[[#This Row],[ReorderLevel]], "Reorder Needed", "Okay")</f>
        <v>Reorder Needed</v>
      </c>
      <c r="M1855" s="7">
        <f>IF(Table2[[#This Row],[CurrentStock]]-Table2[[#This Row],[ReorderLevel]]&lt;0,Table2[[#This Row],[CurrentStock]]-Table2[[#This Row],[ReorderLevel]],"")</f>
        <v>-4</v>
      </c>
      <c r="N1855" t="str">
        <f>IF(Table2[[#This Row],[Stock Gap]]&lt;0, "Understock","Okay")</f>
        <v>Understock</v>
      </c>
      <c r="O1855" s="13" t="str">
        <f>IF(Table2[[#This Row],[Stock Gap]]&lt;0, "Yes", "No")</f>
        <v>Yes</v>
      </c>
      <c r="P1855" s="13" t="str">
        <f>IF(Table2[[#This Row],[CurrentStock]]&lt;Table2[[#This Row],[ReorderLevel]],"Reorder", "Okay")</f>
        <v>Reorder</v>
      </c>
      <c r="Q1855" s="13" t="str">
        <f>IF(Table2[[#This Row],[CurrentStock]]&gt;Table2[[#This Row],[ReorderLevel]]*3, "Overstock", "Okay")</f>
        <v>Okay</v>
      </c>
    </row>
    <row r="1856" spans="1:17" x14ac:dyDescent="0.35">
      <c r="A1856">
        <v>17101</v>
      </c>
      <c r="B1856" t="s">
        <v>17</v>
      </c>
      <c r="C1856" t="s">
        <v>27</v>
      </c>
      <c r="D1856">
        <v>34</v>
      </c>
      <c r="E1856">
        <v>30</v>
      </c>
      <c r="F1856" s="2">
        <v>375.13</v>
      </c>
      <c r="G1856" t="s">
        <v>35</v>
      </c>
      <c r="H1856" s="1">
        <v>45574</v>
      </c>
      <c r="I1856" s="1">
        <v>45584</v>
      </c>
      <c r="J1856" t="s">
        <v>38</v>
      </c>
      <c r="K1856" s="8">
        <f>Table2[[#This Row],[CurrentStock]]*Table2[[#This Row],[UnitPrice]]</f>
        <v>12754.42</v>
      </c>
      <c r="L1856" t="str">
        <f>IF(Table2[[#This Row],[CurrentStock]]&lt;=Table2[[#This Row],[ReorderLevel]], "Reorder Needed", "Okay")</f>
        <v>Okay</v>
      </c>
      <c r="M1856" t="str">
        <f>IF(Table2[[#This Row],[CurrentStock]]-Table2[[#This Row],[ReorderLevel]]&lt;0,Table2[[#This Row],[CurrentStock]]-Table2[[#This Row],[ReorderLevel]],"")</f>
        <v/>
      </c>
      <c r="N1856" t="str">
        <f>IF(Table2[[#This Row],[Stock Gap]]&lt;0, "Understock","Okay")</f>
        <v>Okay</v>
      </c>
      <c r="O1856" s="13" t="str">
        <f>IF(Table2[[#This Row],[Stock Gap]]&lt;0, "Yes", "No")</f>
        <v>No</v>
      </c>
      <c r="P1856" s="13" t="str">
        <f>IF(Table2[[#This Row],[CurrentStock]]&lt;Table2[[#This Row],[ReorderLevel]],"Reorder", "Okay")</f>
        <v>Okay</v>
      </c>
      <c r="Q1856" s="13" t="str">
        <f>IF(Table2[[#This Row],[CurrentStock]]&gt;Table2[[#This Row],[ReorderLevel]]*3, "Overstock", "Okay")</f>
        <v>Okay</v>
      </c>
    </row>
    <row r="1857" spans="1:17" x14ac:dyDescent="0.35">
      <c r="A1857">
        <v>29276</v>
      </c>
      <c r="B1857" t="s">
        <v>20</v>
      </c>
      <c r="C1857" t="s">
        <v>30</v>
      </c>
      <c r="D1857">
        <v>436</v>
      </c>
      <c r="E1857">
        <v>50</v>
      </c>
      <c r="F1857" s="2">
        <v>393.33</v>
      </c>
      <c r="G1857" t="s">
        <v>32</v>
      </c>
      <c r="H1857" s="1">
        <v>45319</v>
      </c>
      <c r="I1857" s="1">
        <v>45355</v>
      </c>
      <c r="J1857" t="s">
        <v>37</v>
      </c>
      <c r="K1857" s="8">
        <f>Table2[[#This Row],[CurrentStock]]*Table2[[#This Row],[UnitPrice]]</f>
        <v>171491.88</v>
      </c>
      <c r="L1857" t="str">
        <f>IF(Table2[[#This Row],[CurrentStock]]&lt;=Table2[[#This Row],[ReorderLevel]], "Reorder Needed", "Okay")</f>
        <v>Okay</v>
      </c>
      <c r="M1857" t="str">
        <f>IF(Table2[[#This Row],[CurrentStock]]-Table2[[#This Row],[ReorderLevel]]&lt;0,Table2[[#This Row],[CurrentStock]]-Table2[[#This Row],[ReorderLevel]],"")</f>
        <v/>
      </c>
      <c r="N1857" t="str">
        <f>IF(Table2[[#This Row],[Stock Gap]]&lt;0, "Understock","Okay")</f>
        <v>Okay</v>
      </c>
      <c r="O1857" s="13" t="str">
        <f>IF(Table2[[#This Row],[Stock Gap]]&lt;0, "Yes", "No")</f>
        <v>No</v>
      </c>
      <c r="P1857" s="13" t="str">
        <f>IF(Table2[[#This Row],[CurrentStock]]&lt;Table2[[#This Row],[ReorderLevel]],"Reorder", "Okay")</f>
        <v>Okay</v>
      </c>
      <c r="Q1857" s="13" t="str">
        <f>IF(Table2[[#This Row],[CurrentStock]]&gt;Table2[[#This Row],[ReorderLevel]]*3, "Overstock", "Okay")</f>
        <v>Overstock</v>
      </c>
    </row>
    <row r="1858" spans="1:17" x14ac:dyDescent="0.35">
      <c r="A1858">
        <v>20862</v>
      </c>
      <c r="B1858" t="s">
        <v>19</v>
      </c>
      <c r="C1858" t="s">
        <v>28</v>
      </c>
      <c r="D1858">
        <v>423</v>
      </c>
      <c r="E1858">
        <v>40</v>
      </c>
      <c r="F1858" s="2">
        <v>18.61</v>
      </c>
      <c r="G1858" t="s">
        <v>34</v>
      </c>
      <c r="H1858" s="1">
        <v>45646</v>
      </c>
      <c r="I1858" s="1">
        <v>45664</v>
      </c>
      <c r="J1858" t="s">
        <v>38</v>
      </c>
      <c r="K1858" s="8">
        <f>Table2[[#This Row],[CurrentStock]]*Table2[[#This Row],[UnitPrice]]</f>
        <v>7872.03</v>
      </c>
      <c r="L1858" t="str">
        <f>IF(Table2[[#This Row],[CurrentStock]]&lt;=Table2[[#This Row],[ReorderLevel]], "Reorder Needed", "Okay")</f>
        <v>Okay</v>
      </c>
      <c r="M1858" t="str">
        <f>IF(Table2[[#This Row],[CurrentStock]]-Table2[[#This Row],[ReorderLevel]]&lt;0,Table2[[#This Row],[CurrentStock]]-Table2[[#This Row],[ReorderLevel]],"")</f>
        <v/>
      </c>
      <c r="N1858" t="str">
        <f>IF(Table2[[#This Row],[Stock Gap]]&lt;0, "Understock","Okay")</f>
        <v>Okay</v>
      </c>
      <c r="O1858" s="13" t="str">
        <f>IF(Table2[[#This Row],[Stock Gap]]&lt;0, "Yes", "No")</f>
        <v>No</v>
      </c>
      <c r="P1858" s="13" t="str">
        <f>IF(Table2[[#This Row],[CurrentStock]]&lt;Table2[[#This Row],[ReorderLevel]],"Reorder", "Okay")</f>
        <v>Okay</v>
      </c>
      <c r="Q1858" s="13" t="str">
        <f>IF(Table2[[#This Row],[CurrentStock]]&gt;Table2[[#This Row],[ReorderLevel]]*3, "Overstock", "Okay")</f>
        <v>Overstock</v>
      </c>
    </row>
    <row r="1859" spans="1:17" x14ac:dyDescent="0.35">
      <c r="A1859">
        <v>32942</v>
      </c>
      <c r="B1859" t="s">
        <v>23</v>
      </c>
      <c r="C1859" t="s">
        <v>30</v>
      </c>
      <c r="D1859">
        <v>161</v>
      </c>
      <c r="E1859">
        <v>50</v>
      </c>
      <c r="F1859" s="2">
        <v>265.93</v>
      </c>
      <c r="G1859" t="s">
        <v>33</v>
      </c>
      <c r="H1859" s="1">
        <v>45622</v>
      </c>
      <c r="I1859" s="1">
        <v>45639</v>
      </c>
      <c r="J1859" t="s">
        <v>36</v>
      </c>
      <c r="K1859" s="8">
        <f>Table2[[#This Row],[CurrentStock]]*Table2[[#This Row],[UnitPrice]]</f>
        <v>42814.73</v>
      </c>
      <c r="L1859" t="str">
        <f>IF(Table2[[#This Row],[CurrentStock]]&lt;=Table2[[#This Row],[ReorderLevel]], "Reorder Needed", "Okay")</f>
        <v>Okay</v>
      </c>
      <c r="M1859" t="str">
        <f>IF(Table2[[#This Row],[CurrentStock]]-Table2[[#This Row],[ReorderLevel]]&lt;0,Table2[[#This Row],[CurrentStock]]-Table2[[#This Row],[ReorderLevel]],"")</f>
        <v/>
      </c>
      <c r="N1859" t="str">
        <f>IF(Table2[[#This Row],[Stock Gap]]&lt;0, "Understock","Okay")</f>
        <v>Okay</v>
      </c>
      <c r="O1859" s="13" t="str">
        <f>IF(Table2[[#This Row],[Stock Gap]]&lt;0, "Yes", "No")</f>
        <v>No</v>
      </c>
      <c r="P1859" s="13" t="str">
        <f>IF(Table2[[#This Row],[CurrentStock]]&lt;Table2[[#This Row],[ReorderLevel]],"Reorder", "Okay")</f>
        <v>Okay</v>
      </c>
      <c r="Q1859" s="13" t="str">
        <f>IF(Table2[[#This Row],[CurrentStock]]&gt;Table2[[#This Row],[ReorderLevel]]*3, "Overstock", "Okay")</f>
        <v>Overstock</v>
      </c>
    </row>
    <row r="1860" spans="1:17" x14ac:dyDescent="0.35">
      <c r="A1860">
        <v>68434</v>
      </c>
      <c r="B1860" t="s">
        <v>23</v>
      </c>
      <c r="C1860" t="s">
        <v>30</v>
      </c>
      <c r="D1860">
        <v>116</v>
      </c>
      <c r="E1860">
        <v>20</v>
      </c>
      <c r="F1860" s="2">
        <v>438.77</v>
      </c>
      <c r="G1860" t="s">
        <v>31</v>
      </c>
      <c r="H1860" s="1">
        <v>45373</v>
      </c>
      <c r="I1860" s="1">
        <v>45383</v>
      </c>
      <c r="J1860" t="s">
        <v>38</v>
      </c>
      <c r="K1860" s="8">
        <f>Table2[[#This Row],[CurrentStock]]*Table2[[#This Row],[UnitPrice]]</f>
        <v>50897.32</v>
      </c>
      <c r="L1860" t="str">
        <f>IF(Table2[[#This Row],[CurrentStock]]&lt;=Table2[[#This Row],[ReorderLevel]], "Reorder Needed", "Okay")</f>
        <v>Okay</v>
      </c>
      <c r="M1860" t="str">
        <f>IF(Table2[[#This Row],[CurrentStock]]-Table2[[#This Row],[ReorderLevel]]&lt;0,Table2[[#This Row],[CurrentStock]]-Table2[[#This Row],[ReorderLevel]],"")</f>
        <v/>
      </c>
      <c r="N1860" t="str">
        <f>IF(Table2[[#This Row],[Stock Gap]]&lt;0, "Understock","Okay")</f>
        <v>Okay</v>
      </c>
      <c r="O1860" s="13" t="str">
        <f>IF(Table2[[#This Row],[Stock Gap]]&lt;0, "Yes", "No")</f>
        <v>No</v>
      </c>
      <c r="P1860" s="13" t="str">
        <f>IF(Table2[[#This Row],[CurrentStock]]&lt;Table2[[#This Row],[ReorderLevel]],"Reorder", "Okay")</f>
        <v>Okay</v>
      </c>
      <c r="Q1860" s="13" t="str">
        <f>IF(Table2[[#This Row],[CurrentStock]]&gt;Table2[[#This Row],[ReorderLevel]]*3, "Overstock", "Okay")</f>
        <v>Overstock</v>
      </c>
    </row>
    <row r="1861" spans="1:17" x14ac:dyDescent="0.35">
      <c r="A1861">
        <v>50693</v>
      </c>
      <c r="B1861" t="s">
        <v>19</v>
      </c>
      <c r="C1861" t="s">
        <v>28</v>
      </c>
      <c r="D1861">
        <v>171</v>
      </c>
      <c r="E1861">
        <v>100</v>
      </c>
      <c r="F1861" s="2">
        <v>267.94</v>
      </c>
      <c r="G1861" t="s">
        <v>31</v>
      </c>
      <c r="H1861" s="1">
        <v>45593</v>
      </c>
      <c r="I1861" s="1">
        <v>45616</v>
      </c>
      <c r="J1861" t="s">
        <v>36</v>
      </c>
      <c r="K1861" s="8">
        <f>Table2[[#This Row],[CurrentStock]]*Table2[[#This Row],[UnitPrice]]</f>
        <v>45817.74</v>
      </c>
      <c r="L1861" t="str">
        <f>IF(Table2[[#This Row],[CurrentStock]]&lt;=Table2[[#This Row],[ReorderLevel]], "Reorder Needed", "Okay")</f>
        <v>Okay</v>
      </c>
      <c r="M1861" t="str">
        <f>IF(Table2[[#This Row],[CurrentStock]]-Table2[[#This Row],[ReorderLevel]]&lt;0,Table2[[#This Row],[CurrentStock]]-Table2[[#This Row],[ReorderLevel]],"")</f>
        <v/>
      </c>
      <c r="N1861" t="str">
        <f>IF(Table2[[#This Row],[Stock Gap]]&lt;0, "Understock","Okay")</f>
        <v>Okay</v>
      </c>
      <c r="O1861" s="13" t="str">
        <f>IF(Table2[[#This Row],[Stock Gap]]&lt;0, "Yes", "No")</f>
        <v>No</v>
      </c>
      <c r="P1861" s="13" t="str">
        <f>IF(Table2[[#This Row],[CurrentStock]]&lt;Table2[[#This Row],[ReorderLevel]],"Reorder", "Okay")</f>
        <v>Okay</v>
      </c>
      <c r="Q1861" s="13" t="str">
        <f>IF(Table2[[#This Row],[CurrentStock]]&gt;Table2[[#This Row],[ReorderLevel]]*3, "Overstock", "Okay")</f>
        <v>Okay</v>
      </c>
    </row>
    <row r="1862" spans="1:17" x14ac:dyDescent="0.35">
      <c r="A1862">
        <v>21440</v>
      </c>
      <c r="B1862" t="s">
        <v>22</v>
      </c>
      <c r="C1862" t="s">
        <v>29</v>
      </c>
      <c r="D1862">
        <v>62</v>
      </c>
      <c r="E1862">
        <v>20</v>
      </c>
      <c r="F1862" s="2">
        <v>225.49</v>
      </c>
      <c r="G1862" t="s">
        <v>33</v>
      </c>
      <c r="H1862" s="1">
        <v>45551</v>
      </c>
      <c r="I1862" s="1">
        <v>45580</v>
      </c>
      <c r="J1862" t="s">
        <v>38</v>
      </c>
      <c r="K1862" s="8">
        <f>Table2[[#This Row],[CurrentStock]]*Table2[[#This Row],[UnitPrice]]</f>
        <v>13980.380000000001</v>
      </c>
      <c r="L1862" t="str">
        <f>IF(Table2[[#This Row],[CurrentStock]]&lt;=Table2[[#This Row],[ReorderLevel]], "Reorder Needed", "Okay")</f>
        <v>Okay</v>
      </c>
      <c r="M1862" t="str">
        <f>IF(Table2[[#This Row],[CurrentStock]]-Table2[[#This Row],[ReorderLevel]]&lt;0,Table2[[#This Row],[CurrentStock]]-Table2[[#This Row],[ReorderLevel]],"")</f>
        <v/>
      </c>
      <c r="N1862" t="str">
        <f>IF(Table2[[#This Row],[Stock Gap]]&lt;0, "Understock","Okay")</f>
        <v>Okay</v>
      </c>
      <c r="O1862" s="13" t="str">
        <f>IF(Table2[[#This Row],[Stock Gap]]&lt;0, "Yes", "No")</f>
        <v>No</v>
      </c>
      <c r="P1862" s="13" t="str">
        <f>IF(Table2[[#This Row],[CurrentStock]]&lt;Table2[[#This Row],[ReorderLevel]],"Reorder", "Okay")</f>
        <v>Okay</v>
      </c>
      <c r="Q1862" s="13" t="str">
        <f>IF(Table2[[#This Row],[CurrentStock]]&gt;Table2[[#This Row],[ReorderLevel]]*3, "Overstock", "Okay")</f>
        <v>Overstock</v>
      </c>
    </row>
    <row r="1863" spans="1:17" x14ac:dyDescent="0.35">
      <c r="A1863">
        <v>81839</v>
      </c>
      <c r="B1863" t="s">
        <v>23</v>
      </c>
      <c r="C1863" t="s">
        <v>30</v>
      </c>
      <c r="D1863">
        <v>398</v>
      </c>
      <c r="E1863">
        <v>40</v>
      </c>
      <c r="F1863" s="2">
        <v>116.86</v>
      </c>
      <c r="G1863" t="s">
        <v>32</v>
      </c>
      <c r="H1863" s="1">
        <v>45538</v>
      </c>
      <c r="I1863" s="1">
        <v>45546</v>
      </c>
      <c r="J1863" t="s">
        <v>38</v>
      </c>
      <c r="K1863" s="8">
        <f>Table2[[#This Row],[CurrentStock]]*Table2[[#This Row],[UnitPrice]]</f>
        <v>46510.28</v>
      </c>
      <c r="L1863" t="str">
        <f>IF(Table2[[#This Row],[CurrentStock]]&lt;=Table2[[#This Row],[ReorderLevel]], "Reorder Needed", "Okay")</f>
        <v>Okay</v>
      </c>
      <c r="M1863" t="str">
        <f>IF(Table2[[#This Row],[CurrentStock]]-Table2[[#This Row],[ReorderLevel]]&lt;0,Table2[[#This Row],[CurrentStock]]-Table2[[#This Row],[ReorderLevel]],"")</f>
        <v/>
      </c>
      <c r="N1863" t="str">
        <f>IF(Table2[[#This Row],[Stock Gap]]&lt;0, "Understock","Okay")</f>
        <v>Okay</v>
      </c>
      <c r="O1863" s="13" t="str">
        <f>IF(Table2[[#This Row],[Stock Gap]]&lt;0, "Yes", "No")</f>
        <v>No</v>
      </c>
      <c r="P1863" s="13" t="str">
        <f>IF(Table2[[#This Row],[CurrentStock]]&lt;Table2[[#This Row],[ReorderLevel]],"Reorder", "Okay")</f>
        <v>Okay</v>
      </c>
      <c r="Q1863" s="13" t="str">
        <f>IF(Table2[[#This Row],[CurrentStock]]&gt;Table2[[#This Row],[ReorderLevel]]*3, "Overstock", "Okay")</f>
        <v>Overstock</v>
      </c>
    </row>
    <row r="1864" spans="1:17" x14ac:dyDescent="0.35">
      <c r="A1864">
        <v>78908</v>
      </c>
      <c r="B1864" t="s">
        <v>22</v>
      </c>
      <c r="C1864" t="s">
        <v>29</v>
      </c>
      <c r="D1864">
        <v>417</v>
      </c>
      <c r="E1864">
        <v>100</v>
      </c>
      <c r="F1864" s="2">
        <v>399.19</v>
      </c>
      <c r="G1864" t="s">
        <v>33</v>
      </c>
      <c r="H1864" s="1">
        <v>45409</v>
      </c>
      <c r="I1864" s="1">
        <v>45431</v>
      </c>
      <c r="J1864" t="s">
        <v>36</v>
      </c>
      <c r="K1864" s="8">
        <f>Table2[[#This Row],[CurrentStock]]*Table2[[#This Row],[UnitPrice]]</f>
        <v>166462.23000000001</v>
      </c>
      <c r="L1864" t="str">
        <f>IF(Table2[[#This Row],[CurrentStock]]&lt;=Table2[[#This Row],[ReorderLevel]], "Reorder Needed", "Okay")</f>
        <v>Okay</v>
      </c>
      <c r="M1864" t="str">
        <f>IF(Table2[[#This Row],[CurrentStock]]-Table2[[#This Row],[ReorderLevel]]&lt;0,Table2[[#This Row],[CurrentStock]]-Table2[[#This Row],[ReorderLevel]],"")</f>
        <v/>
      </c>
      <c r="N1864" t="str">
        <f>IF(Table2[[#This Row],[Stock Gap]]&lt;0, "Understock","Okay")</f>
        <v>Okay</v>
      </c>
      <c r="O1864" s="13" t="str">
        <f>IF(Table2[[#This Row],[Stock Gap]]&lt;0, "Yes", "No")</f>
        <v>No</v>
      </c>
      <c r="P1864" s="13" t="str">
        <f>IF(Table2[[#This Row],[CurrentStock]]&lt;Table2[[#This Row],[ReorderLevel]],"Reorder", "Okay")</f>
        <v>Okay</v>
      </c>
      <c r="Q1864" s="13" t="str">
        <f>IF(Table2[[#This Row],[CurrentStock]]&gt;Table2[[#This Row],[ReorderLevel]]*3, "Overstock", "Okay")</f>
        <v>Overstock</v>
      </c>
    </row>
    <row r="1865" spans="1:17" x14ac:dyDescent="0.35">
      <c r="A1865">
        <v>80683</v>
      </c>
      <c r="B1865" t="s">
        <v>18</v>
      </c>
      <c r="C1865" t="s">
        <v>27</v>
      </c>
      <c r="D1865">
        <v>410</v>
      </c>
      <c r="E1865">
        <v>30</v>
      </c>
      <c r="F1865" s="2">
        <v>469.37</v>
      </c>
      <c r="G1865" t="s">
        <v>33</v>
      </c>
      <c r="H1865" s="1">
        <v>45588</v>
      </c>
      <c r="I1865" s="1">
        <v>45618</v>
      </c>
      <c r="J1865" t="s">
        <v>37</v>
      </c>
      <c r="K1865" s="8">
        <f>Table2[[#This Row],[CurrentStock]]*Table2[[#This Row],[UnitPrice]]</f>
        <v>192441.7</v>
      </c>
      <c r="L1865" t="str">
        <f>IF(Table2[[#This Row],[CurrentStock]]&lt;=Table2[[#This Row],[ReorderLevel]], "Reorder Needed", "Okay")</f>
        <v>Okay</v>
      </c>
      <c r="M1865" t="str">
        <f>IF(Table2[[#This Row],[CurrentStock]]-Table2[[#This Row],[ReorderLevel]]&lt;0,Table2[[#This Row],[CurrentStock]]-Table2[[#This Row],[ReorderLevel]],"")</f>
        <v/>
      </c>
      <c r="N1865" t="str">
        <f>IF(Table2[[#This Row],[Stock Gap]]&lt;0, "Understock","Okay")</f>
        <v>Okay</v>
      </c>
      <c r="O1865" s="13" t="str">
        <f>IF(Table2[[#This Row],[Stock Gap]]&lt;0, "Yes", "No")</f>
        <v>No</v>
      </c>
      <c r="P1865" s="13" t="str">
        <f>IF(Table2[[#This Row],[CurrentStock]]&lt;Table2[[#This Row],[ReorderLevel]],"Reorder", "Okay")</f>
        <v>Okay</v>
      </c>
      <c r="Q1865" s="13" t="str">
        <f>IF(Table2[[#This Row],[CurrentStock]]&gt;Table2[[#This Row],[ReorderLevel]]*3, "Overstock", "Okay")</f>
        <v>Overstock</v>
      </c>
    </row>
    <row r="1866" spans="1:17" x14ac:dyDescent="0.35">
      <c r="A1866">
        <v>45391</v>
      </c>
      <c r="B1866" t="s">
        <v>14</v>
      </c>
      <c r="C1866" t="s">
        <v>28</v>
      </c>
      <c r="D1866">
        <v>101</v>
      </c>
      <c r="E1866">
        <v>30</v>
      </c>
      <c r="F1866" s="2">
        <v>337.11</v>
      </c>
      <c r="G1866" t="s">
        <v>33</v>
      </c>
      <c r="H1866" s="1">
        <v>45391</v>
      </c>
      <c r="I1866" s="1">
        <v>45414</v>
      </c>
      <c r="J1866" t="s">
        <v>37</v>
      </c>
      <c r="K1866" s="8">
        <f>Table2[[#This Row],[CurrentStock]]*Table2[[#This Row],[UnitPrice]]</f>
        <v>34048.11</v>
      </c>
      <c r="L1866" t="str">
        <f>IF(Table2[[#This Row],[CurrentStock]]&lt;=Table2[[#This Row],[ReorderLevel]], "Reorder Needed", "Okay")</f>
        <v>Okay</v>
      </c>
      <c r="M1866" t="str">
        <f>IF(Table2[[#This Row],[CurrentStock]]-Table2[[#This Row],[ReorderLevel]]&lt;0,Table2[[#This Row],[CurrentStock]]-Table2[[#This Row],[ReorderLevel]],"")</f>
        <v/>
      </c>
      <c r="N1866" t="str">
        <f>IF(Table2[[#This Row],[Stock Gap]]&lt;0, "Understock","Okay")</f>
        <v>Okay</v>
      </c>
      <c r="O1866" s="13" t="str">
        <f>IF(Table2[[#This Row],[Stock Gap]]&lt;0, "Yes", "No")</f>
        <v>No</v>
      </c>
      <c r="P1866" s="13" t="str">
        <f>IF(Table2[[#This Row],[CurrentStock]]&lt;Table2[[#This Row],[ReorderLevel]],"Reorder", "Okay")</f>
        <v>Okay</v>
      </c>
      <c r="Q1866" s="13" t="str">
        <f>IF(Table2[[#This Row],[CurrentStock]]&gt;Table2[[#This Row],[ReorderLevel]]*3, "Overstock", "Okay")</f>
        <v>Overstock</v>
      </c>
    </row>
    <row r="1867" spans="1:17" x14ac:dyDescent="0.35">
      <c r="A1867">
        <v>95380</v>
      </c>
      <c r="B1867" t="s">
        <v>13</v>
      </c>
      <c r="C1867" t="s">
        <v>26</v>
      </c>
      <c r="D1867">
        <v>140</v>
      </c>
      <c r="E1867">
        <v>20</v>
      </c>
      <c r="F1867" s="2">
        <v>205.11</v>
      </c>
      <c r="G1867" t="s">
        <v>34</v>
      </c>
      <c r="H1867" s="1">
        <v>45383</v>
      </c>
      <c r="I1867" s="1">
        <v>45417</v>
      </c>
      <c r="J1867" t="s">
        <v>38</v>
      </c>
      <c r="K1867" s="8">
        <f>Table2[[#This Row],[CurrentStock]]*Table2[[#This Row],[UnitPrice]]</f>
        <v>28715.4</v>
      </c>
      <c r="L1867" t="str">
        <f>IF(Table2[[#This Row],[CurrentStock]]&lt;=Table2[[#This Row],[ReorderLevel]], "Reorder Needed", "Okay")</f>
        <v>Okay</v>
      </c>
      <c r="M1867" t="str">
        <f>IF(Table2[[#This Row],[CurrentStock]]-Table2[[#This Row],[ReorderLevel]]&lt;0,Table2[[#This Row],[CurrentStock]]-Table2[[#This Row],[ReorderLevel]],"")</f>
        <v/>
      </c>
      <c r="N1867" t="str">
        <f>IF(Table2[[#This Row],[Stock Gap]]&lt;0, "Understock","Okay")</f>
        <v>Okay</v>
      </c>
      <c r="O1867" s="13" t="str">
        <f>IF(Table2[[#This Row],[Stock Gap]]&lt;0, "Yes", "No")</f>
        <v>No</v>
      </c>
      <c r="P1867" s="13" t="str">
        <f>IF(Table2[[#This Row],[CurrentStock]]&lt;Table2[[#This Row],[ReorderLevel]],"Reorder", "Okay")</f>
        <v>Okay</v>
      </c>
      <c r="Q1867" s="13" t="str">
        <f>IF(Table2[[#This Row],[CurrentStock]]&gt;Table2[[#This Row],[ReorderLevel]]*3, "Overstock", "Okay")</f>
        <v>Overstock</v>
      </c>
    </row>
    <row r="1868" spans="1:17" x14ac:dyDescent="0.35">
      <c r="A1868">
        <v>52801</v>
      </c>
      <c r="B1868" t="s">
        <v>12</v>
      </c>
      <c r="C1868" t="s">
        <v>28</v>
      </c>
      <c r="D1868">
        <v>276</v>
      </c>
      <c r="E1868">
        <v>100</v>
      </c>
      <c r="F1868" s="2">
        <v>135.04</v>
      </c>
      <c r="G1868" t="s">
        <v>32</v>
      </c>
      <c r="H1868" s="1">
        <v>45412</v>
      </c>
      <c r="I1868" s="1">
        <v>45422</v>
      </c>
      <c r="J1868" t="s">
        <v>37</v>
      </c>
      <c r="K1868" s="8">
        <f>Table2[[#This Row],[CurrentStock]]*Table2[[#This Row],[UnitPrice]]</f>
        <v>37271.040000000001</v>
      </c>
      <c r="L1868" t="str">
        <f>IF(Table2[[#This Row],[CurrentStock]]&lt;=Table2[[#This Row],[ReorderLevel]], "Reorder Needed", "Okay")</f>
        <v>Okay</v>
      </c>
      <c r="M1868" t="str">
        <f>IF(Table2[[#This Row],[CurrentStock]]-Table2[[#This Row],[ReorderLevel]]&lt;0,Table2[[#This Row],[CurrentStock]]-Table2[[#This Row],[ReorderLevel]],"")</f>
        <v/>
      </c>
      <c r="N1868" t="str">
        <f>IF(Table2[[#This Row],[Stock Gap]]&lt;0, "Understock","Okay")</f>
        <v>Okay</v>
      </c>
      <c r="O1868" s="13" t="str">
        <f>IF(Table2[[#This Row],[Stock Gap]]&lt;0, "Yes", "No")</f>
        <v>No</v>
      </c>
      <c r="P1868" s="13" t="str">
        <f>IF(Table2[[#This Row],[CurrentStock]]&lt;Table2[[#This Row],[ReorderLevel]],"Reorder", "Okay")</f>
        <v>Okay</v>
      </c>
      <c r="Q1868" s="13" t="str">
        <f>IF(Table2[[#This Row],[CurrentStock]]&gt;Table2[[#This Row],[ReorderLevel]]*3, "Overstock", "Okay")</f>
        <v>Okay</v>
      </c>
    </row>
    <row r="1869" spans="1:17" x14ac:dyDescent="0.35">
      <c r="A1869">
        <v>77602</v>
      </c>
      <c r="B1869" t="s">
        <v>17</v>
      </c>
      <c r="C1869" t="s">
        <v>27</v>
      </c>
      <c r="D1869">
        <v>285</v>
      </c>
      <c r="E1869">
        <v>30</v>
      </c>
      <c r="F1869" s="2">
        <v>340.88</v>
      </c>
      <c r="G1869" t="s">
        <v>31</v>
      </c>
      <c r="H1869" s="1">
        <v>45339</v>
      </c>
      <c r="I1869" s="1">
        <v>45366</v>
      </c>
      <c r="J1869" t="s">
        <v>38</v>
      </c>
      <c r="K1869" s="8">
        <f>Table2[[#This Row],[CurrentStock]]*Table2[[#This Row],[UnitPrice]]</f>
        <v>97150.8</v>
      </c>
      <c r="L1869" t="str">
        <f>IF(Table2[[#This Row],[CurrentStock]]&lt;=Table2[[#This Row],[ReorderLevel]], "Reorder Needed", "Okay")</f>
        <v>Okay</v>
      </c>
      <c r="M1869" t="str">
        <f>IF(Table2[[#This Row],[CurrentStock]]-Table2[[#This Row],[ReorderLevel]]&lt;0,Table2[[#This Row],[CurrentStock]]-Table2[[#This Row],[ReorderLevel]],"")</f>
        <v/>
      </c>
      <c r="N1869" t="str">
        <f>IF(Table2[[#This Row],[Stock Gap]]&lt;0, "Understock","Okay")</f>
        <v>Okay</v>
      </c>
      <c r="O1869" s="13" t="str">
        <f>IF(Table2[[#This Row],[Stock Gap]]&lt;0, "Yes", "No")</f>
        <v>No</v>
      </c>
      <c r="P1869" s="13" t="str">
        <f>IF(Table2[[#This Row],[CurrentStock]]&lt;Table2[[#This Row],[ReorderLevel]],"Reorder", "Okay")</f>
        <v>Okay</v>
      </c>
      <c r="Q1869" s="13" t="str">
        <f>IF(Table2[[#This Row],[CurrentStock]]&gt;Table2[[#This Row],[ReorderLevel]]*3, "Overstock", "Okay")</f>
        <v>Overstock</v>
      </c>
    </row>
    <row r="1870" spans="1:17" x14ac:dyDescent="0.35">
      <c r="A1870">
        <v>56390</v>
      </c>
      <c r="B1870" t="s">
        <v>25</v>
      </c>
      <c r="C1870" t="s">
        <v>29</v>
      </c>
      <c r="D1870">
        <v>91</v>
      </c>
      <c r="E1870">
        <v>30</v>
      </c>
      <c r="F1870" s="2">
        <v>365.54</v>
      </c>
      <c r="G1870" t="s">
        <v>35</v>
      </c>
      <c r="H1870" s="1">
        <v>45441</v>
      </c>
      <c r="I1870" s="1">
        <v>45472</v>
      </c>
      <c r="J1870" t="s">
        <v>36</v>
      </c>
      <c r="K1870" s="8">
        <f>Table2[[#This Row],[CurrentStock]]*Table2[[#This Row],[UnitPrice]]</f>
        <v>33264.14</v>
      </c>
      <c r="L1870" t="str">
        <f>IF(Table2[[#This Row],[CurrentStock]]&lt;=Table2[[#This Row],[ReorderLevel]], "Reorder Needed", "Okay")</f>
        <v>Okay</v>
      </c>
      <c r="M1870" t="str">
        <f>IF(Table2[[#This Row],[CurrentStock]]-Table2[[#This Row],[ReorderLevel]]&lt;0,Table2[[#This Row],[CurrentStock]]-Table2[[#This Row],[ReorderLevel]],"")</f>
        <v/>
      </c>
      <c r="N1870" t="str">
        <f>IF(Table2[[#This Row],[Stock Gap]]&lt;0, "Understock","Okay")</f>
        <v>Okay</v>
      </c>
      <c r="O1870" s="13" t="str">
        <f>IF(Table2[[#This Row],[Stock Gap]]&lt;0, "Yes", "No")</f>
        <v>No</v>
      </c>
      <c r="P1870" s="13" t="str">
        <f>IF(Table2[[#This Row],[CurrentStock]]&lt;Table2[[#This Row],[ReorderLevel]],"Reorder", "Okay")</f>
        <v>Okay</v>
      </c>
      <c r="Q1870" s="13" t="str">
        <f>IF(Table2[[#This Row],[CurrentStock]]&gt;Table2[[#This Row],[ReorderLevel]]*3, "Overstock", "Okay")</f>
        <v>Overstock</v>
      </c>
    </row>
    <row r="1871" spans="1:17" x14ac:dyDescent="0.35">
      <c r="A1871">
        <v>82043</v>
      </c>
      <c r="B1871" t="s">
        <v>14</v>
      </c>
      <c r="C1871" t="s">
        <v>28</v>
      </c>
      <c r="D1871">
        <v>467</v>
      </c>
      <c r="E1871">
        <v>20</v>
      </c>
      <c r="F1871" s="2">
        <v>181.43</v>
      </c>
      <c r="G1871" t="s">
        <v>31</v>
      </c>
      <c r="H1871" s="1">
        <v>45633</v>
      </c>
      <c r="I1871" s="1">
        <v>45663</v>
      </c>
      <c r="J1871" t="s">
        <v>37</v>
      </c>
      <c r="K1871" s="8">
        <f>Table2[[#This Row],[CurrentStock]]*Table2[[#This Row],[UnitPrice]]</f>
        <v>84727.81</v>
      </c>
      <c r="L1871" t="str">
        <f>IF(Table2[[#This Row],[CurrentStock]]&lt;=Table2[[#This Row],[ReorderLevel]], "Reorder Needed", "Okay")</f>
        <v>Okay</v>
      </c>
      <c r="M1871" t="str">
        <f>IF(Table2[[#This Row],[CurrentStock]]-Table2[[#This Row],[ReorderLevel]]&lt;0,Table2[[#This Row],[CurrentStock]]-Table2[[#This Row],[ReorderLevel]],"")</f>
        <v/>
      </c>
      <c r="N1871" t="str">
        <f>IF(Table2[[#This Row],[Stock Gap]]&lt;0, "Understock","Okay")</f>
        <v>Okay</v>
      </c>
      <c r="O1871" s="13" t="str">
        <f>IF(Table2[[#This Row],[Stock Gap]]&lt;0, "Yes", "No")</f>
        <v>No</v>
      </c>
      <c r="P1871" s="13" t="str">
        <f>IF(Table2[[#This Row],[CurrentStock]]&lt;Table2[[#This Row],[ReorderLevel]],"Reorder", "Okay")</f>
        <v>Okay</v>
      </c>
      <c r="Q1871" s="13" t="str">
        <f>IF(Table2[[#This Row],[CurrentStock]]&gt;Table2[[#This Row],[ReorderLevel]]*3, "Overstock", "Okay")</f>
        <v>Overstock</v>
      </c>
    </row>
    <row r="1872" spans="1:17" x14ac:dyDescent="0.35">
      <c r="A1872">
        <v>27970</v>
      </c>
      <c r="B1872" t="s">
        <v>11</v>
      </c>
      <c r="C1872" t="s">
        <v>27</v>
      </c>
      <c r="D1872">
        <v>262</v>
      </c>
      <c r="E1872">
        <v>50</v>
      </c>
      <c r="F1872" s="2">
        <v>470.21</v>
      </c>
      <c r="G1872" t="s">
        <v>31</v>
      </c>
      <c r="H1872" s="1">
        <v>45527</v>
      </c>
      <c r="I1872" s="1">
        <v>45547</v>
      </c>
      <c r="J1872" t="s">
        <v>37</v>
      </c>
      <c r="K1872" s="8">
        <f>Table2[[#This Row],[CurrentStock]]*Table2[[#This Row],[UnitPrice]]</f>
        <v>123195.01999999999</v>
      </c>
      <c r="L1872" t="str">
        <f>IF(Table2[[#This Row],[CurrentStock]]&lt;=Table2[[#This Row],[ReorderLevel]], "Reorder Needed", "Okay")</f>
        <v>Okay</v>
      </c>
      <c r="M1872" t="str">
        <f>IF(Table2[[#This Row],[CurrentStock]]-Table2[[#This Row],[ReorderLevel]]&lt;0,Table2[[#This Row],[CurrentStock]]-Table2[[#This Row],[ReorderLevel]],"")</f>
        <v/>
      </c>
      <c r="N1872" t="str">
        <f>IF(Table2[[#This Row],[Stock Gap]]&lt;0, "Understock","Okay")</f>
        <v>Okay</v>
      </c>
      <c r="O1872" s="13" t="str">
        <f>IF(Table2[[#This Row],[Stock Gap]]&lt;0, "Yes", "No")</f>
        <v>No</v>
      </c>
      <c r="P1872" s="13" t="str">
        <f>IF(Table2[[#This Row],[CurrentStock]]&lt;Table2[[#This Row],[ReorderLevel]],"Reorder", "Okay")</f>
        <v>Okay</v>
      </c>
      <c r="Q1872" s="13" t="str">
        <f>IF(Table2[[#This Row],[CurrentStock]]&gt;Table2[[#This Row],[ReorderLevel]]*3, "Overstock", "Okay")</f>
        <v>Overstock</v>
      </c>
    </row>
    <row r="1873" spans="1:17" x14ac:dyDescent="0.35">
      <c r="A1873">
        <v>93804</v>
      </c>
      <c r="B1873" t="s">
        <v>21</v>
      </c>
      <c r="C1873" t="s">
        <v>26</v>
      </c>
      <c r="D1873">
        <v>331</v>
      </c>
      <c r="E1873">
        <v>40</v>
      </c>
      <c r="F1873" s="2">
        <v>54.33</v>
      </c>
      <c r="G1873" t="s">
        <v>32</v>
      </c>
      <c r="H1873" s="1">
        <v>45421</v>
      </c>
      <c r="I1873" s="1">
        <v>45449</v>
      </c>
      <c r="J1873" t="s">
        <v>38</v>
      </c>
      <c r="K1873" s="8">
        <f>Table2[[#This Row],[CurrentStock]]*Table2[[#This Row],[UnitPrice]]</f>
        <v>17983.23</v>
      </c>
      <c r="L1873" t="str">
        <f>IF(Table2[[#This Row],[CurrentStock]]&lt;=Table2[[#This Row],[ReorderLevel]], "Reorder Needed", "Okay")</f>
        <v>Okay</v>
      </c>
      <c r="M1873" t="str">
        <f>IF(Table2[[#This Row],[CurrentStock]]-Table2[[#This Row],[ReorderLevel]]&lt;0,Table2[[#This Row],[CurrentStock]]-Table2[[#This Row],[ReorderLevel]],"")</f>
        <v/>
      </c>
      <c r="N1873" t="str">
        <f>IF(Table2[[#This Row],[Stock Gap]]&lt;0, "Understock","Okay")</f>
        <v>Okay</v>
      </c>
      <c r="O1873" s="13" t="str">
        <f>IF(Table2[[#This Row],[Stock Gap]]&lt;0, "Yes", "No")</f>
        <v>No</v>
      </c>
      <c r="P1873" s="13" t="str">
        <f>IF(Table2[[#This Row],[CurrentStock]]&lt;Table2[[#This Row],[ReorderLevel]],"Reorder", "Okay")</f>
        <v>Okay</v>
      </c>
      <c r="Q1873" s="13" t="str">
        <f>IF(Table2[[#This Row],[CurrentStock]]&gt;Table2[[#This Row],[ReorderLevel]]*3, "Overstock", "Okay")</f>
        <v>Overstock</v>
      </c>
    </row>
    <row r="1874" spans="1:17" x14ac:dyDescent="0.35">
      <c r="A1874">
        <v>53030</v>
      </c>
      <c r="B1874" t="s">
        <v>20</v>
      </c>
      <c r="C1874" t="s">
        <v>30</v>
      </c>
      <c r="D1874">
        <v>320</v>
      </c>
      <c r="E1874">
        <v>50</v>
      </c>
      <c r="F1874" s="2">
        <v>472.37</v>
      </c>
      <c r="G1874" t="s">
        <v>33</v>
      </c>
      <c r="H1874" s="1">
        <v>45460</v>
      </c>
      <c r="I1874" s="1">
        <v>45475</v>
      </c>
      <c r="J1874" t="s">
        <v>37</v>
      </c>
      <c r="K1874" s="8">
        <f>Table2[[#This Row],[CurrentStock]]*Table2[[#This Row],[UnitPrice]]</f>
        <v>151158.39999999999</v>
      </c>
      <c r="L1874" t="str">
        <f>IF(Table2[[#This Row],[CurrentStock]]&lt;=Table2[[#This Row],[ReorderLevel]], "Reorder Needed", "Okay")</f>
        <v>Okay</v>
      </c>
      <c r="M1874" t="str">
        <f>IF(Table2[[#This Row],[CurrentStock]]-Table2[[#This Row],[ReorderLevel]]&lt;0,Table2[[#This Row],[CurrentStock]]-Table2[[#This Row],[ReorderLevel]],"")</f>
        <v/>
      </c>
      <c r="N1874" t="str">
        <f>IF(Table2[[#This Row],[Stock Gap]]&lt;0, "Understock","Okay")</f>
        <v>Okay</v>
      </c>
      <c r="O1874" s="13" t="str">
        <f>IF(Table2[[#This Row],[Stock Gap]]&lt;0, "Yes", "No")</f>
        <v>No</v>
      </c>
      <c r="P1874" s="13" t="str">
        <f>IF(Table2[[#This Row],[CurrentStock]]&lt;Table2[[#This Row],[ReorderLevel]],"Reorder", "Okay")</f>
        <v>Okay</v>
      </c>
      <c r="Q1874" s="13" t="str">
        <f>IF(Table2[[#This Row],[CurrentStock]]&gt;Table2[[#This Row],[ReorderLevel]]*3, "Overstock", "Okay")</f>
        <v>Overstock</v>
      </c>
    </row>
    <row r="1875" spans="1:17" x14ac:dyDescent="0.35">
      <c r="A1875">
        <v>80474</v>
      </c>
      <c r="B1875" t="s">
        <v>13</v>
      </c>
      <c r="C1875" t="s">
        <v>26</v>
      </c>
      <c r="D1875">
        <v>478</v>
      </c>
      <c r="E1875">
        <v>150</v>
      </c>
      <c r="F1875" s="2">
        <v>82.31</v>
      </c>
      <c r="G1875" t="s">
        <v>31</v>
      </c>
      <c r="H1875" s="1">
        <v>45409</v>
      </c>
      <c r="I1875" s="1">
        <v>45419</v>
      </c>
      <c r="J1875" t="s">
        <v>36</v>
      </c>
      <c r="K1875" s="8">
        <f>Table2[[#This Row],[CurrentStock]]*Table2[[#This Row],[UnitPrice]]</f>
        <v>39344.18</v>
      </c>
      <c r="L1875" t="str">
        <f>IF(Table2[[#This Row],[CurrentStock]]&lt;=Table2[[#This Row],[ReorderLevel]], "Reorder Needed", "Okay")</f>
        <v>Okay</v>
      </c>
      <c r="M1875" t="str">
        <f>IF(Table2[[#This Row],[CurrentStock]]-Table2[[#This Row],[ReorderLevel]]&lt;0,Table2[[#This Row],[CurrentStock]]-Table2[[#This Row],[ReorderLevel]],"")</f>
        <v/>
      </c>
      <c r="N1875" t="str">
        <f>IF(Table2[[#This Row],[Stock Gap]]&lt;0, "Understock","Okay")</f>
        <v>Okay</v>
      </c>
      <c r="O1875" s="13" t="str">
        <f>IF(Table2[[#This Row],[Stock Gap]]&lt;0, "Yes", "No")</f>
        <v>No</v>
      </c>
      <c r="P1875" s="13" t="str">
        <f>IF(Table2[[#This Row],[CurrentStock]]&lt;Table2[[#This Row],[ReorderLevel]],"Reorder", "Okay")</f>
        <v>Okay</v>
      </c>
      <c r="Q1875" s="13" t="str">
        <f>IF(Table2[[#This Row],[CurrentStock]]&gt;Table2[[#This Row],[ReorderLevel]]*3, "Overstock", "Okay")</f>
        <v>Overstock</v>
      </c>
    </row>
    <row r="1876" spans="1:17" x14ac:dyDescent="0.35">
      <c r="A1876">
        <v>34146</v>
      </c>
      <c r="B1876" t="s">
        <v>14</v>
      </c>
      <c r="C1876" t="s">
        <v>28</v>
      </c>
      <c r="D1876">
        <v>50</v>
      </c>
      <c r="E1876">
        <v>80</v>
      </c>
      <c r="F1876" s="2">
        <v>97.42</v>
      </c>
      <c r="G1876" t="s">
        <v>34</v>
      </c>
      <c r="H1876" s="1">
        <v>45540</v>
      </c>
      <c r="I1876" s="1">
        <v>45561</v>
      </c>
      <c r="J1876" t="s">
        <v>37</v>
      </c>
      <c r="K1876" s="8">
        <f>Table2[[#This Row],[CurrentStock]]*Table2[[#This Row],[UnitPrice]]</f>
        <v>4871</v>
      </c>
      <c r="L1876" t="str">
        <f>IF(Table2[[#This Row],[CurrentStock]]&lt;=Table2[[#This Row],[ReorderLevel]], "Reorder Needed", "Okay")</f>
        <v>Reorder Needed</v>
      </c>
      <c r="M1876" s="7">
        <f>IF(Table2[[#This Row],[CurrentStock]]-Table2[[#This Row],[ReorderLevel]]&lt;0,Table2[[#This Row],[CurrentStock]]-Table2[[#This Row],[ReorderLevel]],"")</f>
        <v>-30</v>
      </c>
      <c r="N1876" t="str">
        <f>IF(Table2[[#This Row],[Stock Gap]]&lt;0, "Understock","Okay")</f>
        <v>Understock</v>
      </c>
      <c r="O1876" s="13" t="str">
        <f>IF(Table2[[#This Row],[Stock Gap]]&lt;0, "Yes", "No")</f>
        <v>Yes</v>
      </c>
      <c r="P1876" s="13" t="str">
        <f>IF(Table2[[#This Row],[CurrentStock]]&lt;Table2[[#This Row],[ReorderLevel]],"Reorder", "Okay")</f>
        <v>Reorder</v>
      </c>
      <c r="Q1876" s="13" t="str">
        <f>IF(Table2[[#This Row],[CurrentStock]]&gt;Table2[[#This Row],[ReorderLevel]]*3, "Overstock", "Okay")</f>
        <v>Okay</v>
      </c>
    </row>
    <row r="1877" spans="1:17" x14ac:dyDescent="0.35">
      <c r="A1877">
        <v>48071</v>
      </c>
      <c r="B1877" t="s">
        <v>15</v>
      </c>
      <c r="C1877" t="s">
        <v>29</v>
      </c>
      <c r="D1877">
        <v>276</v>
      </c>
      <c r="E1877">
        <v>40</v>
      </c>
      <c r="F1877" s="2">
        <v>127.19</v>
      </c>
      <c r="G1877" t="s">
        <v>35</v>
      </c>
      <c r="H1877" s="1">
        <v>45582</v>
      </c>
      <c r="I1877" s="1">
        <v>45602</v>
      </c>
      <c r="J1877" t="s">
        <v>37</v>
      </c>
      <c r="K1877" s="8">
        <f>Table2[[#This Row],[CurrentStock]]*Table2[[#This Row],[UnitPrice]]</f>
        <v>35104.44</v>
      </c>
      <c r="L1877" t="str">
        <f>IF(Table2[[#This Row],[CurrentStock]]&lt;=Table2[[#This Row],[ReorderLevel]], "Reorder Needed", "Okay")</f>
        <v>Okay</v>
      </c>
      <c r="M1877" t="str">
        <f>IF(Table2[[#This Row],[CurrentStock]]-Table2[[#This Row],[ReorderLevel]]&lt;0,Table2[[#This Row],[CurrentStock]]-Table2[[#This Row],[ReorderLevel]],"")</f>
        <v/>
      </c>
      <c r="N1877" t="str">
        <f>IF(Table2[[#This Row],[Stock Gap]]&lt;0, "Understock","Okay")</f>
        <v>Okay</v>
      </c>
      <c r="O1877" s="13" t="str">
        <f>IF(Table2[[#This Row],[Stock Gap]]&lt;0, "Yes", "No")</f>
        <v>No</v>
      </c>
      <c r="P1877" s="13" t="str">
        <f>IF(Table2[[#This Row],[CurrentStock]]&lt;Table2[[#This Row],[ReorderLevel]],"Reorder", "Okay")</f>
        <v>Okay</v>
      </c>
      <c r="Q1877" s="13" t="str">
        <f>IF(Table2[[#This Row],[CurrentStock]]&gt;Table2[[#This Row],[ReorderLevel]]*3, "Overstock", "Okay")</f>
        <v>Overstock</v>
      </c>
    </row>
    <row r="1878" spans="1:17" x14ac:dyDescent="0.35">
      <c r="A1878">
        <v>76535</v>
      </c>
      <c r="B1878" t="s">
        <v>14</v>
      </c>
      <c r="C1878" t="s">
        <v>28</v>
      </c>
      <c r="D1878">
        <v>468</v>
      </c>
      <c r="E1878">
        <v>50</v>
      </c>
      <c r="F1878" s="2">
        <v>247.19</v>
      </c>
      <c r="G1878" t="s">
        <v>34</v>
      </c>
      <c r="H1878" s="1">
        <v>45580</v>
      </c>
      <c r="I1878" s="1">
        <v>45604</v>
      </c>
      <c r="J1878" t="s">
        <v>36</v>
      </c>
      <c r="K1878" s="8">
        <f>Table2[[#This Row],[CurrentStock]]*Table2[[#This Row],[UnitPrice]]</f>
        <v>115684.92</v>
      </c>
      <c r="L1878" t="str">
        <f>IF(Table2[[#This Row],[CurrentStock]]&lt;=Table2[[#This Row],[ReorderLevel]], "Reorder Needed", "Okay")</f>
        <v>Okay</v>
      </c>
      <c r="M1878" t="str">
        <f>IF(Table2[[#This Row],[CurrentStock]]-Table2[[#This Row],[ReorderLevel]]&lt;0,Table2[[#This Row],[CurrentStock]]-Table2[[#This Row],[ReorderLevel]],"")</f>
        <v/>
      </c>
      <c r="N1878" t="str">
        <f>IF(Table2[[#This Row],[Stock Gap]]&lt;0, "Understock","Okay")</f>
        <v>Okay</v>
      </c>
      <c r="O1878" s="13" t="str">
        <f>IF(Table2[[#This Row],[Stock Gap]]&lt;0, "Yes", "No")</f>
        <v>No</v>
      </c>
      <c r="P1878" s="13" t="str">
        <f>IF(Table2[[#This Row],[CurrentStock]]&lt;Table2[[#This Row],[ReorderLevel]],"Reorder", "Okay")</f>
        <v>Okay</v>
      </c>
      <c r="Q1878" s="13" t="str">
        <f>IF(Table2[[#This Row],[CurrentStock]]&gt;Table2[[#This Row],[ReorderLevel]]*3, "Overstock", "Okay")</f>
        <v>Overstock</v>
      </c>
    </row>
    <row r="1879" spans="1:17" x14ac:dyDescent="0.35">
      <c r="A1879">
        <v>72278</v>
      </c>
      <c r="B1879" t="s">
        <v>10</v>
      </c>
      <c r="C1879" t="s">
        <v>26</v>
      </c>
      <c r="D1879">
        <v>437</v>
      </c>
      <c r="E1879">
        <v>150</v>
      </c>
      <c r="F1879" s="2">
        <v>244.06</v>
      </c>
      <c r="G1879" t="s">
        <v>32</v>
      </c>
      <c r="H1879" s="1">
        <v>45414</v>
      </c>
      <c r="I1879" s="1">
        <v>45440</v>
      </c>
      <c r="J1879" t="s">
        <v>37</v>
      </c>
      <c r="K1879" s="8">
        <f>Table2[[#This Row],[CurrentStock]]*Table2[[#This Row],[UnitPrice]]</f>
        <v>106654.22</v>
      </c>
      <c r="L1879" t="str">
        <f>IF(Table2[[#This Row],[CurrentStock]]&lt;=Table2[[#This Row],[ReorderLevel]], "Reorder Needed", "Okay")</f>
        <v>Okay</v>
      </c>
      <c r="M1879" t="str">
        <f>IF(Table2[[#This Row],[CurrentStock]]-Table2[[#This Row],[ReorderLevel]]&lt;0,Table2[[#This Row],[CurrentStock]]-Table2[[#This Row],[ReorderLevel]],"")</f>
        <v/>
      </c>
      <c r="N1879" t="str">
        <f>IF(Table2[[#This Row],[Stock Gap]]&lt;0, "Understock","Okay")</f>
        <v>Okay</v>
      </c>
      <c r="O1879" s="13" t="str">
        <f>IF(Table2[[#This Row],[Stock Gap]]&lt;0, "Yes", "No")</f>
        <v>No</v>
      </c>
      <c r="P1879" s="13" t="str">
        <f>IF(Table2[[#This Row],[CurrentStock]]&lt;Table2[[#This Row],[ReorderLevel]],"Reorder", "Okay")</f>
        <v>Okay</v>
      </c>
      <c r="Q1879" s="13" t="str">
        <f>IF(Table2[[#This Row],[CurrentStock]]&gt;Table2[[#This Row],[ReorderLevel]]*3, "Overstock", "Okay")</f>
        <v>Okay</v>
      </c>
    </row>
    <row r="1880" spans="1:17" x14ac:dyDescent="0.35">
      <c r="A1880">
        <v>55564</v>
      </c>
      <c r="B1880" t="s">
        <v>18</v>
      </c>
      <c r="C1880" t="s">
        <v>27</v>
      </c>
      <c r="D1880">
        <v>181</v>
      </c>
      <c r="E1880">
        <v>80</v>
      </c>
      <c r="F1880" s="2">
        <v>468.36</v>
      </c>
      <c r="G1880" t="s">
        <v>32</v>
      </c>
      <c r="H1880" s="1">
        <v>45487</v>
      </c>
      <c r="I1880" s="1">
        <v>45511</v>
      </c>
      <c r="J1880" t="s">
        <v>37</v>
      </c>
      <c r="K1880" s="8">
        <f>Table2[[#This Row],[CurrentStock]]*Table2[[#This Row],[UnitPrice]]</f>
        <v>84773.16</v>
      </c>
      <c r="L1880" t="str">
        <f>IF(Table2[[#This Row],[CurrentStock]]&lt;=Table2[[#This Row],[ReorderLevel]], "Reorder Needed", "Okay")</f>
        <v>Okay</v>
      </c>
      <c r="M1880" t="str">
        <f>IF(Table2[[#This Row],[CurrentStock]]-Table2[[#This Row],[ReorderLevel]]&lt;0,Table2[[#This Row],[CurrentStock]]-Table2[[#This Row],[ReorderLevel]],"")</f>
        <v/>
      </c>
      <c r="N1880" t="str">
        <f>IF(Table2[[#This Row],[Stock Gap]]&lt;0, "Understock","Okay")</f>
        <v>Okay</v>
      </c>
      <c r="O1880" s="13" t="str">
        <f>IF(Table2[[#This Row],[Stock Gap]]&lt;0, "Yes", "No")</f>
        <v>No</v>
      </c>
      <c r="P1880" s="13" t="str">
        <f>IF(Table2[[#This Row],[CurrentStock]]&lt;Table2[[#This Row],[ReorderLevel]],"Reorder", "Okay")</f>
        <v>Okay</v>
      </c>
      <c r="Q1880" s="13" t="str">
        <f>IF(Table2[[#This Row],[CurrentStock]]&gt;Table2[[#This Row],[ReorderLevel]]*3, "Overstock", "Okay")</f>
        <v>Okay</v>
      </c>
    </row>
    <row r="1881" spans="1:17" x14ac:dyDescent="0.35">
      <c r="A1881">
        <v>82495</v>
      </c>
      <c r="B1881" t="s">
        <v>23</v>
      </c>
      <c r="C1881" t="s">
        <v>30</v>
      </c>
      <c r="D1881">
        <v>132</v>
      </c>
      <c r="E1881">
        <v>40</v>
      </c>
      <c r="F1881" s="2">
        <v>258.8</v>
      </c>
      <c r="G1881" t="s">
        <v>31</v>
      </c>
      <c r="H1881" s="1">
        <v>45626</v>
      </c>
      <c r="I1881" s="1">
        <v>45636</v>
      </c>
      <c r="J1881" t="s">
        <v>38</v>
      </c>
      <c r="K1881" s="8">
        <f>Table2[[#This Row],[CurrentStock]]*Table2[[#This Row],[UnitPrice]]</f>
        <v>34161.599999999999</v>
      </c>
      <c r="L1881" t="str">
        <f>IF(Table2[[#This Row],[CurrentStock]]&lt;=Table2[[#This Row],[ReorderLevel]], "Reorder Needed", "Okay")</f>
        <v>Okay</v>
      </c>
      <c r="M1881" t="str">
        <f>IF(Table2[[#This Row],[CurrentStock]]-Table2[[#This Row],[ReorderLevel]]&lt;0,Table2[[#This Row],[CurrentStock]]-Table2[[#This Row],[ReorderLevel]],"")</f>
        <v/>
      </c>
      <c r="N1881" t="str">
        <f>IF(Table2[[#This Row],[Stock Gap]]&lt;0, "Understock","Okay")</f>
        <v>Okay</v>
      </c>
      <c r="O1881" s="13" t="str">
        <f>IF(Table2[[#This Row],[Stock Gap]]&lt;0, "Yes", "No")</f>
        <v>No</v>
      </c>
      <c r="P1881" s="13" t="str">
        <f>IF(Table2[[#This Row],[CurrentStock]]&lt;Table2[[#This Row],[ReorderLevel]],"Reorder", "Okay")</f>
        <v>Okay</v>
      </c>
      <c r="Q1881" s="13" t="str">
        <f>IF(Table2[[#This Row],[CurrentStock]]&gt;Table2[[#This Row],[ReorderLevel]]*3, "Overstock", "Okay")</f>
        <v>Overstock</v>
      </c>
    </row>
    <row r="1882" spans="1:17" x14ac:dyDescent="0.35">
      <c r="A1882">
        <v>25437</v>
      </c>
      <c r="B1882" t="s">
        <v>10</v>
      </c>
      <c r="C1882" t="s">
        <v>26</v>
      </c>
      <c r="D1882">
        <v>445</v>
      </c>
      <c r="E1882">
        <v>30</v>
      </c>
      <c r="F1882" s="2">
        <v>172.09</v>
      </c>
      <c r="G1882" t="s">
        <v>33</v>
      </c>
      <c r="H1882" s="1">
        <v>45310</v>
      </c>
      <c r="I1882" s="1">
        <v>45348</v>
      </c>
      <c r="J1882" t="s">
        <v>36</v>
      </c>
      <c r="K1882" s="8">
        <f>Table2[[#This Row],[CurrentStock]]*Table2[[#This Row],[UnitPrice]]</f>
        <v>76580.05</v>
      </c>
      <c r="L1882" t="str">
        <f>IF(Table2[[#This Row],[CurrentStock]]&lt;=Table2[[#This Row],[ReorderLevel]], "Reorder Needed", "Okay")</f>
        <v>Okay</v>
      </c>
      <c r="M1882" t="str">
        <f>IF(Table2[[#This Row],[CurrentStock]]-Table2[[#This Row],[ReorderLevel]]&lt;0,Table2[[#This Row],[CurrentStock]]-Table2[[#This Row],[ReorderLevel]],"")</f>
        <v/>
      </c>
      <c r="N1882" t="str">
        <f>IF(Table2[[#This Row],[Stock Gap]]&lt;0, "Understock","Okay")</f>
        <v>Okay</v>
      </c>
      <c r="O1882" s="13" t="str">
        <f>IF(Table2[[#This Row],[Stock Gap]]&lt;0, "Yes", "No")</f>
        <v>No</v>
      </c>
      <c r="P1882" s="13" t="str">
        <f>IF(Table2[[#This Row],[CurrentStock]]&lt;Table2[[#This Row],[ReorderLevel]],"Reorder", "Okay")</f>
        <v>Okay</v>
      </c>
      <c r="Q1882" s="13" t="str">
        <f>IF(Table2[[#This Row],[CurrentStock]]&gt;Table2[[#This Row],[ReorderLevel]]*3, "Overstock", "Okay")</f>
        <v>Overstock</v>
      </c>
    </row>
    <row r="1883" spans="1:17" x14ac:dyDescent="0.35">
      <c r="A1883">
        <v>31305</v>
      </c>
      <c r="B1883" t="s">
        <v>23</v>
      </c>
      <c r="C1883" t="s">
        <v>30</v>
      </c>
      <c r="D1883">
        <v>364</v>
      </c>
      <c r="E1883">
        <v>20</v>
      </c>
      <c r="F1883" s="2">
        <v>275.63</v>
      </c>
      <c r="G1883" t="s">
        <v>31</v>
      </c>
      <c r="H1883" s="1">
        <v>45320</v>
      </c>
      <c r="I1883" s="1">
        <v>45353</v>
      </c>
      <c r="J1883" t="s">
        <v>37</v>
      </c>
      <c r="K1883" s="8">
        <f>Table2[[#This Row],[CurrentStock]]*Table2[[#This Row],[UnitPrice]]</f>
        <v>100329.31999999999</v>
      </c>
      <c r="L1883" t="str">
        <f>IF(Table2[[#This Row],[CurrentStock]]&lt;=Table2[[#This Row],[ReorderLevel]], "Reorder Needed", "Okay")</f>
        <v>Okay</v>
      </c>
      <c r="M1883" t="str">
        <f>IF(Table2[[#This Row],[CurrentStock]]-Table2[[#This Row],[ReorderLevel]]&lt;0,Table2[[#This Row],[CurrentStock]]-Table2[[#This Row],[ReorderLevel]],"")</f>
        <v/>
      </c>
      <c r="N1883" t="str">
        <f>IF(Table2[[#This Row],[Stock Gap]]&lt;0, "Understock","Okay")</f>
        <v>Okay</v>
      </c>
      <c r="O1883" s="13" t="str">
        <f>IF(Table2[[#This Row],[Stock Gap]]&lt;0, "Yes", "No")</f>
        <v>No</v>
      </c>
      <c r="P1883" s="13" t="str">
        <f>IF(Table2[[#This Row],[CurrentStock]]&lt;Table2[[#This Row],[ReorderLevel]],"Reorder", "Okay")</f>
        <v>Okay</v>
      </c>
      <c r="Q1883" s="13" t="str">
        <f>IF(Table2[[#This Row],[CurrentStock]]&gt;Table2[[#This Row],[ReorderLevel]]*3, "Overstock", "Okay")</f>
        <v>Overstock</v>
      </c>
    </row>
    <row r="1884" spans="1:17" x14ac:dyDescent="0.35">
      <c r="A1884">
        <v>50122</v>
      </c>
      <c r="B1884" t="s">
        <v>12</v>
      </c>
      <c r="C1884" t="s">
        <v>28</v>
      </c>
      <c r="D1884">
        <v>304</v>
      </c>
      <c r="E1884">
        <v>100</v>
      </c>
      <c r="F1884" s="2">
        <v>306.41000000000003</v>
      </c>
      <c r="G1884" t="s">
        <v>33</v>
      </c>
      <c r="H1884" s="1">
        <v>45497</v>
      </c>
      <c r="I1884" s="1">
        <v>45511</v>
      </c>
      <c r="J1884" t="s">
        <v>38</v>
      </c>
      <c r="K1884" s="8">
        <f>Table2[[#This Row],[CurrentStock]]*Table2[[#This Row],[UnitPrice]]</f>
        <v>93148.640000000014</v>
      </c>
      <c r="L1884" t="str">
        <f>IF(Table2[[#This Row],[CurrentStock]]&lt;=Table2[[#This Row],[ReorderLevel]], "Reorder Needed", "Okay")</f>
        <v>Okay</v>
      </c>
      <c r="M1884" t="str">
        <f>IF(Table2[[#This Row],[CurrentStock]]-Table2[[#This Row],[ReorderLevel]]&lt;0,Table2[[#This Row],[CurrentStock]]-Table2[[#This Row],[ReorderLevel]],"")</f>
        <v/>
      </c>
      <c r="N1884" t="str">
        <f>IF(Table2[[#This Row],[Stock Gap]]&lt;0, "Understock","Okay")</f>
        <v>Okay</v>
      </c>
      <c r="O1884" s="13" t="str">
        <f>IF(Table2[[#This Row],[Stock Gap]]&lt;0, "Yes", "No")</f>
        <v>No</v>
      </c>
      <c r="P1884" s="13" t="str">
        <f>IF(Table2[[#This Row],[CurrentStock]]&lt;Table2[[#This Row],[ReorderLevel]],"Reorder", "Okay")</f>
        <v>Okay</v>
      </c>
      <c r="Q1884" s="13" t="str">
        <f>IF(Table2[[#This Row],[CurrentStock]]&gt;Table2[[#This Row],[ReorderLevel]]*3, "Overstock", "Okay")</f>
        <v>Overstock</v>
      </c>
    </row>
    <row r="1885" spans="1:17" x14ac:dyDescent="0.35">
      <c r="A1885">
        <v>23510</v>
      </c>
      <c r="B1885" t="s">
        <v>24</v>
      </c>
      <c r="C1885" t="s">
        <v>30</v>
      </c>
      <c r="D1885">
        <v>328</v>
      </c>
      <c r="E1885">
        <v>80</v>
      </c>
      <c r="F1885" s="2">
        <v>373.6</v>
      </c>
      <c r="G1885" t="s">
        <v>34</v>
      </c>
      <c r="H1885" s="1">
        <v>45344</v>
      </c>
      <c r="I1885" s="1">
        <v>45362</v>
      </c>
      <c r="J1885" t="s">
        <v>37</v>
      </c>
      <c r="K1885" s="8">
        <f>Table2[[#This Row],[CurrentStock]]*Table2[[#This Row],[UnitPrice]]</f>
        <v>122540.8</v>
      </c>
      <c r="L1885" t="str">
        <f>IF(Table2[[#This Row],[CurrentStock]]&lt;=Table2[[#This Row],[ReorderLevel]], "Reorder Needed", "Okay")</f>
        <v>Okay</v>
      </c>
      <c r="M1885" t="str">
        <f>IF(Table2[[#This Row],[CurrentStock]]-Table2[[#This Row],[ReorderLevel]]&lt;0,Table2[[#This Row],[CurrentStock]]-Table2[[#This Row],[ReorderLevel]],"")</f>
        <v/>
      </c>
      <c r="N1885" t="str">
        <f>IF(Table2[[#This Row],[Stock Gap]]&lt;0, "Understock","Okay")</f>
        <v>Okay</v>
      </c>
      <c r="O1885" s="13" t="str">
        <f>IF(Table2[[#This Row],[Stock Gap]]&lt;0, "Yes", "No")</f>
        <v>No</v>
      </c>
      <c r="P1885" s="13" t="str">
        <f>IF(Table2[[#This Row],[CurrentStock]]&lt;Table2[[#This Row],[ReorderLevel]],"Reorder", "Okay")</f>
        <v>Okay</v>
      </c>
      <c r="Q1885" s="13" t="str">
        <f>IF(Table2[[#This Row],[CurrentStock]]&gt;Table2[[#This Row],[ReorderLevel]]*3, "Overstock", "Okay")</f>
        <v>Overstock</v>
      </c>
    </row>
    <row r="1886" spans="1:17" x14ac:dyDescent="0.35">
      <c r="A1886">
        <v>68860</v>
      </c>
      <c r="B1886" t="s">
        <v>11</v>
      </c>
      <c r="C1886" t="s">
        <v>27</v>
      </c>
      <c r="D1886">
        <v>171</v>
      </c>
      <c r="E1886">
        <v>100</v>
      </c>
      <c r="F1886" s="2">
        <v>281.47000000000003</v>
      </c>
      <c r="G1886" t="s">
        <v>34</v>
      </c>
      <c r="H1886" s="1">
        <v>45477</v>
      </c>
      <c r="I1886" s="1">
        <v>45509</v>
      </c>
      <c r="J1886" t="s">
        <v>37</v>
      </c>
      <c r="K1886" s="8">
        <f>Table2[[#This Row],[CurrentStock]]*Table2[[#This Row],[UnitPrice]]</f>
        <v>48131.37</v>
      </c>
      <c r="L1886" t="str">
        <f>IF(Table2[[#This Row],[CurrentStock]]&lt;=Table2[[#This Row],[ReorderLevel]], "Reorder Needed", "Okay")</f>
        <v>Okay</v>
      </c>
      <c r="M1886" t="str">
        <f>IF(Table2[[#This Row],[CurrentStock]]-Table2[[#This Row],[ReorderLevel]]&lt;0,Table2[[#This Row],[CurrentStock]]-Table2[[#This Row],[ReorderLevel]],"")</f>
        <v/>
      </c>
      <c r="N1886" t="str">
        <f>IF(Table2[[#This Row],[Stock Gap]]&lt;0, "Understock","Okay")</f>
        <v>Okay</v>
      </c>
      <c r="O1886" s="13" t="str">
        <f>IF(Table2[[#This Row],[Stock Gap]]&lt;0, "Yes", "No")</f>
        <v>No</v>
      </c>
      <c r="P1886" s="13" t="str">
        <f>IF(Table2[[#This Row],[CurrentStock]]&lt;Table2[[#This Row],[ReorderLevel]],"Reorder", "Okay")</f>
        <v>Okay</v>
      </c>
      <c r="Q1886" s="13" t="str">
        <f>IF(Table2[[#This Row],[CurrentStock]]&gt;Table2[[#This Row],[ReorderLevel]]*3, "Overstock", "Okay")</f>
        <v>Okay</v>
      </c>
    </row>
    <row r="1887" spans="1:17" x14ac:dyDescent="0.35">
      <c r="A1887">
        <v>51604</v>
      </c>
      <c r="B1887" t="s">
        <v>20</v>
      </c>
      <c r="C1887" t="s">
        <v>30</v>
      </c>
      <c r="D1887">
        <v>330</v>
      </c>
      <c r="E1887">
        <v>20</v>
      </c>
      <c r="F1887" s="2">
        <v>425.51</v>
      </c>
      <c r="G1887" t="s">
        <v>32</v>
      </c>
      <c r="H1887" s="1">
        <v>45438</v>
      </c>
      <c r="I1887" s="1">
        <v>45460</v>
      </c>
      <c r="J1887" t="s">
        <v>37</v>
      </c>
      <c r="K1887" s="8">
        <f>Table2[[#This Row],[CurrentStock]]*Table2[[#This Row],[UnitPrice]]</f>
        <v>140418.29999999999</v>
      </c>
      <c r="L1887" t="str">
        <f>IF(Table2[[#This Row],[CurrentStock]]&lt;=Table2[[#This Row],[ReorderLevel]], "Reorder Needed", "Okay")</f>
        <v>Okay</v>
      </c>
      <c r="M1887" t="str">
        <f>IF(Table2[[#This Row],[CurrentStock]]-Table2[[#This Row],[ReorderLevel]]&lt;0,Table2[[#This Row],[CurrentStock]]-Table2[[#This Row],[ReorderLevel]],"")</f>
        <v/>
      </c>
      <c r="N1887" t="str">
        <f>IF(Table2[[#This Row],[Stock Gap]]&lt;0, "Understock","Okay")</f>
        <v>Okay</v>
      </c>
      <c r="O1887" s="13" t="str">
        <f>IF(Table2[[#This Row],[Stock Gap]]&lt;0, "Yes", "No")</f>
        <v>No</v>
      </c>
      <c r="P1887" s="13" t="str">
        <f>IF(Table2[[#This Row],[CurrentStock]]&lt;Table2[[#This Row],[ReorderLevel]],"Reorder", "Okay")</f>
        <v>Okay</v>
      </c>
      <c r="Q1887" s="13" t="str">
        <f>IF(Table2[[#This Row],[CurrentStock]]&gt;Table2[[#This Row],[ReorderLevel]]*3, "Overstock", "Okay")</f>
        <v>Overstock</v>
      </c>
    </row>
    <row r="1888" spans="1:17" x14ac:dyDescent="0.35">
      <c r="A1888">
        <v>56235</v>
      </c>
      <c r="B1888" t="s">
        <v>23</v>
      </c>
      <c r="C1888" t="s">
        <v>30</v>
      </c>
      <c r="D1888">
        <v>111</v>
      </c>
      <c r="E1888">
        <v>150</v>
      </c>
      <c r="F1888" s="2">
        <v>245.85</v>
      </c>
      <c r="G1888" t="s">
        <v>34</v>
      </c>
      <c r="H1888" s="1">
        <v>45348</v>
      </c>
      <c r="I1888" s="1">
        <v>45353</v>
      </c>
      <c r="J1888" t="s">
        <v>38</v>
      </c>
      <c r="K1888" s="8">
        <f>Table2[[#This Row],[CurrentStock]]*Table2[[#This Row],[UnitPrice]]</f>
        <v>27289.35</v>
      </c>
      <c r="L1888" t="str">
        <f>IF(Table2[[#This Row],[CurrentStock]]&lt;=Table2[[#This Row],[ReorderLevel]], "Reorder Needed", "Okay")</f>
        <v>Reorder Needed</v>
      </c>
      <c r="M1888" s="7">
        <f>IF(Table2[[#This Row],[CurrentStock]]-Table2[[#This Row],[ReorderLevel]]&lt;0,Table2[[#This Row],[CurrentStock]]-Table2[[#This Row],[ReorderLevel]],"")</f>
        <v>-39</v>
      </c>
      <c r="N1888" t="str">
        <f>IF(Table2[[#This Row],[Stock Gap]]&lt;0, "Understock","Okay")</f>
        <v>Understock</v>
      </c>
      <c r="O1888" s="13" t="str">
        <f>IF(Table2[[#This Row],[Stock Gap]]&lt;0, "Yes", "No")</f>
        <v>Yes</v>
      </c>
      <c r="P1888" s="13" t="str">
        <f>IF(Table2[[#This Row],[CurrentStock]]&lt;Table2[[#This Row],[ReorderLevel]],"Reorder", "Okay")</f>
        <v>Reorder</v>
      </c>
      <c r="Q1888" s="13" t="str">
        <f>IF(Table2[[#This Row],[CurrentStock]]&gt;Table2[[#This Row],[ReorderLevel]]*3, "Overstock", "Okay")</f>
        <v>Okay</v>
      </c>
    </row>
    <row r="1889" spans="1:17" x14ac:dyDescent="0.35">
      <c r="A1889">
        <v>11316</v>
      </c>
      <c r="B1889" t="s">
        <v>20</v>
      </c>
      <c r="C1889" t="s">
        <v>30</v>
      </c>
      <c r="D1889">
        <v>186</v>
      </c>
      <c r="E1889">
        <v>150</v>
      </c>
      <c r="F1889" s="2">
        <v>473.7</v>
      </c>
      <c r="G1889" t="s">
        <v>33</v>
      </c>
      <c r="H1889" s="1">
        <v>45468</v>
      </c>
      <c r="I1889" s="1">
        <v>45477</v>
      </c>
      <c r="J1889" t="s">
        <v>37</v>
      </c>
      <c r="K1889" s="8">
        <f>Table2[[#This Row],[CurrentStock]]*Table2[[#This Row],[UnitPrice]]</f>
        <v>88108.2</v>
      </c>
      <c r="L1889" t="str">
        <f>IF(Table2[[#This Row],[CurrentStock]]&lt;=Table2[[#This Row],[ReorderLevel]], "Reorder Needed", "Okay")</f>
        <v>Okay</v>
      </c>
      <c r="M1889" t="str">
        <f>IF(Table2[[#This Row],[CurrentStock]]-Table2[[#This Row],[ReorderLevel]]&lt;0,Table2[[#This Row],[CurrentStock]]-Table2[[#This Row],[ReorderLevel]],"")</f>
        <v/>
      </c>
      <c r="N1889" t="str">
        <f>IF(Table2[[#This Row],[Stock Gap]]&lt;0, "Understock","Okay")</f>
        <v>Okay</v>
      </c>
      <c r="O1889" s="13" t="str">
        <f>IF(Table2[[#This Row],[Stock Gap]]&lt;0, "Yes", "No")</f>
        <v>No</v>
      </c>
      <c r="P1889" s="13" t="str">
        <f>IF(Table2[[#This Row],[CurrentStock]]&lt;Table2[[#This Row],[ReorderLevel]],"Reorder", "Okay")</f>
        <v>Okay</v>
      </c>
      <c r="Q1889" s="13" t="str">
        <f>IF(Table2[[#This Row],[CurrentStock]]&gt;Table2[[#This Row],[ReorderLevel]]*3, "Overstock", "Okay")</f>
        <v>Okay</v>
      </c>
    </row>
    <row r="1890" spans="1:17" x14ac:dyDescent="0.35">
      <c r="A1890">
        <v>41957</v>
      </c>
      <c r="B1890" t="s">
        <v>16</v>
      </c>
      <c r="C1890" t="s">
        <v>29</v>
      </c>
      <c r="D1890">
        <v>224</v>
      </c>
      <c r="E1890">
        <v>40</v>
      </c>
      <c r="F1890" s="2">
        <v>252.21</v>
      </c>
      <c r="G1890" t="s">
        <v>34</v>
      </c>
      <c r="H1890" s="1">
        <v>45442</v>
      </c>
      <c r="I1890" s="1">
        <v>45448</v>
      </c>
      <c r="J1890" t="s">
        <v>37</v>
      </c>
      <c r="K1890" s="8">
        <f>Table2[[#This Row],[CurrentStock]]*Table2[[#This Row],[UnitPrice]]</f>
        <v>56495.040000000001</v>
      </c>
      <c r="L1890" t="str">
        <f>IF(Table2[[#This Row],[CurrentStock]]&lt;=Table2[[#This Row],[ReorderLevel]], "Reorder Needed", "Okay")</f>
        <v>Okay</v>
      </c>
      <c r="M1890" t="str">
        <f>IF(Table2[[#This Row],[CurrentStock]]-Table2[[#This Row],[ReorderLevel]]&lt;0,Table2[[#This Row],[CurrentStock]]-Table2[[#This Row],[ReorderLevel]],"")</f>
        <v/>
      </c>
      <c r="N1890" t="str">
        <f>IF(Table2[[#This Row],[Stock Gap]]&lt;0, "Understock","Okay")</f>
        <v>Okay</v>
      </c>
      <c r="O1890" s="13" t="str">
        <f>IF(Table2[[#This Row],[Stock Gap]]&lt;0, "Yes", "No")</f>
        <v>No</v>
      </c>
      <c r="P1890" s="13" t="str">
        <f>IF(Table2[[#This Row],[CurrentStock]]&lt;Table2[[#This Row],[ReorderLevel]],"Reorder", "Okay")</f>
        <v>Okay</v>
      </c>
      <c r="Q1890" s="13" t="str">
        <f>IF(Table2[[#This Row],[CurrentStock]]&gt;Table2[[#This Row],[ReorderLevel]]*3, "Overstock", "Okay")</f>
        <v>Overstock</v>
      </c>
    </row>
    <row r="1891" spans="1:17" x14ac:dyDescent="0.35">
      <c r="A1891">
        <v>12106</v>
      </c>
      <c r="B1891" t="s">
        <v>14</v>
      </c>
      <c r="C1891" t="s">
        <v>28</v>
      </c>
      <c r="D1891">
        <v>302</v>
      </c>
      <c r="E1891">
        <v>50</v>
      </c>
      <c r="F1891" s="2">
        <v>158.97</v>
      </c>
      <c r="G1891" t="s">
        <v>31</v>
      </c>
      <c r="H1891" s="1">
        <v>45300</v>
      </c>
      <c r="I1891" s="1">
        <v>45305</v>
      </c>
      <c r="J1891" t="s">
        <v>37</v>
      </c>
      <c r="K1891" s="8">
        <f>Table2[[#This Row],[CurrentStock]]*Table2[[#This Row],[UnitPrice]]</f>
        <v>48008.94</v>
      </c>
      <c r="L1891" t="str">
        <f>IF(Table2[[#This Row],[CurrentStock]]&lt;=Table2[[#This Row],[ReorderLevel]], "Reorder Needed", "Okay")</f>
        <v>Okay</v>
      </c>
      <c r="M1891" t="str">
        <f>IF(Table2[[#This Row],[CurrentStock]]-Table2[[#This Row],[ReorderLevel]]&lt;0,Table2[[#This Row],[CurrentStock]]-Table2[[#This Row],[ReorderLevel]],"")</f>
        <v/>
      </c>
      <c r="N1891" t="str">
        <f>IF(Table2[[#This Row],[Stock Gap]]&lt;0, "Understock","Okay")</f>
        <v>Okay</v>
      </c>
      <c r="O1891" s="13" t="str">
        <f>IF(Table2[[#This Row],[Stock Gap]]&lt;0, "Yes", "No")</f>
        <v>No</v>
      </c>
      <c r="P1891" s="13" t="str">
        <f>IF(Table2[[#This Row],[CurrentStock]]&lt;Table2[[#This Row],[ReorderLevel]],"Reorder", "Okay")</f>
        <v>Okay</v>
      </c>
      <c r="Q1891" s="13" t="str">
        <f>IF(Table2[[#This Row],[CurrentStock]]&gt;Table2[[#This Row],[ReorderLevel]]*3, "Overstock", "Okay")</f>
        <v>Overstock</v>
      </c>
    </row>
    <row r="1892" spans="1:17" x14ac:dyDescent="0.35">
      <c r="A1892">
        <v>92164</v>
      </c>
      <c r="B1892" t="s">
        <v>13</v>
      </c>
      <c r="C1892" t="s">
        <v>26</v>
      </c>
      <c r="D1892">
        <v>346</v>
      </c>
      <c r="E1892">
        <v>30</v>
      </c>
      <c r="F1892" s="2">
        <v>55.59</v>
      </c>
      <c r="G1892" t="s">
        <v>35</v>
      </c>
      <c r="H1892" s="1">
        <v>45468</v>
      </c>
      <c r="I1892" s="1">
        <v>45504</v>
      </c>
      <c r="J1892" t="s">
        <v>38</v>
      </c>
      <c r="K1892" s="8">
        <f>Table2[[#This Row],[CurrentStock]]*Table2[[#This Row],[UnitPrice]]</f>
        <v>19234.14</v>
      </c>
      <c r="L1892" t="str">
        <f>IF(Table2[[#This Row],[CurrentStock]]&lt;=Table2[[#This Row],[ReorderLevel]], "Reorder Needed", "Okay")</f>
        <v>Okay</v>
      </c>
      <c r="M1892" t="str">
        <f>IF(Table2[[#This Row],[CurrentStock]]-Table2[[#This Row],[ReorderLevel]]&lt;0,Table2[[#This Row],[CurrentStock]]-Table2[[#This Row],[ReorderLevel]],"")</f>
        <v/>
      </c>
      <c r="N1892" t="str">
        <f>IF(Table2[[#This Row],[Stock Gap]]&lt;0, "Understock","Okay")</f>
        <v>Okay</v>
      </c>
      <c r="O1892" s="13" t="str">
        <f>IF(Table2[[#This Row],[Stock Gap]]&lt;0, "Yes", "No")</f>
        <v>No</v>
      </c>
      <c r="P1892" s="13" t="str">
        <f>IF(Table2[[#This Row],[CurrentStock]]&lt;Table2[[#This Row],[ReorderLevel]],"Reorder", "Okay")</f>
        <v>Okay</v>
      </c>
      <c r="Q1892" s="13" t="str">
        <f>IF(Table2[[#This Row],[CurrentStock]]&gt;Table2[[#This Row],[ReorderLevel]]*3, "Overstock", "Okay")</f>
        <v>Overstock</v>
      </c>
    </row>
    <row r="1893" spans="1:17" x14ac:dyDescent="0.35">
      <c r="A1893">
        <v>89789</v>
      </c>
      <c r="B1893" t="s">
        <v>10</v>
      </c>
      <c r="C1893" t="s">
        <v>26</v>
      </c>
      <c r="D1893">
        <v>212</v>
      </c>
      <c r="E1893">
        <v>100</v>
      </c>
      <c r="F1893" s="2">
        <v>211.25</v>
      </c>
      <c r="G1893" t="s">
        <v>34</v>
      </c>
      <c r="H1893" s="1">
        <v>45456</v>
      </c>
      <c r="I1893" s="1">
        <v>45476</v>
      </c>
      <c r="J1893" t="s">
        <v>36</v>
      </c>
      <c r="K1893" s="8">
        <f>Table2[[#This Row],[CurrentStock]]*Table2[[#This Row],[UnitPrice]]</f>
        <v>44785</v>
      </c>
      <c r="L1893" t="str">
        <f>IF(Table2[[#This Row],[CurrentStock]]&lt;=Table2[[#This Row],[ReorderLevel]], "Reorder Needed", "Okay")</f>
        <v>Okay</v>
      </c>
      <c r="M1893" t="str">
        <f>IF(Table2[[#This Row],[CurrentStock]]-Table2[[#This Row],[ReorderLevel]]&lt;0,Table2[[#This Row],[CurrentStock]]-Table2[[#This Row],[ReorderLevel]],"")</f>
        <v/>
      </c>
      <c r="N1893" t="str">
        <f>IF(Table2[[#This Row],[Stock Gap]]&lt;0, "Understock","Okay")</f>
        <v>Okay</v>
      </c>
      <c r="O1893" s="13" t="str">
        <f>IF(Table2[[#This Row],[Stock Gap]]&lt;0, "Yes", "No")</f>
        <v>No</v>
      </c>
      <c r="P1893" s="13" t="str">
        <f>IF(Table2[[#This Row],[CurrentStock]]&lt;Table2[[#This Row],[ReorderLevel]],"Reorder", "Okay")</f>
        <v>Okay</v>
      </c>
      <c r="Q1893" s="13" t="str">
        <f>IF(Table2[[#This Row],[CurrentStock]]&gt;Table2[[#This Row],[ReorderLevel]]*3, "Overstock", "Okay")</f>
        <v>Okay</v>
      </c>
    </row>
    <row r="1894" spans="1:17" x14ac:dyDescent="0.35">
      <c r="A1894">
        <v>63450</v>
      </c>
      <c r="B1894" t="s">
        <v>22</v>
      </c>
      <c r="C1894" t="s">
        <v>29</v>
      </c>
      <c r="D1894">
        <v>178</v>
      </c>
      <c r="E1894">
        <v>100</v>
      </c>
      <c r="F1894" s="2">
        <v>395.59</v>
      </c>
      <c r="G1894" t="s">
        <v>32</v>
      </c>
      <c r="H1894" s="1">
        <v>45461</v>
      </c>
      <c r="I1894" s="1">
        <v>45469</v>
      </c>
      <c r="J1894" t="s">
        <v>37</v>
      </c>
      <c r="K1894" s="8">
        <f>Table2[[#This Row],[CurrentStock]]*Table2[[#This Row],[UnitPrice]]</f>
        <v>70415.01999999999</v>
      </c>
      <c r="L1894" t="str">
        <f>IF(Table2[[#This Row],[CurrentStock]]&lt;=Table2[[#This Row],[ReorderLevel]], "Reorder Needed", "Okay")</f>
        <v>Okay</v>
      </c>
      <c r="M1894" t="str">
        <f>IF(Table2[[#This Row],[CurrentStock]]-Table2[[#This Row],[ReorderLevel]]&lt;0,Table2[[#This Row],[CurrentStock]]-Table2[[#This Row],[ReorderLevel]],"")</f>
        <v/>
      </c>
      <c r="N1894" t="str">
        <f>IF(Table2[[#This Row],[Stock Gap]]&lt;0, "Understock","Okay")</f>
        <v>Okay</v>
      </c>
      <c r="O1894" s="13" t="str">
        <f>IF(Table2[[#This Row],[Stock Gap]]&lt;0, "Yes", "No")</f>
        <v>No</v>
      </c>
      <c r="P1894" s="13" t="str">
        <f>IF(Table2[[#This Row],[CurrentStock]]&lt;Table2[[#This Row],[ReorderLevel]],"Reorder", "Okay")</f>
        <v>Okay</v>
      </c>
      <c r="Q1894" s="13" t="str">
        <f>IF(Table2[[#This Row],[CurrentStock]]&gt;Table2[[#This Row],[ReorderLevel]]*3, "Overstock", "Okay")</f>
        <v>Okay</v>
      </c>
    </row>
    <row r="1895" spans="1:17" x14ac:dyDescent="0.35">
      <c r="A1895">
        <v>30742</v>
      </c>
      <c r="B1895" t="s">
        <v>24</v>
      </c>
      <c r="C1895" t="s">
        <v>30</v>
      </c>
      <c r="D1895">
        <v>316</v>
      </c>
      <c r="E1895">
        <v>150</v>
      </c>
      <c r="F1895" s="2">
        <v>330.13</v>
      </c>
      <c r="G1895" t="s">
        <v>32</v>
      </c>
      <c r="H1895" s="1">
        <v>45490</v>
      </c>
      <c r="I1895" s="1">
        <v>45526</v>
      </c>
      <c r="J1895" t="s">
        <v>38</v>
      </c>
      <c r="K1895" s="8">
        <f>Table2[[#This Row],[CurrentStock]]*Table2[[#This Row],[UnitPrice]]</f>
        <v>104321.08</v>
      </c>
      <c r="L1895" t="str">
        <f>IF(Table2[[#This Row],[CurrentStock]]&lt;=Table2[[#This Row],[ReorderLevel]], "Reorder Needed", "Okay")</f>
        <v>Okay</v>
      </c>
      <c r="M1895" t="str">
        <f>IF(Table2[[#This Row],[CurrentStock]]-Table2[[#This Row],[ReorderLevel]]&lt;0,Table2[[#This Row],[CurrentStock]]-Table2[[#This Row],[ReorderLevel]],"")</f>
        <v/>
      </c>
      <c r="N1895" t="str">
        <f>IF(Table2[[#This Row],[Stock Gap]]&lt;0, "Understock","Okay")</f>
        <v>Okay</v>
      </c>
      <c r="O1895" s="13" t="str">
        <f>IF(Table2[[#This Row],[Stock Gap]]&lt;0, "Yes", "No")</f>
        <v>No</v>
      </c>
      <c r="P1895" s="13" t="str">
        <f>IF(Table2[[#This Row],[CurrentStock]]&lt;Table2[[#This Row],[ReorderLevel]],"Reorder", "Okay")</f>
        <v>Okay</v>
      </c>
      <c r="Q1895" s="13" t="str">
        <f>IF(Table2[[#This Row],[CurrentStock]]&gt;Table2[[#This Row],[ReorderLevel]]*3, "Overstock", "Okay")</f>
        <v>Okay</v>
      </c>
    </row>
    <row r="1896" spans="1:17" x14ac:dyDescent="0.35">
      <c r="A1896">
        <v>51057</v>
      </c>
      <c r="B1896" t="s">
        <v>10</v>
      </c>
      <c r="C1896" t="s">
        <v>26</v>
      </c>
      <c r="D1896">
        <v>191</v>
      </c>
      <c r="E1896">
        <v>80</v>
      </c>
      <c r="F1896" s="2">
        <v>366.39</v>
      </c>
      <c r="G1896" t="s">
        <v>32</v>
      </c>
      <c r="H1896" s="1">
        <v>45643</v>
      </c>
      <c r="I1896" s="1">
        <v>45665</v>
      </c>
      <c r="J1896" t="s">
        <v>37</v>
      </c>
      <c r="K1896" s="8">
        <f>Table2[[#This Row],[CurrentStock]]*Table2[[#This Row],[UnitPrice]]</f>
        <v>69980.489999999991</v>
      </c>
      <c r="L1896" t="str">
        <f>IF(Table2[[#This Row],[CurrentStock]]&lt;=Table2[[#This Row],[ReorderLevel]], "Reorder Needed", "Okay")</f>
        <v>Okay</v>
      </c>
      <c r="M1896" t="str">
        <f>IF(Table2[[#This Row],[CurrentStock]]-Table2[[#This Row],[ReorderLevel]]&lt;0,Table2[[#This Row],[CurrentStock]]-Table2[[#This Row],[ReorderLevel]],"")</f>
        <v/>
      </c>
      <c r="N1896" t="str">
        <f>IF(Table2[[#This Row],[Stock Gap]]&lt;0, "Understock","Okay")</f>
        <v>Okay</v>
      </c>
      <c r="O1896" s="13" t="str">
        <f>IF(Table2[[#This Row],[Stock Gap]]&lt;0, "Yes", "No")</f>
        <v>No</v>
      </c>
      <c r="P1896" s="13" t="str">
        <f>IF(Table2[[#This Row],[CurrentStock]]&lt;Table2[[#This Row],[ReorderLevel]],"Reorder", "Okay")</f>
        <v>Okay</v>
      </c>
      <c r="Q1896" s="13" t="str">
        <f>IF(Table2[[#This Row],[CurrentStock]]&gt;Table2[[#This Row],[ReorderLevel]]*3, "Overstock", "Okay")</f>
        <v>Okay</v>
      </c>
    </row>
    <row r="1897" spans="1:17" x14ac:dyDescent="0.35">
      <c r="A1897">
        <v>55874</v>
      </c>
      <c r="B1897" t="s">
        <v>18</v>
      </c>
      <c r="C1897" t="s">
        <v>27</v>
      </c>
      <c r="D1897">
        <v>241</v>
      </c>
      <c r="E1897">
        <v>30</v>
      </c>
      <c r="F1897" s="2">
        <v>289.5</v>
      </c>
      <c r="G1897" t="s">
        <v>32</v>
      </c>
      <c r="H1897" s="1">
        <v>45545</v>
      </c>
      <c r="I1897" s="1">
        <v>45550</v>
      </c>
      <c r="J1897" t="s">
        <v>37</v>
      </c>
      <c r="K1897" s="8">
        <f>Table2[[#This Row],[CurrentStock]]*Table2[[#This Row],[UnitPrice]]</f>
        <v>69769.5</v>
      </c>
      <c r="L1897" t="str">
        <f>IF(Table2[[#This Row],[CurrentStock]]&lt;=Table2[[#This Row],[ReorderLevel]], "Reorder Needed", "Okay")</f>
        <v>Okay</v>
      </c>
      <c r="M1897" t="str">
        <f>IF(Table2[[#This Row],[CurrentStock]]-Table2[[#This Row],[ReorderLevel]]&lt;0,Table2[[#This Row],[CurrentStock]]-Table2[[#This Row],[ReorderLevel]],"")</f>
        <v/>
      </c>
      <c r="N1897" t="str">
        <f>IF(Table2[[#This Row],[Stock Gap]]&lt;0, "Understock","Okay")</f>
        <v>Okay</v>
      </c>
      <c r="O1897" s="13" t="str">
        <f>IF(Table2[[#This Row],[Stock Gap]]&lt;0, "Yes", "No")</f>
        <v>No</v>
      </c>
      <c r="P1897" s="13" t="str">
        <f>IF(Table2[[#This Row],[CurrentStock]]&lt;Table2[[#This Row],[ReorderLevel]],"Reorder", "Okay")</f>
        <v>Okay</v>
      </c>
      <c r="Q1897" s="13" t="str">
        <f>IF(Table2[[#This Row],[CurrentStock]]&gt;Table2[[#This Row],[ReorderLevel]]*3, "Overstock", "Okay")</f>
        <v>Overstock</v>
      </c>
    </row>
    <row r="1898" spans="1:17" x14ac:dyDescent="0.35">
      <c r="A1898">
        <v>26119</v>
      </c>
      <c r="B1898" t="s">
        <v>25</v>
      </c>
      <c r="C1898" t="s">
        <v>29</v>
      </c>
      <c r="D1898">
        <v>86</v>
      </c>
      <c r="E1898">
        <v>80</v>
      </c>
      <c r="F1898" s="2">
        <v>32.64</v>
      </c>
      <c r="G1898" t="s">
        <v>32</v>
      </c>
      <c r="H1898" s="1">
        <v>45436</v>
      </c>
      <c r="I1898" s="1">
        <v>45465</v>
      </c>
      <c r="J1898" t="s">
        <v>38</v>
      </c>
      <c r="K1898" s="8">
        <f>Table2[[#This Row],[CurrentStock]]*Table2[[#This Row],[UnitPrice]]</f>
        <v>2807.04</v>
      </c>
      <c r="L1898" t="str">
        <f>IF(Table2[[#This Row],[CurrentStock]]&lt;=Table2[[#This Row],[ReorderLevel]], "Reorder Needed", "Okay")</f>
        <v>Okay</v>
      </c>
      <c r="M1898" t="str">
        <f>IF(Table2[[#This Row],[CurrentStock]]-Table2[[#This Row],[ReorderLevel]]&lt;0,Table2[[#This Row],[CurrentStock]]-Table2[[#This Row],[ReorderLevel]],"")</f>
        <v/>
      </c>
      <c r="N1898" t="str">
        <f>IF(Table2[[#This Row],[Stock Gap]]&lt;0, "Understock","Okay")</f>
        <v>Okay</v>
      </c>
      <c r="O1898" s="13" t="str">
        <f>IF(Table2[[#This Row],[Stock Gap]]&lt;0, "Yes", "No")</f>
        <v>No</v>
      </c>
      <c r="P1898" s="13" t="str">
        <f>IF(Table2[[#This Row],[CurrentStock]]&lt;Table2[[#This Row],[ReorderLevel]],"Reorder", "Okay")</f>
        <v>Okay</v>
      </c>
      <c r="Q1898" s="13" t="str">
        <f>IF(Table2[[#This Row],[CurrentStock]]&gt;Table2[[#This Row],[ReorderLevel]]*3, "Overstock", "Okay")</f>
        <v>Okay</v>
      </c>
    </row>
    <row r="1899" spans="1:17" x14ac:dyDescent="0.35">
      <c r="A1899">
        <v>90880</v>
      </c>
      <c r="B1899" t="s">
        <v>16</v>
      </c>
      <c r="C1899" t="s">
        <v>29</v>
      </c>
      <c r="D1899">
        <v>295</v>
      </c>
      <c r="E1899">
        <v>100</v>
      </c>
      <c r="F1899" s="2">
        <v>380.59</v>
      </c>
      <c r="G1899" t="s">
        <v>33</v>
      </c>
      <c r="H1899" s="1">
        <v>45426</v>
      </c>
      <c r="I1899" s="1">
        <v>45443</v>
      </c>
      <c r="J1899" t="s">
        <v>38</v>
      </c>
      <c r="K1899" s="8">
        <f>Table2[[#This Row],[CurrentStock]]*Table2[[#This Row],[UnitPrice]]</f>
        <v>112274.04999999999</v>
      </c>
      <c r="L1899" t="str">
        <f>IF(Table2[[#This Row],[CurrentStock]]&lt;=Table2[[#This Row],[ReorderLevel]], "Reorder Needed", "Okay")</f>
        <v>Okay</v>
      </c>
      <c r="M1899" t="str">
        <f>IF(Table2[[#This Row],[CurrentStock]]-Table2[[#This Row],[ReorderLevel]]&lt;0,Table2[[#This Row],[CurrentStock]]-Table2[[#This Row],[ReorderLevel]],"")</f>
        <v/>
      </c>
      <c r="N1899" t="str">
        <f>IF(Table2[[#This Row],[Stock Gap]]&lt;0, "Understock","Okay")</f>
        <v>Okay</v>
      </c>
      <c r="O1899" s="13" t="str">
        <f>IF(Table2[[#This Row],[Stock Gap]]&lt;0, "Yes", "No")</f>
        <v>No</v>
      </c>
      <c r="P1899" s="13" t="str">
        <f>IF(Table2[[#This Row],[CurrentStock]]&lt;Table2[[#This Row],[ReorderLevel]],"Reorder", "Okay")</f>
        <v>Okay</v>
      </c>
      <c r="Q1899" s="13" t="str">
        <f>IF(Table2[[#This Row],[CurrentStock]]&gt;Table2[[#This Row],[ReorderLevel]]*3, "Overstock", "Okay")</f>
        <v>Okay</v>
      </c>
    </row>
    <row r="1900" spans="1:17" x14ac:dyDescent="0.35">
      <c r="A1900">
        <v>25376</v>
      </c>
      <c r="B1900" t="s">
        <v>24</v>
      </c>
      <c r="C1900" t="s">
        <v>30</v>
      </c>
      <c r="D1900">
        <v>139</v>
      </c>
      <c r="E1900">
        <v>20</v>
      </c>
      <c r="F1900" s="2">
        <v>440.27</v>
      </c>
      <c r="G1900" t="s">
        <v>33</v>
      </c>
      <c r="H1900" s="1">
        <v>45597</v>
      </c>
      <c r="I1900" s="1">
        <v>45614</v>
      </c>
      <c r="J1900" t="s">
        <v>37</v>
      </c>
      <c r="K1900" s="8">
        <f>Table2[[#This Row],[CurrentStock]]*Table2[[#This Row],[UnitPrice]]</f>
        <v>61197.53</v>
      </c>
      <c r="L1900" t="str">
        <f>IF(Table2[[#This Row],[CurrentStock]]&lt;=Table2[[#This Row],[ReorderLevel]], "Reorder Needed", "Okay")</f>
        <v>Okay</v>
      </c>
      <c r="M1900" t="str">
        <f>IF(Table2[[#This Row],[CurrentStock]]-Table2[[#This Row],[ReorderLevel]]&lt;0,Table2[[#This Row],[CurrentStock]]-Table2[[#This Row],[ReorderLevel]],"")</f>
        <v/>
      </c>
      <c r="N1900" t="str">
        <f>IF(Table2[[#This Row],[Stock Gap]]&lt;0, "Understock","Okay")</f>
        <v>Okay</v>
      </c>
      <c r="O1900" s="13" t="str">
        <f>IF(Table2[[#This Row],[Stock Gap]]&lt;0, "Yes", "No")</f>
        <v>No</v>
      </c>
      <c r="P1900" s="13" t="str">
        <f>IF(Table2[[#This Row],[CurrentStock]]&lt;Table2[[#This Row],[ReorderLevel]],"Reorder", "Okay")</f>
        <v>Okay</v>
      </c>
      <c r="Q1900" s="13" t="str">
        <f>IF(Table2[[#This Row],[CurrentStock]]&gt;Table2[[#This Row],[ReorderLevel]]*3, "Overstock", "Okay")</f>
        <v>Overstock</v>
      </c>
    </row>
    <row r="1901" spans="1:17" x14ac:dyDescent="0.35">
      <c r="A1901">
        <v>69821</v>
      </c>
      <c r="B1901" t="s">
        <v>11</v>
      </c>
      <c r="C1901" t="s">
        <v>27</v>
      </c>
      <c r="D1901">
        <v>290</v>
      </c>
      <c r="E1901">
        <v>40</v>
      </c>
      <c r="F1901" s="2">
        <v>111.76</v>
      </c>
      <c r="G1901" t="s">
        <v>34</v>
      </c>
      <c r="H1901" s="1">
        <v>45473</v>
      </c>
      <c r="I1901" s="1">
        <v>45495</v>
      </c>
      <c r="J1901" t="s">
        <v>36</v>
      </c>
      <c r="K1901" s="8">
        <f>Table2[[#This Row],[CurrentStock]]*Table2[[#This Row],[UnitPrice]]</f>
        <v>32410.400000000001</v>
      </c>
      <c r="L1901" t="str">
        <f>IF(Table2[[#This Row],[CurrentStock]]&lt;=Table2[[#This Row],[ReorderLevel]], "Reorder Needed", "Okay")</f>
        <v>Okay</v>
      </c>
      <c r="M1901" t="str">
        <f>IF(Table2[[#This Row],[CurrentStock]]-Table2[[#This Row],[ReorderLevel]]&lt;0,Table2[[#This Row],[CurrentStock]]-Table2[[#This Row],[ReorderLevel]],"")</f>
        <v/>
      </c>
      <c r="N1901" t="str">
        <f>IF(Table2[[#This Row],[Stock Gap]]&lt;0, "Understock","Okay")</f>
        <v>Okay</v>
      </c>
      <c r="O1901" s="13" t="str">
        <f>IF(Table2[[#This Row],[Stock Gap]]&lt;0, "Yes", "No")</f>
        <v>No</v>
      </c>
      <c r="P1901" s="13" t="str">
        <f>IF(Table2[[#This Row],[CurrentStock]]&lt;Table2[[#This Row],[ReorderLevel]],"Reorder", "Okay")</f>
        <v>Okay</v>
      </c>
      <c r="Q1901" s="13" t="str">
        <f>IF(Table2[[#This Row],[CurrentStock]]&gt;Table2[[#This Row],[ReorderLevel]]*3, "Overstock", "Okay")</f>
        <v>Overstock</v>
      </c>
    </row>
    <row r="1902" spans="1:17" x14ac:dyDescent="0.35">
      <c r="A1902">
        <v>14318</v>
      </c>
      <c r="B1902" t="s">
        <v>17</v>
      </c>
      <c r="C1902" t="s">
        <v>27</v>
      </c>
      <c r="D1902">
        <v>410</v>
      </c>
      <c r="E1902">
        <v>20</v>
      </c>
      <c r="F1902" s="2">
        <v>379.52</v>
      </c>
      <c r="G1902" t="s">
        <v>33</v>
      </c>
      <c r="H1902" s="1">
        <v>45532</v>
      </c>
      <c r="I1902" s="1">
        <v>45546</v>
      </c>
      <c r="J1902" t="s">
        <v>36</v>
      </c>
      <c r="K1902" s="8">
        <f>Table2[[#This Row],[CurrentStock]]*Table2[[#This Row],[UnitPrice]]</f>
        <v>155603.19999999998</v>
      </c>
      <c r="L1902" t="str">
        <f>IF(Table2[[#This Row],[CurrentStock]]&lt;=Table2[[#This Row],[ReorderLevel]], "Reorder Needed", "Okay")</f>
        <v>Okay</v>
      </c>
      <c r="M1902" t="str">
        <f>IF(Table2[[#This Row],[CurrentStock]]-Table2[[#This Row],[ReorderLevel]]&lt;0,Table2[[#This Row],[CurrentStock]]-Table2[[#This Row],[ReorderLevel]],"")</f>
        <v/>
      </c>
      <c r="N1902" t="str">
        <f>IF(Table2[[#This Row],[Stock Gap]]&lt;0, "Understock","Okay")</f>
        <v>Okay</v>
      </c>
      <c r="O1902" s="13" t="str">
        <f>IF(Table2[[#This Row],[Stock Gap]]&lt;0, "Yes", "No")</f>
        <v>No</v>
      </c>
      <c r="P1902" s="13" t="str">
        <f>IF(Table2[[#This Row],[CurrentStock]]&lt;Table2[[#This Row],[ReorderLevel]],"Reorder", "Okay")</f>
        <v>Okay</v>
      </c>
      <c r="Q1902" s="13" t="str">
        <f>IF(Table2[[#This Row],[CurrentStock]]&gt;Table2[[#This Row],[ReorderLevel]]*3, "Overstock", "Okay")</f>
        <v>Overstock</v>
      </c>
    </row>
    <row r="1903" spans="1:17" x14ac:dyDescent="0.35">
      <c r="A1903">
        <v>38273</v>
      </c>
      <c r="B1903" t="s">
        <v>9</v>
      </c>
      <c r="C1903" t="s">
        <v>26</v>
      </c>
      <c r="D1903">
        <v>321</v>
      </c>
      <c r="E1903">
        <v>150</v>
      </c>
      <c r="F1903" s="2">
        <v>438.86</v>
      </c>
      <c r="G1903" t="s">
        <v>32</v>
      </c>
      <c r="H1903" s="1">
        <v>45560</v>
      </c>
      <c r="I1903" s="1">
        <v>45578</v>
      </c>
      <c r="J1903" t="s">
        <v>38</v>
      </c>
      <c r="K1903" s="8">
        <f>Table2[[#This Row],[CurrentStock]]*Table2[[#This Row],[UnitPrice]]</f>
        <v>140874.06</v>
      </c>
      <c r="L1903" t="str">
        <f>IF(Table2[[#This Row],[CurrentStock]]&lt;=Table2[[#This Row],[ReorderLevel]], "Reorder Needed", "Okay")</f>
        <v>Okay</v>
      </c>
      <c r="M1903" t="str">
        <f>IF(Table2[[#This Row],[CurrentStock]]-Table2[[#This Row],[ReorderLevel]]&lt;0,Table2[[#This Row],[CurrentStock]]-Table2[[#This Row],[ReorderLevel]],"")</f>
        <v/>
      </c>
      <c r="N1903" t="str">
        <f>IF(Table2[[#This Row],[Stock Gap]]&lt;0, "Understock","Okay")</f>
        <v>Okay</v>
      </c>
      <c r="O1903" s="13" t="str">
        <f>IF(Table2[[#This Row],[Stock Gap]]&lt;0, "Yes", "No")</f>
        <v>No</v>
      </c>
      <c r="P1903" s="13" t="str">
        <f>IF(Table2[[#This Row],[CurrentStock]]&lt;Table2[[#This Row],[ReorderLevel]],"Reorder", "Okay")</f>
        <v>Okay</v>
      </c>
      <c r="Q1903" s="13" t="str">
        <f>IF(Table2[[#This Row],[CurrentStock]]&gt;Table2[[#This Row],[ReorderLevel]]*3, "Overstock", "Okay")</f>
        <v>Okay</v>
      </c>
    </row>
    <row r="1904" spans="1:17" x14ac:dyDescent="0.35">
      <c r="A1904">
        <v>39433</v>
      </c>
      <c r="B1904" t="s">
        <v>19</v>
      </c>
      <c r="C1904" t="s">
        <v>28</v>
      </c>
      <c r="D1904">
        <v>24</v>
      </c>
      <c r="E1904">
        <v>100</v>
      </c>
      <c r="F1904" s="2">
        <v>23.13</v>
      </c>
      <c r="G1904" t="s">
        <v>35</v>
      </c>
      <c r="H1904" s="1">
        <v>45559</v>
      </c>
      <c r="I1904" s="1">
        <v>45572</v>
      </c>
      <c r="J1904" t="s">
        <v>36</v>
      </c>
      <c r="K1904" s="8">
        <f>Table2[[#This Row],[CurrentStock]]*Table2[[#This Row],[UnitPrice]]</f>
        <v>555.12</v>
      </c>
      <c r="L1904" t="str">
        <f>IF(Table2[[#This Row],[CurrentStock]]&lt;=Table2[[#This Row],[ReorderLevel]], "Reorder Needed", "Okay")</f>
        <v>Reorder Needed</v>
      </c>
      <c r="M1904" s="7">
        <f>IF(Table2[[#This Row],[CurrentStock]]-Table2[[#This Row],[ReorderLevel]]&lt;0,Table2[[#This Row],[CurrentStock]]-Table2[[#This Row],[ReorderLevel]],"")</f>
        <v>-76</v>
      </c>
      <c r="N1904" t="str">
        <f>IF(Table2[[#This Row],[Stock Gap]]&lt;0, "Understock","Okay")</f>
        <v>Understock</v>
      </c>
      <c r="O1904" s="13" t="str">
        <f>IF(Table2[[#This Row],[Stock Gap]]&lt;0, "Yes", "No")</f>
        <v>Yes</v>
      </c>
      <c r="P1904" s="13" t="str">
        <f>IF(Table2[[#This Row],[CurrentStock]]&lt;Table2[[#This Row],[ReorderLevel]],"Reorder", "Okay")</f>
        <v>Reorder</v>
      </c>
      <c r="Q1904" s="13" t="str">
        <f>IF(Table2[[#This Row],[CurrentStock]]&gt;Table2[[#This Row],[ReorderLevel]]*3, "Overstock", "Okay")</f>
        <v>Okay</v>
      </c>
    </row>
    <row r="1905" spans="1:17" x14ac:dyDescent="0.35">
      <c r="A1905">
        <v>33439</v>
      </c>
      <c r="B1905" t="s">
        <v>14</v>
      </c>
      <c r="C1905" t="s">
        <v>28</v>
      </c>
      <c r="D1905">
        <v>41</v>
      </c>
      <c r="E1905">
        <v>50</v>
      </c>
      <c r="F1905" s="2">
        <v>403.85</v>
      </c>
      <c r="G1905" t="s">
        <v>31</v>
      </c>
      <c r="H1905" s="1">
        <v>45358</v>
      </c>
      <c r="I1905" s="1">
        <v>45364</v>
      </c>
      <c r="J1905" t="s">
        <v>38</v>
      </c>
      <c r="K1905" s="8">
        <f>Table2[[#This Row],[CurrentStock]]*Table2[[#This Row],[UnitPrice]]</f>
        <v>16557.850000000002</v>
      </c>
      <c r="L1905" t="str">
        <f>IF(Table2[[#This Row],[CurrentStock]]&lt;=Table2[[#This Row],[ReorderLevel]], "Reorder Needed", "Okay")</f>
        <v>Reorder Needed</v>
      </c>
      <c r="M1905" s="7">
        <f>IF(Table2[[#This Row],[CurrentStock]]-Table2[[#This Row],[ReorderLevel]]&lt;0,Table2[[#This Row],[CurrentStock]]-Table2[[#This Row],[ReorderLevel]],"")</f>
        <v>-9</v>
      </c>
      <c r="N1905" t="str">
        <f>IF(Table2[[#This Row],[Stock Gap]]&lt;0, "Understock","Okay")</f>
        <v>Understock</v>
      </c>
      <c r="O1905" s="13" t="str">
        <f>IF(Table2[[#This Row],[Stock Gap]]&lt;0, "Yes", "No")</f>
        <v>Yes</v>
      </c>
      <c r="P1905" s="13" t="str">
        <f>IF(Table2[[#This Row],[CurrentStock]]&lt;Table2[[#This Row],[ReorderLevel]],"Reorder", "Okay")</f>
        <v>Reorder</v>
      </c>
      <c r="Q1905" s="13" t="str">
        <f>IF(Table2[[#This Row],[CurrentStock]]&gt;Table2[[#This Row],[ReorderLevel]]*3, "Overstock", "Okay")</f>
        <v>Okay</v>
      </c>
    </row>
    <row r="1906" spans="1:17" x14ac:dyDescent="0.35">
      <c r="A1906">
        <v>51887</v>
      </c>
      <c r="B1906" t="s">
        <v>18</v>
      </c>
      <c r="C1906" t="s">
        <v>27</v>
      </c>
      <c r="D1906">
        <v>373</v>
      </c>
      <c r="E1906">
        <v>30</v>
      </c>
      <c r="F1906" s="2">
        <v>133.19999999999999</v>
      </c>
      <c r="G1906" t="s">
        <v>33</v>
      </c>
      <c r="H1906" s="1">
        <v>45429</v>
      </c>
      <c r="I1906" s="1">
        <v>45451</v>
      </c>
      <c r="J1906" t="s">
        <v>36</v>
      </c>
      <c r="K1906" s="8">
        <f>Table2[[#This Row],[CurrentStock]]*Table2[[#This Row],[UnitPrice]]</f>
        <v>49683.6</v>
      </c>
      <c r="L1906" t="str">
        <f>IF(Table2[[#This Row],[CurrentStock]]&lt;=Table2[[#This Row],[ReorderLevel]], "Reorder Needed", "Okay")</f>
        <v>Okay</v>
      </c>
      <c r="M1906" t="str">
        <f>IF(Table2[[#This Row],[CurrentStock]]-Table2[[#This Row],[ReorderLevel]]&lt;0,Table2[[#This Row],[CurrentStock]]-Table2[[#This Row],[ReorderLevel]],"")</f>
        <v/>
      </c>
      <c r="N1906" t="str">
        <f>IF(Table2[[#This Row],[Stock Gap]]&lt;0, "Understock","Okay")</f>
        <v>Okay</v>
      </c>
      <c r="O1906" s="13" t="str">
        <f>IF(Table2[[#This Row],[Stock Gap]]&lt;0, "Yes", "No")</f>
        <v>No</v>
      </c>
      <c r="P1906" s="13" t="str">
        <f>IF(Table2[[#This Row],[CurrentStock]]&lt;Table2[[#This Row],[ReorderLevel]],"Reorder", "Okay")</f>
        <v>Okay</v>
      </c>
      <c r="Q1906" s="13" t="str">
        <f>IF(Table2[[#This Row],[CurrentStock]]&gt;Table2[[#This Row],[ReorderLevel]]*3, "Overstock", "Okay")</f>
        <v>Overstock</v>
      </c>
    </row>
    <row r="1907" spans="1:17" x14ac:dyDescent="0.35">
      <c r="A1907">
        <v>66437</v>
      </c>
      <c r="B1907" t="s">
        <v>9</v>
      </c>
      <c r="C1907" t="s">
        <v>26</v>
      </c>
      <c r="D1907">
        <v>143</v>
      </c>
      <c r="E1907">
        <v>50</v>
      </c>
      <c r="F1907" s="2">
        <v>109.87</v>
      </c>
      <c r="G1907" t="s">
        <v>33</v>
      </c>
      <c r="H1907" s="1">
        <v>45478</v>
      </c>
      <c r="I1907" s="1">
        <v>45517</v>
      </c>
      <c r="J1907" t="s">
        <v>37</v>
      </c>
      <c r="K1907" s="8">
        <f>Table2[[#This Row],[CurrentStock]]*Table2[[#This Row],[UnitPrice]]</f>
        <v>15711.41</v>
      </c>
      <c r="L1907" t="str">
        <f>IF(Table2[[#This Row],[CurrentStock]]&lt;=Table2[[#This Row],[ReorderLevel]], "Reorder Needed", "Okay")</f>
        <v>Okay</v>
      </c>
      <c r="M1907" t="str">
        <f>IF(Table2[[#This Row],[CurrentStock]]-Table2[[#This Row],[ReorderLevel]]&lt;0,Table2[[#This Row],[CurrentStock]]-Table2[[#This Row],[ReorderLevel]],"")</f>
        <v/>
      </c>
      <c r="N1907" t="str">
        <f>IF(Table2[[#This Row],[Stock Gap]]&lt;0, "Understock","Okay")</f>
        <v>Okay</v>
      </c>
      <c r="O1907" s="13" t="str">
        <f>IF(Table2[[#This Row],[Stock Gap]]&lt;0, "Yes", "No")</f>
        <v>No</v>
      </c>
      <c r="P1907" s="13" t="str">
        <f>IF(Table2[[#This Row],[CurrentStock]]&lt;Table2[[#This Row],[ReorderLevel]],"Reorder", "Okay")</f>
        <v>Okay</v>
      </c>
      <c r="Q1907" s="13" t="str">
        <f>IF(Table2[[#This Row],[CurrentStock]]&gt;Table2[[#This Row],[ReorderLevel]]*3, "Overstock", "Okay")</f>
        <v>Okay</v>
      </c>
    </row>
    <row r="1908" spans="1:17" x14ac:dyDescent="0.35">
      <c r="A1908">
        <v>74557</v>
      </c>
      <c r="B1908" t="s">
        <v>13</v>
      </c>
      <c r="C1908" t="s">
        <v>26</v>
      </c>
      <c r="D1908">
        <v>30</v>
      </c>
      <c r="E1908">
        <v>20</v>
      </c>
      <c r="F1908" s="2">
        <v>260.89</v>
      </c>
      <c r="G1908" t="s">
        <v>34</v>
      </c>
      <c r="H1908" s="1">
        <v>45460</v>
      </c>
      <c r="I1908" s="1">
        <v>45481</v>
      </c>
      <c r="J1908" t="s">
        <v>36</v>
      </c>
      <c r="K1908" s="8">
        <f>Table2[[#This Row],[CurrentStock]]*Table2[[#This Row],[UnitPrice]]</f>
        <v>7826.7</v>
      </c>
      <c r="L1908" t="str">
        <f>IF(Table2[[#This Row],[CurrentStock]]&lt;=Table2[[#This Row],[ReorderLevel]], "Reorder Needed", "Okay")</f>
        <v>Okay</v>
      </c>
      <c r="M1908" t="str">
        <f>IF(Table2[[#This Row],[CurrentStock]]-Table2[[#This Row],[ReorderLevel]]&lt;0,Table2[[#This Row],[CurrentStock]]-Table2[[#This Row],[ReorderLevel]],"")</f>
        <v/>
      </c>
      <c r="N1908" t="str">
        <f>IF(Table2[[#This Row],[Stock Gap]]&lt;0, "Understock","Okay")</f>
        <v>Okay</v>
      </c>
      <c r="O1908" s="13" t="str">
        <f>IF(Table2[[#This Row],[Stock Gap]]&lt;0, "Yes", "No")</f>
        <v>No</v>
      </c>
      <c r="P1908" s="13" t="str">
        <f>IF(Table2[[#This Row],[CurrentStock]]&lt;Table2[[#This Row],[ReorderLevel]],"Reorder", "Okay")</f>
        <v>Okay</v>
      </c>
      <c r="Q1908" s="13" t="str">
        <f>IF(Table2[[#This Row],[CurrentStock]]&gt;Table2[[#This Row],[ReorderLevel]]*3, "Overstock", "Okay")</f>
        <v>Okay</v>
      </c>
    </row>
    <row r="1909" spans="1:17" x14ac:dyDescent="0.35">
      <c r="A1909">
        <v>91122</v>
      </c>
      <c r="B1909" t="s">
        <v>24</v>
      </c>
      <c r="C1909" t="s">
        <v>30</v>
      </c>
      <c r="D1909">
        <v>367</v>
      </c>
      <c r="E1909">
        <v>40</v>
      </c>
      <c r="F1909" s="2">
        <v>416.61</v>
      </c>
      <c r="G1909" t="s">
        <v>34</v>
      </c>
      <c r="H1909" s="1">
        <v>45379</v>
      </c>
      <c r="I1909" s="1">
        <v>45386</v>
      </c>
      <c r="J1909" t="s">
        <v>38</v>
      </c>
      <c r="K1909" s="8">
        <f>Table2[[#This Row],[CurrentStock]]*Table2[[#This Row],[UnitPrice]]</f>
        <v>152895.87</v>
      </c>
      <c r="L1909" t="str">
        <f>IF(Table2[[#This Row],[CurrentStock]]&lt;=Table2[[#This Row],[ReorderLevel]], "Reorder Needed", "Okay")</f>
        <v>Okay</v>
      </c>
      <c r="M1909" t="str">
        <f>IF(Table2[[#This Row],[CurrentStock]]-Table2[[#This Row],[ReorderLevel]]&lt;0,Table2[[#This Row],[CurrentStock]]-Table2[[#This Row],[ReorderLevel]],"")</f>
        <v/>
      </c>
      <c r="N1909" t="str">
        <f>IF(Table2[[#This Row],[Stock Gap]]&lt;0, "Understock","Okay")</f>
        <v>Okay</v>
      </c>
      <c r="O1909" s="13" t="str">
        <f>IF(Table2[[#This Row],[Stock Gap]]&lt;0, "Yes", "No")</f>
        <v>No</v>
      </c>
      <c r="P1909" s="13" t="str">
        <f>IF(Table2[[#This Row],[CurrentStock]]&lt;Table2[[#This Row],[ReorderLevel]],"Reorder", "Okay")</f>
        <v>Okay</v>
      </c>
      <c r="Q1909" s="13" t="str">
        <f>IF(Table2[[#This Row],[CurrentStock]]&gt;Table2[[#This Row],[ReorderLevel]]*3, "Overstock", "Okay")</f>
        <v>Overstock</v>
      </c>
    </row>
    <row r="1910" spans="1:17" x14ac:dyDescent="0.35">
      <c r="A1910">
        <v>69556</v>
      </c>
      <c r="B1910" t="s">
        <v>12</v>
      </c>
      <c r="C1910" t="s">
        <v>28</v>
      </c>
      <c r="D1910">
        <v>383</v>
      </c>
      <c r="E1910">
        <v>80</v>
      </c>
      <c r="F1910" s="2">
        <v>351</v>
      </c>
      <c r="G1910" t="s">
        <v>31</v>
      </c>
      <c r="H1910" s="1">
        <v>45403</v>
      </c>
      <c r="I1910" s="1">
        <v>45414</v>
      </c>
      <c r="J1910" t="s">
        <v>38</v>
      </c>
      <c r="K1910" s="8">
        <f>Table2[[#This Row],[CurrentStock]]*Table2[[#This Row],[UnitPrice]]</f>
        <v>134433</v>
      </c>
      <c r="L1910" t="str">
        <f>IF(Table2[[#This Row],[CurrentStock]]&lt;=Table2[[#This Row],[ReorderLevel]], "Reorder Needed", "Okay")</f>
        <v>Okay</v>
      </c>
      <c r="M1910" t="str">
        <f>IF(Table2[[#This Row],[CurrentStock]]-Table2[[#This Row],[ReorderLevel]]&lt;0,Table2[[#This Row],[CurrentStock]]-Table2[[#This Row],[ReorderLevel]],"")</f>
        <v/>
      </c>
      <c r="N1910" t="str">
        <f>IF(Table2[[#This Row],[Stock Gap]]&lt;0, "Understock","Okay")</f>
        <v>Okay</v>
      </c>
      <c r="O1910" s="13" t="str">
        <f>IF(Table2[[#This Row],[Stock Gap]]&lt;0, "Yes", "No")</f>
        <v>No</v>
      </c>
      <c r="P1910" s="13" t="str">
        <f>IF(Table2[[#This Row],[CurrentStock]]&lt;Table2[[#This Row],[ReorderLevel]],"Reorder", "Okay")</f>
        <v>Okay</v>
      </c>
      <c r="Q1910" s="13" t="str">
        <f>IF(Table2[[#This Row],[CurrentStock]]&gt;Table2[[#This Row],[ReorderLevel]]*3, "Overstock", "Okay")</f>
        <v>Overstock</v>
      </c>
    </row>
    <row r="1911" spans="1:17" x14ac:dyDescent="0.35">
      <c r="A1911">
        <v>17139</v>
      </c>
      <c r="B1911" t="s">
        <v>17</v>
      </c>
      <c r="C1911" t="s">
        <v>27</v>
      </c>
      <c r="D1911">
        <v>310</v>
      </c>
      <c r="E1911">
        <v>40</v>
      </c>
      <c r="F1911" s="2">
        <v>84.35</v>
      </c>
      <c r="G1911" t="s">
        <v>31</v>
      </c>
      <c r="H1911" s="1">
        <v>45580</v>
      </c>
      <c r="I1911" s="1">
        <v>45619</v>
      </c>
      <c r="J1911" t="s">
        <v>37</v>
      </c>
      <c r="K1911" s="8">
        <f>Table2[[#This Row],[CurrentStock]]*Table2[[#This Row],[UnitPrice]]</f>
        <v>26148.5</v>
      </c>
      <c r="L1911" t="str">
        <f>IF(Table2[[#This Row],[CurrentStock]]&lt;=Table2[[#This Row],[ReorderLevel]], "Reorder Needed", "Okay")</f>
        <v>Okay</v>
      </c>
      <c r="M1911" t="str">
        <f>IF(Table2[[#This Row],[CurrentStock]]-Table2[[#This Row],[ReorderLevel]]&lt;0,Table2[[#This Row],[CurrentStock]]-Table2[[#This Row],[ReorderLevel]],"")</f>
        <v/>
      </c>
      <c r="N1911" t="str">
        <f>IF(Table2[[#This Row],[Stock Gap]]&lt;0, "Understock","Okay")</f>
        <v>Okay</v>
      </c>
      <c r="O1911" s="13" t="str">
        <f>IF(Table2[[#This Row],[Stock Gap]]&lt;0, "Yes", "No")</f>
        <v>No</v>
      </c>
      <c r="P1911" s="13" t="str">
        <f>IF(Table2[[#This Row],[CurrentStock]]&lt;Table2[[#This Row],[ReorderLevel]],"Reorder", "Okay")</f>
        <v>Okay</v>
      </c>
      <c r="Q1911" s="13" t="str">
        <f>IF(Table2[[#This Row],[CurrentStock]]&gt;Table2[[#This Row],[ReorderLevel]]*3, "Overstock", "Okay")</f>
        <v>Overstock</v>
      </c>
    </row>
    <row r="1912" spans="1:17" x14ac:dyDescent="0.35">
      <c r="A1912">
        <v>64020</v>
      </c>
      <c r="B1912" t="s">
        <v>19</v>
      </c>
      <c r="C1912" t="s">
        <v>28</v>
      </c>
      <c r="D1912">
        <v>190</v>
      </c>
      <c r="E1912">
        <v>80</v>
      </c>
      <c r="F1912" s="2">
        <v>156.37</v>
      </c>
      <c r="G1912" t="s">
        <v>32</v>
      </c>
      <c r="H1912" s="1">
        <v>45411</v>
      </c>
      <c r="I1912" s="1">
        <v>45428</v>
      </c>
      <c r="J1912" t="s">
        <v>38</v>
      </c>
      <c r="K1912" s="8">
        <f>Table2[[#This Row],[CurrentStock]]*Table2[[#This Row],[UnitPrice]]</f>
        <v>29710.3</v>
      </c>
      <c r="L1912" t="str">
        <f>IF(Table2[[#This Row],[CurrentStock]]&lt;=Table2[[#This Row],[ReorderLevel]], "Reorder Needed", "Okay")</f>
        <v>Okay</v>
      </c>
      <c r="M1912" t="str">
        <f>IF(Table2[[#This Row],[CurrentStock]]-Table2[[#This Row],[ReorderLevel]]&lt;0,Table2[[#This Row],[CurrentStock]]-Table2[[#This Row],[ReorderLevel]],"")</f>
        <v/>
      </c>
      <c r="N1912" t="str">
        <f>IF(Table2[[#This Row],[Stock Gap]]&lt;0, "Understock","Okay")</f>
        <v>Okay</v>
      </c>
      <c r="O1912" s="13" t="str">
        <f>IF(Table2[[#This Row],[Stock Gap]]&lt;0, "Yes", "No")</f>
        <v>No</v>
      </c>
      <c r="P1912" s="13" t="str">
        <f>IF(Table2[[#This Row],[CurrentStock]]&lt;Table2[[#This Row],[ReorderLevel]],"Reorder", "Okay")</f>
        <v>Okay</v>
      </c>
      <c r="Q1912" s="13" t="str">
        <f>IF(Table2[[#This Row],[CurrentStock]]&gt;Table2[[#This Row],[ReorderLevel]]*3, "Overstock", "Okay")</f>
        <v>Okay</v>
      </c>
    </row>
    <row r="1913" spans="1:17" x14ac:dyDescent="0.35">
      <c r="A1913">
        <v>54789</v>
      </c>
      <c r="B1913" t="s">
        <v>12</v>
      </c>
      <c r="C1913" t="s">
        <v>28</v>
      </c>
      <c r="D1913">
        <v>204</v>
      </c>
      <c r="E1913">
        <v>100</v>
      </c>
      <c r="F1913" s="2">
        <v>286.74</v>
      </c>
      <c r="G1913" t="s">
        <v>31</v>
      </c>
      <c r="H1913" s="1">
        <v>45496</v>
      </c>
      <c r="I1913" s="1">
        <v>45501</v>
      </c>
      <c r="J1913" t="s">
        <v>36</v>
      </c>
      <c r="K1913" s="8">
        <f>Table2[[#This Row],[CurrentStock]]*Table2[[#This Row],[UnitPrice]]</f>
        <v>58494.96</v>
      </c>
      <c r="L1913" t="str">
        <f>IF(Table2[[#This Row],[CurrentStock]]&lt;=Table2[[#This Row],[ReorderLevel]], "Reorder Needed", "Okay")</f>
        <v>Okay</v>
      </c>
      <c r="M1913" t="str">
        <f>IF(Table2[[#This Row],[CurrentStock]]-Table2[[#This Row],[ReorderLevel]]&lt;0,Table2[[#This Row],[CurrentStock]]-Table2[[#This Row],[ReorderLevel]],"")</f>
        <v/>
      </c>
      <c r="N1913" t="str">
        <f>IF(Table2[[#This Row],[Stock Gap]]&lt;0, "Understock","Okay")</f>
        <v>Okay</v>
      </c>
      <c r="O1913" s="13" t="str">
        <f>IF(Table2[[#This Row],[Stock Gap]]&lt;0, "Yes", "No")</f>
        <v>No</v>
      </c>
      <c r="P1913" s="13" t="str">
        <f>IF(Table2[[#This Row],[CurrentStock]]&lt;Table2[[#This Row],[ReorderLevel]],"Reorder", "Okay")</f>
        <v>Okay</v>
      </c>
      <c r="Q1913" s="13" t="str">
        <f>IF(Table2[[#This Row],[CurrentStock]]&gt;Table2[[#This Row],[ReorderLevel]]*3, "Overstock", "Okay")</f>
        <v>Okay</v>
      </c>
    </row>
    <row r="1914" spans="1:17" x14ac:dyDescent="0.35">
      <c r="A1914">
        <v>93938</v>
      </c>
      <c r="B1914" t="s">
        <v>16</v>
      </c>
      <c r="C1914" t="s">
        <v>29</v>
      </c>
      <c r="D1914">
        <v>0</v>
      </c>
      <c r="E1914">
        <v>40</v>
      </c>
      <c r="F1914" s="2">
        <v>176.26</v>
      </c>
      <c r="G1914" t="s">
        <v>33</v>
      </c>
      <c r="H1914" s="1">
        <v>45419</v>
      </c>
      <c r="I1914" s="1">
        <v>45445</v>
      </c>
      <c r="J1914" t="s">
        <v>37</v>
      </c>
      <c r="K1914" s="8">
        <f>Table2[[#This Row],[CurrentStock]]*Table2[[#This Row],[UnitPrice]]</f>
        <v>0</v>
      </c>
      <c r="L1914" t="str">
        <f>IF(Table2[[#This Row],[CurrentStock]]&lt;=Table2[[#This Row],[ReorderLevel]], "Reorder Needed", "Okay")</f>
        <v>Reorder Needed</v>
      </c>
      <c r="M1914" s="7">
        <f>IF(Table2[[#This Row],[CurrentStock]]-Table2[[#This Row],[ReorderLevel]]&lt;0,Table2[[#This Row],[CurrentStock]]-Table2[[#This Row],[ReorderLevel]],"")</f>
        <v>-40</v>
      </c>
      <c r="N1914" t="str">
        <f>IF(Table2[[#This Row],[Stock Gap]]&lt;0, "Understock","Okay")</f>
        <v>Understock</v>
      </c>
      <c r="O1914" s="13" t="str">
        <f>IF(Table2[[#This Row],[Stock Gap]]&lt;0, "Yes", "No")</f>
        <v>Yes</v>
      </c>
      <c r="P1914" s="13" t="str">
        <f>IF(Table2[[#This Row],[CurrentStock]]&lt;Table2[[#This Row],[ReorderLevel]],"Reorder", "Okay")</f>
        <v>Reorder</v>
      </c>
      <c r="Q1914" s="13" t="str">
        <f>IF(Table2[[#This Row],[CurrentStock]]&gt;Table2[[#This Row],[ReorderLevel]]*3, "Overstock", "Okay")</f>
        <v>Okay</v>
      </c>
    </row>
    <row r="1915" spans="1:17" x14ac:dyDescent="0.35">
      <c r="A1915">
        <v>80053</v>
      </c>
      <c r="B1915" t="s">
        <v>13</v>
      </c>
      <c r="C1915" t="s">
        <v>26</v>
      </c>
      <c r="D1915">
        <v>155</v>
      </c>
      <c r="E1915">
        <v>150</v>
      </c>
      <c r="F1915" s="2">
        <v>56.23</v>
      </c>
      <c r="G1915" t="s">
        <v>34</v>
      </c>
      <c r="H1915" s="1">
        <v>45296</v>
      </c>
      <c r="I1915" s="1">
        <v>45317</v>
      </c>
      <c r="J1915" t="s">
        <v>38</v>
      </c>
      <c r="K1915" s="8">
        <f>Table2[[#This Row],[CurrentStock]]*Table2[[#This Row],[UnitPrice]]</f>
        <v>8715.65</v>
      </c>
      <c r="L1915" t="str">
        <f>IF(Table2[[#This Row],[CurrentStock]]&lt;=Table2[[#This Row],[ReorderLevel]], "Reorder Needed", "Okay")</f>
        <v>Okay</v>
      </c>
      <c r="M1915" t="str">
        <f>IF(Table2[[#This Row],[CurrentStock]]-Table2[[#This Row],[ReorderLevel]]&lt;0,Table2[[#This Row],[CurrentStock]]-Table2[[#This Row],[ReorderLevel]],"")</f>
        <v/>
      </c>
      <c r="N1915" t="str">
        <f>IF(Table2[[#This Row],[Stock Gap]]&lt;0, "Understock","Okay")</f>
        <v>Okay</v>
      </c>
      <c r="O1915" s="13" t="str">
        <f>IF(Table2[[#This Row],[Stock Gap]]&lt;0, "Yes", "No")</f>
        <v>No</v>
      </c>
      <c r="P1915" s="13" t="str">
        <f>IF(Table2[[#This Row],[CurrentStock]]&lt;Table2[[#This Row],[ReorderLevel]],"Reorder", "Okay")</f>
        <v>Okay</v>
      </c>
      <c r="Q1915" s="13" t="str">
        <f>IF(Table2[[#This Row],[CurrentStock]]&gt;Table2[[#This Row],[ReorderLevel]]*3, "Overstock", "Okay")</f>
        <v>Okay</v>
      </c>
    </row>
    <row r="1916" spans="1:17" x14ac:dyDescent="0.35">
      <c r="A1916">
        <v>87219</v>
      </c>
      <c r="B1916" t="s">
        <v>13</v>
      </c>
      <c r="C1916" t="s">
        <v>26</v>
      </c>
      <c r="D1916">
        <v>269</v>
      </c>
      <c r="E1916">
        <v>30</v>
      </c>
      <c r="F1916" s="2">
        <v>130.22</v>
      </c>
      <c r="G1916" t="s">
        <v>32</v>
      </c>
      <c r="H1916" s="1">
        <v>45638</v>
      </c>
      <c r="I1916" s="1">
        <v>45667</v>
      </c>
      <c r="J1916" t="s">
        <v>36</v>
      </c>
      <c r="K1916" s="8">
        <f>Table2[[#This Row],[CurrentStock]]*Table2[[#This Row],[UnitPrice]]</f>
        <v>35029.18</v>
      </c>
      <c r="L1916" t="str">
        <f>IF(Table2[[#This Row],[CurrentStock]]&lt;=Table2[[#This Row],[ReorderLevel]], "Reorder Needed", "Okay")</f>
        <v>Okay</v>
      </c>
      <c r="M1916" t="str">
        <f>IF(Table2[[#This Row],[CurrentStock]]-Table2[[#This Row],[ReorderLevel]]&lt;0,Table2[[#This Row],[CurrentStock]]-Table2[[#This Row],[ReorderLevel]],"")</f>
        <v/>
      </c>
      <c r="N1916" t="str">
        <f>IF(Table2[[#This Row],[Stock Gap]]&lt;0, "Understock","Okay")</f>
        <v>Okay</v>
      </c>
      <c r="O1916" s="13" t="str">
        <f>IF(Table2[[#This Row],[Stock Gap]]&lt;0, "Yes", "No")</f>
        <v>No</v>
      </c>
      <c r="P1916" s="13" t="str">
        <f>IF(Table2[[#This Row],[CurrentStock]]&lt;Table2[[#This Row],[ReorderLevel]],"Reorder", "Okay")</f>
        <v>Okay</v>
      </c>
      <c r="Q1916" s="13" t="str">
        <f>IF(Table2[[#This Row],[CurrentStock]]&gt;Table2[[#This Row],[ReorderLevel]]*3, "Overstock", "Okay")</f>
        <v>Overstock</v>
      </c>
    </row>
    <row r="1917" spans="1:17" x14ac:dyDescent="0.35">
      <c r="A1917">
        <v>91457</v>
      </c>
      <c r="B1917" t="s">
        <v>12</v>
      </c>
      <c r="C1917" t="s">
        <v>28</v>
      </c>
      <c r="D1917">
        <v>394</v>
      </c>
      <c r="E1917">
        <v>30</v>
      </c>
      <c r="F1917" s="2">
        <v>481.74</v>
      </c>
      <c r="G1917" t="s">
        <v>35</v>
      </c>
      <c r="H1917" s="1">
        <v>45338</v>
      </c>
      <c r="I1917" s="1">
        <v>45371</v>
      </c>
      <c r="J1917" t="s">
        <v>36</v>
      </c>
      <c r="K1917" s="8">
        <f>Table2[[#This Row],[CurrentStock]]*Table2[[#This Row],[UnitPrice]]</f>
        <v>189805.56</v>
      </c>
      <c r="L1917" t="str">
        <f>IF(Table2[[#This Row],[CurrentStock]]&lt;=Table2[[#This Row],[ReorderLevel]], "Reorder Needed", "Okay")</f>
        <v>Okay</v>
      </c>
      <c r="M1917" t="str">
        <f>IF(Table2[[#This Row],[CurrentStock]]-Table2[[#This Row],[ReorderLevel]]&lt;0,Table2[[#This Row],[CurrentStock]]-Table2[[#This Row],[ReorderLevel]],"")</f>
        <v/>
      </c>
      <c r="N1917" t="str">
        <f>IF(Table2[[#This Row],[Stock Gap]]&lt;0, "Understock","Okay")</f>
        <v>Okay</v>
      </c>
      <c r="O1917" s="13" t="str">
        <f>IF(Table2[[#This Row],[Stock Gap]]&lt;0, "Yes", "No")</f>
        <v>No</v>
      </c>
      <c r="P1917" s="13" t="str">
        <f>IF(Table2[[#This Row],[CurrentStock]]&lt;Table2[[#This Row],[ReorderLevel]],"Reorder", "Okay")</f>
        <v>Okay</v>
      </c>
      <c r="Q1917" s="13" t="str">
        <f>IF(Table2[[#This Row],[CurrentStock]]&gt;Table2[[#This Row],[ReorderLevel]]*3, "Overstock", "Okay")</f>
        <v>Overstock</v>
      </c>
    </row>
    <row r="1918" spans="1:17" x14ac:dyDescent="0.35">
      <c r="A1918">
        <v>98487</v>
      </c>
      <c r="B1918" t="s">
        <v>16</v>
      </c>
      <c r="C1918" t="s">
        <v>29</v>
      </c>
      <c r="D1918">
        <v>89</v>
      </c>
      <c r="E1918">
        <v>40</v>
      </c>
      <c r="F1918" s="2">
        <v>461.31</v>
      </c>
      <c r="G1918" t="s">
        <v>32</v>
      </c>
      <c r="H1918" s="1">
        <v>45547</v>
      </c>
      <c r="I1918" s="1">
        <v>45570</v>
      </c>
      <c r="J1918" t="s">
        <v>37</v>
      </c>
      <c r="K1918" s="8">
        <f>Table2[[#This Row],[CurrentStock]]*Table2[[#This Row],[UnitPrice]]</f>
        <v>41056.590000000004</v>
      </c>
      <c r="L1918" t="str">
        <f>IF(Table2[[#This Row],[CurrentStock]]&lt;=Table2[[#This Row],[ReorderLevel]], "Reorder Needed", "Okay")</f>
        <v>Okay</v>
      </c>
      <c r="M1918" t="str">
        <f>IF(Table2[[#This Row],[CurrentStock]]-Table2[[#This Row],[ReorderLevel]]&lt;0,Table2[[#This Row],[CurrentStock]]-Table2[[#This Row],[ReorderLevel]],"")</f>
        <v/>
      </c>
      <c r="N1918" t="str">
        <f>IF(Table2[[#This Row],[Stock Gap]]&lt;0, "Understock","Okay")</f>
        <v>Okay</v>
      </c>
      <c r="O1918" s="13" t="str">
        <f>IF(Table2[[#This Row],[Stock Gap]]&lt;0, "Yes", "No")</f>
        <v>No</v>
      </c>
      <c r="P1918" s="13" t="str">
        <f>IF(Table2[[#This Row],[CurrentStock]]&lt;Table2[[#This Row],[ReorderLevel]],"Reorder", "Okay")</f>
        <v>Okay</v>
      </c>
      <c r="Q1918" s="13" t="str">
        <f>IF(Table2[[#This Row],[CurrentStock]]&gt;Table2[[#This Row],[ReorderLevel]]*3, "Overstock", "Okay")</f>
        <v>Okay</v>
      </c>
    </row>
    <row r="1919" spans="1:17" x14ac:dyDescent="0.35">
      <c r="A1919">
        <v>21240</v>
      </c>
      <c r="B1919" t="s">
        <v>11</v>
      </c>
      <c r="C1919" t="s">
        <v>27</v>
      </c>
      <c r="D1919">
        <v>90</v>
      </c>
      <c r="E1919">
        <v>100</v>
      </c>
      <c r="F1919" s="2">
        <v>103.06</v>
      </c>
      <c r="G1919" t="s">
        <v>35</v>
      </c>
      <c r="H1919" s="1">
        <v>45547</v>
      </c>
      <c r="I1919" s="1">
        <v>45586</v>
      </c>
      <c r="J1919" t="s">
        <v>38</v>
      </c>
      <c r="K1919" s="8">
        <f>Table2[[#This Row],[CurrentStock]]*Table2[[#This Row],[UnitPrice]]</f>
        <v>9275.4</v>
      </c>
      <c r="L1919" t="str">
        <f>IF(Table2[[#This Row],[CurrentStock]]&lt;=Table2[[#This Row],[ReorderLevel]], "Reorder Needed", "Okay")</f>
        <v>Reorder Needed</v>
      </c>
      <c r="M1919" s="7">
        <f>IF(Table2[[#This Row],[CurrentStock]]-Table2[[#This Row],[ReorderLevel]]&lt;0,Table2[[#This Row],[CurrentStock]]-Table2[[#This Row],[ReorderLevel]],"")</f>
        <v>-10</v>
      </c>
      <c r="N1919" t="str">
        <f>IF(Table2[[#This Row],[Stock Gap]]&lt;0, "Understock","Okay")</f>
        <v>Understock</v>
      </c>
      <c r="O1919" s="13" t="str">
        <f>IF(Table2[[#This Row],[Stock Gap]]&lt;0, "Yes", "No")</f>
        <v>Yes</v>
      </c>
      <c r="P1919" s="13" t="str">
        <f>IF(Table2[[#This Row],[CurrentStock]]&lt;Table2[[#This Row],[ReorderLevel]],"Reorder", "Okay")</f>
        <v>Reorder</v>
      </c>
      <c r="Q1919" s="13" t="str">
        <f>IF(Table2[[#This Row],[CurrentStock]]&gt;Table2[[#This Row],[ReorderLevel]]*3, "Overstock", "Okay")</f>
        <v>Okay</v>
      </c>
    </row>
    <row r="1920" spans="1:17" x14ac:dyDescent="0.35">
      <c r="A1920">
        <v>96677</v>
      </c>
      <c r="B1920" t="s">
        <v>9</v>
      </c>
      <c r="C1920" t="s">
        <v>26</v>
      </c>
      <c r="D1920">
        <v>125</v>
      </c>
      <c r="E1920">
        <v>80</v>
      </c>
      <c r="F1920" s="2">
        <v>463.04</v>
      </c>
      <c r="G1920" t="s">
        <v>31</v>
      </c>
      <c r="H1920" s="1">
        <v>45403</v>
      </c>
      <c r="I1920" s="1">
        <v>45438</v>
      </c>
      <c r="J1920" t="s">
        <v>38</v>
      </c>
      <c r="K1920" s="8">
        <f>Table2[[#This Row],[CurrentStock]]*Table2[[#This Row],[UnitPrice]]</f>
        <v>57880</v>
      </c>
      <c r="L1920" t="str">
        <f>IF(Table2[[#This Row],[CurrentStock]]&lt;=Table2[[#This Row],[ReorderLevel]], "Reorder Needed", "Okay")</f>
        <v>Okay</v>
      </c>
      <c r="M1920" t="str">
        <f>IF(Table2[[#This Row],[CurrentStock]]-Table2[[#This Row],[ReorderLevel]]&lt;0,Table2[[#This Row],[CurrentStock]]-Table2[[#This Row],[ReorderLevel]],"")</f>
        <v/>
      </c>
      <c r="N1920" t="str">
        <f>IF(Table2[[#This Row],[Stock Gap]]&lt;0, "Understock","Okay")</f>
        <v>Okay</v>
      </c>
      <c r="O1920" s="13" t="str">
        <f>IF(Table2[[#This Row],[Stock Gap]]&lt;0, "Yes", "No")</f>
        <v>No</v>
      </c>
      <c r="P1920" s="13" t="str">
        <f>IF(Table2[[#This Row],[CurrentStock]]&lt;Table2[[#This Row],[ReorderLevel]],"Reorder", "Okay")</f>
        <v>Okay</v>
      </c>
      <c r="Q1920" s="13" t="str">
        <f>IF(Table2[[#This Row],[CurrentStock]]&gt;Table2[[#This Row],[ReorderLevel]]*3, "Overstock", "Okay")</f>
        <v>Okay</v>
      </c>
    </row>
    <row r="1921" spans="1:17" x14ac:dyDescent="0.35">
      <c r="A1921">
        <v>51252</v>
      </c>
      <c r="B1921" t="s">
        <v>18</v>
      </c>
      <c r="C1921" t="s">
        <v>27</v>
      </c>
      <c r="D1921">
        <v>369</v>
      </c>
      <c r="E1921">
        <v>80</v>
      </c>
      <c r="F1921" s="2">
        <v>281.18</v>
      </c>
      <c r="G1921" t="s">
        <v>33</v>
      </c>
      <c r="H1921" s="1">
        <v>45595</v>
      </c>
      <c r="I1921" s="1">
        <v>45630</v>
      </c>
      <c r="J1921" t="s">
        <v>37</v>
      </c>
      <c r="K1921" s="8">
        <f>Table2[[#This Row],[CurrentStock]]*Table2[[#This Row],[UnitPrice]]</f>
        <v>103755.42</v>
      </c>
      <c r="L1921" t="str">
        <f>IF(Table2[[#This Row],[CurrentStock]]&lt;=Table2[[#This Row],[ReorderLevel]], "Reorder Needed", "Okay")</f>
        <v>Okay</v>
      </c>
      <c r="M1921" t="str">
        <f>IF(Table2[[#This Row],[CurrentStock]]-Table2[[#This Row],[ReorderLevel]]&lt;0,Table2[[#This Row],[CurrentStock]]-Table2[[#This Row],[ReorderLevel]],"")</f>
        <v/>
      </c>
      <c r="N1921" t="str">
        <f>IF(Table2[[#This Row],[Stock Gap]]&lt;0, "Understock","Okay")</f>
        <v>Okay</v>
      </c>
      <c r="O1921" s="13" t="str">
        <f>IF(Table2[[#This Row],[Stock Gap]]&lt;0, "Yes", "No")</f>
        <v>No</v>
      </c>
      <c r="P1921" s="13" t="str">
        <f>IF(Table2[[#This Row],[CurrentStock]]&lt;Table2[[#This Row],[ReorderLevel]],"Reorder", "Okay")</f>
        <v>Okay</v>
      </c>
      <c r="Q1921" s="13" t="str">
        <f>IF(Table2[[#This Row],[CurrentStock]]&gt;Table2[[#This Row],[ReorderLevel]]*3, "Overstock", "Okay")</f>
        <v>Overstock</v>
      </c>
    </row>
    <row r="1922" spans="1:17" x14ac:dyDescent="0.35">
      <c r="A1922">
        <v>35407</v>
      </c>
      <c r="B1922" t="s">
        <v>24</v>
      </c>
      <c r="C1922" t="s">
        <v>30</v>
      </c>
      <c r="D1922">
        <v>271</v>
      </c>
      <c r="E1922">
        <v>20</v>
      </c>
      <c r="F1922" s="2">
        <v>39.75</v>
      </c>
      <c r="G1922" t="s">
        <v>34</v>
      </c>
      <c r="H1922" s="1">
        <v>45585</v>
      </c>
      <c r="I1922" s="1">
        <v>45623</v>
      </c>
      <c r="J1922" t="s">
        <v>36</v>
      </c>
      <c r="K1922" s="8">
        <f>Table2[[#This Row],[CurrentStock]]*Table2[[#This Row],[UnitPrice]]</f>
        <v>10772.25</v>
      </c>
      <c r="L1922" t="str">
        <f>IF(Table2[[#This Row],[CurrentStock]]&lt;=Table2[[#This Row],[ReorderLevel]], "Reorder Needed", "Okay")</f>
        <v>Okay</v>
      </c>
      <c r="M1922" t="str">
        <f>IF(Table2[[#This Row],[CurrentStock]]-Table2[[#This Row],[ReorderLevel]]&lt;0,Table2[[#This Row],[CurrentStock]]-Table2[[#This Row],[ReorderLevel]],"")</f>
        <v/>
      </c>
      <c r="N1922" t="str">
        <f>IF(Table2[[#This Row],[Stock Gap]]&lt;0, "Understock","Okay")</f>
        <v>Okay</v>
      </c>
      <c r="O1922" s="13" t="str">
        <f>IF(Table2[[#This Row],[Stock Gap]]&lt;0, "Yes", "No")</f>
        <v>No</v>
      </c>
      <c r="P1922" s="13" t="str">
        <f>IF(Table2[[#This Row],[CurrentStock]]&lt;Table2[[#This Row],[ReorderLevel]],"Reorder", "Okay")</f>
        <v>Okay</v>
      </c>
      <c r="Q1922" s="13" t="str">
        <f>IF(Table2[[#This Row],[CurrentStock]]&gt;Table2[[#This Row],[ReorderLevel]]*3, "Overstock", "Okay")</f>
        <v>Overstock</v>
      </c>
    </row>
    <row r="1923" spans="1:17" x14ac:dyDescent="0.35">
      <c r="A1923">
        <v>50733</v>
      </c>
      <c r="B1923" t="s">
        <v>23</v>
      </c>
      <c r="C1923" t="s">
        <v>30</v>
      </c>
      <c r="D1923">
        <v>58</v>
      </c>
      <c r="E1923">
        <v>80</v>
      </c>
      <c r="F1923" s="2">
        <v>143.02000000000001</v>
      </c>
      <c r="G1923" t="s">
        <v>35</v>
      </c>
      <c r="H1923" s="1">
        <v>45292</v>
      </c>
      <c r="I1923" s="1">
        <v>45309</v>
      </c>
      <c r="J1923" t="s">
        <v>38</v>
      </c>
      <c r="K1923" s="8">
        <f>Table2[[#This Row],[CurrentStock]]*Table2[[#This Row],[UnitPrice]]</f>
        <v>8295.16</v>
      </c>
      <c r="L1923" t="str">
        <f>IF(Table2[[#This Row],[CurrentStock]]&lt;=Table2[[#This Row],[ReorderLevel]], "Reorder Needed", "Okay")</f>
        <v>Reorder Needed</v>
      </c>
      <c r="M1923" s="7">
        <f>IF(Table2[[#This Row],[CurrentStock]]-Table2[[#This Row],[ReorderLevel]]&lt;0,Table2[[#This Row],[CurrentStock]]-Table2[[#This Row],[ReorderLevel]],"")</f>
        <v>-22</v>
      </c>
      <c r="N1923" t="str">
        <f>IF(Table2[[#This Row],[Stock Gap]]&lt;0, "Understock","Okay")</f>
        <v>Understock</v>
      </c>
      <c r="O1923" s="13" t="str">
        <f>IF(Table2[[#This Row],[Stock Gap]]&lt;0, "Yes", "No")</f>
        <v>Yes</v>
      </c>
      <c r="P1923" s="13" t="str">
        <f>IF(Table2[[#This Row],[CurrentStock]]&lt;Table2[[#This Row],[ReorderLevel]],"Reorder", "Okay")</f>
        <v>Reorder</v>
      </c>
      <c r="Q1923" s="13" t="str">
        <f>IF(Table2[[#This Row],[CurrentStock]]&gt;Table2[[#This Row],[ReorderLevel]]*3, "Overstock", "Okay")</f>
        <v>Okay</v>
      </c>
    </row>
    <row r="1924" spans="1:17" x14ac:dyDescent="0.35">
      <c r="A1924">
        <v>12866</v>
      </c>
      <c r="B1924" t="s">
        <v>16</v>
      </c>
      <c r="C1924" t="s">
        <v>29</v>
      </c>
      <c r="D1924">
        <v>70</v>
      </c>
      <c r="E1924">
        <v>30</v>
      </c>
      <c r="F1924" s="2">
        <v>268.54000000000002</v>
      </c>
      <c r="G1924" t="s">
        <v>31</v>
      </c>
      <c r="H1924" s="1">
        <v>45371</v>
      </c>
      <c r="I1924" s="1">
        <v>45406</v>
      </c>
      <c r="J1924" t="s">
        <v>36</v>
      </c>
      <c r="K1924" s="8">
        <f>Table2[[#This Row],[CurrentStock]]*Table2[[#This Row],[UnitPrice]]</f>
        <v>18797.800000000003</v>
      </c>
      <c r="L1924" t="str">
        <f>IF(Table2[[#This Row],[CurrentStock]]&lt;=Table2[[#This Row],[ReorderLevel]], "Reorder Needed", "Okay")</f>
        <v>Okay</v>
      </c>
      <c r="M1924" t="str">
        <f>IF(Table2[[#This Row],[CurrentStock]]-Table2[[#This Row],[ReorderLevel]]&lt;0,Table2[[#This Row],[CurrentStock]]-Table2[[#This Row],[ReorderLevel]],"")</f>
        <v/>
      </c>
      <c r="N1924" t="str">
        <f>IF(Table2[[#This Row],[Stock Gap]]&lt;0, "Understock","Okay")</f>
        <v>Okay</v>
      </c>
      <c r="O1924" s="13" t="str">
        <f>IF(Table2[[#This Row],[Stock Gap]]&lt;0, "Yes", "No")</f>
        <v>No</v>
      </c>
      <c r="P1924" s="13" t="str">
        <f>IF(Table2[[#This Row],[CurrentStock]]&lt;Table2[[#This Row],[ReorderLevel]],"Reorder", "Okay")</f>
        <v>Okay</v>
      </c>
      <c r="Q1924" s="13" t="str">
        <f>IF(Table2[[#This Row],[CurrentStock]]&gt;Table2[[#This Row],[ReorderLevel]]*3, "Overstock", "Okay")</f>
        <v>Okay</v>
      </c>
    </row>
    <row r="1925" spans="1:17" x14ac:dyDescent="0.35">
      <c r="A1925">
        <v>63544</v>
      </c>
      <c r="B1925" t="s">
        <v>15</v>
      </c>
      <c r="C1925" t="s">
        <v>29</v>
      </c>
      <c r="D1925">
        <v>220</v>
      </c>
      <c r="E1925">
        <v>20</v>
      </c>
      <c r="F1925" s="2">
        <v>459</v>
      </c>
      <c r="G1925" t="s">
        <v>35</v>
      </c>
      <c r="H1925" s="1">
        <v>45566</v>
      </c>
      <c r="I1925" s="1">
        <v>45591</v>
      </c>
      <c r="J1925" t="s">
        <v>36</v>
      </c>
      <c r="K1925" s="8">
        <f>Table2[[#This Row],[CurrentStock]]*Table2[[#This Row],[UnitPrice]]</f>
        <v>100980</v>
      </c>
      <c r="L1925" t="str">
        <f>IF(Table2[[#This Row],[CurrentStock]]&lt;=Table2[[#This Row],[ReorderLevel]], "Reorder Needed", "Okay")</f>
        <v>Okay</v>
      </c>
      <c r="M1925" t="str">
        <f>IF(Table2[[#This Row],[CurrentStock]]-Table2[[#This Row],[ReorderLevel]]&lt;0,Table2[[#This Row],[CurrentStock]]-Table2[[#This Row],[ReorderLevel]],"")</f>
        <v/>
      </c>
      <c r="N1925" t="str">
        <f>IF(Table2[[#This Row],[Stock Gap]]&lt;0, "Understock","Okay")</f>
        <v>Okay</v>
      </c>
      <c r="O1925" s="13" t="str">
        <f>IF(Table2[[#This Row],[Stock Gap]]&lt;0, "Yes", "No")</f>
        <v>No</v>
      </c>
      <c r="P1925" s="13" t="str">
        <f>IF(Table2[[#This Row],[CurrentStock]]&lt;Table2[[#This Row],[ReorderLevel]],"Reorder", "Okay")</f>
        <v>Okay</v>
      </c>
      <c r="Q1925" s="13" t="str">
        <f>IF(Table2[[#This Row],[CurrentStock]]&gt;Table2[[#This Row],[ReorderLevel]]*3, "Overstock", "Okay")</f>
        <v>Overstock</v>
      </c>
    </row>
    <row r="1926" spans="1:17" x14ac:dyDescent="0.35">
      <c r="A1926">
        <v>52912</v>
      </c>
      <c r="B1926" t="s">
        <v>24</v>
      </c>
      <c r="C1926" t="s">
        <v>30</v>
      </c>
      <c r="D1926">
        <v>458</v>
      </c>
      <c r="E1926">
        <v>20</v>
      </c>
      <c r="F1926" s="2">
        <v>392.82</v>
      </c>
      <c r="G1926" t="s">
        <v>32</v>
      </c>
      <c r="H1926" s="1">
        <v>45381</v>
      </c>
      <c r="I1926" s="1">
        <v>45397</v>
      </c>
      <c r="J1926" t="s">
        <v>37</v>
      </c>
      <c r="K1926" s="8">
        <f>Table2[[#This Row],[CurrentStock]]*Table2[[#This Row],[UnitPrice]]</f>
        <v>179911.56</v>
      </c>
      <c r="L1926" t="str">
        <f>IF(Table2[[#This Row],[CurrentStock]]&lt;=Table2[[#This Row],[ReorderLevel]], "Reorder Needed", "Okay")</f>
        <v>Okay</v>
      </c>
      <c r="M1926" t="str">
        <f>IF(Table2[[#This Row],[CurrentStock]]-Table2[[#This Row],[ReorderLevel]]&lt;0,Table2[[#This Row],[CurrentStock]]-Table2[[#This Row],[ReorderLevel]],"")</f>
        <v/>
      </c>
      <c r="N1926" t="str">
        <f>IF(Table2[[#This Row],[Stock Gap]]&lt;0, "Understock","Okay")</f>
        <v>Okay</v>
      </c>
      <c r="O1926" s="13" t="str">
        <f>IF(Table2[[#This Row],[Stock Gap]]&lt;0, "Yes", "No")</f>
        <v>No</v>
      </c>
      <c r="P1926" s="13" t="str">
        <f>IF(Table2[[#This Row],[CurrentStock]]&lt;Table2[[#This Row],[ReorderLevel]],"Reorder", "Okay")</f>
        <v>Okay</v>
      </c>
      <c r="Q1926" s="13" t="str">
        <f>IF(Table2[[#This Row],[CurrentStock]]&gt;Table2[[#This Row],[ReorderLevel]]*3, "Overstock", "Okay")</f>
        <v>Overstock</v>
      </c>
    </row>
    <row r="1927" spans="1:17" x14ac:dyDescent="0.35">
      <c r="A1927">
        <v>47242</v>
      </c>
      <c r="B1927" t="s">
        <v>14</v>
      </c>
      <c r="C1927" t="s">
        <v>28</v>
      </c>
      <c r="D1927">
        <v>90</v>
      </c>
      <c r="E1927">
        <v>80</v>
      </c>
      <c r="F1927" s="2">
        <v>262.60000000000002</v>
      </c>
      <c r="G1927" t="s">
        <v>32</v>
      </c>
      <c r="H1927" s="1">
        <v>45511</v>
      </c>
      <c r="I1927" s="1">
        <v>45550</v>
      </c>
      <c r="J1927" t="s">
        <v>37</v>
      </c>
      <c r="K1927" s="8">
        <f>Table2[[#This Row],[CurrentStock]]*Table2[[#This Row],[UnitPrice]]</f>
        <v>23634.000000000004</v>
      </c>
      <c r="L1927" t="str">
        <f>IF(Table2[[#This Row],[CurrentStock]]&lt;=Table2[[#This Row],[ReorderLevel]], "Reorder Needed", "Okay")</f>
        <v>Okay</v>
      </c>
      <c r="M1927" t="str">
        <f>IF(Table2[[#This Row],[CurrentStock]]-Table2[[#This Row],[ReorderLevel]]&lt;0,Table2[[#This Row],[CurrentStock]]-Table2[[#This Row],[ReorderLevel]],"")</f>
        <v/>
      </c>
      <c r="N1927" t="str">
        <f>IF(Table2[[#This Row],[Stock Gap]]&lt;0, "Understock","Okay")</f>
        <v>Okay</v>
      </c>
      <c r="O1927" s="13" t="str">
        <f>IF(Table2[[#This Row],[Stock Gap]]&lt;0, "Yes", "No")</f>
        <v>No</v>
      </c>
      <c r="P1927" s="13" t="str">
        <f>IF(Table2[[#This Row],[CurrentStock]]&lt;Table2[[#This Row],[ReorderLevel]],"Reorder", "Okay")</f>
        <v>Okay</v>
      </c>
      <c r="Q1927" s="13" t="str">
        <f>IF(Table2[[#This Row],[CurrentStock]]&gt;Table2[[#This Row],[ReorderLevel]]*3, "Overstock", "Okay")</f>
        <v>Okay</v>
      </c>
    </row>
    <row r="1928" spans="1:17" x14ac:dyDescent="0.35">
      <c r="A1928">
        <v>40268</v>
      </c>
      <c r="B1928" t="s">
        <v>13</v>
      </c>
      <c r="C1928" t="s">
        <v>26</v>
      </c>
      <c r="D1928">
        <v>232</v>
      </c>
      <c r="E1928">
        <v>40</v>
      </c>
      <c r="F1928" s="2">
        <v>101.66</v>
      </c>
      <c r="G1928" t="s">
        <v>31</v>
      </c>
      <c r="H1928" s="1">
        <v>45505</v>
      </c>
      <c r="I1928" s="1">
        <v>45542</v>
      </c>
      <c r="J1928" t="s">
        <v>38</v>
      </c>
      <c r="K1928" s="8">
        <f>Table2[[#This Row],[CurrentStock]]*Table2[[#This Row],[UnitPrice]]</f>
        <v>23585.119999999999</v>
      </c>
      <c r="L1928" t="str">
        <f>IF(Table2[[#This Row],[CurrentStock]]&lt;=Table2[[#This Row],[ReorderLevel]], "Reorder Needed", "Okay")</f>
        <v>Okay</v>
      </c>
      <c r="M1928" t="str">
        <f>IF(Table2[[#This Row],[CurrentStock]]-Table2[[#This Row],[ReorderLevel]]&lt;0,Table2[[#This Row],[CurrentStock]]-Table2[[#This Row],[ReorderLevel]],"")</f>
        <v/>
      </c>
      <c r="N1928" t="str">
        <f>IF(Table2[[#This Row],[Stock Gap]]&lt;0, "Understock","Okay")</f>
        <v>Okay</v>
      </c>
      <c r="O1928" s="13" t="str">
        <f>IF(Table2[[#This Row],[Stock Gap]]&lt;0, "Yes", "No")</f>
        <v>No</v>
      </c>
      <c r="P1928" s="13" t="str">
        <f>IF(Table2[[#This Row],[CurrentStock]]&lt;Table2[[#This Row],[ReorderLevel]],"Reorder", "Okay")</f>
        <v>Okay</v>
      </c>
      <c r="Q1928" s="13" t="str">
        <f>IF(Table2[[#This Row],[CurrentStock]]&gt;Table2[[#This Row],[ReorderLevel]]*3, "Overstock", "Okay")</f>
        <v>Overstock</v>
      </c>
    </row>
    <row r="1929" spans="1:17" x14ac:dyDescent="0.35">
      <c r="A1929">
        <v>36401</v>
      </c>
      <c r="B1929" t="s">
        <v>24</v>
      </c>
      <c r="C1929" t="s">
        <v>30</v>
      </c>
      <c r="D1929">
        <v>215</v>
      </c>
      <c r="E1929">
        <v>80</v>
      </c>
      <c r="F1929" s="2">
        <v>132.96</v>
      </c>
      <c r="G1929" t="s">
        <v>34</v>
      </c>
      <c r="H1929" s="1">
        <v>45643</v>
      </c>
      <c r="I1929" s="1">
        <v>45678</v>
      </c>
      <c r="J1929" t="s">
        <v>37</v>
      </c>
      <c r="K1929" s="8">
        <f>Table2[[#This Row],[CurrentStock]]*Table2[[#This Row],[UnitPrice]]</f>
        <v>28586.400000000001</v>
      </c>
      <c r="L1929" t="str">
        <f>IF(Table2[[#This Row],[CurrentStock]]&lt;=Table2[[#This Row],[ReorderLevel]], "Reorder Needed", "Okay")</f>
        <v>Okay</v>
      </c>
      <c r="M1929" t="str">
        <f>IF(Table2[[#This Row],[CurrentStock]]-Table2[[#This Row],[ReorderLevel]]&lt;0,Table2[[#This Row],[CurrentStock]]-Table2[[#This Row],[ReorderLevel]],"")</f>
        <v/>
      </c>
      <c r="N1929" t="str">
        <f>IF(Table2[[#This Row],[Stock Gap]]&lt;0, "Understock","Okay")</f>
        <v>Okay</v>
      </c>
      <c r="O1929" s="13" t="str">
        <f>IF(Table2[[#This Row],[Stock Gap]]&lt;0, "Yes", "No")</f>
        <v>No</v>
      </c>
      <c r="P1929" s="13" t="str">
        <f>IF(Table2[[#This Row],[CurrentStock]]&lt;Table2[[#This Row],[ReorderLevel]],"Reorder", "Okay")</f>
        <v>Okay</v>
      </c>
      <c r="Q1929" s="13" t="str">
        <f>IF(Table2[[#This Row],[CurrentStock]]&gt;Table2[[#This Row],[ReorderLevel]]*3, "Overstock", "Okay")</f>
        <v>Okay</v>
      </c>
    </row>
    <row r="1930" spans="1:17" x14ac:dyDescent="0.35">
      <c r="A1930">
        <v>67268</v>
      </c>
      <c r="B1930" t="s">
        <v>12</v>
      </c>
      <c r="C1930" t="s">
        <v>28</v>
      </c>
      <c r="D1930">
        <v>46</v>
      </c>
      <c r="E1930">
        <v>100</v>
      </c>
      <c r="F1930" s="2">
        <v>331.57</v>
      </c>
      <c r="G1930" t="s">
        <v>33</v>
      </c>
      <c r="H1930" s="1">
        <v>45368</v>
      </c>
      <c r="I1930" s="1">
        <v>45375</v>
      </c>
      <c r="J1930" t="s">
        <v>38</v>
      </c>
      <c r="K1930" s="8">
        <f>Table2[[#This Row],[CurrentStock]]*Table2[[#This Row],[UnitPrice]]</f>
        <v>15252.22</v>
      </c>
      <c r="L1930" t="str">
        <f>IF(Table2[[#This Row],[CurrentStock]]&lt;=Table2[[#This Row],[ReorderLevel]], "Reorder Needed", "Okay")</f>
        <v>Reorder Needed</v>
      </c>
      <c r="M1930" s="7">
        <f>IF(Table2[[#This Row],[CurrentStock]]-Table2[[#This Row],[ReorderLevel]]&lt;0,Table2[[#This Row],[CurrentStock]]-Table2[[#This Row],[ReorderLevel]],"")</f>
        <v>-54</v>
      </c>
      <c r="N1930" t="str">
        <f>IF(Table2[[#This Row],[Stock Gap]]&lt;0, "Understock","Okay")</f>
        <v>Understock</v>
      </c>
      <c r="O1930" s="13" t="str">
        <f>IF(Table2[[#This Row],[Stock Gap]]&lt;0, "Yes", "No")</f>
        <v>Yes</v>
      </c>
      <c r="P1930" s="13" t="str">
        <f>IF(Table2[[#This Row],[CurrentStock]]&lt;Table2[[#This Row],[ReorderLevel]],"Reorder", "Okay")</f>
        <v>Reorder</v>
      </c>
      <c r="Q1930" s="13" t="str">
        <f>IF(Table2[[#This Row],[CurrentStock]]&gt;Table2[[#This Row],[ReorderLevel]]*3, "Overstock", "Okay")</f>
        <v>Okay</v>
      </c>
    </row>
    <row r="1931" spans="1:17" x14ac:dyDescent="0.35">
      <c r="A1931">
        <v>59028</v>
      </c>
      <c r="B1931" t="s">
        <v>12</v>
      </c>
      <c r="C1931" t="s">
        <v>28</v>
      </c>
      <c r="D1931">
        <v>99</v>
      </c>
      <c r="E1931">
        <v>80</v>
      </c>
      <c r="F1931" s="2">
        <v>431.7</v>
      </c>
      <c r="G1931" t="s">
        <v>32</v>
      </c>
      <c r="H1931" s="1">
        <v>45483</v>
      </c>
      <c r="I1931" s="1">
        <v>45491</v>
      </c>
      <c r="J1931" t="s">
        <v>38</v>
      </c>
      <c r="K1931" s="8">
        <f>Table2[[#This Row],[CurrentStock]]*Table2[[#This Row],[UnitPrice]]</f>
        <v>42738.299999999996</v>
      </c>
      <c r="L1931" t="str">
        <f>IF(Table2[[#This Row],[CurrentStock]]&lt;=Table2[[#This Row],[ReorderLevel]], "Reorder Needed", "Okay")</f>
        <v>Okay</v>
      </c>
      <c r="M1931" t="str">
        <f>IF(Table2[[#This Row],[CurrentStock]]-Table2[[#This Row],[ReorderLevel]]&lt;0,Table2[[#This Row],[CurrentStock]]-Table2[[#This Row],[ReorderLevel]],"")</f>
        <v/>
      </c>
      <c r="N1931" t="str">
        <f>IF(Table2[[#This Row],[Stock Gap]]&lt;0, "Understock","Okay")</f>
        <v>Okay</v>
      </c>
      <c r="O1931" s="13" t="str">
        <f>IF(Table2[[#This Row],[Stock Gap]]&lt;0, "Yes", "No")</f>
        <v>No</v>
      </c>
      <c r="P1931" s="13" t="str">
        <f>IF(Table2[[#This Row],[CurrentStock]]&lt;Table2[[#This Row],[ReorderLevel]],"Reorder", "Okay")</f>
        <v>Okay</v>
      </c>
      <c r="Q1931" s="13" t="str">
        <f>IF(Table2[[#This Row],[CurrentStock]]&gt;Table2[[#This Row],[ReorderLevel]]*3, "Overstock", "Okay")</f>
        <v>Okay</v>
      </c>
    </row>
    <row r="1932" spans="1:17" x14ac:dyDescent="0.35">
      <c r="A1932">
        <v>61761</v>
      </c>
      <c r="B1932" t="s">
        <v>11</v>
      </c>
      <c r="C1932" t="s">
        <v>27</v>
      </c>
      <c r="D1932">
        <v>263</v>
      </c>
      <c r="E1932">
        <v>50</v>
      </c>
      <c r="F1932" s="2">
        <v>455.68</v>
      </c>
      <c r="G1932" t="s">
        <v>32</v>
      </c>
      <c r="H1932" s="1">
        <v>45541</v>
      </c>
      <c r="I1932" s="1">
        <v>45548</v>
      </c>
      <c r="J1932" t="s">
        <v>36</v>
      </c>
      <c r="K1932" s="8">
        <f>Table2[[#This Row],[CurrentStock]]*Table2[[#This Row],[UnitPrice]]</f>
        <v>119843.84</v>
      </c>
      <c r="L1932" t="str">
        <f>IF(Table2[[#This Row],[CurrentStock]]&lt;=Table2[[#This Row],[ReorderLevel]], "Reorder Needed", "Okay")</f>
        <v>Okay</v>
      </c>
      <c r="M1932" t="str">
        <f>IF(Table2[[#This Row],[CurrentStock]]-Table2[[#This Row],[ReorderLevel]]&lt;0,Table2[[#This Row],[CurrentStock]]-Table2[[#This Row],[ReorderLevel]],"")</f>
        <v/>
      </c>
      <c r="N1932" t="str">
        <f>IF(Table2[[#This Row],[Stock Gap]]&lt;0, "Understock","Okay")</f>
        <v>Okay</v>
      </c>
      <c r="O1932" s="13" t="str">
        <f>IF(Table2[[#This Row],[Stock Gap]]&lt;0, "Yes", "No")</f>
        <v>No</v>
      </c>
      <c r="P1932" s="13" t="str">
        <f>IF(Table2[[#This Row],[CurrentStock]]&lt;Table2[[#This Row],[ReorderLevel]],"Reorder", "Okay")</f>
        <v>Okay</v>
      </c>
      <c r="Q1932" s="13" t="str">
        <f>IF(Table2[[#This Row],[CurrentStock]]&gt;Table2[[#This Row],[ReorderLevel]]*3, "Overstock", "Okay")</f>
        <v>Overstock</v>
      </c>
    </row>
    <row r="1933" spans="1:17" x14ac:dyDescent="0.35">
      <c r="A1933">
        <v>84492</v>
      </c>
      <c r="B1933" t="s">
        <v>25</v>
      </c>
      <c r="C1933" t="s">
        <v>29</v>
      </c>
      <c r="D1933">
        <v>203</v>
      </c>
      <c r="E1933">
        <v>40</v>
      </c>
      <c r="F1933" s="2">
        <v>490.55</v>
      </c>
      <c r="G1933" t="s">
        <v>34</v>
      </c>
      <c r="H1933" s="1">
        <v>45402</v>
      </c>
      <c r="I1933" s="1">
        <v>45407</v>
      </c>
      <c r="J1933" t="s">
        <v>38</v>
      </c>
      <c r="K1933" s="8">
        <f>Table2[[#This Row],[CurrentStock]]*Table2[[#This Row],[UnitPrice]]</f>
        <v>99581.650000000009</v>
      </c>
      <c r="L1933" t="str">
        <f>IF(Table2[[#This Row],[CurrentStock]]&lt;=Table2[[#This Row],[ReorderLevel]], "Reorder Needed", "Okay")</f>
        <v>Okay</v>
      </c>
      <c r="M1933" t="str">
        <f>IF(Table2[[#This Row],[CurrentStock]]-Table2[[#This Row],[ReorderLevel]]&lt;0,Table2[[#This Row],[CurrentStock]]-Table2[[#This Row],[ReorderLevel]],"")</f>
        <v/>
      </c>
      <c r="N1933" t="str">
        <f>IF(Table2[[#This Row],[Stock Gap]]&lt;0, "Understock","Okay")</f>
        <v>Okay</v>
      </c>
      <c r="O1933" s="13" t="str">
        <f>IF(Table2[[#This Row],[Stock Gap]]&lt;0, "Yes", "No")</f>
        <v>No</v>
      </c>
      <c r="P1933" s="13" t="str">
        <f>IF(Table2[[#This Row],[CurrentStock]]&lt;Table2[[#This Row],[ReorderLevel]],"Reorder", "Okay")</f>
        <v>Okay</v>
      </c>
      <c r="Q1933" s="13" t="str">
        <f>IF(Table2[[#This Row],[CurrentStock]]&gt;Table2[[#This Row],[ReorderLevel]]*3, "Overstock", "Okay")</f>
        <v>Overstock</v>
      </c>
    </row>
    <row r="1934" spans="1:17" x14ac:dyDescent="0.35">
      <c r="A1934">
        <v>11821</v>
      </c>
      <c r="B1934" t="s">
        <v>18</v>
      </c>
      <c r="C1934" t="s">
        <v>27</v>
      </c>
      <c r="D1934">
        <v>333</v>
      </c>
      <c r="E1934">
        <v>40</v>
      </c>
      <c r="F1934" s="2">
        <v>14.56</v>
      </c>
      <c r="G1934" t="s">
        <v>32</v>
      </c>
      <c r="H1934" s="1">
        <v>45507</v>
      </c>
      <c r="I1934" s="1">
        <v>45537</v>
      </c>
      <c r="J1934" t="s">
        <v>38</v>
      </c>
      <c r="K1934" s="8">
        <f>Table2[[#This Row],[CurrentStock]]*Table2[[#This Row],[UnitPrice]]</f>
        <v>4848.4800000000005</v>
      </c>
      <c r="L1934" t="str">
        <f>IF(Table2[[#This Row],[CurrentStock]]&lt;=Table2[[#This Row],[ReorderLevel]], "Reorder Needed", "Okay")</f>
        <v>Okay</v>
      </c>
      <c r="M1934" t="str">
        <f>IF(Table2[[#This Row],[CurrentStock]]-Table2[[#This Row],[ReorderLevel]]&lt;0,Table2[[#This Row],[CurrentStock]]-Table2[[#This Row],[ReorderLevel]],"")</f>
        <v/>
      </c>
      <c r="N1934" t="str">
        <f>IF(Table2[[#This Row],[Stock Gap]]&lt;0, "Understock","Okay")</f>
        <v>Okay</v>
      </c>
      <c r="O1934" s="13" t="str">
        <f>IF(Table2[[#This Row],[Stock Gap]]&lt;0, "Yes", "No")</f>
        <v>No</v>
      </c>
      <c r="P1934" s="13" t="str">
        <f>IF(Table2[[#This Row],[CurrentStock]]&lt;Table2[[#This Row],[ReorderLevel]],"Reorder", "Okay")</f>
        <v>Okay</v>
      </c>
      <c r="Q1934" s="13" t="str">
        <f>IF(Table2[[#This Row],[CurrentStock]]&gt;Table2[[#This Row],[ReorderLevel]]*3, "Overstock", "Okay")</f>
        <v>Overstock</v>
      </c>
    </row>
    <row r="1935" spans="1:17" x14ac:dyDescent="0.35">
      <c r="A1935">
        <v>83133</v>
      </c>
      <c r="B1935" t="s">
        <v>25</v>
      </c>
      <c r="C1935" t="s">
        <v>29</v>
      </c>
      <c r="D1935">
        <v>188</v>
      </c>
      <c r="E1935">
        <v>40</v>
      </c>
      <c r="F1935" s="2">
        <v>112.3</v>
      </c>
      <c r="G1935" t="s">
        <v>34</v>
      </c>
      <c r="H1935" s="1">
        <v>45352</v>
      </c>
      <c r="I1935" s="1">
        <v>45379</v>
      </c>
      <c r="J1935" t="s">
        <v>38</v>
      </c>
      <c r="K1935" s="8">
        <f>Table2[[#This Row],[CurrentStock]]*Table2[[#This Row],[UnitPrice]]</f>
        <v>21112.399999999998</v>
      </c>
      <c r="L1935" t="str">
        <f>IF(Table2[[#This Row],[CurrentStock]]&lt;=Table2[[#This Row],[ReorderLevel]], "Reorder Needed", "Okay")</f>
        <v>Okay</v>
      </c>
      <c r="M1935" t="str">
        <f>IF(Table2[[#This Row],[CurrentStock]]-Table2[[#This Row],[ReorderLevel]]&lt;0,Table2[[#This Row],[CurrentStock]]-Table2[[#This Row],[ReorderLevel]],"")</f>
        <v/>
      </c>
      <c r="N1935" t="str">
        <f>IF(Table2[[#This Row],[Stock Gap]]&lt;0, "Understock","Okay")</f>
        <v>Okay</v>
      </c>
      <c r="O1935" s="13" t="str">
        <f>IF(Table2[[#This Row],[Stock Gap]]&lt;0, "Yes", "No")</f>
        <v>No</v>
      </c>
      <c r="P1935" s="13" t="str">
        <f>IF(Table2[[#This Row],[CurrentStock]]&lt;Table2[[#This Row],[ReorderLevel]],"Reorder", "Okay")</f>
        <v>Okay</v>
      </c>
      <c r="Q1935" s="13" t="str">
        <f>IF(Table2[[#This Row],[CurrentStock]]&gt;Table2[[#This Row],[ReorderLevel]]*3, "Overstock", "Okay")</f>
        <v>Overstock</v>
      </c>
    </row>
    <row r="1936" spans="1:17" x14ac:dyDescent="0.35">
      <c r="A1936">
        <v>28632</v>
      </c>
      <c r="B1936" t="s">
        <v>19</v>
      </c>
      <c r="C1936" t="s">
        <v>28</v>
      </c>
      <c r="D1936">
        <v>233</v>
      </c>
      <c r="E1936">
        <v>40</v>
      </c>
      <c r="F1936" s="2">
        <v>246.9</v>
      </c>
      <c r="G1936" t="s">
        <v>33</v>
      </c>
      <c r="H1936" s="1">
        <v>45630</v>
      </c>
      <c r="I1936" s="1">
        <v>45635</v>
      </c>
      <c r="J1936" t="s">
        <v>36</v>
      </c>
      <c r="K1936" s="8">
        <f>Table2[[#This Row],[CurrentStock]]*Table2[[#This Row],[UnitPrice]]</f>
        <v>57527.700000000004</v>
      </c>
      <c r="L1936" t="str">
        <f>IF(Table2[[#This Row],[CurrentStock]]&lt;=Table2[[#This Row],[ReorderLevel]], "Reorder Needed", "Okay")</f>
        <v>Okay</v>
      </c>
      <c r="M1936" t="str">
        <f>IF(Table2[[#This Row],[CurrentStock]]-Table2[[#This Row],[ReorderLevel]]&lt;0,Table2[[#This Row],[CurrentStock]]-Table2[[#This Row],[ReorderLevel]],"")</f>
        <v/>
      </c>
      <c r="N1936" t="str">
        <f>IF(Table2[[#This Row],[Stock Gap]]&lt;0, "Understock","Okay")</f>
        <v>Okay</v>
      </c>
      <c r="O1936" s="13" t="str">
        <f>IF(Table2[[#This Row],[Stock Gap]]&lt;0, "Yes", "No")</f>
        <v>No</v>
      </c>
      <c r="P1936" s="13" t="str">
        <f>IF(Table2[[#This Row],[CurrentStock]]&lt;Table2[[#This Row],[ReorderLevel]],"Reorder", "Okay")</f>
        <v>Okay</v>
      </c>
      <c r="Q1936" s="13" t="str">
        <f>IF(Table2[[#This Row],[CurrentStock]]&gt;Table2[[#This Row],[ReorderLevel]]*3, "Overstock", "Okay")</f>
        <v>Overstock</v>
      </c>
    </row>
    <row r="1937" spans="1:17" x14ac:dyDescent="0.35">
      <c r="A1937">
        <v>11461</v>
      </c>
      <c r="B1937" t="s">
        <v>14</v>
      </c>
      <c r="C1937" t="s">
        <v>28</v>
      </c>
      <c r="D1937">
        <v>105</v>
      </c>
      <c r="E1937">
        <v>30</v>
      </c>
      <c r="F1937" s="2">
        <v>71.760000000000005</v>
      </c>
      <c r="G1937" t="s">
        <v>31</v>
      </c>
      <c r="H1937" s="1">
        <v>45444</v>
      </c>
      <c r="I1937" s="1">
        <v>45477</v>
      </c>
      <c r="J1937" t="s">
        <v>36</v>
      </c>
      <c r="K1937" s="8">
        <f>Table2[[#This Row],[CurrentStock]]*Table2[[#This Row],[UnitPrice]]</f>
        <v>7534.8</v>
      </c>
      <c r="L1937" t="str">
        <f>IF(Table2[[#This Row],[CurrentStock]]&lt;=Table2[[#This Row],[ReorderLevel]], "Reorder Needed", "Okay")</f>
        <v>Okay</v>
      </c>
      <c r="M1937" t="str">
        <f>IF(Table2[[#This Row],[CurrentStock]]-Table2[[#This Row],[ReorderLevel]]&lt;0,Table2[[#This Row],[CurrentStock]]-Table2[[#This Row],[ReorderLevel]],"")</f>
        <v/>
      </c>
      <c r="N1937" t="str">
        <f>IF(Table2[[#This Row],[Stock Gap]]&lt;0, "Understock","Okay")</f>
        <v>Okay</v>
      </c>
      <c r="O1937" s="13" t="str">
        <f>IF(Table2[[#This Row],[Stock Gap]]&lt;0, "Yes", "No")</f>
        <v>No</v>
      </c>
      <c r="P1937" s="13" t="str">
        <f>IF(Table2[[#This Row],[CurrentStock]]&lt;Table2[[#This Row],[ReorderLevel]],"Reorder", "Okay")</f>
        <v>Okay</v>
      </c>
      <c r="Q1937" s="13" t="str">
        <f>IF(Table2[[#This Row],[CurrentStock]]&gt;Table2[[#This Row],[ReorderLevel]]*3, "Overstock", "Okay")</f>
        <v>Overstock</v>
      </c>
    </row>
    <row r="1938" spans="1:17" x14ac:dyDescent="0.35">
      <c r="A1938">
        <v>63668</v>
      </c>
      <c r="B1938" t="s">
        <v>12</v>
      </c>
      <c r="C1938" t="s">
        <v>28</v>
      </c>
      <c r="D1938">
        <v>3</v>
      </c>
      <c r="E1938">
        <v>80</v>
      </c>
      <c r="F1938" s="2">
        <v>59.66</v>
      </c>
      <c r="G1938" t="s">
        <v>34</v>
      </c>
      <c r="H1938" s="1">
        <v>45404</v>
      </c>
      <c r="I1938" s="1">
        <v>45431</v>
      </c>
      <c r="J1938" t="s">
        <v>36</v>
      </c>
      <c r="K1938" s="8">
        <f>Table2[[#This Row],[CurrentStock]]*Table2[[#This Row],[UnitPrice]]</f>
        <v>178.98</v>
      </c>
      <c r="L1938" t="str">
        <f>IF(Table2[[#This Row],[CurrentStock]]&lt;=Table2[[#This Row],[ReorderLevel]], "Reorder Needed", "Okay")</f>
        <v>Reorder Needed</v>
      </c>
      <c r="M1938" s="7">
        <f>IF(Table2[[#This Row],[CurrentStock]]-Table2[[#This Row],[ReorderLevel]]&lt;0,Table2[[#This Row],[CurrentStock]]-Table2[[#This Row],[ReorderLevel]],"")</f>
        <v>-77</v>
      </c>
      <c r="N1938" t="str">
        <f>IF(Table2[[#This Row],[Stock Gap]]&lt;0, "Understock","Okay")</f>
        <v>Understock</v>
      </c>
      <c r="O1938" s="13" t="str">
        <f>IF(Table2[[#This Row],[Stock Gap]]&lt;0, "Yes", "No")</f>
        <v>Yes</v>
      </c>
      <c r="P1938" s="13" t="str">
        <f>IF(Table2[[#This Row],[CurrentStock]]&lt;Table2[[#This Row],[ReorderLevel]],"Reorder", "Okay")</f>
        <v>Reorder</v>
      </c>
      <c r="Q1938" s="13" t="str">
        <f>IF(Table2[[#This Row],[CurrentStock]]&gt;Table2[[#This Row],[ReorderLevel]]*3, "Overstock", "Okay")</f>
        <v>Okay</v>
      </c>
    </row>
    <row r="1939" spans="1:17" x14ac:dyDescent="0.35">
      <c r="A1939">
        <v>42532</v>
      </c>
      <c r="B1939" t="s">
        <v>25</v>
      </c>
      <c r="C1939" t="s">
        <v>29</v>
      </c>
      <c r="D1939">
        <v>32</v>
      </c>
      <c r="E1939">
        <v>150</v>
      </c>
      <c r="F1939" s="2">
        <v>115.63</v>
      </c>
      <c r="G1939" t="s">
        <v>34</v>
      </c>
      <c r="H1939" s="1">
        <v>45424</v>
      </c>
      <c r="I1939" s="1">
        <v>45443</v>
      </c>
      <c r="J1939" t="s">
        <v>36</v>
      </c>
      <c r="K1939" s="8">
        <f>Table2[[#This Row],[CurrentStock]]*Table2[[#This Row],[UnitPrice]]</f>
        <v>3700.16</v>
      </c>
      <c r="L1939" t="str">
        <f>IF(Table2[[#This Row],[CurrentStock]]&lt;=Table2[[#This Row],[ReorderLevel]], "Reorder Needed", "Okay")</f>
        <v>Reorder Needed</v>
      </c>
      <c r="M1939" s="7">
        <f>IF(Table2[[#This Row],[CurrentStock]]-Table2[[#This Row],[ReorderLevel]]&lt;0,Table2[[#This Row],[CurrentStock]]-Table2[[#This Row],[ReorderLevel]],"")</f>
        <v>-118</v>
      </c>
      <c r="N1939" t="str">
        <f>IF(Table2[[#This Row],[Stock Gap]]&lt;0, "Understock","Okay")</f>
        <v>Understock</v>
      </c>
      <c r="O1939" s="13" t="str">
        <f>IF(Table2[[#This Row],[Stock Gap]]&lt;0, "Yes", "No")</f>
        <v>Yes</v>
      </c>
      <c r="P1939" s="13" t="str">
        <f>IF(Table2[[#This Row],[CurrentStock]]&lt;Table2[[#This Row],[ReorderLevel]],"Reorder", "Okay")</f>
        <v>Reorder</v>
      </c>
      <c r="Q1939" s="13" t="str">
        <f>IF(Table2[[#This Row],[CurrentStock]]&gt;Table2[[#This Row],[ReorderLevel]]*3, "Overstock", "Okay")</f>
        <v>Okay</v>
      </c>
    </row>
    <row r="1940" spans="1:17" x14ac:dyDescent="0.35">
      <c r="A1940">
        <v>12438</v>
      </c>
      <c r="B1940" t="s">
        <v>24</v>
      </c>
      <c r="C1940" t="s">
        <v>30</v>
      </c>
      <c r="D1940">
        <v>117</v>
      </c>
      <c r="E1940">
        <v>30</v>
      </c>
      <c r="F1940" s="2">
        <v>483.15</v>
      </c>
      <c r="G1940" t="s">
        <v>35</v>
      </c>
      <c r="H1940" s="1">
        <v>45416</v>
      </c>
      <c r="I1940" s="1">
        <v>45439</v>
      </c>
      <c r="J1940" t="s">
        <v>37</v>
      </c>
      <c r="K1940" s="8">
        <f>Table2[[#This Row],[CurrentStock]]*Table2[[#This Row],[UnitPrice]]</f>
        <v>56528.549999999996</v>
      </c>
      <c r="L1940" t="str">
        <f>IF(Table2[[#This Row],[CurrentStock]]&lt;=Table2[[#This Row],[ReorderLevel]], "Reorder Needed", "Okay")</f>
        <v>Okay</v>
      </c>
      <c r="M1940" t="str">
        <f>IF(Table2[[#This Row],[CurrentStock]]-Table2[[#This Row],[ReorderLevel]]&lt;0,Table2[[#This Row],[CurrentStock]]-Table2[[#This Row],[ReorderLevel]],"")</f>
        <v/>
      </c>
      <c r="N1940" t="str">
        <f>IF(Table2[[#This Row],[Stock Gap]]&lt;0, "Understock","Okay")</f>
        <v>Okay</v>
      </c>
      <c r="O1940" s="13" t="str">
        <f>IF(Table2[[#This Row],[Stock Gap]]&lt;0, "Yes", "No")</f>
        <v>No</v>
      </c>
      <c r="P1940" s="13" t="str">
        <f>IF(Table2[[#This Row],[CurrentStock]]&lt;Table2[[#This Row],[ReorderLevel]],"Reorder", "Okay")</f>
        <v>Okay</v>
      </c>
      <c r="Q1940" s="13" t="str">
        <f>IF(Table2[[#This Row],[CurrentStock]]&gt;Table2[[#This Row],[ReorderLevel]]*3, "Overstock", "Okay")</f>
        <v>Overstock</v>
      </c>
    </row>
    <row r="1941" spans="1:17" x14ac:dyDescent="0.35">
      <c r="A1941">
        <v>59831</v>
      </c>
      <c r="B1941" t="s">
        <v>24</v>
      </c>
      <c r="C1941" t="s">
        <v>30</v>
      </c>
      <c r="D1941">
        <v>360</v>
      </c>
      <c r="E1941">
        <v>150</v>
      </c>
      <c r="F1941" s="2">
        <v>400.36</v>
      </c>
      <c r="G1941" t="s">
        <v>35</v>
      </c>
      <c r="H1941" s="1">
        <v>45473</v>
      </c>
      <c r="I1941" s="1">
        <v>45509</v>
      </c>
      <c r="J1941" t="s">
        <v>37</v>
      </c>
      <c r="K1941" s="8">
        <f>Table2[[#This Row],[CurrentStock]]*Table2[[#This Row],[UnitPrice]]</f>
        <v>144129.60000000001</v>
      </c>
      <c r="L1941" t="str">
        <f>IF(Table2[[#This Row],[CurrentStock]]&lt;=Table2[[#This Row],[ReorderLevel]], "Reorder Needed", "Okay")</f>
        <v>Okay</v>
      </c>
      <c r="M1941" t="str">
        <f>IF(Table2[[#This Row],[CurrentStock]]-Table2[[#This Row],[ReorderLevel]]&lt;0,Table2[[#This Row],[CurrentStock]]-Table2[[#This Row],[ReorderLevel]],"")</f>
        <v/>
      </c>
      <c r="N1941" t="str">
        <f>IF(Table2[[#This Row],[Stock Gap]]&lt;0, "Understock","Okay")</f>
        <v>Okay</v>
      </c>
      <c r="O1941" s="13" t="str">
        <f>IF(Table2[[#This Row],[Stock Gap]]&lt;0, "Yes", "No")</f>
        <v>No</v>
      </c>
      <c r="P1941" s="13" t="str">
        <f>IF(Table2[[#This Row],[CurrentStock]]&lt;Table2[[#This Row],[ReorderLevel]],"Reorder", "Okay")</f>
        <v>Okay</v>
      </c>
      <c r="Q1941" s="13" t="str">
        <f>IF(Table2[[#This Row],[CurrentStock]]&gt;Table2[[#This Row],[ReorderLevel]]*3, "Overstock", "Okay")</f>
        <v>Okay</v>
      </c>
    </row>
    <row r="1942" spans="1:17" x14ac:dyDescent="0.35">
      <c r="A1942">
        <v>36515</v>
      </c>
      <c r="B1942" t="s">
        <v>24</v>
      </c>
      <c r="C1942" t="s">
        <v>30</v>
      </c>
      <c r="D1942">
        <v>148</v>
      </c>
      <c r="E1942">
        <v>30</v>
      </c>
      <c r="F1942" s="2">
        <v>403.71</v>
      </c>
      <c r="G1942" t="s">
        <v>31</v>
      </c>
      <c r="H1942" s="1">
        <v>45428</v>
      </c>
      <c r="I1942" s="1">
        <v>45467</v>
      </c>
      <c r="J1942" t="s">
        <v>38</v>
      </c>
      <c r="K1942" s="8">
        <f>Table2[[#This Row],[CurrentStock]]*Table2[[#This Row],[UnitPrice]]</f>
        <v>59749.079999999994</v>
      </c>
      <c r="L1942" t="str">
        <f>IF(Table2[[#This Row],[CurrentStock]]&lt;=Table2[[#This Row],[ReorderLevel]], "Reorder Needed", "Okay")</f>
        <v>Okay</v>
      </c>
      <c r="M1942" t="str">
        <f>IF(Table2[[#This Row],[CurrentStock]]-Table2[[#This Row],[ReorderLevel]]&lt;0,Table2[[#This Row],[CurrentStock]]-Table2[[#This Row],[ReorderLevel]],"")</f>
        <v/>
      </c>
      <c r="N1942" t="str">
        <f>IF(Table2[[#This Row],[Stock Gap]]&lt;0, "Understock","Okay")</f>
        <v>Okay</v>
      </c>
      <c r="O1942" s="13" t="str">
        <f>IF(Table2[[#This Row],[Stock Gap]]&lt;0, "Yes", "No")</f>
        <v>No</v>
      </c>
      <c r="P1942" s="13" t="str">
        <f>IF(Table2[[#This Row],[CurrentStock]]&lt;Table2[[#This Row],[ReorderLevel]],"Reorder", "Okay")</f>
        <v>Okay</v>
      </c>
      <c r="Q1942" s="13" t="str">
        <f>IF(Table2[[#This Row],[CurrentStock]]&gt;Table2[[#This Row],[ReorderLevel]]*3, "Overstock", "Okay")</f>
        <v>Overstock</v>
      </c>
    </row>
    <row r="1943" spans="1:17" x14ac:dyDescent="0.35">
      <c r="A1943">
        <v>50955</v>
      </c>
      <c r="B1943" t="s">
        <v>13</v>
      </c>
      <c r="C1943" t="s">
        <v>26</v>
      </c>
      <c r="D1943">
        <v>487</v>
      </c>
      <c r="E1943">
        <v>20</v>
      </c>
      <c r="F1943" s="2">
        <v>401.31</v>
      </c>
      <c r="G1943" t="s">
        <v>35</v>
      </c>
      <c r="H1943" s="1">
        <v>45502</v>
      </c>
      <c r="I1943" s="1">
        <v>45536</v>
      </c>
      <c r="J1943" t="s">
        <v>36</v>
      </c>
      <c r="K1943" s="8">
        <f>Table2[[#This Row],[CurrentStock]]*Table2[[#This Row],[UnitPrice]]</f>
        <v>195437.97</v>
      </c>
      <c r="L1943" t="str">
        <f>IF(Table2[[#This Row],[CurrentStock]]&lt;=Table2[[#This Row],[ReorderLevel]], "Reorder Needed", "Okay")</f>
        <v>Okay</v>
      </c>
      <c r="M1943" t="str">
        <f>IF(Table2[[#This Row],[CurrentStock]]-Table2[[#This Row],[ReorderLevel]]&lt;0,Table2[[#This Row],[CurrentStock]]-Table2[[#This Row],[ReorderLevel]],"")</f>
        <v/>
      </c>
      <c r="N1943" t="str">
        <f>IF(Table2[[#This Row],[Stock Gap]]&lt;0, "Understock","Okay")</f>
        <v>Okay</v>
      </c>
      <c r="O1943" s="13" t="str">
        <f>IF(Table2[[#This Row],[Stock Gap]]&lt;0, "Yes", "No")</f>
        <v>No</v>
      </c>
      <c r="P1943" s="13" t="str">
        <f>IF(Table2[[#This Row],[CurrentStock]]&lt;Table2[[#This Row],[ReorderLevel]],"Reorder", "Okay")</f>
        <v>Okay</v>
      </c>
      <c r="Q1943" s="13" t="str">
        <f>IF(Table2[[#This Row],[CurrentStock]]&gt;Table2[[#This Row],[ReorderLevel]]*3, "Overstock", "Okay")</f>
        <v>Overstock</v>
      </c>
    </row>
    <row r="1944" spans="1:17" x14ac:dyDescent="0.35">
      <c r="A1944">
        <v>44256</v>
      </c>
      <c r="B1944" t="s">
        <v>9</v>
      </c>
      <c r="C1944" t="s">
        <v>26</v>
      </c>
      <c r="D1944">
        <v>400</v>
      </c>
      <c r="E1944">
        <v>100</v>
      </c>
      <c r="F1944" s="2">
        <v>272.89999999999998</v>
      </c>
      <c r="G1944" t="s">
        <v>32</v>
      </c>
      <c r="H1944" s="1">
        <v>45383</v>
      </c>
      <c r="I1944" s="1">
        <v>45411</v>
      </c>
      <c r="J1944" t="s">
        <v>37</v>
      </c>
      <c r="K1944" s="8">
        <f>Table2[[#This Row],[CurrentStock]]*Table2[[#This Row],[UnitPrice]]</f>
        <v>109159.99999999999</v>
      </c>
      <c r="L1944" t="str">
        <f>IF(Table2[[#This Row],[CurrentStock]]&lt;=Table2[[#This Row],[ReorderLevel]], "Reorder Needed", "Okay")</f>
        <v>Okay</v>
      </c>
      <c r="M1944" t="str">
        <f>IF(Table2[[#This Row],[CurrentStock]]-Table2[[#This Row],[ReorderLevel]]&lt;0,Table2[[#This Row],[CurrentStock]]-Table2[[#This Row],[ReorderLevel]],"")</f>
        <v/>
      </c>
      <c r="N1944" t="str">
        <f>IF(Table2[[#This Row],[Stock Gap]]&lt;0, "Understock","Okay")</f>
        <v>Okay</v>
      </c>
      <c r="O1944" s="13" t="str">
        <f>IF(Table2[[#This Row],[Stock Gap]]&lt;0, "Yes", "No")</f>
        <v>No</v>
      </c>
      <c r="P1944" s="13" t="str">
        <f>IF(Table2[[#This Row],[CurrentStock]]&lt;Table2[[#This Row],[ReorderLevel]],"Reorder", "Okay")</f>
        <v>Okay</v>
      </c>
      <c r="Q1944" s="13" t="str">
        <f>IF(Table2[[#This Row],[CurrentStock]]&gt;Table2[[#This Row],[ReorderLevel]]*3, "Overstock", "Okay")</f>
        <v>Overstock</v>
      </c>
    </row>
    <row r="1945" spans="1:17" x14ac:dyDescent="0.35">
      <c r="A1945">
        <v>48664</v>
      </c>
      <c r="B1945" t="s">
        <v>13</v>
      </c>
      <c r="C1945" t="s">
        <v>26</v>
      </c>
      <c r="D1945">
        <v>178</v>
      </c>
      <c r="E1945">
        <v>40</v>
      </c>
      <c r="F1945" s="2">
        <v>283.54000000000002</v>
      </c>
      <c r="G1945" t="s">
        <v>33</v>
      </c>
      <c r="H1945" s="1">
        <v>45611</v>
      </c>
      <c r="I1945" s="1">
        <v>45623</v>
      </c>
      <c r="J1945" t="s">
        <v>38</v>
      </c>
      <c r="K1945" s="8">
        <f>Table2[[#This Row],[CurrentStock]]*Table2[[#This Row],[UnitPrice]]</f>
        <v>50470.12</v>
      </c>
      <c r="L1945" t="str">
        <f>IF(Table2[[#This Row],[CurrentStock]]&lt;=Table2[[#This Row],[ReorderLevel]], "Reorder Needed", "Okay")</f>
        <v>Okay</v>
      </c>
      <c r="M1945" t="str">
        <f>IF(Table2[[#This Row],[CurrentStock]]-Table2[[#This Row],[ReorderLevel]]&lt;0,Table2[[#This Row],[CurrentStock]]-Table2[[#This Row],[ReorderLevel]],"")</f>
        <v/>
      </c>
      <c r="N1945" t="str">
        <f>IF(Table2[[#This Row],[Stock Gap]]&lt;0, "Understock","Okay")</f>
        <v>Okay</v>
      </c>
      <c r="O1945" s="13" t="str">
        <f>IF(Table2[[#This Row],[Stock Gap]]&lt;0, "Yes", "No")</f>
        <v>No</v>
      </c>
      <c r="P1945" s="13" t="str">
        <f>IF(Table2[[#This Row],[CurrentStock]]&lt;Table2[[#This Row],[ReorderLevel]],"Reorder", "Okay")</f>
        <v>Okay</v>
      </c>
      <c r="Q1945" s="13" t="str">
        <f>IF(Table2[[#This Row],[CurrentStock]]&gt;Table2[[#This Row],[ReorderLevel]]*3, "Overstock", "Okay")</f>
        <v>Overstock</v>
      </c>
    </row>
    <row r="1946" spans="1:17" x14ac:dyDescent="0.35">
      <c r="A1946">
        <v>71829</v>
      </c>
      <c r="B1946" t="s">
        <v>16</v>
      </c>
      <c r="C1946" t="s">
        <v>29</v>
      </c>
      <c r="D1946">
        <v>257</v>
      </c>
      <c r="E1946">
        <v>50</v>
      </c>
      <c r="F1946" s="2">
        <v>82.38</v>
      </c>
      <c r="G1946" t="s">
        <v>35</v>
      </c>
      <c r="H1946" s="1">
        <v>45621</v>
      </c>
      <c r="I1946" s="1">
        <v>45628</v>
      </c>
      <c r="J1946" t="s">
        <v>38</v>
      </c>
      <c r="K1946" s="8">
        <f>Table2[[#This Row],[CurrentStock]]*Table2[[#This Row],[UnitPrice]]</f>
        <v>21171.66</v>
      </c>
      <c r="L1946" t="str">
        <f>IF(Table2[[#This Row],[CurrentStock]]&lt;=Table2[[#This Row],[ReorderLevel]], "Reorder Needed", "Okay")</f>
        <v>Okay</v>
      </c>
      <c r="M1946" t="str">
        <f>IF(Table2[[#This Row],[CurrentStock]]-Table2[[#This Row],[ReorderLevel]]&lt;0,Table2[[#This Row],[CurrentStock]]-Table2[[#This Row],[ReorderLevel]],"")</f>
        <v/>
      </c>
      <c r="N1946" t="str">
        <f>IF(Table2[[#This Row],[Stock Gap]]&lt;0, "Understock","Okay")</f>
        <v>Okay</v>
      </c>
      <c r="O1946" s="13" t="str">
        <f>IF(Table2[[#This Row],[Stock Gap]]&lt;0, "Yes", "No")</f>
        <v>No</v>
      </c>
      <c r="P1946" s="13" t="str">
        <f>IF(Table2[[#This Row],[CurrentStock]]&lt;Table2[[#This Row],[ReorderLevel]],"Reorder", "Okay")</f>
        <v>Okay</v>
      </c>
      <c r="Q1946" s="13" t="str">
        <f>IF(Table2[[#This Row],[CurrentStock]]&gt;Table2[[#This Row],[ReorderLevel]]*3, "Overstock", "Okay")</f>
        <v>Overstock</v>
      </c>
    </row>
    <row r="1947" spans="1:17" x14ac:dyDescent="0.35">
      <c r="A1947">
        <v>95411</v>
      </c>
      <c r="B1947" t="s">
        <v>14</v>
      </c>
      <c r="C1947" t="s">
        <v>28</v>
      </c>
      <c r="D1947">
        <v>170</v>
      </c>
      <c r="E1947">
        <v>40</v>
      </c>
      <c r="F1947" s="2">
        <v>59.7</v>
      </c>
      <c r="G1947" t="s">
        <v>34</v>
      </c>
      <c r="H1947" s="1">
        <v>45590</v>
      </c>
      <c r="I1947" s="1">
        <v>45622</v>
      </c>
      <c r="J1947" t="s">
        <v>38</v>
      </c>
      <c r="K1947" s="8">
        <f>Table2[[#This Row],[CurrentStock]]*Table2[[#This Row],[UnitPrice]]</f>
        <v>10149</v>
      </c>
      <c r="L1947" t="str">
        <f>IF(Table2[[#This Row],[CurrentStock]]&lt;=Table2[[#This Row],[ReorderLevel]], "Reorder Needed", "Okay")</f>
        <v>Okay</v>
      </c>
      <c r="M1947" t="str">
        <f>IF(Table2[[#This Row],[CurrentStock]]-Table2[[#This Row],[ReorderLevel]]&lt;0,Table2[[#This Row],[CurrentStock]]-Table2[[#This Row],[ReorderLevel]],"")</f>
        <v/>
      </c>
      <c r="N1947" t="str">
        <f>IF(Table2[[#This Row],[Stock Gap]]&lt;0, "Understock","Okay")</f>
        <v>Okay</v>
      </c>
      <c r="O1947" s="13" t="str">
        <f>IF(Table2[[#This Row],[Stock Gap]]&lt;0, "Yes", "No")</f>
        <v>No</v>
      </c>
      <c r="P1947" s="13" t="str">
        <f>IF(Table2[[#This Row],[CurrentStock]]&lt;Table2[[#This Row],[ReorderLevel]],"Reorder", "Okay")</f>
        <v>Okay</v>
      </c>
      <c r="Q1947" s="13" t="str">
        <f>IF(Table2[[#This Row],[CurrentStock]]&gt;Table2[[#This Row],[ReorderLevel]]*3, "Overstock", "Okay")</f>
        <v>Overstock</v>
      </c>
    </row>
    <row r="1948" spans="1:17" x14ac:dyDescent="0.35">
      <c r="A1948">
        <v>74544</v>
      </c>
      <c r="B1948" t="s">
        <v>19</v>
      </c>
      <c r="C1948" t="s">
        <v>28</v>
      </c>
      <c r="D1948">
        <v>329</v>
      </c>
      <c r="E1948">
        <v>80</v>
      </c>
      <c r="F1948" s="2">
        <v>236.31</v>
      </c>
      <c r="G1948" t="s">
        <v>31</v>
      </c>
      <c r="H1948" s="1">
        <v>45585</v>
      </c>
      <c r="I1948" s="1">
        <v>45591</v>
      </c>
      <c r="J1948" t="s">
        <v>37</v>
      </c>
      <c r="K1948" s="8">
        <f>Table2[[#This Row],[CurrentStock]]*Table2[[#This Row],[UnitPrice]]</f>
        <v>77745.990000000005</v>
      </c>
      <c r="L1948" t="str">
        <f>IF(Table2[[#This Row],[CurrentStock]]&lt;=Table2[[#This Row],[ReorderLevel]], "Reorder Needed", "Okay")</f>
        <v>Okay</v>
      </c>
      <c r="M1948" t="str">
        <f>IF(Table2[[#This Row],[CurrentStock]]-Table2[[#This Row],[ReorderLevel]]&lt;0,Table2[[#This Row],[CurrentStock]]-Table2[[#This Row],[ReorderLevel]],"")</f>
        <v/>
      </c>
      <c r="N1948" t="str">
        <f>IF(Table2[[#This Row],[Stock Gap]]&lt;0, "Understock","Okay")</f>
        <v>Okay</v>
      </c>
      <c r="O1948" s="13" t="str">
        <f>IF(Table2[[#This Row],[Stock Gap]]&lt;0, "Yes", "No")</f>
        <v>No</v>
      </c>
      <c r="P1948" s="13" t="str">
        <f>IF(Table2[[#This Row],[CurrentStock]]&lt;Table2[[#This Row],[ReorderLevel]],"Reorder", "Okay")</f>
        <v>Okay</v>
      </c>
      <c r="Q1948" s="13" t="str">
        <f>IF(Table2[[#This Row],[CurrentStock]]&gt;Table2[[#This Row],[ReorderLevel]]*3, "Overstock", "Okay")</f>
        <v>Overstock</v>
      </c>
    </row>
    <row r="1949" spans="1:17" x14ac:dyDescent="0.35">
      <c r="A1949">
        <v>50144</v>
      </c>
      <c r="B1949" t="s">
        <v>19</v>
      </c>
      <c r="C1949" t="s">
        <v>28</v>
      </c>
      <c r="D1949">
        <v>430</v>
      </c>
      <c r="E1949">
        <v>150</v>
      </c>
      <c r="F1949" s="2">
        <v>71.03</v>
      </c>
      <c r="G1949" t="s">
        <v>35</v>
      </c>
      <c r="H1949" s="1">
        <v>45509</v>
      </c>
      <c r="I1949" s="1">
        <v>45538</v>
      </c>
      <c r="J1949" t="s">
        <v>36</v>
      </c>
      <c r="K1949" s="8">
        <f>Table2[[#This Row],[CurrentStock]]*Table2[[#This Row],[UnitPrice]]</f>
        <v>30542.9</v>
      </c>
      <c r="L1949" t="str">
        <f>IF(Table2[[#This Row],[CurrentStock]]&lt;=Table2[[#This Row],[ReorderLevel]], "Reorder Needed", "Okay")</f>
        <v>Okay</v>
      </c>
      <c r="M1949" t="str">
        <f>IF(Table2[[#This Row],[CurrentStock]]-Table2[[#This Row],[ReorderLevel]]&lt;0,Table2[[#This Row],[CurrentStock]]-Table2[[#This Row],[ReorderLevel]],"")</f>
        <v/>
      </c>
      <c r="N1949" t="str">
        <f>IF(Table2[[#This Row],[Stock Gap]]&lt;0, "Understock","Okay")</f>
        <v>Okay</v>
      </c>
      <c r="O1949" s="13" t="str">
        <f>IF(Table2[[#This Row],[Stock Gap]]&lt;0, "Yes", "No")</f>
        <v>No</v>
      </c>
      <c r="P1949" s="13" t="str">
        <f>IF(Table2[[#This Row],[CurrentStock]]&lt;Table2[[#This Row],[ReorderLevel]],"Reorder", "Okay")</f>
        <v>Okay</v>
      </c>
      <c r="Q1949" s="13" t="str">
        <f>IF(Table2[[#This Row],[CurrentStock]]&gt;Table2[[#This Row],[ReorderLevel]]*3, "Overstock", "Okay")</f>
        <v>Okay</v>
      </c>
    </row>
    <row r="1950" spans="1:17" x14ac:dyDescent="0.35">
      <c r="A1950">
        <v>57431</v>
      </c>
      <c r="B1950" t="s">
        <v>13</v>
      </c>
      <c r="C1950" t="s">
        <v>26</v>
      </c>
      <c r="D1950">
        <v>208</v>
      </c>
      <c r="E1950">
        <v>100</v>
      </c>
      <c r="F1950" s="2">
        <v>210.34</v>
      </c>
      <c r="G1950" t="s">
        <v>32</v>
      </c>
      <c r="H1950" s="1">
        <v>45369</v>
      </c>
      <c r="I1950" s="1">
        <v>45390</v>
      </c>
      <c r="J1950" t="s">
        <v>38</v>
      </c>
      <c r="K1950" s="8">
        <f>Table2[[#This Row],[CurrentStock]]*Table2[[#This Row],[UnitPrice]]</f>
        <v>43750.720000000001</v>
      </c>
      <c r="L1950" t="str">
        <f>IF(Table2[[#This Row],[CurrentStock]]&lt;=Table2[[#This Row],[ReorderLevel]], "Reorder Needed", "Okay")</f>
        <v>Okay</v>
      </c>
      <c r="M1950" t="str">
        <f>IF(Table2[[#This Row],[CurrentStock]]-Table2[[#This Row],[ReorderLevel]]&lt;0,Table2[[#This Row],[CurrentStock]]-Table2[[#This Row],[ReorderLevel]],"")</f>
        <v/>
      </c>
      <c r="N1950" t="str">
        <f>IF(Table2[[#This Row],[Stock Gap]]&lt;0, "Understock","Okay")</f>
        <v>Okay</v>
      </c>
      <c r="O1950" s="13" t="str">
        <f>IF(Table2[[#This Row],[Stock Gap]]&lt;0, "Yes", "No")</f>
        <v>No</v>
      </c>
      <c r="P1950" s="13" t="str">
        <f>IF(Table2[[#This Row],[CurrentStock]]&lt;Table2[[#This Row],[ReorderLevel]],"Reorder", "Okay")</f>
        <v>Okay</v>
      </c>
      <c r="Q1950" s="13" t="str">
        <f>IF(Table2[[#This Row],[CurrentStock]]&gt;Table2[[#This Row],[ReorderLevel]]*3, "Overstock", "Okay")</f>
        <v>Okay</v>
      </c>
    </row>
    <row r="1951" spans="1:17" x14ac:dyDescent="0.35">
      <c r="A1951">
        <v>14803</v>
      </c>
      <c r="B1951" t="s">
        <v>22</v>
      </c>
      <c r="C1951" t="s">
        <v>29</v>
      </c>
      <c r="D1951">
        <v>469</v>
      </c>
      <c r="E1951">
        <v>100</v>
      </c>
      <c r="F1951" s="2">
        <v>34.97</v>
      </c>
      <c r="G1951" t="s">
        <v>32</v>
      </c>
      <c r="H1951" s="1">
        <v>45519</v>
      </c>
      <c r="I1951" s="1">
        <v>45558</v>
      </c>
      <c r="J1951" t="s">
        <v>38</v>
      </c>
      <c r="K1951" s="8">
        <f>Table2[[#This Row],[CurrentStock]]*Table2[[#This Row],[UnitPrice]]</f>
        <v>16400.93</v>
      </c>
      <c r="L1951" t="str">
        <f>IF(Table2[[#This Row],[CurrentStock]]&lt;=Table2[[#This Row],[ReorderLevel]], "Reorder Needed", "Okay")</f>
        <v>Okay</v>
      </c>
      <c r="M1951" t="str">
        <f>IF(Table2[[#This Row],[CurrentStock]]-Table2[[#This Row],[ReorderLevel]]&lt;0,Table2[[#This Row],[CurrentStock]]-Table2[[#This Row],[ReorderLevel]],"")</f>
        <v/>
      </c>
      <c r="N1951" t="str">
        <f>IF(Table2[[#This Row],[Stock Gap]]&lt;0, "Understock","Okay")</f>
        <v>Okay</v>
      </c>
      <c r="O1951" s="13" t="str">
        <f>IF(Table2[[#This Row],[Stock Gap]]&lt;0, "Yes", "No")</f>
        <v>No</v>
      </c>
      <c r="P1951" s="13" t="str">
        <f>IF(Table2[[#This Row],[CurrentStock]]&lt;Table2[[#This Row],[ReorderLevel]],"Reorder", "Okay")</f>
        <v>Okay</v>
      </c>
      <c r="Q1951" s="13" t="str">
        <f>IF(Table2[[#This Row],[CurrentStock]]&gt;Table2[[#This Row],[ReorderLevel]]*3, "Overstock", "Okay")</f>
        <v>Overstock</v>
      </c>
    </row>
    <row r="1952" spans="1:17" x14ac:dyDescent="0.35">
      <c r="A1952">
        <v>84676</v>
      </c>
      <c r="B1952" t="s">
        <v>23</v>
      </c>
      <c r="C1952" t="s">
        <v>30</v>
      </c>
      <c r="D1952">
        <v>474</v>
      </c>
      <c r="E1952">
        <v>20</v>
      </c>
      <c r="F1952" s="2">
        <v>258.11</v>
      </c>
      <c r="G1952" t="s">
        <v>32</v>
      </c>
      <c r="H1952" s="1">
        <v>45499</v>
      </c>
      <c r="I1952" s="1">
        <v>45522</v>
      </c>
      <c r="J1952" t="s">
        <v>36</v>
      </c>
      <c r="K1952" s="8">
        <f>Table2[[#This Row],[CurrentStock]]*Table2[[#This Row],[UnitPrice]]</f>
        <v>122344.14</v>
      </c>
      <c r="L1952" t="str">
        <f>IF(Table2[[#This Row],[CurrentStock]]&lt;=Table2[[#This Row],[ReorderLevel]], "Reorder Needed", "Okay")</f>
        <v>Okay</v>
      </c>
      <c r="M1952" t="str">
        <f>IF(Table2[[#This Row],[CurrentStock]]-Table2[[#This Row],[ReorderLevel]]&lt;0,Table2[[#This Row],[CurrentStock]]-Table2[[#This Row],[ReorderLevel]],"")</f>
        <v/>
      </c>
      <c r="N1952" t="str">
        <f>IF(Table2[[#This Row],[Stock Gap]]&lt;0, "Understock","Okay")</f>
        <v>Okay</v>
      </c>
      <c r="O1952" s="13" t="str">
        <f>IF(Table2[[#This Row],[Stock Gap]]&lt;0, "Yes", "No")</f>
        <v>No</v>
      </c>
      <c r="P1952" s="13" t="str">
        <f>IF(Table2[[#This Row],[CurrentStock]]&lt;Table2[[#This Row],[ReorderLevel]],"Reorder", "Okay")</f>
        <v>Okay</v>
      </c>
      <c r="Q1952" s="13" t="str">
        <f>IF(Table2[[#This Row],[CurrentStock]]&gt;Table2[[#This Row],[ReorderLevel]]*3, "Overstock", "Okay")</f>
        <v>Overstock</v>
      </c>
    </row>
    <row r="1953" spans="1:17" x14ac:dyDescent="0.35">
      <c r="A1953">
        <v>89118</v>
      </c>
      <c r="B1953" t="s">
        <v>19</v>
      </c>
      <c r="C1953" t="s">
        <v>28</v>
      </c>
      <c r="D1953">
        <v>178</v>
      </c>
      <c r="E1953">
        <v>30</v>
      </c>
      <c r="F1953" s="2">
        <v>88.91</v>
      </c>
      <c r="G1953" t="s">
        <v>31</v>
      </c>
      <c r="H1953" s="1">
        <v>45557</v>
      </c>
      <c r="I1953" s="1">
        <v>45570</v>
      </c>
      <c r="J1953" t="s">
        <v>38</v>
      </c>
      <c r="K1953" s="8">
        <f>Table2[[#This Row],[CurrentStock]]*Table2[[#This Row],[UnitPrice]]</f>
        <v>15825.98</v>
      </c>
      <c r="L1953" t="str">
        <f>IF(Table2[[#This Row],[CurrentStock]]&lt;=Table2[[#This Row],[ReorderLevel]], "Reorder Needed", "Okay")</f>
        <v>Okay</v>
      </c>
      <c r="M1953" t="str">
        <f>IF(Table2[[#This Row],[CurrentStock]]-Table2[[#This Row],[ReorderLevel]]&lt;0,Table2[[#This Row],[CurrentStock]]-Table2[[#This Row],[ReorderLevel]],"")</f>
        <v/>
      </c>
      <c r="N1953" t="str">
        <f>IF(Table2[[#This Row],[Stock Gap]]&lt;0, "Understock","Okay")</f>
        <v>Okay</v>
      </c>
      <c r="O1953" s="13" t="str">
        <f>IF(Table2[[#This Row],[Stock Gap]]&lt;0, "Yes", "No")</f>
        <v>No</v>
      </c>
      <c r="P1953" s="13" t="str">
        <f>IF(Table2[[#This Row],[CurrentStock]]&lt;Table2[[#This Row],[ReorderLevel]],"Reorder", "Okay")</f>
        <v>Okay</v>
      </c>
      <c r="Q1953" s="13" t="str">
        <f>IF(Table2[[#This Row],[CurrentStock]]&gt;Table2[[#This Row],[ReorderLevel]]*3, "Overstock", "Okay")</f>
        <v>Overstock</v>
      </c>
    </row>
    <row r="1954" spans="1:17" x14ac:dyDescent="0.35">
      <c r="A1954">
        <v>92593</v>
      </c>
      <c r="B1954" t="s">
        <v>24</v>
      </c>
      <c r="C1954" t="s">
        <v>30</v>
      </c>
      <c r="D1954">
        <v>18</v>
      </c>
      <c r="E1954">
        <v>20</v>
      </c>
      <c r="F1954" s="2">
        <v>58.08</v>
      </c>
      <c r="G1954" t="s">
        <v>31</v>
      </c>
      <c r="H1954" s="1">
        <v>45475</v>
      </c>
      <c r="I1954" s="1">
        <v>45500</v>
      </c>
      <c r="J1954" t="s">
        <v>36</v>
      </c>
      <c r="K1954" s="8">
        <f>Table2[[#This Row],[CurrentStock]]*Table2[[#This Row],[UnitPrice]]</f>
        <v>1045.44</v>
      </c>
      <c r="L1954" t="str">
        <f>IF(Table2[[#This Row],[CurrentStock]]&lt;=Table2[[#This Row],[ReorderLevel]], "Reorder Needed", "Okay")</f>
        <v>Reorder Needed</v>
      </c>
      <c r="M1954" s="7">
        <f>IF(Table2[[#This Row],[CurrentStock]]-Table2[[#This Row],[ReorderLevel]]&lt;0,Table2[[#This Row],[CurrentStock]]-Table2[[#This Row],[ReorderLevel]],"")</f>
        <v>-2</v>
      </c>
      <c r="N1954" t="str">
        <f>IF(Table2[[#This Row],[Stock Gap]]&lt;0, "Understock","Okay")</f>
        <v>Understock</v>
      </c>
      <c r="O1954" s="13" t="str">
        <f>IF(Table2[[#This Row],[Stock Gap]]&lt;0, "Yes", "No")</f>
        <v>Yes</v>
      </c>
      <c r="P1954" s="13" t="str">
        <f>IF(Table2[[#This Row],[CurrentStock]]&lt;Table2[[#This Row],[ReorderLevel]],"Reorder", "Okay")</f>
        <v>Reorder</v>
      </c>
      <c r="Q1954" s="13" t="str">
        <f>IF(Table2[[#This Row],[CurrentStock]]&gt;Table2[[#This Row],[ReorderLevel]]*3, "Overstock", "Okay")</f>
        <v>Okay</v>
      </c>
    </row>
    <row r="1955" spans="1:17" x14ac:dyDescent="0.35">
      <c r="A1955">
        <v>88711</v>
      </c>
      <c r="B1955" t="s">
        <v>23</v>
      </c>
      <c r="C1955" t="s">
        <v>30</v>
      </c>
      <c r="D1955">
        <v>321</v>
      </c>
      <c r="E1955">
        <v>40</v>
      </c>
      <c r="F1955" s="2">
        <v>472.72</v>
      </c>
      <c r="G1955" t="s">
        <v>35</v>
      </c>
      <c r="H1955" s="1">
        <v>45604</v>
      </c>
      <c r="I1955" s="1">
        <v>45618</v>
      </c>
      <c r="J1955" t="s">
        <v>37</v>
      </c>
      <c r="K1955" s="8">
        <f>Table2[[#This Row],[CurrentStock]]*Table2[[#This Row],[UnitPrice]]</f>
        <v>151743.12</v>
      </c>
      <c r="L1955" t="str">
        <f>IF(Table2[[#This Row],[CurrentStock]]&lt;=Table2[[#This Row],[ReorderLevel]], "Reorder Needed", "Okay")</f>
        <v>Okay</v>
      </c>
      <c r="M1955" t="str">
        <f>IF(Table2[[#This Row],[CurrentStock]]-Table2[[#This Row],[ReorderLevel]]&lt;0,Table2[[#This Row],[CurrentStock]]-Table2[[#This Row],[ReorderLevel]],"")</f>
        <v/>
      </c>
      <c r="N1955" t="str">
        <f>IF(Table2[[#This Row],[Stock Gap]]&lt;0, "Understock","Okay")</f>
        <v>Okay</v>
      </c>
      <c r="O1955" s="13" t="str">
        <f>IF(Table2[[#This Row],[Stock Gap]]&lt;0, "Yes", "No")</f>
        <v>No</v>
      </c>
      <c r="P1955" s="13" t="str">
        <f>IF(Table2[[#This Row],[CurrentStock]]&lt;Table2[[#This Row],[ReorderLevel]],"Reorder", "Okay")</f>
        <v>Okay</v>
      </c>
      <c r="Q1955" s="13" t="str">
        <f>IF(Table2[[#This Row],[CurrentStock]]&gt;Table2[[#This Row],[ReorderLevel]]*3, "Overstock", "Okay")</f>
        <v>Overstock</v>
      </c>
    </row>
    <row r="1956" spans="1:17" x14ac:dyDescent="0.35">
      <c r="A1956">
        <v>74014</v>
      </c>
      <c r="B1956" t="s">
        <v>10</v>
      </c>
      <c r="C1956" t="s">
        <v>26</v>
      </c>
      <c r="D1956">
        <v>414</v>
      </c>
      <c r="E1956">
        <v>150</v>
      </c>
      <c r="F1956" s="2">
        <v>389.99</v>
      </c>
      <c r="G1956" t="s">
        <v>35</v>
      </c>
      <c r="H1956" s="1">
        <v>45492</v>
      </c>
      <c r="I1956" s="1">
        <v>45522</v>
      </c>
      <c r="J1956" t="s">
        <v>36</v>
      </c>
      <c r="K1956" s="8">
        <f>Table2[[#This Row],[CurrentStock]]*Table2[[#This Row],[UnitPrice]]</f>
        <v>161455.86000000002</v>
      </c>
      <c r="L1956" t="str">
        <f>IF(Table2[[#This Row],[CurrentStock]]&lt;=Table2[[#This Row],[ReorderLevel]], "Reorder Needed", "Okay")</f>
        <v>Okay</v>
      </c>
      <c r="M1956" t="str">
        <f>IF(Table2[[#This Row],[CurrentStock]]-Table2[[#This Row],[ReorderLevel]]&lt;0,Table2[[#This Row],[CurrentStock]]-Table2[[#This Row],[ReorderLevel]],"")</f>
        <v/>
      </c>
      <c r="N1956" t="str">
        <f>IF(Table2[[#This Row],[Stock Gap]]&lt;0, "Understock","Okay")</f>
        <v>Okay</v>
      </c>
      <c r="O1956" s="13" t="str">
        <f>IF(Table2[[#This Row],[Stock Gap]]&lt;0, "Yes", "No")</f>
        <v>No</v>
      </c>
      <c r="P1956" s="13" t="str">
        <f>IF(Table2[[#This Row],[CurrentStock]]&lt;Table2[[#This Row],[ReorderLevel]],"Reorder", "Okay")</f>
        <v>Okay</v>
      </c>
      <c r="Q1956" s="13" t="str">
        <f>IF(Table2[[#This Row],[CurrentStock]]&gt;Table2[[#This Row],[ReorderLevel]]*3, "Overstock", "Okay")</f>
        <v>Okay</v>
      </c>
    </row>
    <row r="1957" spans="1:17" x14ac:dyDescent="0.35">
      <c r="A1957">
        <v>78745</v>
      </c>
      <c r="B1957" t="s">
        <v>16</v>
      </c>
      <c r="C1957" t="s">
        <v>29</v>
      </c>
      <c r="D1957">
        <v>262</v>
      </c>
      <c r="E1957">
        <v>20</v>
      </c>
      <c r="F1957" s="2">
        <v>497.81</v>
      </c>
      <c r="G1957" t="s">
        <v>33</v>
      </c>
      <c r="H1957" s="1">
        <v>45295</v>
      </c>
      <c r="I1957" s="1">
        <v>45329</v>
      </c>
      <c r="J1957" t="s">
        <v>37</v>
      </c>
      <c r="K1957" s="8">
        <f>Table2[[#This Row],[CurrentStock]]*Table2[[#This Row],[UnitPrice]]</f>
        <v>130426.22</v>
      </c>
      <c r="L1957" t="str">
        <f>IF(Table2[[#This Row],[CurrentStock]]&lt;=Table2[[#This Row],[ReorderLevel]], "Reorder Needed", "Okay")</f>
        <v>Okay</v>
      </c>
      <c r="M1957" t="str">
        <f>IF(Table2[[#This Row],[CurrentStock]]-Table2[[#This Row],[ReorderLevel]]&lt;0,Table2[[#This Row],[CurrentStock]]-Table2[[#This Row],[ReorderLevel]],"")</f>
        <v/>
      </c>
      <c r="N1957" t="str">
        <f>IF(Table2[[#This Row],[Stock Gap]]&lt;0, "Understock","Okay")</f>
        <v>Okay</v>
      </c>
      <c r="O1957" s="13" t="str">
        <f>IF(Table2[[#This Row],[Stock Gap]]&lt;0, "Yes", "No")</f>
        <v>No</v>
      </c>
      <c r="P1957" s="13" t="str">
        <f>IF(Table2[[#This Row],[CurrentStock]]&lt;Table2[[#This Row],[ReorderLevel]],"Reorder", "Okay")</f>
        <v>Okay</v>
      </c>
      <c r="Q1957" s="13" t="str">
        <f>IF(Table2[[#This Row],[CurrentStock]]&gt;Table2[[#This Row],[ReorderLevel]]*3, "Overstock", "Okay")</f>
        <v>Overstock</v>
      </c>
    </row>
    <row r="1958" spans="1:17" x14ac:dyDescent="0.35">
      <c r="A1958">
        <v>61481</v>
      </c>
      <c r="B1958" t="s">
        <v>9</v>
      </c>
      <c r="C1958" t="s">
        <v>26</v>
      </c>
      <c r="D1958">
        <v>275</v>
      </c>
      <c r="E1958">
        <v>20</v>
      </c>
      <c r="F1958" s="2">
        <v>14.01</v>
      </c>
      <c r="G1958" t="s">
        <v>33</v>
      </c>
      <c r="H1958" s="1">
        <v>45522</v>
      </c>
      <c r="I1958" s="1">
        <v>45552</v>
      </c>
      <c r="J1958" t="s">
        <v>37</v>
      </c>
      <c r="K1958" s="8">
        <f>Table2[[#This Row],[CurrentStock]]*Table2[[#This Row],[UnitPrice]]</f>
        <v>3852.75</v>
      </c>
      <c r="L1958" t="str">
        <f>IF(Table2[[#This Row],[CurrentStock]]&lt;=Table2[[#This Row],[ReorderLevel]], "Reorder Needed", "Okay")</f>
        <v>Okay</v>
      </c>
      <c r="M1958" t="str">
        <f>IF(Table2[[#This Row],[CurrentStock]]-Table2[[#This Row],[ReorderLevel]]&lt;0,Table2[[#This Row],[CurrentStock]]-Table2[[#This Row],[ReorderLevel]],"")</f>
        <v/>
      </c>
      <c r="N1958" t="str">
        <f>IF(Table2[[#This Row],[Stock Gap]]&lt;0, "Understock","Okay")</f>
        <v>Okay</v>
      </c>
      <c r="O1958" s="13" t="str">
        <f>IF(Table2[[#This Row],[Stock Gap]]&lt;0, "Yes", "No")</f>
        <v>No</v>
      </c>
      <c r="P1958" s="13" t="str">
        <f>IF(Table2[[#This Row],[CurrentStock]]&lt;Table2[[#This Row],[ReorderLevel]],"Reorder", "Okay")</f>
        <v>Okay</v>
      </c>
      <c r="Q1958" s="13" t="str">
        <f>IF(Table2[[#This Row],[CurrentStock]]&gt;Table2[[#This Row],[ReorderLevel]]*3, "Overstock", "Okay")</f>
        <v>Overstock</v>
      </c>
    </row>
    <row r="1959" spans="1:17" x14ac:dyDescent="0.35">
      <c r="A1959">
        <v>58990</v>
      </c>
      <c r="B1959" t="s">
        <v>12</v>
      </c>
      <c r="C1959" t="s">
        <v>28</v>
      </c>
      <c r="D1959">
        <v>354</v>
      </c>
      <c r="E1959">
        <v>50</v>
      </c>
      <c r="F1959" s="2">
        <v>81.05</v>
      </c>
      <c r="G1959" t="s">
        <v>34</v>
      </c>
      <c r="H1959" s="1">
        <v>45388</v>
      </c>
      <c r="I1959" s="1">
        <v>45416</v>
      </c>
      <c r="J1959" t="s">
        <v>38</v>
      </c>
      <c r="K1959" s="8">
        <f>Table2[[#This Row],[CurrentStock]]*Table2[[#This Row],[UnitPrice]]</f>
        <v>28691.7</v>
      </c>
      <c r="L1959" t="str">
        <f>IF(Table2[[#This Row],[CurrentStock]]&lt;=Table2[[#This Row],[ReorderLevel]], "Reorder Needed", "Okay")</f>
        <v>Okay</v>
      </c>
      <c r="M1959" t="str">
        <f>IF(Table2[[#This Row],[CurrentStock]]-Table2[[#This Row],[ReorderLevel]]&lt;0,Table2[[#This Row],[CurrentStock]]-Table2[[#This Row],[ReorderLevel]],"")</f>
        <v/>
      </c>
      <c r="N1959" t="str">
        <f>IF(Table2[[#This Row],[Stock Gap]]&lt;0, "Understock","Okay")</f>
        <v>Okay</v>
      </c>
      <c r="O1959" s="13" t="str">
        <f>IF(Table2[[#This Row],[Stock Gap]]&lt;0, "Yes", "No")</f>
        <v>No</v>
      </c>
      <c r="P1959" s="13" t="str">
        <f>IF(Table2[[#This Row],[CurrentStock]]&lt;Table2[[#This Row],[ReorderLevel]],"Reorder", "Okay")</f>
        <v>Okay</v>
      </c>
      <c r="Q1959" s="13" t="str">
        <f>IF(Table2[[#This Row],[CurrentStock]]&gt;Table2[[#This Row],[ReorderLevel]]*3, "Overstock", "Okay")</f>
        <v>Overstock</v>
      </c>
    </row>
    <row r="1960" spans="1:17" x14ac:dyDescent="0.35">
      <c r="A1960">
        <v>20040</v>
      </c>
      <c r="B1960" t="s">
        <v>20</v>
      </c>
      <c r="C1960" t="s">
        <v>30</v>
      </c>
      <c r="D1960">
        <v>139</v>
      </c>
      <c r="E1960">
        <v>30</v>
      </c>
      <c r="F1960" s="2">
        <v>231.72</v>
      </c>
      <c r="G1960" t="s">
        <v>32</v>
      </c>
      <c r="H1960" s="1">
        <v>45470</v>
      </c>
      <c r="I1960" s="1">
        <v>45487</v>
      </c>
      <c r="J1960" t="s">
        <v>37</v>
      </c>
      <c r="K1960" s="8">
        <f>Table2[[#This Row],[CurrentStock]]*Table2[[#This Row],[UnitPrice]]</f>
        <v>32209.079999999998</v>
      </c>
      <c r="L1960" t="str">
        <f>IF(Table2[[#This Row],[CurrentStock]]&lt;=Table2[[#This Row],[ReorderLevel]], "Reorder Needed", "Okay")</f>
        <v>Okay</v>
      </c>
      <c r="M1960" t="str">
        <f>IF(Table2[[#This Row],[CurrentStock]]-Table2[[#This Row],[ReorderLevel]]&lt;0,Table2[[#This Row],[CurrentStock]]-Table2[[#This Row],[ReorderLevel]],"")</f>
        <v/>
      </c>
      <c r="N1960" t="str">
        <f>IF(Table2[[#This Row],[Stock Gap]]&lt;0, "Understock","Okay")</f>
        <v>Okay</v>
      </c>
      <c r="O1960" s="13" t="str">
        <f>IF(Table2[[#This Row],[Stock Gap]]&lt;0, "Yes", "No")</f>
        <v>No</v>
      </c>
      <c r="P1960" s="13" t="str">
        <f>IF(Table2[[#This Row],[CurrentStock]]&lt;Table2[[#This Row],[ReorderLevel]],"Reorder", "Okay")</f>
        <v>Okay</v>
      </c>
      <c r="Q1960" s="13" t="str">
        <f>IF(Table2[[#This Row],[CurrentStock]]&gt;Table2[[#This Row],[ReorderLevel]]*3, "Overstock", "Okay")</f>
        <v>Overstock</v>
      </c>
    </row>
    <row r="1961" spans="1:17" x14ac:dyDescent="0.35">
      <c r="A1961">
        <v>69090</v>
      </c>
      <c r="B1961" t="s">
        <v>13</v>
      </c>
      <c r="C1961" t="s">
        <v>26</v>
      </c>
      <c r="D1961">
        <v>232</v>
      </c>
      <c r="E1961">
        <v>50</v>
      </c>
      <c r="F1961" s="2">
        <v>447.72</v>
      </c>
      <c r="G1961" t="s">
        <v>33</v>
      </c>
      <c r="H1961" s="1">
        <v>45402</v>
      </c>
      <c r="I1961" s="1">
        <v>45409</v>
      </c>
      <c r="J1961" t="s">
        <v>36</v>
      </c>
      <c r="K1961" s="8">
        <f>Table2[[#This Row],[CurrentStock]]*Table2[[#This Row],[UnitPrice]]</f>
        <v>103871.04000000001</v>
      </c>
      <c r="L1961" t="str">
        <f>IF(Table2[[#This Row],[CurrentStock]]&lt;=Table2[[#This Row],[ReorderLevel]], "Reorder Needed", "Okay")</f>
        <v>Okay</v>
      </c>
      <c r="M1961" t="str">
        <f>IF(Table2[[#This Row],[CurrentStock]]-Table2[[#This Row],[ReorderLevel]]&lt;0,Table2[[#This Row],[CurrentStock]]-Table2[[#This Row],[ReorderLevel]],"")</f>
        <v/>
      </c>
      <c r="N1961" t="str">
        <f>IF(Table2[[#This Row],[Stock Gap]]&lt;0, "Understock","Okay")</f>
        <v>Okay</v>
      </c>
      <c r="O1961" s="13" t="str">
        <f>IF(Table2[[#This Row],[Stock Gap]]&lt;0, "Yes", "No")</f>
        <v>No</v>
      </c>
      <c r="P1961" s="13" t="str">
        <f>IF(Table2[[#This Row],[CurrentStock]]&lt;Table2[[#This Row],[ReorderLevel]],"Reorder", "Okay")</f>
        <v>Okay</v>
      </c>
      <c r="Q1961" s="13" t="str">
        <f>IF(Table2[[#This Row],[CurrentStock]]&gt;Table2[[#This Row],[ReorderLevel]]*3, "Overstock", "Okay")</f>
        <v>Overstock</v>
      </c>
    </row>
    <row r="1962" spans="1:17" x14ac:dyDescent="0.35">
      <c r="A1962">
        <v>34248</v>
      </c>
      <c r="B1962" t="s">
        <v>19</v>
      </c>
      <c r="C1962" t="s">
        <v>28</v>
      </c>
      <c r="D1962">
        <v>183</v>
      </c>
      <c r="E1962">
        <v>20</v>
      </c>
      <c r="F1962" s="2">
        <v>208.3</v>
      </c>
      <c r="G1962" t="s">
        <v>31</v>
      </c>
      <c r="H1962" s="1">
        <v>45414</v>
      </c>
      <c r="I1962" s="1">
        <v>45453</v>
      </c>
      <c r="J1962" t="s">
        <v>37</v>
      </c>
      <c r="K1962" s="8">
        <f>Table2[[#This Row],[CurrentStock]]*Table2[[#This Row],[UnitPrice]]</f>
        <v>38118.9</v>
      </c>
      <c r="L1962" t="str">
        <f>IF(Table2[[#This Row],[CurrentStock]]&lt;=Table2[[#This Row],[ReorderLevel]], "Reorder Needed", "Okay")</f>
        <v>Okay</v>
      </c>
      <c r="M1962" t="str">
        <f>IF(Table2[[#This Row],[CurrentStock]]-Table2[[#This Row],[ReorderLevel]]&lt;0,Table2[[#This Row],[CurrentStock]]-Table2[[#This Row],[ReorderLevel]],"")</f>
        <v/>
      </c>
      <c r="N1962" t="str">
        <f>IF(Table2[[#This Row],[Stock Gap]]&lt;0, "Understock","Okay")</f>
        <v>Okay</v>
      </c>
      <c r="O1962" s="13" t="str">
        <f>IF(Table2[[#This Row],[Stock Gap]]&lt;0, "Yes", "No")</f>
        <v>No</v>
      </c>
      <c r="P1962" s="13" t="str">
        <f>IF(Table2[[#This Row],[CurrentStock]]&lt;Table2[[#This Row],[ReorderLevel]],"Reorder", "Okay")</f>
        <v>Okay</v>
      </c>
      <c r="Q1962" s="13" t="str">
        <f>IF(Table2[[#This Row],[CurrentStock]]&gt;Table2[[#This Row],[ReorderLevel]]*3, "Overstock", "Okay")</f>
        <v>Overstock</v>
      </c>
    </row>
    <row r="1963" spans="1:17" x14ac:dyDescent="0.35">
      <c r="A1963">
        <v>18104</v>
      </c>
      <c r="B1963" t="s">
        <v>20</v>
      </c>
      <c r="C1963" t="s">
        <v>30</v>
      </c>
      <c r="D1963">
        <v>112</v>
      </c>
      <c r="E1963">
        <v>20</v>
      </c>
      <c r="F1963" s="2">
        <v>353.87</v>
      </c>
      <c r="G1963" t="s">
        <v>31</v>
      </c>
      <c r="H1963" s="1">
        <v>45574</v>
      </c>
      <c r="I1963" s="1">
        <v>45599</v>
      </c>
      <c r="J1963" t="s">
        <v>36</v>
      </c>
      <c r="K1963" s="8">
        <f>Table2[[#This Row],[CurrentStock]]*Table2[[#This Row],[UnitPrice]]</f>
        <v>39633.440000000002</v>
      </c>
      <c r="L1963" t="str">
        <f>IF(Table2[[#This Row],[CurrentStock]]&lt;=Table2[[#This Row],[ReorderLevel]], "Reorder Needed", "Okay")</f>
        <v>Okay</v>
      </c>
      <c r="M1963" t="str">
        <f>IF(Table2[[#This Row],[CurrentStock]]-Table2[[#This Row],[ReorderLevel]]&lt;0,Table2[[#This Row],[CurrentStock]]-Table2[[#This Row],[ReorderLevel]],"")</f>
        <v/>
      </c>
      <c r="N1963" t="str">
        <f>IF(Table2[[#This Row],[Stock Gap]]&lt;0, "Understock","Okay")</f>
        <v>Okay</v>
      </c>
      <c r="O1963" s="13" t="str">
        <f>IF(Table2[[#This Row],[Stock Gap]]&lt;0, "Yes", "No")</f>
        <v>No</v>
      </c>
      <c r="P1963" s="13" t="str">
        <f>IF(Table2[[#This Row],[CurrentStock]]&lt;Table2[[#This Row],[ReorderLevel]],"Reorder", "Okay")</f>
        <v>Okay</v>
      </c>
      <c r="Q1963" s="13" t="str">
        <f>IF(Table2[[#This Row],[CurrentStock]]&gt;Table2[[#This Row],[ReorderLevel]]*3, "Overstock", "Okay")</f>
        <v>Overstock</v>
      </c>
    </row>
    <row r="1964" spans="1:17" x14ac:dyDescent="0.35">
      <c r="A1964">
        <v>72723</v>
      </c>
      <c r="B1964" t="s">
        <v>20</v>
      </c>
      <c r="C1964" t="s">
        <v>30</v>
      </c>
      <c r="D1964">
        <v>238</v>
      </c>
      <c r="E1964">
        <v>20</v>
      </c>
      <c r="F1964" s="2">
        <v>488.07</v>
      </c>
      <c r="G1964" t="s">
        <v>33</v>
      </c>
      <c r="H1964" s="1">
        <v>45557</v>
      </c>
      <c r="I1964" s="1">
        <v>45568</v>
      </c>
      <c r="J1964" t="s">
        <v>38</v>
      </c>
      <c r="K1964" s="8">
        <f>Table2[[#This Row],[CurrentStock]]*Table2[[#This Row],[UnitPrice]]</f>
        <v>116160.66</v>
      </c>
      <c r="L1964" t="str">
        <f>IF(Table2[[#This Row],[CurrentStock]]&lt;=Table2[[#This Row],[ReorderLevel]], "Reorder Needed", "Okay")</f>
        <v>Okay</v>
      </c>
      <c r="M1964" t="str">
        <f>IF(Table2[[#This Row],[CurrentStock]]-Table2[[#This Row],[ReorderLevel]]&lt;0,Table2[[#This Row],[CurrentStock]]-Table2[[#This Row],[ReorderLevel]],"")</f>
        <v/>
      </c>
      <c r="N1964" t="str">
        <f>IF(Table2[[#This Row],[Stock Gap]]&lt;0, "Understock","Okay")</f>
        <v>Okay</v>
      </c>
      <c r="O1964" s="13" t="str">
        <f>IF(Table2[[#This Row],[Stock Gap]]&lt;0, "Yes", "No")</f>
        <v>No</v>
      </c>
      <c r="P1964" s="13" t="str">
        <f>IF(Table2[[#This Row],[CurrentStock]]&lt;Table2[[#This Row],[ReorderLevel]],"Reorder", "Okay")</f>
        <v>Okay</v>
      </c>
      <c r="Q1964" s="13" t="str">
        <f>IF(Table2[[#This Row],[CurrentStock]]&gt;Table2[[#This Row],[ReorderLevel]]*3, "Overstock", "Okay")</f>
        <v>Overstock</v>
      </c>
    </row>
    <row r="1965" spans="1:17" x14ac:dyDescent="0.35">
      <c r="A1965">
        <v>27469</v>
      </c>
      <c r="B1965" t="s">
        <v>9</v>
      </c>
      <c r="C1965" t="s">
        <v>26</v>
      </c>
      <c r="D1965">
        <v>418</v>
      </c>
      <c r="E1965">
        <v>150</v>
      </c>
      <c r="F1965" s="2">
        <v>223.12</v>
      </c>
      <c r="G1965" t="s">
        <v>32</v>
      </c>
      <c r="H1965" s="1">
        <v>45368</v>
      </c>
      <c r="I1965" s="1">
        <v>45391</v>
      </c>
      <c r="J1965" t="s">
        <v>36</v>
      </c>
      <c r="K1965" s="8">
        <f>Table2[[#This Row],[CurrentStock]]*Table2[[#This Row],[UnitPrice]]</f>
        <v>93264.16</v>
      </c>
      <c r="L1965" t="str">
        <f>IF(Table2[[#This Row],[CurrentStock]]&lt;=Table2[[#This Row],[ReorderLevel]], "Reorder Needed", "Okay")</f>
        <v>Okay</v>
      </c>
      <c r="M1965" t="str">
        <f>IF(Table2[[#This Row],[CurrentStock]]-Table2[[#This Row],[ReorderLevel]]&lt;0,Table2[[#This Row],[CurrentStock]]-Table2[[#This Row],[ReorderLevel]],"")</f>
        <v/>
      </c>
      <c r="N1965" t="str">
        <f>IF(Table2[[#This Row],[Stock Gap]]&lt;0, "Understock","Okay")</f>
        <v>Okay</v>
      </c>
      <c r="O1965" s="13" t="str">
        <f>IF(Table2[[#This Row],[Stock Gap]]&lt;0, "Yes", "No")</f>
        <v>No</v>
      </c>
      <c r="P1965" s="13" t="str">
        <f>IF(Table2[[#This Row],[CurrentStock]]&lt;Table2[[#This Row],[ReorderLevel]],"Reorder", "Okay")</f>
        <v>Okay</v>
      </c>
      <c r="Q1965" s="13" t="str">
        <f>IF(Table2[[#This Row],[CurrentStock]]&gt;Table2[[#This Row],[ReorderLevel]]*3, "Overstock", "Okay")</f>
        <v>Okay</v>
      </c>
    </row>
    <row r="1966" spans="1:17" x14ac:dyDescent="0.35">
      <c r="A1966">
        <v>27221</v>
      </c>
      <c r="B1966" t="s">
        <v>13</v>
      </c>
      <c r="C1966" t="s">
        <v>26</v>
      </c>
      <c r="D1966">
        <v>226</v>
      </c>
      <c r="E1966">
        <v>150</v>
      </c>
      <c r="F1966" s="2">
        <v>217.64</v>
      </c>
      <c r="G1966" t="s">
        <v>33</v>
      </c>
      <c r="H1966" s="1">
        <v>45495</v>
      </c>
      <c r="I1966" s="1">
        <v>45511</v>
      </c>
      <c r="J1966" t="s">
        <v>38</v>
      </c>
      <c r="K1966" s="8">
        <f>Table2[[#This Row],[CurrentStock]]*Table2[[#This Row],[UnitPrice]]</f>
        <v>49186.64</v>
      </c>
      <c r="L1966" t="str">
        <f>IF(Table2[[#This Row],[CurrentStock]]&lt;=Table2[[#This Row],[ReorderLevel]], "Reorder Needed", "Okay")</f>
        <v>Okay</v>
      </c>
      <c r="M1966" t="str">
        <f>IF(Table2[[#This Row],[CurrentStock]]-Table2[[#This Row],[ReorderLevel]]&lt;0,Table2[[#This Row],[CurrentStock]]-Table2[[#This Row],[ReorderLevel]],"")</f>
        <v/>
      </c>
      <c r="N1966" t="str">
        <f>IF(Table2[[#This Row],[Stock Gap]]&lt;0, "Understock","Okay")</f>
        <v>Okay</v>
      </c>
      <c r="O1966" s="13" t="str">
        <f>IF(Table2[[#This Row],[Stock Gap]]&lt;0, "Yes", "No")</f>
        <v>No</v>
      </c>
      <c r="P1966" s="13" t="str">
        <f>IF(Table2[[#This Row],[CurrentStock]]&lt;Table2[[#This Row],[ReorderLevel]],"Reorder", "Okay")</f>
        <v>Okay</v>
      </c>
      <c r="Q1966" s="13" t="str">
        <f>IF(Table2[[#This Row],[CurrentStock]]&gt;Table2[[#This Row],[ReorderLevel]]*3, "Overstock", "Okay")</f>
        <v>Okay</v>
      </c>
    </row>
    <row r="1967" spans="1:17" x14ac:dyDescent="0.35">
      <c r="A1967">
        <v>54153</v>
      </c>
      <c r="B1967" t="s">
        <v>23</v>
      </c>
      <c r="C1967" t="s">
        <v>30</v>
      </c>
      <c r="D1967">
        <v>408</v>
      </c>
      <c r="E1967">
        <v>150</v>
      </c>
      <c r="F1967" s="2">
        <v>60.07</v>
      </c>
      <c r="G1967" t="s">
        <v>33</v>
      </c>
      <c r="H1967" s="1">
        <v>45531</v>
      </c>
      <c r="I1967" s="1">
        <v>45546</v>
      </c>
      <c r="J1967" t="s">
        <v>36</v>
      </c>
      <c r="K1967" s="8">
        <f>Table2[[#This Row],[CurrentStock]]*Table2[[#This Row],[UnitPrice]]</f>
        <v>24508.560000000001</v>
      </c>
      <c r="L1967" t="str">
        <f>IF(Table2[[#This Row],[CurrentStock]]&lt;=Table2[[#This Row],[ReorderLevel]], "Reorder Needed", "Okay")</f>
        <v>Okay</v>
      </c>
      <c r="M1967" t="str">
        <f>IF(Table2[[#This Row],[CurrentStock]]-Table2[[#This Row],[ReorderLevel]]&lt;0,Table2[[#This Row],[CurrentStock]]-Table2[[#This Row],[ReorderLevel]],"")</f>
        <v/>
      </c>
      <c r="N1967" t="str">
        <f>IF(Table2[[#This Row],[Stock Gap]]&lt;0, "Understock","Okay")</f>
        <v>Okay</v>
      </c>
      <c r="O1967" s="13" t="str">
        <f>IF(Table2[[#This Row],[Stock Gap]]&lt;0, "Yes", "No")</f>
        <v>No</v>
      </c>
      <c r="P1967" s="13" t="str">
        <f>IF(Table2[[#This Row],[CurrentStock]]&lt;Table2[[#This Row],[ReorderLevel]],"Reorder", "Okay")</f>
        <v>Okay</v>
      </c>
      <c r="Q1967" s="13" t="str">
        <f>IF(Table2[[#This Row],[CurrentStock]]&gt;Table2[[#This Row],[ReorderLevel]]*3, "Overstock", "Okay")</f>
        <v>Okay</v>
      </c>
    </row>
    <row r="1968" spans="1:17" x14ac:dyDescent="0.35">
      <c r="A1968">
        <v>10415</v>
      </c>
      <c r="B1968" t="s">
        <v>12</v>
      </c>
      <c r="C1968" t="s">
        <v>28</v>
      </c>
      <c r="D1968">
        <v>250</v>
      </c>
      <c r="E1968">
        <v>40</v>
      </c>
      <c r="F1968" s="2">
        <v>418.3</v>
      </c>
      <c r="G1968" t="s">
        <v>32</v>
      </c>
      <c r="H1968" s="1">
        <v>45368</v>
      </c>
      <c r="I1968" s="1">
        <v>45389</v>
      </c>
      <c r="J1968" t="s">
        <v>36</v>
      </c>
      <c r="K1968" s="8">
        <f>Table2[[#This Row],[CurrentStock]]*Table2[[#This Row],[UnitPrice]]</f>
        <v>104575</v>
      </c>
      <c r="L1968" t="str">
        <f>IF(Table2[[#This Row],[CurrentStock]]&lt;=Table2[[#This Row],[ReorderLevel]], "Reorder Needed", "Okay")</f>
        <v>Okay</v>
      </c>
      <c r="M1968" t="str">
        <f>IF(Table2[[#This Row],[CurrentStock]]-Table2[[#This Row],[ReorderLevel]]&lt;0,Table2[[#This Row],[CurrentStock]]-Table2[[#This Row],[ReorderLevel]],"")</f>
        <v/>
      </c>
      <c r="N1968" t="str">
        <f>IF(Table2[[#This Row],[Stock Gap]]&lt;0, "Understock","Okay")</f>
        <v>Okay</v>
      </c>
      <c r="O1968" s="13" t="str">
        <f>IF(Table2[[#This Row],[Stock Gap]]&lt;0, "Yes", "No")</f>
        <v>No</v>
      </c>
      <c r="P1968" s="13" t="str">
        <f>IF(Table2[[#This Row],[CurrentStock]]&lt;Table2[[#This Row],[ReorderLevel]],"Reorder", "Okay")</f>
        <v>Okay</v>
      </c>
      <c r="Q1968" s="13" t="str">
        <f>IF(Table2[[#This Row],[CurrentStock]]&gt;Table2[[#This Row],[ReorderLevel]]*3, "Overstock", "Okay")</f>
        <v>Overstock</v>
      </c>
    </row>
    <row r="1969" spans="1:17" x14ac:dyDescent="0.35">
      <c r="A1969">
        <v>55299</v>
      </c>
      <c r="B1969" t="s">
        <v>13</v>
      </c>
      <c r="C1969" t="s">
        <v>26</v>
      </c>
      <c r="D1969">
        <v>396</v>
      </c>
      <c r="E1969">
        <v>80</v>
      </c>
      <c r="F1969" s="2">
        <v>411.53</v>
      </c>
      <c r="G1969" t="s">
        <v>31</v>
      </c>
      <c r="H1969" s="1">
        <v>45292</v>
      </c>
      <c r="I1969" s="1">
        <v>45329</v>
      </c>
      <c r="J1969" t="s">
        <v>37</v>
      </c>
      <c r="K1969" s="8">
        <f>Table2[[#This Row],[CurrentStock]]*Table2[[#This Row],[UnitPrice]]</f>
        <v>162965.87999999998</v>
      </c>
      <c r="L1969" t="str">
        <f>IF(Table2[[#This Row],[CurrentStock]]&lt;=Table2[[#This Row],[ReorderLevel]], "Reorder Needed", "Okay")</f>
        <v>Okay</v>
      </c>
      <c r="M1969" t="str">
        <f>IF(Table2[[#This Row],[CurrentStock]]-Table2[[#This Row],[ReorderLevel]]&lt;0,Table2[[#This Row],[CurrentStock]]-Table2[[#This Row],[ReorderLevel]],"")</f>
        <v/>
      </c>
      <c r="N1969" t="str">
        <f>IF(Table2[[#This Row],[Stock Gap]]&lt;0, "Understock","Okay")</f>
        <v>Okay</v>
      </c>
      <c r="O1969" s="13" t="str">
        <f>IF(Table2[[#This Row],[Stock Gap]]&lt;0, "Yes", "No")</f>
        <v>No</v>
      </c>
      <c r="P1969" s="13" t="str">
        <f>IF(Table2[[#This Row],[CurrentStock]]&lt;Table2[[#This Row],[ReorderLevel]],"Reorder", "Okay")</f>
        <v>Okay</v>
      </c>
      <c r="Q1969" s="13" t="str">
        <f>IF(Table2[[#This Row],[CurrentStock]]&gt;Table2[[#This Row],[ReorderLevel]]*3, "Overstock", "Okay")</f>
        <v>Overstock</v>
      </c>
    </row>
    <row r="1970" spans="1:17" x14ac:dyDescent="0.35">
      <c r="A1970">
        <v>10552</v>
      </c>
      <c r="B1970" t="s">
        <v>14</v>
      </c>
      <c r="C1970" t="s">
        <v>28</v>
      </c>
      <c r="D1970">
        <v>296</v>
      </c>
      <c r="E1970">
        <v>20</v>
      </c>
      <c r="F1970" s="2">
        <v>447.14</v>
      </c>
      <c r="G1970" t="s">
        <v>35</v>
      </c>
      <c r="H1970" s="1">
        <v>45406</v>
      </c>
      <c r="I1970" s="1">
        <v>45411</v>
      </c>
      <c r="J1970" t="s">
        <v>38</v>
      </c>
      <c r="K1970" s="8">
        <f>Table2[[#This Row],[CurrentStock]]*Table2[[#This Row],[UnitPrice]]</f>
        <v>132353.44</v>
      </c>
      <c r="L1970" t="str">
        <f>IF(Table2[[#This Row],[CurrentStock]]&lt;=Table2[[#This Row],[ReorderLevel]], "Reorder Needed", "Okay")</f>
        <v>Okay</v>
      </c>
      <c r="M1970" t="str">
        <f>IF(Table2[[#This Row],[CurrentStock]]-Table2[[#This Row],[ReorderLevel]]&lt;0,Table2[[#This Row],[CurrentStock]]-Table2[[#This Row],[ReorderLevel]],"")</f>
        <v/>
      </c>
      <c r="N1970" t="str">
        <f>IF(Table2[[#This Row],[Stock Gap]]&lt;0, "Understock","Okay")</f>
        <v>Okay</v>
      </c>
      <c r="O1970" s="13" t="str">
        <f>IF(Table2[[#This Row],[Stock Gap]]&lt;0, "Yes", "No")</f>
        <v>No</v>
      </c>
      <c r="P1970" s="13" t="str">
        <f>IF(Table2[[#This Row],[CurrentStock]]&lt;Table2[[#This Row],[ReorderLevel]],"Reorder", "Okay")</f>
        <v>Okay</v>
      </c>
      <c r="Q1970" s="13" t="str">
        <f>IF(Table2[[#This Row],[CurrentStock]]&gt;Table2[[#This Row],[ReorderLevel]]*3, "Overstock", "Okay")</f>
        <v>Overstock</v>
      </c>
    </row>
    <row r="1971" spans="1:17" x14ac:dyDescent="0.35">
      <c r="A1971">
        <v>45765</v>
      </c>
      <c r="B1971" t="s">
        <v>24</v>
      </c>
      <c r="C1971" t="s">
        <v>30</v>
      </c>
      <c r="D1971">
        <v>334</v>
      </c>
      <c r="E1971">
        <v>20</v>
      </c>
      <c r="F1971" s="2">
        <v>489.1</v>
      </c>
      <c r="G1971" t="s">
        <v>32</v>
      </c>
      <c r="H1971" s="1">
        <v>45428</v>
      </c>
      <c r="I1971" s="1">
        <v>45467</v>
      </c>
      <c r="J1971" t="s">
        <v>36</v>
      </c>
      <c r="K1971" s="8">
        <f>Table2[[#This Row],[CurrentStock]]*Table2[[#This Row],[UnitPrice]]</f>
        <v>163359.4</v>
      </c>
      <c r="L1971" t="str">
        <f>IF(Table2[[#This Row],[CurrentStock]]&lt;=Table2[[#This Row],[ReorderLevel]], "Reorder Needed", "Okay")</f>
        <v>Okay</v>
      </c>
      <c r="M1971" t="str">
        <f>IF(Table2[[#This Row],[CurrentStock]]-Table2[[#This Row],[ReorderLevel]]&lt;0,Table2[[#This Row],[CurrentStock]]-Table2[[#This Row],[ReorderLevel]],"")</f>
        <v/>
      </c>
      <c r="N1971" t="str">
        <f>IF(Table2[[#This Row],[Stock Gap]]&lt;0, "Understock","Okay")</f>
        <v>Okay</v>
      </c>
      <c r="O1971" s="13" t="str">
        <f>IF(Table2[[#This Row],[Stock Gap]]&lt;0, "Yes", "No")</f>
        <v>No</v>
      </c>
      <c r="P1971" s="13" t="str">
        <f>IF(Table2[[#This Row],[CurrentStock]]&lt;Table2[[#This Row],[ReorderLevel]],"Reorder", "Okay")</f>
        <v>Okay</v>
      </c>
      <c r="Q1971" s="13" t="str">
        <f>IF(Table2[[#This Row],[CurrentStock]]&gt;Table2[[#This Row],[ReorderLevel]]*3, "Overstock", "Okay")</f>
        <v>Overstock</v>
      </c>
    </row>
    <row r="1972" spans="1:17" x14ac:dyDescent="0.35">
      <c r="A1972">
        <v>42882</v>
      </c>
      <c r="B1972" t="s">
        <v>14</v>
      </c>
      <c r="C1972" t="s">
        <v>28</v>
      </c>
      <c r="D1972">
        <v>64</v>
      </c>
      <c r="E1972">
        <v>80</v>
      </c>
      <c r="F1972" s="2">
        <v>349.39</v>
      </c>
      <c r="G1972" t="s">
        <v>34</v>
      </c>
      <c r="H1972" s="1">
        <v>45341</v>
      </c>
      <c r="I1972" s="1">
        <v>45372</v>
      </c>
      <c r="J1972" t="s">
        <v>38</v>
      </c>
      <c r="K1972" s="8">
        <f>Table2[[#This Row],[CurrentStock]]*Table2[[#This Row],[UnitPrice]]</f>
        <v>22360.959999999999</v>
      </c>
      <c r="L1972" t="str">
        <f>IF(Table2[[#This Row],[CurrentStock]]&lt;=Table2[[#This Row],[ReorderLevel]], "Reorder Needed", "Okay")</f>
        <v>Reorder Needed</v>
      </c>
      <c r="M1972" s="7">
        <f>IF(Table2[[#This Row],[CurrentStock]]-Table2[[#This Row],[ReorderLevel]]&lt;0,Table2[[#This Row],[CurrentStock]]-Table2[[#This Row],[ReorderLevel]],"")</f>
        <v>-16</v>
      </c>
      <c r="N1972" t="str">
        <f>IF(Table2[[#This Row],[Stock Gap]]&lt;0, "Understock","Okay")</f>
        <v>Understock</v>
      </c>
      <c r="O1972" s="13" t="str">
        <f>IF(Table2[[#This Row],[Stock Gap]]&lt;0, "Yes", "No")</f>
        <v>Yes</v>
      </c>
      <c r="P1972" s="13" t="str">
        <f>IF(Table2[[#This Row],[CurrentStock]]&lt;Table2[[#This Row],[ReorderLevel]],"Reorder", "Okay")</f>
        <v>Reorder</v>
      </c>
      <c r="Q1972" s="13" t="str">
        <f>IF(Table2[[#This Row],[CurrentStock]]&gt;Table2[[#This Row],[ReorderLevel]]*3, "Overstock", "Okay")</f>
        <v>Okay</v>
      </c>
    </row>
    <row r="1973" spans="1:17" x14ac:dyDescent="0.35">
      <c r="A1973">
        <v>19013</v>
      </c>
      <c r="B1973" t="s">
        <v>20</v>
      </c>
      <c r="C1973" t="s">
        <v>30</v>
      </c>
      <c r="D1973">
        <v>494</v>
      </c>
      <c r="E1973">
        <v>80</v>
      </c>
      <c r="F1973" s="2">
        <v>328.51</v>
      </c>
      <c r="G1973" t="s">
        <v>32</v>
      </c>
      <c r="H1973" s="1">
        <v>45590</v>
      </c>
      <c r="I1973" s="1">
        <v>45602</v>
      </c>
      <c r="J1973" t="s">
        <v>37</v>
      </c>
      <c r="K1973" s="8">
        <f>Table2[[#This Row],[CurrentStock]]*Table2[[#This Row],[UnitPrice]]</f>
        <v>162283.94</v>
      </c>
      <c r="L1973" t="str">
        <f>IF(Table2[[#This Row],[CurrentStock]]&lt;=Table2[[#This Row],[ReorderLevel]], "Reorder Needed", "Okay")</f>
        <v>Okay</v>
      </c>
      <c r="M1973" t="str">
        <f>IF(Table2[[#This Row],[CurrentStock]]-Table2[[#This Row],[ReorderLevel]]&lt;0,Table2[[#This Row],[CurrentStock]]-Table2[[#This Row],[ReorderLevel]],"")</f>
        <v/>
      </c>
      <c r="N1973" t="str">
        <f>IF(Table2[[#This Row],[Stock Gap]]&lt;0, "Understock","Okay")</f>
        <v>Okay</v>
      </c>
      <c r="O1973" s="13" t="str">
        <f>IF(Table2[[#This Row],[Stock Gap]]&lt;0, "Yes", "No")</f>
        <v>No</v>
      </c>
      <c r="P1973" s="13" t="str">
        <f>IF(Table2[[#This Row],[CurrentStock]]&lt;Table2[[#This Row],[ReorderLevel]],"Reorder", "Okay")</f>
        <v>Okay</v>
      </c>
      <c r="Q1973" s="13" t="str">
        <f>IF(Table2[[#This Row],[CurrentStock]]&gt;Table2[[#This Row],[ReorderLevel]]*3, "Overstock", "Okay")</f>
        <v>Overstock</v>
      </c>
    </row>
    <row r="1974" spans="1:17" x14ac:dyDescent="0.35">
      <c r="A1974">
        <v>65773</v>
      </c>
      <c r="B1974" t="s">
        <v>18</v>
      </c>
      <c r="C1974" t="s">
        <v>27</v>
      </c>
      <c r="D1974">
        <v>203</v>
      </c>
      <c r="E1974">
        <v>20</v>
      </c>
      <c r="F1974" s="2">
        <v>200.6</v>
      </c>
      <c r="G1974" t="s">
        <v>31</v>
      </c>
      <c r="H1974" s="1">
        <v>45339</v>
      </c>
      <c r="I1974" s="1">
        <v>45361</v>
      </c>
      <c r="J1974" t="s">
        <v>38</v>
      </c>
      <c r="K1974" s="8">
        <f>Table2[[#This Row],[CurrentStock]]*Table2[[#This Row],[UnitPrice]]</f>
        <v>40721.799999999996</v>
      </c>
      <c r="L1974" t="str">
        <f>IF(Table2[[#This Row],[CurrentStock]]&lt;=Table2[[#This Row],[ReorderLevel]], "Reorder Needed", "Okay")</f>
        <v>Okay</v>
      </c>
      <c r="M1974" t="str">
        <f>IF(Table2[[#This Row],[CurrentStock]]-Table2[[#This Row],[ReorderLevel]]&lt;0,Table2[[#This Row],[CurrentStock]]-Table2[[#This Row],[ReorderLevel]],"")</f>
        <v/>
      </c>
      <c r="N1974" t="str">
        <f>IF(Table2[[#This Row],[Stock Gap]]&lt;0, "Understock","Okay")</f>
        <v>Okay</v>
      </c>
      <c r="O1974" s="13" t="str">
        <f>IF(Table2[[#This Row],[Stock Gap]]&lt;0, "Yes", "No")</f>
        <v>No</v>
      </c>
      <c r="P1974" s="13" t="str">
        <f>IF(Table2[[#This Row],[CurrentStock]]&lt;Table2[[#This Row],[ReorderLevel]],"Reorder", "Okay")</f>
        <v>Okay</v>
      </c>
      <c r="Q1974" s="13" t="str">
        <f>IF(Table2[[#This Row],[CurrentStock]]&gt;Table2[[#This Row],[ReorderLevel]]*3, "Overstock", "Okay")</f>
        <v>Overstock</v>
      </c>
    </row>
    <row r="1975" spans="1:17" x14ac:dyDescent="0.35">
      <c r="A1975">
        <v>57219</v>
      </c>
      <c r="B1975" t="s">
        <v>21</v>
      </c>
      <c r="C1975" t="s">
        <v>26</v>
      </c>
      <c r="D1975">
        <v>99</v>
      </c>
      <c r="E1975">
        <v>50</v>
      </c>
      <c r="F1975" s="2">
        <v>439.58</v>
      </c>
      <c r="G1975" t="s">
        <v>35</v>
      </c>
      <c r="H1975" s="1">
        <v>45571</v>
      </c>
      <c r="I1975" s="1">
        <v>45588</v>
      </c>
      <c r="J1975" t="s">
        <v>38</v>
      </c>
      <c r="K1975" s="8">
        <f>Table2[[#This Row],[CurrentStock]]*Table2[[#This Row],[UnitPrice]]</f>
        <v>43518.42</v>
      </c>
      <c r="L1975" t="str">
        <f>IF(Table2[[#This Row],[CurrentStock]]&lt;=Table2[[#This Row],[ReorderLevel]], "Reorder Needed", "Okay")</f>
        <v>Okay</v>
      </c>
      <c r="M1975" t="str">
        <f>IF(Table2[[#This Row],[CurrentStock]]-Table2[[#This Row],[ReorderLevel]]&lt;0,Table2[[#This Row],[CurrentStock]]-Table2[[#This Row],[ReorderLevel]],"")</f>
        <v/>
      </c>
      <c r="N1975" t="str">
        <f>IF(Table2[[#This Row],[Stock Gap]]&lt;0, "Understock","Okay")</f>
        <v>Okay</v>
      </c>
      <c r="O1975" s="13" t="str">
        <f>IF(Table2[[#This Row],[Stock Gap]]&lt;0, "Yes", "No")</f>
        <v>No</v>
      </c>
      <c r="P1975" s="13" t="str">
        <f>IF(Table2[[#This Row],[CurrentStock]]&lt;Table2[[#This Row],[ReorderLevel]],"Reorder", "Okay")</f>
        <v>Okay</v>
      </c>
      <c r="Q1975" s="13" t="str">
        <f>IF(Table2[[#This Row],[CurrentStock]]&gt;Table2[[#This Row],[ReorderLevel]]*3, "Overstock", "Okay")</f>
        <v>Okay</v>
      </c>
    </row>
    <row r="1976" spans="1:17" x14ac:dyDescent="0.35">
      <c r="A1976">
        <v>26375</v>
      </c>
      <c r="B1976" t="s">
        <v>16</v>
      </c>
      <c r="C1976" t="s">
        <v>29</v>
      </c>
      <c r="D1976">
        <v>70</v>
      </c>
      <c r="E1976">
        <v>40</v>
      </c>
      <c r="F1976" s="2">
        <v>432.59</v>
      </c>
      <c r="G1976" t="s">
        <v>32</v>
      </c>
      <c r="H1976" s="1">
        <v>45436</v>
      </c>
      <c r="I1976" s="1">
        <v>45453</v>
      </c>
      <c r="J1976" t="s">
        <v>37</v>
      </c>
      <c r="K1976" s="8">
        <f>Table2[[#This Row],[CurrentStock]]*Table2[[#This Row],[UnitPrice]]</f>
        <v>30281.3</v>
      </c>
      <c r="L1976" t="str">
        <f>IF(Table2[[#This Row],[CurrentStock]]&lt;=Table2[[#This Row],[ReorderLevel]], "Reorder Needed", "Okay")</f>
        <v>Okay</v>
      </c>
      <c r="M1976" t="str">
        <f>IF(Table2[[#This Row],[CurrentStock]]-Table2[[#This Row],[ReorderLevel]]&lt;0,Table2[[#This Row],[CurrentStock]]-Table2[[#This Row],[ReorderLevel]],"")</f>
        <v/>
      </c>
      <c r="N1976" t="str">
        <f>IF(Table2[[#This Row],[Stock Gap]]&lt;0, "Understock","Okay")</f>
        <v>Okay</v>
      </c>
      <c r="O1976" s="13" t="str">
        <f>IF(Table2[[#This Row],[Stock Gap]]&lt;0, "Yes", "No")</f>
        <v>No</v>
      </c>
      <c r="P1976" s="13" t="str">
        <f>IF(Table2[[#This Row],[CurrentStock]]&lt;Table2[[#This Row],[ReorderLevel]],"Reorder", "Okay")</f>
        <v>Okay</v>
      </c>
      <c r="Q1976" s="13" t="str">
        <f>IF(Table2[[#This Row],[CurrentStock]]&gt;Table2[[#This Row],[ReorderLevel]]*3, "Overstock", "Okay")</f>
        <v>Okay</v>
      </c>
    </row>
    <row r="1977" spans="1:17" x14ac:dyDescent="0.35">
      <c r="A1977">
        <v>94418</v>
      </c>
      <c r="B1977" t="s">
        <v>23</v>
      </c>
      <c r="C1977" t="s">
        <v>30</v>
      </c>
      <c r="D1977">
        <v>363</v>
      </c>
      <c r="E1977">
        <v>150</v>
      </c>
      <c r="F1977" s="2">
        <v>223.24</v>
      </c>
      <c r="G1977" t="s">
        <v>34</v>
      </c>
      <c r="H1977" s="1">
        <v>45420</v>
      </c>
      <c r="I1977" s="1">
        <v>45439</v>
      </c>
      <c r="J1977" t="s">
        <v>38</v>
      </c>
      <c r="K1977" s="8">
        <f>Table2[[#This Row],[CurrentStock]]*Table2[[#This Row],[UnitPrice]]</f>
        <v>81036.12000000001</v>
      </c>
      <c r="L1977" t="str">
        <f>IF(Table2[[#This Row],[CurrentStock]]&lt;=Table2[[#This Row],[ReorderLevel]], "Reorder Needed", "Okay")</f>
        <v>Okay</v>
      </c>
      <c r="M1977" t="str">
        <f>IF(Table2[[#This Row],[CurrentStock]]-Table2[[#This Row],[ReorderLevel]]&lt;0,Table2[[#This Row],[CurrentStock]]-Table2[[#This Row],[ReorderLevel]],"")</f>
        <v/>
      </c>
      <c r="N1977" t="str">
        <f>IF(Table2[[#This Row],[Stock Gap]]&lt;0, "Understock","Okay")</f>
        <v>Okay</v>
      </c>
      <c r="O1977" s="13" t="str">
        <f>IF(Table2[[#This Row],[Stock Gap]]&lt;0, "Yes", "No")</f>
        <v>No</v>
      </c>
      <c r="P1977" s="13" t="str">
        <f>IF(Table2[[#This Row],[CurrentStock]]&lt;Table2[[#This Row],[ReorderLevel]],"Reorder", "Okay")</f>
        <v>Okay</v>
      </c>
      <c r="Q1977" s="13" t="str">
        <f>IF(Table2[[#This Row],[CurrentStock]]&gt;Table2[[#This Row],[ReorderLevel]]*3, "Overstock", "Okay")</f>
        <v>Okay</v>
      </c>
    </row>
    <row r="1978" spans="1:17" x14ac:dyDescent="0.35">
      <c r="A1978">
        <v>97049</v>
      </c>
      <c r="B1978" t="s">
        <v>24</v>
      </c>
      <c r="C1978" t="s">
        <v>30</v>
      </c>
      <c r="D1978">
        <v>77</v>
      </c>
      <c r="E1978">
        <v>50</v>
      </c>
      <c r="F1978" s="2">
        <v>491.38</v>
      </c>
      <c r="G1978" t="s">
        <v>33</v>
      </c>
      <c r="H1978" s="1">
        <v>45519</v>
      </c>
      <c r="I1978" s="1">
        <v>45547</v>
      </c>
      <c r="J1978" t="s">
        <v>38</v>
      </c>
      <c r="K1978" s="8">
        <f>Table2[[#This Row],[CurrentStock]]*Table2[[#This Row],[UnitPrice]]</f>
        <v>37836.26</v>
      </c>
      <c r="L1978" t="str">
        <f>IF(Table2[[#This Row],[CurrentStock]]&lt;=Table2[[#This Row],[ReorderLevel]], "Reorder Needed", "Okay")</f>
        <v>Okay</v>
      </c>
      <c r="M1978" t="str">
        <f>IF(Table2[[#This Row],[CurrentStock]]-Table2[[#This Row],[ReorderLevel]]&lt;0,Table2[[#This Row],[CurrentStock]]-Table2[[#This Row],[ReorderLevel]],"")</f>
        <v/>
      </c>
      <c r="N1978" t="str">
        <f>IF(Table2[[#This Row],[Stock Gap]]&lt;0, "Understock","Okay")</f>
        <v>Okay</v>
      </c>
      <c r="O1978" s="13" t="str">
        <f>IF(Table2[[#This Row],[Stock Gap]]&lt;0, "Yes", "No")</f>
        <v>No</v>
      </c>
      <c r="P1978" s="13" t="str">
        <f>IF(Table2[[#This Row],[CurrentStock]]&lt;Table2[[#This Row],[ReorderLevel]],"Reorder", "Okay")</f>
        <v>Okay</v>
      </c>
      <c r="Q1978" s="13" t="str">
        <f>IF(Table2[[#This Row],[CurrentStock]]&gt;Table2[[#This Row],[ReorderLevel]]*3, "Overstock", "Okay")</f>
        <v>Okay</v>
      </c>
    </row>
    <row r="1979" spans="1:17" x14ac:dyDescent="0.35">
      <c r="A1979">
        <v>39870</v>
      </c>
      <c r="B1979" t="s">
        <v>24</v>
      </c>
      <c r="C1979" t="s">
        <v>30</v>
      </c>
      <c r="D1979">
        <v>316</v>
      </c>
      <c r="E1979">
        <v>50</v>
      </c>
      <c r="F1979" s="2">
        <v>349.69</v>
      </c>
      <c r="G1979" t="s">
        <v>31</v>
      </c>
      <c r="H1979" s="1">
        <v>45309</v>
      </c>
      <c r="I1979" s="1">
        <v>45320</v>
      </c>
      <c r="J1979" t="s">
        <v>37</v>
      </c>
      <c r="K1979" s="8">
        <f>Table2[[#This Row],[CurrentStock]]*Table2[[#This Row],[UnitPrice]]</f>
        <v>110502.04</v>
      </c>
      <c r="L1979" t="str">
        <f>IF(Table2[[#This Row],[CurrentStock]]&lt;=Table2[[#This Row],[ReorderLevel]], "Reorder Needed", "Okay")</f>
        <v>Okay</v>
      </c>
      <c r="M1979" t="str">
        <f>IF(Table2[[#This Row],[CurrentStock]]-Table2[[#This Row],[ReorderLevel]]&lt;0,Table2[[#This Row],[CurrentStock]]-Table2[[#This Row],[ReorderLevel]],"")</f>
        <v/>
      </c>
      <c r="N1979" t="str">
        <f>IF(Table2[[#This Row],[Stock Gap]]&lt;0, "Understock","Okay")</f>
        <v>Okay</v>
      </c>
      <c r="O1979" s="13" t="str">
        <f>IF(Table2[[#This Row],[Stock Gap]]&lt;0, "Yes", "No")</f>
        <v>No</v>
      </c>
      <c r="P1979" s="13" t="str">
        <f>IF(Table2[[#This Row],[CurrentStock]]&lt;Table2[[#This Row],[ReorderLevel]],"Reorder", "Okay")</f>
        <v>Okay</v>
      </c>
      <c r="Q1979" s="13" t="str">
        <f>IF(Table2[[#This Row],[CurrentStock]]&gt;Table2[[#This Row],[ReorderLevel]]*3, "Overstock", "Okay")</f>
        <v>Overstock</v>
      </c>
    </row>
    <row r="1980" spans="1:17" x14ac:dyDescent="0.35">
      <c r="A1980">
        <v>16590</v>
      </c>
      <c r="B1980" t="s">
        <v>18</v>
      </c>
      <c r="C1980" t="s">
        <v>27</v>
      </c>
      <c r="D1980">
        <v>324</v>
      </c>
      <c r="E1980">
        <v>30</v>
      </c>
      <c r="F1980" s="2">
        <v>167.77</v>
      </c>
      <c r="G1980" t="s">
        <v>34</v>
      </c>
      <c r="H1980" s="1">
        <v>45632</v>
      </c>
      <c r="I1980" s="1">
        <v>45655</v>
      </c>
      <c r="J1980" t="s">
        <v>37</v>
      </c>
      <c r="K1980" s="8">
        <f>Table2[[#This Row],[CurrentStock]]*Table2[[#This Row],[UnitPrice]]</f>
        <v>54357.48</v>
      </c>
      <c r="L1980" t="str">
        <f>IF(Table2[[#This Row],[CurrentStock]]&lt;=Table2[[#This Row],[ReorderLevel]], "Reorder Needed", "Okay")</f>
        <v>Okay</v>
      </c>
      <c r="M1980" t="str">
        <f>IF(Table2[[#This Row],[CurrentStock]]-Table2[[#This Row],[ReorderLevel]]&lt;0,Table2[[#This Row],[CurrentStock]]-Table2[[#This Row],[ReorderLevel]],"")</f>
        <v/>
      </c>
      <c r="N1980" t="str">
        <f>IF(Table2[[#This Row],[Stock Gap]]&lt;0, "Understock","Okay")</f>
        <v>Okay</v>
      </c>
      <c r="O1980" s="13" t="str">
        <f>IF(Table2[[#This Row],[Stock Gap]]&lt;0, "Yes", "No")</f>
        <v>No</v>
      </c>
      <c r="P1980" s="13" t="str">
        <f>IF(Table2[[#This Row],[CurrentStock]]&lt;Table2[[#This Row],[ReorderLevel]],"Reorder", "Okay")</f>
        <v>Okay</v>
      </c>
      <c r="Q1980" s="13" t="str">
        <f>IF(Table2[[#This Row],[CurrentStock]]&gt;Table2[[#This Row],[ReorderLevel]]*3, "Overstock", "Okay")</f>
        <v>Overstock</v>
      </c>
    </row>
    <row r="1981" spans="1:17" x14ac:dyDescent="0.35">
      <c r="A1981">
        <v>47499</v>
      </c>
      <c r="B1981" t="s">
        <v>11</v>
      </c>
      <c r="C1981" t="s">
        <v>27</v>
      </c>
      <c r="D1981">
        <v>309</v>
      </c>
      <c r="E1981">
        <v>150</v>
      </c>
      <c r="F1981" s="2">
        <v>234.1</v>
      </c>
      <c r="G1981" t="s">
        <v>35</v>
      </c>
      <c r="H1981" s="1">
        <v>45546</v>
      </c>
      <c r="I1981" s="1">
        <v>45585</v>
      </c>
      <c r="J1981" t="s">
        <v>37</v>
      </c>
      <c r="K1981" s="8">
        <f>Table2[[#This Row],[CurrentStock]]*Table2[[#This Row],[UnitPrice]]</f>
        <v>72336.899999999994</v>
      </c>
      <c r="L1981" t="str">
        <f>IF(Table2[[#This Row],[CurrentStock]]&lt;=Table2[[#This Row],[ReorderLevel]], "Reorder Needed", "Okay")</f>
        <v>Okay</v>
      </c>
      <c r="M1981" t="str">
        <f>IF(Table2[[#This Row],[CurrentStock]]-Table2[[#This Row],[ReorderLevel]]&lt;0,Table2[[#This Row],[CurrentStock]]-Table2[[#This Row],[ReorderLevel]],"")</f>
        <v/>
      </c>
      <c r="N1981" t="str">
        <f>IF(Table2[[#This Row],[Stock Gap]]&lt;0, "Understock","Okay")</f>
        <v>Okay</v>
      </c>
      <c r="O1981" s="13" t="str">
        <f>IF(Table2[[#This Row],[Stock Gap]]&lt;0, "Yes", "No")</f>
        <v>No</v>
      </c>
      <c r="P1981" s="13" t="str">
        <f>IF(Table2[[#This Row],[CurrentStock]]&lt;Table2[[#This Row],[ReorderLevel]],"Reorder", "Okay")</f>
        <v>Okay</v>
      </c>
      <c r="Q1981" s="13" t="str">
        <f>IF(Table2[[#This Row],[CurrentStock]]&gt;Table2[[#This Row],[ReorderLevel]]*3, "Overstock", "Okay")</f>
        <v>Okay</v>
      </c>
    </row>
    <row r="1982" spans="1:17" x14ac:dyDescent="0.35">
      <c r="A1982">
        <v>25852</v>
      </c>
      <c r="B1982" t="s">
        <v>16</v>
      </c>
      <c r="C1982" t="s">
        <v>29</v>
      </c>
      <c r="D1982">
        <v>106</v>
      </c>
      <c r="E1982">
        <v>80</v>
      </c>
      <c r="F1982" s="2">
        <v>263.97000000000003</v>
      </c>
      <c r="G1982" t="s">
        <v>32</v>
      </c>
      <c r="H1982" s="1">
        <v>45477</v>
      </c>
      <c r="I1982" s="1">
        <v>45513</v>
      </c>
      <c r="J1982" t="s">
        <v>37</v>
      </c>
      <c r="K1982" s="8">
        <f>Table2[[#This Row],[CurrentStock]]*Table2[[#This Row],[UnitPrice]]</f>
        <v>27980.820000000003</v>
      </c>
      <c r="L1982" t="str">
        <f>IF(Table2[[#This Row],[CurrentStock]]&lt;=Table2[[#This Row],[ReorderLevel]], "Reorder Needed", "Okay")</f>
        <v>Okay</v>
      </c>
      <c r="M1982" t="str">
        <f>IF(Table2[[#This Row],[CurrentStock]]-Table2[[#This Row],[ReorderLevel]]&lt;0,Table2[[#This Row],[CurrentStock]]-Table2[[#This Row],[ReorderLevel]],"")</f>
        <v/>
      </c>
      <c r="N1982" t="str">
        <f>IF(Table2[[#This Row],[Stock Gap]]&lt;0, "Understock","Okay")</f>
        <v>Okay</v>
      </c>
      <c r="O1982" s="13" t="str">
        <f>IF(Table2[[#This Row],[Stock Gap]]&lt;0, "Yes", "No")</f>
        <v>No</v>
      </c>
      <c r="P1982" s="13" t="str">
        <f>IF(Table2[[#This Row],[CurrentStock]]&lt;Table2[[#This Row],[ReorderLevel]],"Reorder", "Okay")</f>
        <v>Okay</v>
      </c>
      <c r="Q1982" s="13" t="str">
        <f>IF(Table2[[#This Row],[CurrentStock]]&gt;Table2[[#This Row],[ReorderLevel]]*3, "Overstock", "Okay")</f>
        <v>Okay</v>
      </c>
    </row>
    <row r="1983" spans="1:17" x14ac:dyDescent="0.35">
      <c r="A1983">
        <v>19895</v>
      </c>
      <c r="B1983" t="s">
        <v>12</v>
      </c>
      <c r="C1983" t="s">
        <v>28</v>
      </c>
      <c r="D1983">
        <v>403</v>
      </c>
      <c r="E1983">
        <v>80</v>
      </c>
      <c r="F1983" s="2">
        <v>22.64</v>
      </c>
      <c r="G1983" t="s">
        <v>35</v>
      </c>
      <c r="H1983" s="1">
        <v>45340</v>
      </c>
      <c r="I1983" s="1">
        <v>45363</v>
      </c>
      <c r="J1983" t="s">
        <v>37</v>
      </c>
      <c r="K1983" s="8">
        <f>Table2[[#This Row],[CurrentStock]]*Table2[[#This Row],[UnitPrice]]</f>
        <v>9123.92</v>
      </c>
      <c r="L1983" t="str">
        <f>IF(Table2[[#This Row],[CurrentStock]]&lt;=Table2[[#This Row],[ReorderLevel]], "Reorder Needed", "Okay")</f>
        <v>Okay</v>
      </c>
      <c r="M1983" t="str">
        <f>IF(Table2[[#This Row],[CurrentStock]]-Table2[[#This Row],[ReorderLevel]]&lt;0,Table2[[#This Row],[CurrentStock]]-Table2[[#This Row],[ReorderLevel]],"")</f>
        <v/>
      </c>
      <c r="N1983" t="str">
        <f>IF(Table2[[#This Row],[Stock Gap]]&lt;0, "Understock","Okay")</f>
        <v>Okay</v>
      </c>
      <c r="O1983" s="13" t="str">
        <f>IF(Table2[[#This Row],[Stock Gap]]&lt;0, "Yes", "No")</f>
        <v>No</v>
      </c>
      <c r="P1983" s="13" t="str">
        <f>IF(Table2[[#This Row],[CurrentStock]]&lt;Table2[[#This Row],[ReorderLevel]],"Reorder", "Okay")</f>
        <v>Okay</v>
      </c>
      <c r="Q1983" s="13" t="str">
        <f>IF(Table2[[#This Row],[CurrentStock]]&gt;Table2[[#This Row],[ReorderLevel]]*3, "Overstock", "Okay")</f>
        <v>Overstock</v>
      </c>
    </row>
    <row r="1984" spans="1:17" x14ac:dyDescent="0.35">
      <c r="A1984">
        <v>37431</v>
      </c>
      <c r="B1984" t="s">
        <v>23</v>
      </c>
      <c r="C1984" t="s">
        <v>30</v>
      </c>
      <c r="D1984">
        <v>390</v>
      </c>
      <c r="E1984">
        <v>40</v>
      </c>
      <c r="F1984" s="2">
        <v>460.59</v>
      </c>
      <c r="G1984" t="s">
        <v>31</v>
      </c>
      <c r="H1984" s="1">
        <v>45588</v>
      </c>
      <c r="I1984" s="1">
        <v>45595</v>
      </c>
      <c r="J1984" t="s">
        <v>37</v>
      </c>
      <c r="K1984" s="8">
        <f>Table2[[#This Row],[CurrentStock]]*Table2[[#This Row],[UnitPrice]]</f>
        <v>179630.09999999998</v>
      </c>
      <c r="L1984" t="str">
        <f>IF(Table2[[#This Row],[CurrentStock]]&lt;=Table2[[#This Row],[ReorderLevel]], "Reorder Needed", "Okay")</f>
        <v>Okay</v>
      </c>
      <c r="M1984" t="str">
        <f>IF(Table2[[#This Row],[CurrentStock]]-Table2[[#This Row],[ReorderLevel]]&lt;0,Table2[[#This Row],[CurrentStock]]-Table2[[#This Row],[ReorderLevel]],"")</f>
        <v/>
      </c>
      <c r="N1984" t="str">
        <f>IF(Table2[[#This Row],[Stock Gap]]&lt;0, "Understock","Okay")</f>
        <v>Okay</v>
      </c>
      <c r="O1984" s="13" t="str">
        <f>IF(Table2[[#This Row],[Stock Gap]]&lt;0, "Yes", "No")</f>
        <v>No</v>
      </c>
      <c r="P1984" s="13" t="str">
        <f>IF(Table2[[#This Row],[CurrentStock]]&lt;Table2[[#This Row],[ReorderLevel]],"Reorder", "Okay")</f>
        <v>Okay</v>
      </c>
      <c r="Q1984" s="13" t="str">
        <f>IF(Table2[[#This Row],[CurrentStock]]&gt;Table2[[#This Row],[ReorderLevel]]*3, "Overstock", "Okay")</f>
        <v>Overstock</v>
      </c>
    </row>
    <row r="1985" spans="1:17" x14ac:dyDescent="0.35">
      <c r="A1985">
        <v>24887</v>
      </c>
      <c r="B1985" t="s">
        <v>21</v>
      </c>
      <c r="C1985" t="s">
        <v>26</v>
      </c>
      <c r="D1985">
        <v>403</v>
      </c>
      <c r="E1985">
        <v>20</v>
      </c>
      <c r="F1985" s="2">
        <v>57.77</v>
      </c>
      <c r="G1985" t="s">
        <v>35</v>
      </c>
      <c r="H1985" s="1">
        <v>45399</v>
      </c>
      <c r="I1985" s="1">
        <v>45427</v>
      </c>
      <c r="J1985" t="s">
        <v>37</v>
      </c>
      <c r="K1985" s="8">
        <f>Table2[[#This Row],[CurrentStock]]*Table2[[#This Row],[UnitPrice]]</f>
        <v>23281.31</v>
      </c>
      <c r="L1985" t="str">
        <f>IF(Table2[[#This Row],[CurrentStock]]&lt;=Table2[[#This Row],[ReorderLevel]], "Reorder Needed", "Okay")</f>
        <v>Okay</v>
      </c>
      <c r="M1985" t="str">
        <f>IF(Table2[[#This Row],[CurrentStock]]-Table2[[#This Row],[ReorderLevel]]&lt;0,Table2[[#This Row],[CurrentStock]]-Table2[[#This Row],[ReorderLevel]],"")</f>
        <v/>
      </c>
      <c r="N1985" t="str">
        <f>IF(Table2[[#This Row],[Stock Gap]]&lt;0, "Understock","Okay")</f>
        <v>Okay</v>
      </c>
      <c r="O1985" s="13" t="str">
        <f>IF(Table2[[#This Row],[Stock Gap]]&lt;0, "Yes", "No")</f>
        <v>No</v>
      </c>
      <c r="P1985" s="13" t="str">
        <f>IF(Table2[[#This Row],[CurrentStock]]&lt;Table2[[#This Row],[ReorderLevel]],"Reorder", "Okay")</f>
        <v>Okay</v>
      </c>
      <c r="Q1985" s="13" t="str">
        <f>IF(Table2[[#This Row],[CurrentStock]]&gt;Table2[[#This Row],[ReorderLevel]]*3, "Overstock", "Okay")</f>
        <v>Overstock</v>
      </c>
    </row>
    <row r="1986" spans="1:17" x14ac:dyDescent="0.35">
      <c r="A1986">
        <v>90875</v>
      </c>
      <c r="B1986" t="s">
        <v>9</v>
      </c>
      <c r="C1986" t="s">
        <v>26</v>
      </c>
      <c r="D1986">
        <v>331</v>
      </c>
      <c r="E1986">
        <v>20</v>
      </c>
      <c r="F1986" s="2">
        <v>217.76</v>
      </c>
      <c r="G1986" t="s">
        <v>32</v>
      </c>
      <c r="H1986" s="1">
        <v>45549</v>
      </c>
      <c r="I1986" s="1">
        <v>45559</v>
      </c>
      <c r="J1986" t="s">
        <v>37</v>
      </c>
      <c r="K1986" s="8">
        <f>Table2[[#This Row],[CurrentStock]]*Table2[[#This Row],[UnitPrice]]</f>
        <v>72078.559999999998</v>
      </c>
      <c r="L1986" t="str">
        <f>IF(Table2[[#This Row],[CurrentStock]]&lt;=Table2[[#This Row],[ReorderLevel]], "Reorder Needed", "Okay")</f>
        <v>Okay</v>
      </c>
      <c r="M1986" t="str">
        <f>IF(Table2[[#This Row],[CurrentStock]]-Table2[[#This Row],[ReorderLevel]]&lt;0,Table2[[#This Row],[CurrentStock]]-Table2[[#This Row],[ReorderLevel]],"")</f>
        <v/>
      </c>
      <c r="N1986" t="str">
        <f>IF(Table2[[#This Row],[Stock Gap]]&lt;0, "Understock","Okay")</f>
        <v>Okay</v>
      </c>
      <c r="O1986" s="13" t="str">
        <f>IF(Table2[[#This Row],[Stock Gap]]&lt;0, "Yes", "No")</f>
        <v>No</v>
      </c>
      <c r="P1986" s="13" t="str">
        <f>IF(Table2[[#This Row],[CurrentStock]]&lt;Table2[[#This Row],[ReorderLevel]],"Reorder", "Okay")</f>
        <v>Okay</v>
      </c>
      <c r="Q1986" s="13" t="str">
        <f>IF(Table2[[#This Row],[CurrentStock]]&gt;Table2[[#This Row],[ReorderLevel]]*3, "Overstock", "Okay")</f>
        <v>Overstock</v>
      </c>
    </row>
    <row r="1987" spans="1:17" x14ac:dyDescent="0.35">
      <c r="A1987">
        <v>75471</v>
      </c>
      <c r="B1987" t="s">
        <v>15</v>
      </c>
      <c r="C1987" t="s">
        <v>29</v>
      </c>
      <c r="D1987">
        <v>209</v>
      </c>
      <c r="E1987">
        <v>20</v>
      </c>
      <c r="F1987" s="2">
        <v>43.97</v>
      </c>
      <c r="G1987" t="s">
        <v>33</v>
      </c>
      <c r="H1987" s="1">
        <v>45529</v>
      </c>
      <c r="I1987" s="1">
        <v>45549</v>
      </c>
      <c r="J1987" t="s">
        <v>36</v>
      </c>
      <c r="K1987" s="8">
        <f>Table2[[#This Row],[CurrentStock]]*Table2[[#This Row],[UnitPrice]]</f>
        <v>9189.73</v>
      </c>
      <c r="L1987" t="str">
        <f>IF(Table2[[#This Row],[CurrentStock]]&lt;=Table2[[#This Row],[ReorderLevel]], "Reorder Needed", "Okay")</f>
        <v>Okay</v>
      </c>
      <c r="M1987" t="str">
        <f>IF(Table2[[#This Row],[CurrentStock]]-Table2[[#This Row],[ReorderLevel]]&lt;0,Table2[[#This Row],[CurrentStock]]-Table2[[#This Row],[ReorderLevel]],"")</f>
        <v/>
      </c>
      <c r="N1987" t="str">
        <f>IF(Table2[[#This Row],[Stock Gap]]&lt;0, "Understock","Okay")</f>
        <v>Okay</v>
      </c>
      <c r="O1987" s="13" t="str">
        <f>IF(Table2[[#This Row],[Stock Gap]]&lt;0, "Yes", "No")</f>
        <v>No</v>
      </c>
      <c r="P1987" s="13" t="str">
        <f>IF(Table2[[#This Row],[CurrentStock]]&lt;Table2[[#This Row],[ReorderLevel]],"Reorder", "Okay")</f>
        <v>Okay</v>
      </c>
      <c r="Q1987" s="13" t="str">
        <f>IF(Table2[[#This Row],[CurrentStock]]&gt;Table2[[#This Row],[ReorderLevel]]*3, "Overstock", "Okay")</f>
        <v>Overstock</v>
      </c>
    </row>
    <row r="1988" spans="1:17" x14ac:dyDescent="0.35">
      <c r="A1988">
        <v>26533</v>
      </c>
      <c r="B1988" t="s">
        <v>9</v>
      </c>
      <c r="C1988" t="s">
        <v>26</v>
      </c>
      <c r="D1988">
        <v>278</v>
      </c>
      <c r="E1988">
        <v>80</v>
      </c>
      <c r="F1988" s="2">
        <v>308.45999999999998</v>
      </c>
      <c r="G1988" t="s">
        <v>31</v>
      </c>
      <c r="H1988" s="1">
        <v>45342</v>
      </c>
      <c r="I1988" s="1">
        <v>45372</v>
      </c>
      <c r="J1988" t="s">
        <v>38</v>
      </c>
      <c r="K1988" s="8">
        <f>Table2[[#This Row],[CurrentStock]]*Table2[[#This Row],[UnitPrice]]</f>
        <v>85751.87999999999</v>
      </c>
      <c r="L1988" t="str">
        <f>IF(Table2[[#This Row],[CurrentStock]]&lt;=Table2[[#This Row],[ReorderLevel]], "Reorder Needed", "Okay")</f>
        <v>Okay</v>
      </c>
      <c r="M1988" t="str">
        <f>IF(Table2[[#This Row],[CurrentStock]]-Table2[[#This Row],[ReorderLevel]]&lt;0,Table2[[#This Row],[CurrentStock]]-Table2[[#This Row],[ReorderLevel]],"")</f>
        <v/>
      </c>
      <c r="N1988" t="str">
        <f>IF(Table2[[#This Row],[Stock Gap]]&lt;0, "Understock","Okay")</f>
        <v>Okay</v>
      </c>
      <c r="O1988" s="13" t="str">
        <f>IF(Table2[[#This Row],[Stock Gap]]&lt;0, "Yes", "No")</f>
        <v>No</v>
      </c>
      <c r="P1988" s="13" t="str">
        <f>IF(Table2[[#This Row],[CurrentStock]]&lt;Table2[[#This Row],[ReorderLevel]],"Reorder", "Okay")</f>
        <v>Okay</v>
      </c>
      <c r="Q1988" s="13" t="str">
        <f>IF(Table2[[#This Row],[CurrentStock]]&gt;Table2[[#This Row],[ReorderLevel]]*3, "Overstock", "Okay")</f>
        <v>Overstock</v>
      </c>
    </row>
    <row r="1989" spans="1:17" x14ac:dyDescent="0.35">
      <c r="A1989">
        <v>23654</v>
      </c>
      <c r="B1989" t="s">
        <v>17</v>
      </c>
      <c r="C1989" t="s">
        <v>27</v>
      </c>
      <c r="D1989">
        <v>493</v>
      </c>
      <c r="E1989">
        <v>150</v>
      </c>
      <c r="F1989" s="2">
        <v>337.62</v>
      </c>
      <c r="G1989" t="s">
        <v>35</v>
      </c>
      <c r="H1989" s="1">
        <v>45465</v>
      </c>
      <c r="I1989" s="1">
        <v>45495</v>
      </c>
      <c r="J1989" t="s">
        <v>36</v>
      </c>
      <c r="K1989" s="8">
        <f>Table2[[#This Row],[CurrentStock]]*Table2[[#This Row],[UnitPrice]]</f>
        <v>166446.66</v>
      </c>
      <c r="L1989" t="str">
        <f>IF(Table2[[#This Row],[CurrentStock]]&lt;=Table2[[#This Row],[ReorderLevel]], "Reorder Needed", "Okay")</f>
        <v>Okay</v>
      </c>
      <c r="M1989" t="str">
        <f>IF(Table2[[#This Row],[CurrentStock]]-Table2[[#This Row],[ReorderLevel]]&lt;0,Table2[[#This Row],[CurrentStock]]-Table2[[#This Row],[ReorderLevel]],"")</f>
        <v/>
      </c>
      <c r="N1989" t="str">
        <f>IF(Table2[[#This Row],[Stock Gap]]&lt;0, "Understock","Okay")</f>
        <v>Okay</v>
      </c>
      <c r="O1989" s="13" t="str">
        <f>IF(Table2[[#This Row],[Stock Gap]]&lt;0, "Yes", "No")</f>
        <v>No</v>
      </c>
      <c r="P1989" s="13" t="str">
        <f>IF(Table2[[#This Row],[CurrentStock]]&lt;Table2[[#This Row],[ReorderLevel]],"Reorder", "Okay")</f>
        <v>Okay</v>
      </c>
      <c r="Q1989" s="13" t="str">
        <f>IF(Table2[[#This Row],[CurrentStock]]&gt;Table2[[#This Row],[ReorderLevel]]*3, "Overstock", "Okay")</f>
        <v>Overstock</v>
      </c>
    </row>
    <row r="1990" spans="1:17" x14ac:dyDescent="0.35">
      <c r="A1990">
        <v>74934</v>
      </c>
      <c r="B1990" t="s">
        <v>14</v>
      </c>
      <c r="C1990" t="s">
        <v>28</v>
      </c>
      <c r="D1990">
        <v>11</v>
      </c>
      <c r="E1990">
        <v>80</v>
      </c>
      <c r="F1990" s="2">
        <v>248.62</v>
      </c>
      <c r="G1990" t="s">
        <v>31</v>
      </c>
      <c r="H1990" s="1">
        <v>45357</v>
      </c>
      <c r="I1990" s="1">
        <v>45373</v>
      </c>
      <c r="J1990" t="s">
        <v>38</v>
      </c>
      <c r="K1990" s="8">
        <f>Table2[[#This Row],[CurrentStock]]*Table2[[#This Row],[UnitPrice]]</f>
        <v>2734.82</v>
      </c>
      <c r="L1990" t="str">
        <f>IF(Table2[[#This Row],[CurrentStock]]&lt;=Table2[[#This Row],[ReorderLevel]], "Reorder Needed", "Okay")</f>
        <v>Reorder Needed</v>
      </c>
      <c r="M1990" s="7">
        <f>IF(Table2[[#This Row],[CurrentStock]]-Table2[[#This Row],[ReorderLevel]]&lt;0,Table2[[#This Row],[CurrentStock]]-Table2[[#This Row],[ReorderLevel]],"")</f>
        <v>-69</v>
      </c>
      <c r="N1990" t="str">
        <f>IF(Table2[[#This Row],[Stock Gap]]&lt;0, "Understock","Okay")</f>
        <v>Understock</v>
      </c>
      <c r="O1990" s="13" t="str">
        <f>IF(Table2[[#This Row],[Stock Gap]]&lt;0, "Yes", "No")</f>
        <v>Yes</v>
      </c>
      <c r="P1990" s="13" t="str">
        <f>IF(Table2[[#This Row],[CurrentStock]]&lt;Table2[[#This Row],[ReorderLevel]],"Reorder", "Okay")</f>
        <v>Reorder</v>
      </c>
      <c r="Q1990" s="13" t="str">
        <f>IF(Table2[[#This Row],[CurrentStock]]&gt;Table2[[#This Row],[ReorderLevel]]*3, "Overstock", "Okay")</f>
        <v>Okay</v>
      </c>
    </row>
    <row r="1991" spans="1:17" x14ac:dyDescent="0.35">
      <c r="A1991">
        <v>92627</v>
      </c>
      <c r="B1991" t="s">
        <v>11</v>
      </c>
      <c r="C1991" t="s">
        <v>27</v>
      </c>
      <c r="D1991">
        <v>234</v>
      </c>
      <c r="E1991">
        <v>40</v>
      </c>
      <c r="F1991" s="2">
        <v>223.84</v>
      </c>
      <c r="G1991" t="s">
        <v>32</v>
      </c>
      <c r="H1991" s="1">
        <v>45533</v>
      </c>
      <c r="I1991" s="1">
        <v>45562</v>
      </c>
      <c r="J1991" t="s">
        <v>37</v>
      </c>
      <c r="K1991" s="8">
        <f>Table2[[#This Row],[CurrentStock]]*Table2[[#This Row],[UnitPrice]]</f>
        <v>52378.559999999998</v>
      </c>
      <c r="L1991" t="str">
        <f>IF(Table2[[#This Row],[CurrentStock]]&lt;=Table2[[#This Row],[ReorderLevel]], "Reorder Needed", "Okay")</f>
        <v>Okay</v>
      </c>
      <c r="M1991" t="str">
        <f>IF(Table2[[#This Row],[CurrentStock]]-Table2[[#This Row],[ReorderLevel]]&lt;0,Table2[[#This Row],[CurrentStock]]-Table2[[#This Row],[ReorderLevel]],"")</f>
        <v/>
      </c>
      <c r="N1991" t="str">
        <f>IF(Table2[[#This Row],[Stock Gap]]&lt;0, "Understock","Okay")</f>
        <v>Okay</v>
      </c>
      <c r="O1991" s="13" t="str">
        <f>IF(Table2[[#This Row],[Stock Gap]]&lt;0, "Yes", "No")</f>
        <v>No</v>
      </c>
      <c r="P1991" s="13" t="str">
        <f>IF(Table2[[#This Row],[CurrentStock]]&lt;Table2[[#This Row],[ReorderLevel]],"Reorder", "Okay")</f>
        <v>Okay</v>
      </c>
      <c r="Q1991" s="13" t="str">
        <f>IF(Table2[[#This Row],[CurrentStock]]&gt;Table2[[#This Row],[ReorderLevel]]*3, "Overstock", "Okay")</f>
        <v>Overstock</v>
      </c>
    </row>
    <row r="1992" spans="1:17" x14ac:dyDescent="0.35">
      <c r="A1992">
        <v>59999</v>
      </c>
      <c r="B1992" t="s">
        <v>16</v>
      </c>
      <c r="C1992" t="s">
        <v>29</v>
      </c>
      <c r="D1992">
        <v>446</v>
      </c>
      <c r="E1992">
        <v>100</v>
      </c>
      <c r="F1992" s="2">
        <v>232.1</v>
      </c>
      <c r="G1992" t="s">
        <v>32</v>
      </c>
      <c r="H1992" s="1">
        <v>45648</v>
      </c>
      <c r="I1992" s="1">
        <v>45655</v>
      </c>
      <c r="J1992" t="s">
        <v>37</v>
      </c>
      <c r="K1992" s="8">
        <f>Table2[[#This Row],[CurrentStock]]*Table2[[#This Row],[UnitPrice]]</f>
        <v>103516.59999999999</v>
      </c>
      <c r="L1992" t="str">
        <f>IF(Table2[[#This Row],[CurrentStock]]&lt;=Table2[[#This Row],[ReorderLevel]], "Reorder Needed", "Okay")</f>
        <v>Okay</v>
      </c>
      <c r="M1992" t="str">
        <f>IF(Table2[[#This Row],[CurrentStock]]-Table2[[#This Row],[ReorderLevel]]&lt;0,Table2[[#This Row],[CurrentStock]]-Table2[[#This Row],[ReorderLevel]],"")</f>
        <v/>
      </c>
      <c r="N1992" t="str">
        <f>IF(Table2[[#This Row],[Stock Gap]]&lt;0, "Understock","Okay")</f>
        <v>Okay</v>
      </c>
      <c r="O1992" s="13" t="str">
        <f>IF(Table2[[#This Row],[Stock Gap]]&lt;0, "Yes", "No")</f>
        <v>No</v>
      </c>
      <c r="P1992" s="13" t="str">
        <f>IF(Table2[[#This Row],[CurrentStock]]&lt;Table2[[#This Row],[ReorderLevel]],"Reorder", "Okay")</f>
        <v>Okay</v>
      </c>
      <c r="Q1992" s="13" t="str">
        <f>IF(Table2[[#This Row],[CurrentStock]]&gt;Table2[[#This Row],[ReorderLevel]]*3, "Overstock", "Okay")</f>
        <v>Overstock</v>
      </c>
    </row>
    <row r="1993" spans="1:17" x14ac:dyDescent="0.35">
      <c r="A1993">
        <v>66982</v>
      </c>
      <c r="B1993" t="s">
        <v>14</v>
      </c>
      <c r="C1993" t="s">
        <v>28</v>
      </c>
      <c r="D1993">
        <v>398</v>
      </c>
      <c r="E1993">
        <v>20</v>
      </c>
      <c r="F1993" s="2">
        <v>88.89</v>
      </c>
      <c r="G1993" t="s">
        <v>33</v>
      </c>
      <c r="H1993" s="1">
        <v>45489</v>
      </c>
      <c r="I1993" s="1">
        <v>45520</v>
      </c>
      <c r="J1993" t="s">
        <v>36</v>
      </c>
      <c r="K1993" s="8">
        <f>Table2[[#This Row],[CurrentStock]]*Table2[[#This Row],[UnitPrice]]</f>
        <v>35378.22</v>
      </c>
      <c r="L1993" t="str">
        <f>IF(Table2[[#This Row],[CurrentStock]]&lt;=Table2[[#This Row],[ReorderLevel]], "Reorder Needed", "Okay")</f>
        <v>Okay</v>
      </c>
      <c r="M1993" t="str">
        <f>IF(Table2[[#This Row],[CurrentStock]]-Table2[[#This Row],[ReorderLevel]]&lt;0,Table2[[#This Row],[CurrentStock]]-Table2[[#This Row],[ReorderLevel]],"")</f>
        <v/>
      </c>
      <c r="N1993" t="str">
        <f>IF(Table2[[#This Row],[Stock Gap]]&lt;0, "Understock","Okay")</f>
        <v>Okay</v>
      </c>
      <c r="O1993" s="13" t="str">
        <f>IF(Table2[[#This Row],[Stock Gap]]&lt;0, "Yes", "No")</f>
        <v>No</v>
      </c>
      <c r="P1993" s="13" t="str">
        <f>IF(Table2[[#This Row],[CurrentStock]]&lt;Table2[[#This Row],[ReorderLevel]],"Reorder", "Okay")</f>
        <v>Okay</v>
      </c>
      <c r="Q1993" s="13" t="str">
        <f>IF(Table2[[#This Row],[CurrentStock]]&gt;Table2[[#This Row],[ReorderLevel]]*3, "Overstock", "Okay")</f>
        <v>Overstock</v>
      </c>
    </row>
    <row r="1994" spans="1:17" x14ac:dyDescent="0.35">
      <c r="A1994">
        <v>58225</v>
      </c>
      <c r="B1994" t="s">
        <v>13</v>
      </c>
      <c r="C1994" t="s">
        <v>26</v>
      </c>
      <c r="D1994">
        <v>132</v>
      </c>
      <c r="E1994">
        <v>20</v>
      </c>
      <c r="F1994" s="2">
        <v>319.3</v>
      </c>
      <c r="G1994" t="s">
        <v>34</v>
      </c>
      <c r="H1994" s="1">
        <v>45373</v>
      </c>
      <c r="I1994" s="1">
        <v>45399</v>
      </c>
      <c r="J1994" t="s">
        <v>37</v>
      </c>
      <c r="K1994" s="8">
        <f>Table2[[#This Row],[CurrentStock]]*Table2[[#This Row],[UnitPrice]]</f>
        <v>42147.6</v>
      </c>
      <c r="L1994" t="str">
        <f>IF(Table2[[#This Row],[CurrentStock]]&lt;=Table2[[#This Row],[ReorderLevel]], "Reorder Needed", "Okay")</f>
        <v>Okay</v>
      </c>
      <c r="M1994" t="str">
        <f>IF(Table2[[#This Row],[CurrentStock]]-Table2[[#This Row],[ReorderLevel]]&lt;0,Table2[[#This Row],[CurrentStock]]-Table2[[#This Row],[ReorderLevel]],"")</f>
        <v/>
      </c>
      <c r="N1994" t="str">
        <f>IF(Table2[[#This Row],[Stock Gap]]&lt;0, "Understock","Okay")</f>
        <v>Okay</v>
      </c>
      <c r="O1994" s="13" t="str">
        <f>IF(Table2[[#This Row],[Stock Gap]]&lt;0, "Yes", "No")</f>
        <v>No</v>
      </c>
      <c r="P1994" s="13" t="str">
        <f>IF(Table2[[#This Row],[CurrentStock]]&lt;Table2[[#This Row],[ReorderLevel]],"Reorder", "Okay")</f>
        <v>Okay</v>
      </c>
      <c r="Q1994" s="13" t="str">
        <f>IF(Table2[[#This Row],[CurrentStock]]&gt;Table2[[#This Row],[ReorderLevel]]*3, "Overstock", "Okay")</f>
        <v>Overstock</v>
      </c>
    </row>
    <row r="1995" spans="1:17" x14ac:dyDescent="0.35">
      <c r="A1995">
        <v>10973</v>
      </c>
      <c r="B1995" t="s">
        <v>22</v>
      </c>
      <c r="C1995" t="s">
        <v>29</v>
      </c>
      <c r="D1995">
        <v>474</v>
      </c>
      <c r="E1995">
        <v>80</v>
      </c>
      <c r="F1995" s="2">
        <v>426.68</v>
      </c>
      <c r="G1995" t="s">
        <v>34</v>
      </c>
      <c r="H1995" s="1">
        <v>45448</v>
      </c>
      <c r="I1995" s="1">
        <v>45474</v>
      </c>
      <c r="J1995" t="s">
        <v>37</v>
      </c>
      <c r="K1995" s="8">
        <f>Table2[[#This Row],[CurrentStock]]*Table2[[#This Row],[UnitPrice]]</f>
        <v>202246.32</v>
      </c>
      <c r="L1995" t="str">
        <f>IF(Table2[[#This Row],[CurrentStock]]&lt;=Table2[[#This Row],[ReorderLevel]], "Reorder Needed", "Okay")</f>
        <v>Okay</v>
      </c>
      <c r="M1995" t="str">
        <f>IF(Table2[[#This Row],[CurrentStock]]-Table2[[#This Row],[ReorderLevel]]&lt;0,Table2[[#This Row],[CurrentStock]]-Table2[[#This Row],[ReorderLevel]],"")</f>
        <v/>
      </c>
      <c r="N1995" t="str">
        <f>IF(Table2[[#This Row],[Stock Gap]]&lt;0, "Understock","Okay")</f>
        <v>Okay</v>
      </c>
      <c r="O1995" s="13" t="str">
        <f>IF(Table2[[#This Row],[Stock Gap]]&lt;0, "Yes", "No")</f>
        <v>No</v>
      </c>
      <c r="P1995" s="13" t="str">
        <f>IF(Table2[[#This Row],[CurrentStock]]&lt;Table2[[#This Row],[ReorderLevel]],"Reorder", "Okay")</f>
        <v>Okay</v>
      </c>
      <c r="Q1995" s="13" t="str">
        <f>IF(Table2[[#This Row],[CurrentStock]]&gt;Table2[[#This Row],[ReorderLevel]]*3, "Overstock", "Okay")</f>
        <v>Overstock</v>
      </c>
    </row>
    <row r="1996" spans="1:17" x14ac:dyDescent="0.35">
      <c r="A1996">
        <v>81980</v>
      </c>
      <c r="B1996" t="s">
        <v>14</v>
      </c>
      <c r="C1996" t="s">
        <v>28</v>
      </c>
      <c r="D1996">
        <v>59</v>
      </c>
      <c r="E1996">
        <v>100</v>
      </c>
      <c r="F1996" s="2">
        <v>259.95</v>
      </c>
      <c r="G1996" t="s">
        <v>32</v>
      </c>
      <c r="H1996" s="1">
        <v>45550</v>
      </c>
      <c r="I1996" s="1">
        <v>45588</v>
      </c>
      <c r="J1996" t="s">
        <v>38</v>
      </c>
      <c r="K1996" s="8">
        <f>Table2[[#This Row],[CurrentStock]]*Table2[[#This Row],[UnitPrice]]</f>
        <v>15337.05</v>
      </c>
      <c r="L1996" t="str">
        <f>IF(Table2[[#This Row],[CurrentStock]]&lt;=Table2[[#This Row],[ReorderLevel]], "Reorder Needed", "Okay")</f>
        <v>Reorder Needed</v>
      </c>
      <c r="M1996" s="7">
        <f>IF(Table2[[#This Row],[CurrentStock]]-Table2[[#This Row],[ReorderLevel]]&lt;0,Table2[[#This Row],[CurrentStock]]-Table2[[#This Row],[ReorderLevel]],"")</f>
        <v>-41</v>
      </c>
      <c r="N1996" t="str">
        <f>IF(Table2[[#This Row],[Stock Gap]]&lt;0, "Understock","Okay")</f>
        <v>Understock</v>
      </c>
      <c r="O1996" s="13" t="str">
        <f>IF(Table2[[#This Row],[Stock Gap]]&lt;0, "Yes", "No")</f>
        <v>Yes</v>
      </c>
      <c r="P1996" s="13" t="str">
        <f>IF(Table2[[#This Row],[CurrentStock]]&lt;Table2[[#This Row],[ReorderLevel]],"Reorder", "Okay")</f>
        <v>Reorder</v>
      </c>
      <c r="Q1996" s="13" t="str">
        <f>IF(Table2[[#This Row],[CurrentStock]]&gt;Table2[[#This Row],[ReorderLevel]]*3, "Overstock", "Okay")</f>
        <v>Okay</v>
      </c>
    </row>
    <row r="1997" spans="1:17" x14ac:dyDescent="0.35">
      <c r="A1997">
        <v>94834</v>
      </c>
      <c r="B1997" t="s">
        <v>15</v>
      </c>
      <c r="C1997" t="s">
        <v>29</v>
      </c>
      <c r="D1997">
        <v>187</v>
      </c>
      <c r="E1997">
        <v>80</v>
      </c>
      <c r="F1997" s="2">
        <v>44.86</v>
      </c>
      <c r="G1997" t="s">
        <v>35</v>
      </c>
      <c r="H1997" s="1">
        <v>45515</v>
      </c>
      <c r="I1997" s="1">
        <v>45542</v>
      </c>
      <c r="J1997" t="s">
        <v>37</v>
      </c>
      <c r="K1997" s="8">
        <f>Table2[[#This Row],[CurrentStock]]*Table2[[#This Row],[UnitPrice]]</f>
        <v>8388.82</v>
      </c>
      <c r="L1997" t="str">
        <f>IF(Table2[[#This Row],[CurrentStock]]&lt;=Table2[[#This Row],[ReorderLevel]], "Reorder Needed", "Okay")</f>
        <v>Okay</v>
      </c>
      <c r="M1997" t="str">
        <f>IF(Table2[[#This Row],[CurrentStock]]-Table2[[#This Row],[ReorderLevel]]&lt;0,Table2[[#This Row],[CurrentStock]]-Table2[[#This Row],[ReorderLevel]],"")</f>
        <v/>
      </c>
      <c r="N1997" t="str">
        <f>IF(Table2[[#This Row],[Stock Gap]]&lt;0, "Understock","Okay")</f>
        <v>Okay</v>
      </c>
      <c r="O1997" s="13" t="str">
        <f>IF(Table2[[#This Row],[Stock Gap]]&lt;0, "Yes", "No")</f>
        <v>No</v>
      </c>
      <c r="P1997" s="13" t="str">
        <f>IF(Table2[[#This Row],[CurrentStock]]&lt;Table2[[#This Row],[ReorderLevel]],"Reorder", "Okay")</f>
        <v>Okay</v>
      </c>
      <c r="Q1997" s="13" t="str">
        <f>IF(Table2[[#This Row],[CurrentStock]]&gt;Table2[[#This Row],[ReorderLevel]]*3, "Overstock", "Okay")</f>
        <v>Okay</v>
      </c>
    </row>
    <row r="1998" spans="1:17" x14ac:dyDescent="0.35">
      <c r="A1998">
        <v>94719</v>
      </c>
      <c r="B1998" t="s">
        <v>17</v>
      </c>
      <c r="C1998" t="s">
        <v>27</v>
      </c>
      <c r="D1998">
        <v>312</v>
      </c>
      <c r="E1998">
        <v>20</v>
      </c>
      <c r="F1998" s="2">
        <v>57.12</v>
      </c>
      <c r="G1998" t="s">
        <v>32</v>
      </c>
      <c r="H1998" s="1">
        <v>45328</v>
      </c>
      <c r="I1998" s="1">
        <v>45353</v>
      </c>
      <c r="J1998" t="s">
        <v>37</v>
      </c>
      <c r="K1998" s="8">
        <f>Table2[[#This Row],[CurrentStock]]*Table2[[#This Row],[UnitPrice]]</f>
        <v>17821.439999999999</v>
      </c>
      <c r="L1998" t="str">
        <f>IF(Table2[[#This Row],[CurrentStock]]&lt;=Table2[[#This Row],[ReorderLevel]], "Reorder Needed", "Okay")</f>
        <v>Okay</v>
      </c>
      <c r="M1998" t="str">
        <f>IF(Table2[[#This Row],[CurrentStock]]-Table2[[#This Row],[ReorderLevel]]&lt;0,Table2[[#This Row],[CurrentStock]]-Table2[[#This Row],[ReorderLevel]],"")</f>
        <v/>
      </c>
      <c r="N1998" t="str">
        <f>IF(Table2[[#This Row],[Stock Gap]]&lt;0, "Understock","Okay")</f>
        <v>Okay</v>
      </c>
      <c r="O1998" s="13" t="str">
        <f>IF(Table2[[#This Row],[Stock Gap]]&lt;0, "Yes", "No")</f>
        <v>No</v>
      </c>
      <c r="P1998" s="13" t="str">
        <f>IF(Table2[[#This Row],[CurrentStock]]&lt;Table2[[#This Row],[ReorderLevel]],"Reorder", "Okay")</f>
        <v>Okay</v>
      </c>
      <c r="Q1998" s="13" t="str">
        <f>IF(Table2[[#This Row],[CurrentStock]]&gt;Table2[[#This Row],[ReorderLevel]]*3, "Overstock", "Okay")</f>
        <v>Overstock</v>
      </c>
    </row>
    <row r="1999" spans="1:17" x14ac:dyDescent="0.35">
      <c r="A1999">
        <v>71457</v>
      </c>
      <c r="B1999" t="s">
        <v>19</v>
      </c>
      <c r="C1999" t="s">
        <v>28</v>
      </c>
      <c r="D1999">
        <v>324</v>
      </c>
      <c r="E1999">
        <v>80</v>
      </c>
      <c r="F1999" s="2">
        <v>340.2</v>
      </c>
      <c r="G1999" t="s">
        <v>35</v>
      </c>
      <c r="H1999" s="1">
        <v>45449</v>
      </c>
      <c r="I1999" s="1">
        <v>45469</v>
      </c>
      <c r="J1999" t="s">
        <v>37</v>
      </c>
      <c r="K1999" s="8">
        <f>Table2[[#This Row],[CurrentStock]]*Table2[[#This Row],[UnitPrice]]</f>
        <v>110224.8</v>
      </c>
      <c r="L1999" t="str">
        <f>IF(Table2[[#This Row],[CurrentStock]]&lt;=Table2[[#This Row],[ReorderLevel]], "Reorder Needed", "Okay")</f>
        <v>Okay</v>
      </c>
      <c r="M1999" t="str">
        <f>IF(Table2[[#This Row],[CurrentStock]]-Table2[[#This Row],[ReorderLevel]]&lt;0,Table2[[#This Row],[CurrentStock]]-Table2[[#This Row],[ReorderLevel]],"")</f>
        <v/>
      </c>
      <c r="N1999" t="str">
        <f>IF(Table2[[#This Row],[Stock Gap]]&lt;0, "Understock","Okay")</f>
        <v>Okay</v>
      </c>
      <c r="O1999" s="13" t="str">
        <f>IF(Table2[[#This Row],[Stock Gap]]&lt;0, "Yes", "No")</f>
        <v>No</v>
      </c>
      <c r="P1999" s="13" t="str">
        <f>IF(Table2[[#This Row],[CurrentStock]]&lt;Table2[[#This Row],[ReorderLevel]],"Reorder", "Okay")</f>
        <v>Okay</v>
      </c>
      <c r="Q1999" s="13" t="str">
        <f>IF(Table2[[#This Row],[CurrentStock]]&gt;Table2[[#This Row],[ReorderLevel]]*3, "Overstock", "Okay")</f>
        <v>Overstock</v>
      </c>
    </row>
    <row r="2000" spans="1:17" x14ac:dyDescent="0.35">
      <c r="A2000">
        <v>87318</v>
      </c>
      <c r="B2000" t="s">
        <v>18</v>
      </c>
      <c r="C2000" t="s">
        <v>27</v>
      </c>
      <c r="D2000">
        <v>478</v>
      </c>
      <c r="E2000">
        <v>20</v>
      </c>
      <c r="F2000" s="2">
        <v>346.32</v>
      </c>
      <c r="G2000" t="s">
        <v>31</v>
      </c>
      <c r="H2000" s="1">
        <v>45484</v>
      </c>
      <c r="I2000" s="1">
        <v>45495</v>
      </c>
      <c r="J2000" t="s">
        <v>36</v>
      </c>
      <c r="K2000" s="8">
        <f>Table2[[#This Row],[CurrentStock]]*Table2[[#This Row],[UnitPrice]]</f>
        <v>165540.96</v>
      </c>
      <c r="L2000" t="str">
        <f>IF(Table2[[#This Row],[CurrentStock]]&lt;=Table2[[#This Row],[ReorderLevel]], "Reorder Needed", "Okay")</f>
        <v>Okay</v>
      </c>
      <c r="M2000" t="str">
        <f>IF(Table2[[#This Row],[CurrentStock]]-Table2[[#This Row],[ReorderLevel]]&lt;0,Table2[[#This Row],[CurrentStock]]-Table2[[#This Row],[ReorderLevel]],"")</f>
        <v/>
      </c>
      <c r="N2000" t="str">
        <f>IF(Table2[[#This Row],[Stock Gap]]&lt;0, "Understock","Okay")</f>
        <v>Okay</v>
      </c>
      <c r="O2000" s="13" t="str">
        <f>IF(Table2[[#This Row],[Stock Gap]]&lt;0, "Yes", "No")</f>
        <v>No</v>
      </c>
      <c r="P2000" s="13" t="str">
        <f>IF(Table2[[#This Row],[CurrentStock]]&lt;Table2[[#This Row],[ReorderLevel]],"Reorder", "Okay")</f>
        <v>Okay</v>
      </c>
      <c r="Q2000" s="13" t="str">
        <f>IF(Table2[[#This Row],[CurrentStock]]&gt;Table2[[#This Row],[ReorderLevel]]*3, "Overstock", "Okay")</f>
        <v>Overstock</v>
      </c>
    </row>
    <row r="2001" spans="1:17" x14ac:dyDescent="0.35">
      <c r="A2001">
        <v>45011</v>
      </c>
      <c r="B2001" t="s">
        <v>12</v>
      </c>
      <c r="C2001" t="s">
        <v>28</v>
      </c>
      <c r="D2001">
        <v>488</v>
      </c>
      <c r="E2001">
        <v>20</v>
      </c>
      <c r="F2001" s="2">
        <v>379.8</v>
      </c>
      <c r="G2001" t="s">
        <v>32</v>
      </c>
      <c r="H2001" s="1">
        <v>45332</v>
      </c>
      <c r="I2001" s="1">
        <v>45338</v>
      </c>
      <c r="J2001" t="s">
        <v>36</v>
      </c>
      <c r="K2001" s="8">
        <f>Table2[[#This Row],[CurrentStock]]*Table2[[#This Row],[UnitPrice]]</f>
        <v>185342.4</v>
      </c>
      <c r="L2001" t="str">
        <f>IF(Table2[[#This Row],[CurrentStock]]&lt;=Table2[[#This Row],[ReorderLevel]], "Reorder Needed", "Okay")</f>
        <v>Okay</v>
      </c>
      <c r="M2001" t="str">
        <f>IF(Table2[[#This Row],[CurrentStock]]-Table2[[#This Row],[ReorderLevel]]&lt;0,Table2[[#This Row],[CurrentStock]]-Table2[[#This Row],[ReorderLevel]],"")</f>
        <v/>
      </c>
      <c r="N2001" t="str">
        <f>IF(Table2[[#This Row],[Stock Gap]]&lt;0, "Understock","Okay")</f>
        <v>Okay</v>
      </c>
      <c r="O2001" s="13" t="str">
        <f>IF(Table2[[#This Row],[Stock Gap]]&lt;0, "Yes", "No")</f>
        <v>No</v>
      </c>
      <c r="P2001" s="13" t="str">
        <f>IF(Table2[[#This Row],[CurrentStock]]&lt;Table2[[#This Row],[ReorderLevel]],"Reorder", "Okay")</f>
        <v>Okay</v>
      </c>
      <c r="Q2001" s="13" t="str">
        <f>IF(Table2[[#This Row],[CurrentStock]]&gt;Table2[[#This Row],[ReorderLevel]]*3, "Overstock", "Okay")</f>
        <v>Overstock</v>
      </c>
    </row>
    <row r="2002" spans="1:17" x14ac:dyDescent="0.35">
      <c r="A2002">
        <v>51003</v>
      </c>
      <c r="B2002" t="s">
        <v>12</v>
      </c>
      <c r="C2002" t="s">
        <v>28</v>
      </c>
      <c r="D2002">
        <v>423</v>
      </c>
      <c r="E2002">
        <v>80</v>
      </c>
      <c r="F2002" s="2">
        <v>469.48</v>
      </c>
      <c r="G2002" t="s">
        <v>34</v>
      </c>
      <c r="H2002" s="1">
        <v>45441</v>
      </c>
      <c r="I2002" s="1">
        <v>45456</v>
      </c>
      <c r="J2002" t="s">
        <v>36</v>
      </c>
      <c r="K2002" s="8">
        <f>Table2[[#This Row],[CurrentStock]]*Table2[[#This Row],[UnitPrice]]</f>
        <v>198590.04</v>
      </c>
      <c r="L2002" t="str">
        <f>IF(Table2[[#This Row],[CurrentStock]]&lt;=Table2[[#This Row],[ReorderLevel]], "Reorder Needed", "Okay")</f>
        <v>Okay</v>
      </c>
      <c r="M2002" t="str">
        <f>IF(Table2[[#This Row],[CurrentStock]]-Table2[[#This Row],[ReorderLevel]]&lt;0,Table2[[#This Row],[CurrentStock]]-Table2[[#This Row],[ReorderLevel]],"")</f>
        <v/>
      </c>
      <c r="N2002" t="str">
        <f>IF(Table2[[#This Row],[Stock Gap]]&lt;0, "Understock","Okay")</f>
        <v>Okay</v>
      </c>
      <c r="O2002" s="13" t="str">
        <f>IF(Table2[[#This Row],[Stock Gap]]&lt;0, "Yes", "No")</f>
        <v>No</v>
      </c>
      <c r="P2002" s="13" t="str">
        <f>IF(Table2[[#This Row],[CurrentStock]]&lt;Table2[[#This Row],[ReorderLevel]],"Reorder", "Okay")</f>
        <v>Okay</v>
      </c>
      <c r="Q2002" s="13" t="str">
        <f>IF(Table2[[#This Row],[CurrentStock]]&gt;Table2[[#This Row],[ReorderLevel]]*3, "Overstock", "Okay")</f>
        <v>Overstock</v>
      </c>
    </row>
    <row r="2003" spans="1:17" x14ac:dyDescent="0.35">
      <c r="A2003">
        <v>28260</v>
      </c>
      <c r="B2003" t="s">
        <v>22</v>
      </c>
      <c r="C2003" t="s">
        <v>29</v>
      </c>
      <c r="D2003">
        <v>115</v>
      </c>
      <c r="E2003">
        <v>80</v>
      </c>
      <c r="F2003" s="2">
        <v>293.27</v>
      </c>
      <c r="G2003" t="s">
        <v>33</v>
      </c>
      <c r="H2003" s="1">
        <v>45383</v>
      </c>
      <c r="I2003" s="1">
        <v>45398</v>
      </c>
      <c r="J2003" t="s">
        <v>36</v>
      </c>
      <c r="K2003" s="8">
        <f>Table2[[#This Row],[CurrentStock]]*Table2[[#This Row],[UnitPrice]]</f>
        <v>33726.049999999996</v>
      </c>
      <c r="L2003" t="str">
        <f>IF(Table2[[#This Row],[CurrentStock]]&lt;=Table2[[#This Row],[ReorderLevel]], "Reorder Needed", "Okay")</f>
        <v>Okay</v>
      </c>
      <c r="M2003" t="str">
        <f>IF(Table2[[#This Row],[CurrentStock]]-Table2[[#This Row],[ReorderLevel]]&lt;0,Table2[[#This Row],[CurrentStock]]-Table2[[#This Row],[ReorderLevel]],"")</f>
        <v/>
      </c>
      <c r="N2003" t="str">
        <f>IF(Table2[[#This Row],[Stock Gap]]&lt;0, "Understock","Okay")</f>
        <v>Okay</v>
      </c>
      <c r="O2003" s="13" t="str">
        <f>IF(Table2[[#This Row],[Stock Gap]]&lt;0, "Yes", "No")</f>
        <v>No</v>
      </c>
      <c r="P2003" s="13" t="str">
        <f>IF(Table2[[#This Row],[CurrentStock]]&lt;Table2[[#This Row],[ReorderLevel]],"Reorder", "Okay")</f>
        <v>Okay</v>
      </c>
      <c r="Q2003" s="13" t="str">
        <f>IF(Table2[[#This Row],[CurrentStock]]&gt;Table2[[#This Row],[ReorderLevel]]*3, "Overstock", "Okay")</f>
        <v>Okay</v>
      </c>
    </row>
    <row r="2004" spans="1:17" x14ac:dyDescent="0.35">
      <c r="A2004">
        <v>22836</v>
      </c>
      <c r="B2004" t="s">
        <v>11</v>
      </c>
      <c r="C2004" t="s">
        <v>27</v>
      </c>
      <c r="D2004">
        <v>190</v>
      </c>
      <c r="E2004">
        <v>20</v>
      </c>
      <c r="F2004" s="2">
        <v>320.86</v>
      </c>
      <c r="G2004" t="s">
        <v>34</v>
      </c>
      <c r="H2004" s="1">
        <v>45428</v>
      </c>
      <c r="I2004" s="1">
        <v>45445</v>
      </c>
      <c r="J2004" t="s">
        <v>36</v>
      </c>
      <c r="K2004" s="8">
        <f>Table2[[#This Row],[CurrentStock]]*Table2[[#This Row],[UnitPrice]]</f>
        <v>60963.4</v>
      </c>
      <c r="L2004" t="str">
        <f>IF(Table2[[#This Row],[CurrentStock]]&lt;=Table2[[#This Row],[ReorderLevel]], "Reorder Needed", "Okay")</f>
        <v>Okay</v>
      </c>
      <c r="M2004" t="str">
        <f>IF(Table2[[#This Row],[CurrentStock]]-Table2[[#This Row],[ReorderLevel]]&lt;0,Table2[[#This Row],[CurrentStock]]-Table2[[#This Row],[ReorderLevel]],"")</f>
        <v/>
      </c>
      <c r="N2004" t="str">
        <f>IF(Table2[[#This Row],[Stock Gap]]&lt;0, "Understock","Okay")</f>
        <v>Okay</v>
      </c>
      <c r="O2004" s="13" t="str">
        <f>IF(Table2[[#This Row],[Stock Gap]]&lt;0, "Yes", "No")</f>
        <v>No</v>
      </c>
      <c r="P2004" s="13" t="str">
        <f>IF(Table2[[#This Row],[CurrentStock]]&lt;Table2[[#This Row],[ReorderLevel]],"Reorder", "Okay")</f>
        <v>Okay</v>
      </c>
      <c r="Q2004" s="13" t="str">
        <f>IF(Table2[[#This Row],[CurrentStock]]&gt;Table2[[#This Row],[ReorderLevel]]*3, "Overstock", "Okay")</f>
        <v>Overstock</v>
      </c>
    </row>
    <row r="2005" spans="1:17" x14ac:dyDescent="0.35">
      <c r="A2005">
        <v>73265</v>
      </c>
      <c r="B2005" t="s">
        <v>15</v>
      </c>
      <c r="C2005" t="s">
        <v>29</v>
      </c>
      <c r="D2005">
        <v>134</v>
      </c>
      <c r="E2005">
        <v>100</v>
      </c>
      <c r="F2005" s="2">
        <v>239.1</v>
      </c>
      <c r="G2005" t="s">
        <v>31</v>
      </c>
      <c r="H2005" s="1">
        <v>45546</v>
      </c>
      <c r="I2005" s="1">
        <v>45556</v>
      </c>
      <c r="J2005" t="s">
        <v>36</v>
      </c>
      <c r="K2005" s="8">
        <f>Table2[[#This Row],[CurrentStock]]*Table2[[#This Row],[UnitPrice]]</f>
        <v>32039.399999999998</v>
      </c>
      <c r="L2005" t="str">
        <f>IF(Table2[[#This Row],[CurrentStock]]&lt;=Table2[[#This Row],[ReorderLevel]], "Reorder Needed", "Okay")</f>
        <v>Okay</v>
      </c>
      <c r="M2005" t="str">
        <f>IF(Table2[[#This Row],[CurrentStock]]-Table2[[#This Row],[ReorderLevel]]&lt;0,Table2[[#This Row],[CurrentStock]]-Table2[[#This Row],[ReorderLevel]],"")</f>
        <v/>
      </c>
      <c r="N2005" t="str">
        <f>IF(Table2[[#This Row],[Stock Gap]]&lt;0, "Understock","Okay")</f>
        <v>Okay</v>
      </c>
      <c r="O2005" s="13" t="str">
        <f>IF(Table2[[#This Row],[Stock Gap]]&lt;0, "Yes", "No")</f>
        <v>No</v>
      </c>
      <c r="P2005" s="13" t="str">
        <f>IF(Table2[[#This Row],[CurrentStock]]&lt;Table2[[#This Row],[ReorderLevel]],"Reorder", "Okay")</f>
        <v>Okay</v>
      </c>
      <c r="Q2005" s="13" t="str">
        <f>IF(Table2[[#This Row],[CurrentStock]]&gt;Table2[[#This Row],[ReorderLevel]]*3, "Overstock", "Okay")</f>
        <v>Okay</v>
      </c>
    </row>
    <row r="2006" spans="1:17" x14ac:dyDescent="0.35">
      <c r="A2006">
        <v>37937</v>
      </c>
      <c r="B2006" t="s">
        <v>13</v>
      </c>
      <c r="C2006" t="s">
        <v>26</v>
      </c>
      <c r="D2006">
        <v>442</v>
      </c>
      <c r="E2006">
        <v>100</v>
      </c>
      <c r="F2006" s="2">
        <v>91.08</v>
      </c>
      <c r="G2006" t="s">
        <v>35</v>
      </c>
      <c r="H2006" s="1">
        <v>45358</v>
      </c>
      <c r="I2006" s="1">
        <v>45366</v>
      </c>
      <c r="J2006" t="s">
        <v>36</v>
      </c>
      <c r="K2006" s="8">
        <f>Table2[[#This Row],[CurrentStock]]*Table2[[#This Row],[UnitPrice]]</f>
        <v>40257.360000000001</v>
      </c>
      <c r="L2006" t="str">
        <f>IF(Table2[[#This Row],[CurrentStock]]&lt;=Table2[[#This Row],[ReorderLevel]], "Reorder Needed", "Okay")</f>
        <v>Okay</v>
      </c>
      <c r="M2006" t="str">
        <f>IF(Table2[[#This Row],[CurrentStock]]-Table2[[#This Row],[ReorderLevel]]&lt;0,Table2[[#This Row],[CurrentStock]]-Table2[[#This Row],[ReorderLevel]],"")</f>
        <v/>
      </c>
      <c r="N2006" t="str">
        <f>IF(Table2[[#This Row],[Stock Gap]]&lt;0, "Understock","Okay")</f>
        <v>Okay</v>
      </c>
      <c r="O2006" s="13" t="str">
        <f>IF(Table2[[#This Row],[Stock Gap]]&lt;0, "Yes", "No")</f>
        <v>No</v>
      </c>
      <c r="P2006" s="13" t="str">
        <f>IF(Table2[[#This Row],[CurrentStock]]&lt;Table2[[#This Row],[ReorderLevel]],"Reorder", "Okay")</f>
        <v>Okay</v>
      </c>
      <c r="Q2006" s="13" t="str">
        <f>IF(Table2[[#This Row],[CurrentStock]]&gt;Table2[[#This Row],[ReorderLevel]]*3, "Overstock", "Okay")</f>
        <v>Overstock</v>
      </c>
    </row>
    <row r="2007" spans="1:17" x14ac:dyDescent="0.35">
      <c r="A2007">
        <v>43400</v>
      </c>
      <c r="B2007" t="s">
        <v>13</v>
      </c>
      <c r="C2007" t="s">
        <v>26</v>
      </c>
      <c r="D2007">
        <v>137</v>
      </c>
      <c r="E2007">
        <v>30</v>
      </c>
      <c r="F2007" s="2">
        <v>224.09</v>
      </c>
      <c r="G2007" t="s">
        <v>35</v>
      </c>
      <c r="H2007" s="1">
        <v>45553</v>
      </c>
      <c r="I2007" s="1">
        <v>45581</v>
      </c>
      <c r="J2007" t="s">
        <v>38</v>
      </c>
      <c r="K2007" s="8">
        <f>Table2[[#This Row],[CurrentStock]]*Table2[[#This Row],[UnitPrice]]</f>
        <v>30700.33</v>
      </c>
      <c r="L2007" t="str">
        <f>IF(Table2[[#This Row],[CurrentStock]]&lt;=Table2[[#This Row],[ReorderLevel]], "Reorder Needed", "Okay")</f>
        <v>Okay</v>
      </c>
      <c r="M2007" t="str">
        <f>IF(Table2[[#This Row],[CurrentStock]]-Table2[[#This Row],[ReorderLevel]]&lt;0,Table2[[#This Row],[CurrentStock]]-Table2[[#This Row],[ReorderLevel]],"")</f>
        <v/>
      </c>
      <c r="N2007" t="str">
        <f>IF(Table2[[#This Row],[Stock Gap]]&lt;0, "Understock","Okay")</f>
        <v>Okay</v>
      </c>
      <c r="O2007" s="13" t="str">
        <f>IF(Table2[[#This Row],[Stock Gap]]&lt;0, "Yes", "No")</f>
        <v>No</v>
      </c>
      <c r="P2007" s="13" t="str">
        <f>IF(Table2[[#This Row],[CurrentStock]]&lt;Table2[[#This Row],[ReorderLevel]],"Reorder", "Okay")</f>
        <v>Okay</v>
      </c>
      <c r="Q2007" s="13" t="str">
        <f>IF(Table2[[#This Row],[CurrentStock]]&gt;Table2[[#This Row],[ReorderLevel]]*3, "Overstock", "Okay")</f>
        <v>Overstock</v>
      </c>
    </row>
    <row r="2008" spans="1:17" x14ac:dyDescent="0.35">
      <c r="A2008">
        <v>23894</v>
      </c>
      <c r="B2008" t="s">
        <v>23</v>
      </c>
      <c r="C2008" t="s">
        <v>30</v>
      </c>
      <c r="D2008">
        <v>319</v>
      </c>
      <c r="E2008">
        <v>100</v>
      </c>
      <c r="F2008" s="2">
        <v>97.58</v>
      </c>
      <c r="G2008" t="s">
        <v>34</v>
      </c>
      <c r="H2008" s="1">
        <v>45501</v>
      </c>
      <c r="I2008" s="1">
        <v>45517</v>
      </c>
      <c r="J2008" t="s">
        <v>36</v>
      </c>
      <c r="K2008" s="8">
        <f>Table2[[#This Row],[CurrentStock]]*Table2[[#This Row],[UnitPrice]]</f>
        <v>31128.02</v>
      </c>
      <c r="L2008" t="str">
        <f>IF(Table2[[#This Row],[CurrentStock]]&lt;=Table2[[#This Row],[ReorderLevel]], "Reorder Needed", "Okay")</f>
        <v>Okay</v>
      </c>
      <c r="M2008" t="str">
        <f>IF(Table2[[#This Row],[CurrentStock]]-Table2[[#This Row],[ReorderLevel]]&lt;0,Table2[[#This Row],[CurrentStock]]-Table2[[#This Row],[ReorderLevel]],"")</f>
        <v/>
      </c>
      <c r="N2008" t="str">
        <f>IF(Table2[[#This Row],[Stock Gap]]&lt;0, "Understock","Okay")</f>
        <v>Okay</v>
      </c>
      <c r="O2008" s="13" t="str">
        <f>IF(Table2[[#This Row],[Stock Gap]]&lt;0, "Yes", "No")</f>
        <v>No</v>
      </c>
      <c r="P2008" s="13" t="str">
        <f>IF(Table2[[#This Row],[CurrentStock]]&lt;Table2[[#This Row],[ReorderLevel]],"Reorder", "Okay")</f>
        <v>Okay</v>
      </c>
      <c r="Q2008" s="13" t="str">
        <f>IF(Table2[[#This Row],[CurrentStock]]&gt;Table2[[#This Row],[ReorderLevel]]*3, "Overstock", "Okay")</f>
        <v>Overstock</v>
      </c>
    </row>
    <row r="2009" spans="1:17" x14ac:dyDescent="0.35">
      <c r="A2009">
        <v>55311</v>
      </c>
      <c r="B2009" t="s">
        <v>11</v>
      </c>
      <c r="C2009" t="s">
        <v>27</v>
      </c>
      <c r="D2009">
        <v>463</v>
      </c>
      <c r="E2009">
        <v>50</v>
      </c>
      <c r="F2009" s="2">
        <v>442.47</v>
      </c>
      <c r="G2009" t="s">
        <v>34</v>
      </c>
      <c r="H2009" s="1">
        <v>45530</v>
      </c>
      <c r="I2009" s="1">
        <v>45562</v>
      </c>
      <c r="J2009" t="s">
        <v>36</v>
      </c>
      <c r="K2009" s="8">
        <f>Table2[[#This Row],[CurrentStock]]*Table2[[#This Row],[UnitPrice]]</f>
        <v>204863.61000000002</v>
      </c>
      <c r="L2009" t="str">
        <f>IF(Table2[[#This Row],[CurrentStock]]&lt;=Table2[[#This Row],[ReorderLevel]], "Reorder Needed", "Okay")</f>
        <v>Okay</v>
      </c>
      <c r="M2009" t="str">
        <f>IF(Table2[[#This Row],[CurrentStock]]-Table2[[#This Row],[ReorderLevel]]&lt;0,Table2[[#This Row],[CurrentStock]]-Table2[[#This Row],[ReorderLevel]],"")</f>
        <v/>
      </c>
      <c r="N2009" t="str">
        <f>IF(Table2[[#This Row],[Stock Gap]]&lt;0, "Understock","Okay")</f>
        <v>Okay</v>
      </c>
      <c r="O2009" s="13" t="str">
        <f>IF(Table2[[#This Row],[Stock Gap]]&lt;0, "Yes", "No")</f>
        <v>No</v>
      </c>
      <c r="P2009" s="13" t="str">
        <f>IF(Table2[[#This Row],[CurrentStock]]&lt;Table2[[#This Row],[ReorderLevel]],"Reorder", "Okay")</f>
        <v>Okay</v>
      </c>
      <c r="Q2009" s="13" t="str">
        <f>IF(Table2[[#This Row],[CurrentStock]]&gt;Table2[[#This Row],[ReorderLevel]]*3, "Overstock", "Okay")</f>
        <v>Overstock</v>
      </c>
    </row>
    <row r="2010" spans="1:17" x14ac:dyDescent="0.35">
      <c r="A2010">
        <v>35059</v>
      </c>
      <c r="B2010" t="s">
        <v>14</v>
      </c>
      <c r="C2010" t="s">
        <v>28</v>
      </c>
      <c r="D2010">
        <v>273</v>
      </c>
      <c r="E2010">
        <v>80</v>
      </c>
      <c r="F2010" s="2">
        <v>105.33</v>
      </c>
      <c r="G2010" t="s">
        <v>34</v>
      </c>
      <c r="H2010" s="1">
        <v>45430</v>
      </c>
      <c r="I2010" s="1">
        <v>45456</v>
      </c>
      <c r="J2010" t="s">
        <v>37</v>
      </c>
      <c r="K2010" s="8">
        <f>Table2[[#This Row],[CurrentStock]]*Table2[[#This Row],[UnitPrice]]</f>
        <v>28755.09</v>
      </c>
      <c r="L2010" t="str">
        <f>IF(Table2[[#This Row],[CurrentStock]]&lt;=Table2[[#This Row],[ReorderLevel]], "Reorder Needed", "Okay")</f>
        <v>Okay</v>
      </c>
      <c r="M2010" t="str">
        <f>IF(Table2[[#This Row],[CurrentStock]]-Table2[[#This Row],[ReorderLevel]]&lt;0,Table2[[#This Row],[CurrentStock]]-Table2[[#This Row],[ReorderLevel]],"")</f>
        <v/>
      </c>
      <c r="N2010" t="str">
        <f>IF(Table2[[#This Row],[Stock Gap]]&lt;0, "Understock","Okay")</f>
        <v>Okay</v>
      </c>
      <c r="O2010" s="13" t="str">
        <f>IF(Table2[[#This Row],[Stock Gap]]&lt;0, "Yes", "No")</f>
        <v>No</v>
      </c>
      <c r="P2010" s="13" t="str">
        <f>IF(Table2[[#This Row],[CurrentStock]]&lt;Table2[[#This Row],[ReorderLevel]],"Reorder", "Okay")</f>
        <v>Okay</v>
      </c>
      <c r="Q2010" s="13" t="str">
        <f>IF(Table2[[#This Row],[CurrentStock]]&gt;Table2[[#This Row],[ReorderLevel]]*3, "Overstock", "Okay")</f>
        <v>Overstock</v>
      </c>
    </row>
    <row r="2011" spans="1:17" x14ac:dyDescent="0.35">
      <c r="A2011">
        <v>21628</v>
      </c>
      <c r="B2011" t="s">
        <v>23</v>
      </c>
      <c r="C2011" t="s">
        <v>30</v>
      </c>
      <c r="D2011">
        <v>348</v>
      </c>
      <c r="E2011">
        <v>100</v>
      </c>
      <c r="F2011" s="2">
        <v>49.4</v>
      </c>
      <c r="G2011" t="s">
        <v>32</v>
      </c>
      <c r="H2011" s="1">
        <v>45423</v>
      </c>
      <c r="I2011" s="1">
        <v>45438</v>
      </c>
      <c r="J2011" t="s">
        <v>37</v>
      </c>
      <c r="K2011" s="8">
        <f>Table2[[#This Row],[CurrentStock]]*Table2[[#This Row],[UnitPrice]]</f>
        <v>17191.2</v>
      </c>
      <c r="L2011" t="str">
        <f>IF(Table2[[#This Row],[CurrentStock]]&lt;=Table2[[#This Row],[ReorderLevel]], "Reorder Needed", "Okay")</f>
        <v>Okay</v>
      </c>
      <c r="M2011" t="str">
        <f>IF(Table2[[#This Row],[CurrentStock]]-Table2[[#This Row],[ReorderLevel]]&lt;0,Table2[[#This Row],[CurrentStock]]-Table2[[#This Row],[ReorderLevel]],"")</f>
        <v/>
      </c>
      <c r="N2011" t="str">
        <f>IF(Table2[[#This Row],[Stock Gap]]&lt;0, "Understock","Okay")</f>
        <v>Okay</v>
      </c>
      <c r="O2011" s="13" t="str">
        <f>IF(Table2[[#This Row],[Stock Gap]]&lt;0, "Yes", "No")</f>
        <v>No</v>
      </c>
      <c r="P2011" s="13" t="str">
        <f>IF(Table2[[#This Row],[CurrentStock]]&lt;Table2[[#This Row],[ReorderLevel]],"Reorder", "Okay")</f>
        <v>Okay</v>
      </c>
      <c r="Q2011" s="13" t="str">
        <f>IF(Table2[[#This Row],[CurrentStock]]&gt;Table2[[#This Row],[ReorderLevel]]*3, "Overstock", "Okay")</f>
        <v>Overstock</v>
      </c>
    </row>
    <row r="2012" spans="1:17" x14ac:dyDescent="0.35">
      <c r="A2012">
        <v>60333</v>
      </c>
      <c r="B2012" t="s">
        <v>21</v>
      </c>
      <c r="C2012" t="s">
        <v>26</v>
      </c>
      <c r="D2012">
        <v>98</v>
      </c>
      <c r="E2012">
        <v>150</v>
      </c>
      <c r="F2012" s="2">
        <v>418.34</v>
      </c>
      <c r="G2012" t="s">
        <v>31</v>
      </c>
      <c r="H2012" s="1">
        <v>45612</v>
      </c>
      <c r="I2012" s="1">
        <v>45645</v>
      </c>
      <c r="J2012" t="s">
        <v>36</v>
      </c>
      <c r="K2012" s="8">
        <f>Table2[[#This Row],[CurrentStock]]*Table2[[#This Row],[UnitPrice]]</f>
        <v>40997.32</v>
      </c>
      <c r="L2012" t="str">
        <f>IF(Table2[[#This Row],[CurrentStock]]&lt;=Table2[[#This Row],[ReorderLevel]], "Reorder Needed", "Okay")</f>
        <v>Reorder Needed</v>
      </c>
      <c r="M2012" s="7">
        <f>IF(Table2[[#This Row],[CurrentStock]]-Table2[[#This Row],[ReorderLevel]]&lt;0,Table2[[#This Row],[CurrentStock]]-Table2[[#This Row],[ReorderLevel]],"")</f>
        <v>-52</v>
      </c>
      <c r="N2012" t="str">
        <f>IF(Table2[[#This Row],[Stock Gap]]&lt;0, "Understock","Okay")</f>
        <v>Understock</v>
      </c>
      <c r="O2012" s="13" t="str">
        <f>IF(Table2[[#This Row],[Stock Gap]]&lt;0, "Yes", "No")</f>
        <v>Yes</v>
      </c>
      <c r="P2012" s="13" t="str">
        <f>IF(Table2[[#This Row],[CurrentStock]]&lt;Table2[[#This Row],[ReorderLevel]],"Reorder", "Okay")</f>
        <v>Reorder</v>
      </c>
      <c r="Q2012" s="13" t="str">
        <f>IF(Table2[[#This Row],[CurrentStock]]&gt;Table2[[#This Row],[ReorderLevel]]*3, "Overstock", "Okay")</f>
        <v>Okay</v>
      </c>
    </row>
    <row r="2013" spans="1:17" x14ac:dyDescent="0.35">
      <c r="A2013">
        <v>91983</v>
      </c>
      <c r="B2013" t="s">
        <v>9</v>
      </c>
      <c r="C2013" t="s">
        <v>26</v>
      </c>
      <c r="D2013">
        <v>207</v>
      </c>
      <c r="E2013">
        <v>20</v>
      </c>
      <c r="F2013" s="2">
        <v>139.51</v>
      </c>
      <c r="G2013" t="s">
        <v>32</v>
      </c>
      <c r="H2013" s="1">
        <v>45350</v>
      </c>
      <c r="I2013" s="1">
        <v>45385</v>
      </c>
      <c r="J2013" t="s">
        <v>38</v>
      </c>
      <c r="K2013" s="8">
        <f>Table2[[#This Row],[CurrentStock]]*Table2[[#This Row],[UnitPrice]]</f>
        <v>28878.57</v>
      </c>
      <c r="L2013" t="str">
        <f>IF(Table2[[#This Row],[CurrentStock]]&lt;=Table2[[#This Row],[ReorderLevel]], "Reorder Needed", "Okay")</f>
        <v>Okay</v>
      </c>
      <c r="M2013" t="str">
        <f>IF(Table2[[#This Row],[CurrentStock]]-Table2[[#This Row],[ReorderLevel]]&lt;0,Table2[[#This Row],[CurrentStock]]-Table2[[#This Row],[ReorderLevel]],"")</f>
        <v/>
      </c>
      <c r="N2013" t="str">
        <f>IF(Table2[[#This Row],[Stock Gap]]&lt;0, "Understock","Okay")</f>
        <v>Okay</v>
      </c>
      <c r="O2013" s="13" t="str">
        <f>IF(Table2[[#This Row],[Stock Gap]]&lt;0, "Yes", "No")</f>
        <v>No</v>
      </c>
      <c r="P2013" s="13" t="str">
        <f>IF(Table2[[#This Row],[CurrentStock]]&lt;Table2[[#This Row],[ReorderLevel]],"Reorder", "Okay")</f>
        <v>Okay</v>
      </c>
      <c r="Q2013" s="13" t="str">
        <f>IF(Table2[[#This Row],[CurrentStock]]&gt;Table2[[#This Row],[ReorderLevel]]*3, "Overstock", "Okay")</f>
        <v>Overstock</v>
      </c>
    </row>
    <row r="2014" spans="1:17" x14ac:dyDescent="0.35">
      <c r="A2014">
        <v>68507</v>
      </c>
      <c r="B2014" t="s">
        <v>14</v>
      </c>
      <c r="C2014" t="s">
        <v>28</v>
      </c>
      <c r="D2014">
        <v>267</v>
      </c>
      <c r="E2014">
        <v>50</v>
      </c>
      <c r="F2014" s="2">
        <v>113.72</v>
      </c>
      <c r="G2014" t="s">
        <v>35</v>
      </c>
      <c r="H2014" s="1">
        <v>45599</v>
      </c>
      <c r="I2014" s="1">
        <v>45630</v>
      </c>
      <c r="J2014" t="s">
        <v>38</v>
      </c>
      <c r="K2014" s="8">
        <f>Table2[[#This Row],[CurrentStock]]*Table2[[#This Row],[UnitPrice]]</f>
        <v>30363.239999999998</v>
      </c>
      <c r="L2014" t="str">
        <f>IF(Table2[[#This Row],[CurrentStock]]&lt;=Table2[[#This Row],[ReorderLevel]], "Reorder Needed", "Okay")</f>
        <v>Okay</v>
      </c>
      <c r="M2014" t="str">
        <f>IF(Table2[[#This Row],[CurrentStock]]-Table2[[#This Row],[ReorderLevel]]&lt;0,Table2[[#This Row],[CurrentStock]]-Table2[[#This Row],[ReorderLevel]],"")</f>
        <v/>
      </c>
      <c r="N2014" t="str">
        <f>IF(Table2[[#This Row],[Stock Gap]]&lt;0, "Understock","Okay")</f>
        <v>Okay</v>
      </c>
      <c r="O2014" s="13" t="str">
        <f>IF(Table2[[#This Row],[Stock Gap]]&lt;0, "Yes", "No")</f>
        <v>No</v>
      </c>
      <c r="P2014" s="13" t="str">
        <f>IF(Table2[[#This Row],[CurrentStock]]&lt;Table2[[#This Row],[ReorderLevel]],"Reorder", "Okay")</f>
        <v>Okay</v>
      </c>
      <c r="Q2014" s="13" t="str">
        <f>IF(Table2[[#This Row],[CurrentStock]]&gt;Table2[[#This Row],[ReorderLevel]]*3, "Overstock", "Okay")</f>
        <v>Overstock</v>
      </c>
    </row>
    <row r="2015" spans="1:17" x14ac:dyDescent="0.35">
      <c r="A2015">
        <v>24066</v>
      </c>
      <c r="B2015" t="s">
        <v>25</v>
      </c>
      <c r="C2015" t="s">
        <v>29</v>
      </c>
      <c r="D2015">
        <v>162</v>
      </c>
      <c r="E2015">
        <v>50</v>
      </c>
      <c r="F2015" s="2">
        <v>341.26</v>
      </c>
      <c r="G2015" t="s">
        <v>35</v>
      </c>
      <c r="H2015" s="1">
        <v>45624</v>
      </c>
      <c r="I2015" s="1">
        <v>45640</v>
      </c>
      <c r="J2015" t="s">
        <v>38</v>
      </c>
      <c r="K2015" s="8">
        <f>Table2[[#This Row],[CurrentStock]]*Table2[[#This Row],[UnitPrice]]</f>
        <v>55284.119999999995</v>
      </c>
      <c r="L2015" t="str">
        <f>IF(Table2[[#This Row],[CurrentStock]]&lt;=Table2[[#This Row],[ReorderLevel]], "Reorder Needed", "Okay")</f>
        <v>Okay</v>
      </c>
      <c r="M2015" t="str">
        <f>IF(Table2[[#This Row],[CurrentStock]]-Table2[[#This Row],[ReorderLevel]]&lt;0,Table2[[#This Row],[CurrentStock]]-Table2[[#This Row],[ReorderLevel]],"")</f>
        <v/>
      </c>
      <c r="N2015" t="str">
        <f>IF(Table2[[#This Row],[Stock Gap]]&lt;0, "Understock","Okay")</f>
        <v>Okay</v>
      </c>
      <c r="O2015" s="13" t="str">
        <f>IF(Table2[[#This Row],[Stock Gap]]&lt;0, "Yes", "No")</f>
        <v>No</v>
      </c>
      <c r="P2015" s="13" t="str">
        <f>IF(Table2[[#This Row],[CurrentStock]]&lt;Table2[[#This Row],[ReorderLevel]],"Reorder", "Okay")</f>
        <v>Okay</v>
      </c>
      <c r="Q2015" s="13" t="str">
        <f>IF(Table2[[#This Row],[CurrentStock]]&gt;Table2[[#This Row],[ReorderLevel]]*3, "Overstock", "Okay")</f>
        <v>Overstock</v>
      </c>
    </row>
    <row r="2016" spans="1:17" x14ac:dyDescent="0.35">
      <c r="A2016">
        <v>19934</v>
      </c>
      <c r="B2016" t="s">
        <v>11</v>
      </c>
      <c r="C2016" t="s">
        <v>27</v>
      </c>
      <c r="D2016">
        <v>488</v>
      </c>
      <c r="E2016">
        <v>20</v>
      </c>
      <c r="F2016" s="2">
        <v>27.36</v>
      </c>
      <c r="G2016" t="s">
        <v>35</v>
      </c>
      <c r="H2016" s="1">
        <v>45468</v>
      </c>
      <c r="I2016" s="1">
        <v>45504</v>
      </c>
      <c r="J2016" t="s">
        <v>36</v>
      </c>
      <c r="K2016" s="8">
        <f>Table2[[#This Row],[CurrentStock]]*Table2[[#This Row],[UnitPrice]]</f>
        <v>13351.68</v>
      </c>
      <c r="L2016" t="str">
        <f>IF(Table2[[#This Row],[CurrentStock]]&lt;=Table2[[#This Row],[ReorderLevel]], "Reorder Needed", "Okay")</f>
        <v>Okay</v>
      </c>
      <c r="M2016" t="str">
        <f>IF(Table2[[#This Row],[CurrentStock]]-Table2[[#This Row],[ReorderLevel]]&lt;0,Table2[[#This Row],[CurrentStock]]-Table2[[#This Row],[ReorderLevel]],"")</f>
        <v/>
      </c>
      <c r="N2016" t="str">
        <f>IF(Table2[[#This Row],[Stock Gap]]&lt;0, "Understock","Okay")</f>
        <v>Okay</v>
      </c>
      <c r="O2016" s="13" t="str">
        <f>IF(Table2[[#This Row],[Stock Gap]]&lt;0, "Yes", "No")</f>
        <v>No</v>
      </c>
      <c r="P2016" s="13" t="str">
        <f>IF(Table2[[#This Row],[CurrentStock]]&lt;Table2[[#This Row],[ReorderLevel]],"Reorder", "Okay")</f>
        <v>Okay</v>
      </c>
      <c r="Q2016" s="13" t="str">
        <f>IF(Table2[[#This Row],[CurrentStock]]&gt;Table2[[#This Row],[ReorderLevel]]*3, "Overstock", "Okay")</f>
        <v>Overstock</v>
      </c>
    </row>
    <row r="2017" spans="1:17" x14ac:dyDescent="0.35">
      <c r="A2017">
        <v>21408</v>
      </c>
      <c r="B2017" t="s">
        <v>10</v>
      </c>
      <c r="C2017" t="s">
        <v>26</v>
      </c>
      <c r="D2017">
        <v>268</v>
      </c>
      <c r="E2017">
        <v>150</v>
      </c>
      <c r="F2017" s="2">
        <v>432.53</v>
      </c>
      <c r="G2017" t="s">
        <v>35</v>
      </c>
      <c r="H2017" s="1">
        <v>45398</v>
      </c>
      <c r="I2017" s="1">
        <v>45430</v>
      </c>
      <c r="J2017" t="s">
        <v>38</v>
      </c>
      <c r="K2017" s="8">
        <f>Table2[[#This Row],[CurrentStock]]*Table2[[#This Row],[UnitPrice]]</f>
        <v>115918.04</v>
      </c>
      <c r="L2017" t="str">
        <f>IF(Table2[[#This Row],[CurrentStock]]&lt;=Table2[[#This Row],[ReorderLevel]], "Reorder Needed", "Okay")</f>
        <v>Okay</v>
      </c>
      <c r="M2017" t="str">
        <f>IF(Table2[[#This Row],[CurrentStock]]-Table2[[#This Row],[ReorderLevel]]&lt;0,Table2[[#This Row],[CurrentStock]]-Table2[[#This Row],[ReorderLevel]],"")</f>
        <v/>
      </c>
      <c r="N2017" t="str">
        <f>IF(Table2[[#This Row],[Stock Gap]]&lt;0, "Understock","Okay")</f>
        <v>Okay</v>
      </c>
      <c r="O2017" s="13" t="str">
        <f>IF(Table2[[#This Row],[Stock Gap]]&lt;0, "Yes", "No")</f>
        <v>No</v>
      </c>
      <c r="P2017" s="13" t="str">
        <f>IF(Table2[[#This Row],[CurrentStock]]&lt;Table2[[#This Row],[ReorderLevel]],"Reorder", "Okay")</f>
        <v>Okay</v>
      </c>
      <c r="Q2017" s="13" t="str">
        <f>IF(Table2[[#This Row],[CurrentStock]]&gt;Table2[[#This Row],[ReorderLevel]]*3, "Overstock", "Okay")</f>
        <v>Okay</v>
      </c>
    </row>
    <row r="2018" spans="1:17" x14ac:dyDescent="0.35">
      <c r="A2018">
        <v>46870</v>
      </c>
      <c r="B2018" t="s">
        <v>24</v>
      </c>
      <c r="C2018" t="s">
        <v>30</v>
      </c>
      <c r="D2018">
        <v>111</v>
      </c>
      <c r="E2018">
        <v>100</v>
      </c>
      <c r="F2018" s="2">
        <v>394.56</v>
      </c>
      <c r="G2018" t="s">
        <v>32</v>
      </c>
      <c r="H2018" s="1">
        <v>45491</v>
      </c>
      <c r="I2018" s="1">
        <v>45516</v>
      </c>
      <c r="J2018" t="s">
        <v>36</v>
      </c>
      <c r="K2018" s="8">
        <f>Table2[[#This Row],[CurrentStock]]*Table2[[#This Row],[UnitPrice]]</f>
        <v>43796.160000000003</v>
      </c>
      <c r="L2018" t="str">
        <f>IF(Table2[[#This Row],[CurrentStock]]&lt;=Table2[[#This Row],[ReorderLevel]], "Reorder Needed", "Okay")</f>
        <v>Okay</v>
      </c>
      <c r="M2018" t="str">
        <f>IF(Table2[[#This Row],[CurrentStock]]-Table2[[#This Row],[ReorderLevel]]&lt;0,Table2[[#This Row],[CurrentStock]]-Table2[[#This Row],[ReorderLevel]],"")</f>
        <v/>
      </c>
      <c r="N2018" t="str">
        <f>IF(Table2[[#This Row],[Stock Gap]]&lt;0, "Understock","Okay")</f>
        <v>Okay</v>
      </c>
      <c r="O2018" s="13" t="str">
        <f>IF(Table2[[#This Row],[Stock Gap]]&lt;0, "Yes", "No")</f>
        <v>No</v>
      </c>
      <c r="P2018" s="13" t="str">
        <f>IF(Table2[[#This Row],[CurrentStock]]&lt;Table2[[#This Row],[ReorderLevel]],"Reorder", "Okay")</f>
        <v>Okay</v>
      </c>
      <c r="Q2018" s="13" t="str">
        <f>IF(Table2[[#This Row],[CurrentStock]]&gt;Table2[[#This Row],[ReorderLevel]]*3, "Overstock", "Okay")</f>
        <v>Okay</v>
      </c>
    </row>
    <row r="2019" spans="1:17" x14ac:dyDescent="0.35">
      <c r="A2019">
        <v>20511</v>
      </c>
      <c r="B2019" t="s">
        <v>16</v>
      </c>
      <c r="C2019" t="s">
        <v>29</v>
      </c>
      <c r="D2019">
        <v>271</v>
      </c>
      <c r="E2019">
        <v>150</v>
      </c>
      <c r="F2019" s="2">
        <v>62.12</v>
      </c>
      <c r="G2019" t="s">
        <v>31</v>
      </c>
      <c r="H2019" s="1">
        <v>45587</v>
      </c>
      <c r="I2019" s="1">
        <v>45605</v>
      </c>
      <c r="J2019" t="s">
        <v>37</v>
      </c>
      <c r="K2019" s="8">
        <f>Table2[[#This Row],[CurrentStock]]*Table2[[#This Row],[UnitPrice]]</f>
        <v>16834.52</v>
      </c>
      <c r="L2019" t="str">
        <f>IF(Table2[[#This Row],[CurrentStock]]&lt;=Table2[[#This Row],[ReorderLevel]], "Reorder Needed", "Okay")</f>
        <v>Okay</v>
      </c>
      <c r="M2019" t="str">
        <f>IF(Table2[[#This Row],[CurrentStock]]-Table2[[#This Row],[ReorderLevel]]&lt;0,Table2[[#This Row],[CurrentStock]]-Table2[[#This Row],[ReorderLevel]],"")</f>
        <v/>
      </c>
      <c r="N2019" t="str">
        <f>IF(Table2[[#This Row],[Stock Gap]]&lt;0, "Understock","Okay")</f>
        <v>Okay</v>
      </c>
      <c r="O2019" s="13" t="str">
        <f>IF(Table2[[#This Row],[Stock Gap]]&lt;0, "Yes", "No")</f>
        <v>No</v>
      </c>
      <c r="P2019" s="13" t="str">
        <f>IF(Table2[[#This Row],[CurrentStock]]&lt;Table2[[#This Row],[ReorderLevel]],"Reorder", "Okay")</f>
        <v>Okay</v>
      </c>
      <c r="Q2019" s="13" t="str">
        <f>IF(Table2[[#This Row],[CurrentStock]]&gt;Table2[[#This Row],[ReorderLevel]]*3, "Overstock", "Okay")</f>
        <v>Okay</v>
      </c>
    </row>
    <row r="2020" spans="1:17" x14ac:dyDescent="0.35">
      <c r="A2020">
        <v>74555</v>
      </c>
      <c r="B2020" t="s">
        <v>21</v>
      </c>
      <c r="C2020" t="s">
        <v>26</v>
      </c>
      <c r="D2020">
        <v>247</v>
      </c>
      <c r="E2020">
        <v>50</v>
      </c>
      <c r="F2020" s="2">
        <v>421.63</v>
      </c>
      <c r="G2020" t="s">
        <v>33</v>
      </c>
      <c r="H2020" s="1">
        <v>45612</v>
      </c>
      <c r="I2020" s="1">
        <v>45651</v>
      </c>
      <c r="J2020" t="s">
        <v>36</v>
      </c>
      <c r="K2020" s="8">
        <f>Table2[[#This Row],[CurrentStock]]*Table2[[#This Row],[UnitPrice]]</f>
        <v>104142.61</v>
      </c>
      <c r="L2020" t="str">
        <f>IF(Table2[[#This Row],[CurrentStock]]&lt;=Table2[[#This Row],[ReorderLevel]], "Reorder Needed", "Okay")</f>
        <v>Okay</v>
      </c>
      <c r="M2020" t="str">
        <f>IF(Table2[[#This Row],[CurrentStock]]-Table2[[#This Row],[ReorderLevel]]&lt;0,Table2[[#This Row],[CurrentStock]]-Table2[[#This Row],[ReorderLevel]],"")</f>
        <v/>
      </c>
      <c r="N2020" t="str">
        <f>IF(Table2[[#This Row],[Stock Gap]]&lt;0, "Understock","Okay")</f>
        <v>Okay</v>
      </c>
      <c r="O2020" s="13" t="str">
        <f>IF(Table2[[#This Row],[Stock Gap]]&lt;0, "Yes", "No")</f>
        <v>No</v>
      </c>
      <c r="P2020" s="13" t="str">
        <f>IF(Table2[[#This Row],[CurrentStock]]&lt;Table2[[#This Row],[ReorderLevel]],"Reorder", "Okay")</f>
        <v>Okay</v>
      </c>
      <c r="Q2020" s="13" t="str">
        <f>IF(Table2[[#This Row],[CurrentStock]]&gt;Table2[[#This Row],[ReorderLevel]]*3, "Overstock", "Okay")</f>
        <v>Overstock</v>
      </c>
    </row>
    <row r="2021" spans="1:17" x14ac:dyDescent="0.35">
      <c r="A2021">
        <v>24418</v>
      </c>
      <c r="B2021" t="s">
        <v>20</v>
      </c>
      <c r="C2021" t="s">
        <v>30</v>
      </c>
      <c r="D2021">
        <v>367</v>
      </c>
      <c r="E2021">
        <v>40</v>
      </c>
      <c r="F2021" s="2">
        <v>105.3</v>
      </c>
      <c r="G2021" t="s">
        <v>32</v>
      </c>
      <c r="H2021" s="1">
        <v>45647</v>
      </c>
      <c r="I2021" s="1">
        <v>45657</v>
      </c>
      <c r="J2021" t="s">
        <v>38</v>
      </c>
      <c r="K2021" s="8">
        <f>Table2[[#This Row],[CurrentStock]]*Table2[[#This Row],[UnitPrice]]</f>
        <v>38645.1</v>
      </c>
      <c r="L2021" t="str">
        <f>IF(Table2[[#This Row],[CurrentStock]]&lt;=Table2[[#This Row],[ReorderLevel]], "Reorder Needed", "Okay")</f>
        <v>Okay</v>
      </c>
      <c r="M2021" t="str">
        <f>IF(Table2[[#This Row],[CurrentStock]]-Table2[[#This Row],[ReorderLevel]]&lt;0,Table2[[#This Row],[CurrentStock]]-Table2[[#This Row],[ReorderLevel]],"")</f>
        <v/>
      </c>
      <c r="N2021" t="str">
        <f>IF(Table2[[#This Row],[Stock Gap]]&lt;0, "Understock","Okay")</f>
        <v>Okay</v>
      </c>
      <c r="O2021" s="13" t="str">
        <f>IF(Table2[[#This Row],[Stock Gap]]&lt;0, "Yes", "No")</f>
        <v>No</v>
      </c>
      <c r="P2021" s="13" t="str">
        <f>IF(Table2[[#This Row],[CurrentStock]]&lt;Table2[[#This Row],[ReorderLevel]],"Reorder", "Okay")</f>
        <v>Okay</v>
      </c>
      <c r="Q2021" s="13" t="str">
        <f>IF(Table2[[#This Row],[CurrentStock]]&gt;Table2[[#This Row],[ReorderLevel]]*3, "Overstock", "Okay")</f>
        <v>Overstock</v>
      </c>
    </row>
    <row r="2022" spans="1:17" x14ac:dyDescent="0.35">
      <c r="A2022">
        <v>86979</v>
      </c>
      <c r="B2022" t="s">
        <v>23</v>
      </c>
      <c r="C2022" t="s">
        <v>30</v>
      </c>
      <c r="D2022">
        <v>448</v>
      </c>
      <c r="E2022">
        <v>150</v>
      </c>
      <c r="F2022" s="2">
        <v>89.52</v>
      </c>
      <c r="G2022" t="s">
        <v>33</v>
      </c>
      <c r="H2022" s="1">
        <v>45605</v>
      </c>
      <c r="I2022" s="1">
        <v>45611</v>
      </c>
      <c r="J2022" t="s">
        <v>36</v>
      </c>
      <c r="K2022" s="8">
        <f>Table2[[#This Row],[CurrentStock]]*Table2[[#This Row],[UnitPrice]]</f>
        <v>40104.959999999999</v>
      </c>
      <c r="L2022" t="str">
        <f>IF(Table2[[#This Row],[CurrentStock]]&lt;=Table2[[#This Row],[ReorderLevel]], "Reorder Needed", "Okay")</f>
        <v>Okay</v>
      </c>
      <c r="M2022" t="str">
        <f>IF(Table2[[#This Row],[CurrentStock]]-Table2[[#This Row],[ReorderLevel]]&lt;0,Table2[[#This Row],[CurrentStock]]-Table2[[#This Row],[ReorderLevel]],"")</f>
        <v/>
      </c>
      <c r="N2022" t="str">
        <f>IF(Table2[[#This Row],[Stock Gap]]&lt;0, "Understock","Okay")</f>
        <v>Okay</v>
      </c>
      <c r="O2022" s="13" t="str">
        <f>IF(Table2[[#This Row],[Stock Gap]]&lt;0, "Yes", "No")</f>
        <v>No</v>
      </c>
      <c r="P2022" s="13" t="str">
        <f>IF(Table2[[#This Row],[CurrentStock]]&lt;Table2[[#This Row],[ReorderLevel]],"Reorder", "Okay")</f>
        <v>Okay</v>
      </c>
      <c r="Q2022" s="13" t="str">
        <f>IF(Table2[[#This Row],[CurrentStock]]&gt;Table2[[#This Row],[ReorderLevel]]*3, "Overstock", "Okay")</f>
        <v>Okay</v>
      </c>
    </row>
    <row r="2023" spans="1:17" x14ac:dyDescent="0.35">
      <c r="A2023">
        <v>61341</v>
      </c>
      <c r="B2023" t="s">
        <v>24</v>
      </c>
      <c r="C2023" t="s">
        <v>30</v>
      </c>
      <c r="D2023">
        <v>249</v>
      </c>
      <c r="E2023">
        <v>30</v>
      </c>
      <c r="F2023" s="2">
        <v>359.77</v>
      </c>
      <c r="G2023" t="s">
        <v>31</v>
      </c>
      <c r="H2023" s="1">
        <v>45635</v>
      </c>
      <c r="I2023" s="1">
        <v>45649</v>
      </c>
      <c r="J2023" t="s">
        <v>38</v>
      </c>
      <c r="K2023" s="8">
        <f>Table2[[#This Row],[CurrentStock]]*Table2[[#This Row],[UnitPrice]]</f>
        <v>89582.73</v>
      </c>
      <c r="L2023" t="str">
        <f>IF(Table2[[#This Row],[CurrentStock]]&lt;=Table2[[#This Row],[ReorderLevel]], "Reorder Needed", "Okay")</f>
        <v>Okay</v>
      </c>
      <c r="M2023" t="str">
        <f>IF(Table2[[#This Row],[CurrentStock]]-Table2[[#This Row],[ReorderLevel]]&lt;0,Table2[[#This Row],[CurrentStock]]-Table2[[#This Row],[ReorderLevel]],"")</f>
        <v/>
      </c>
      <c r="N2023" t="str">
        <f>IF(Table2[[#This Row],[Stock Gap]]&lt;0, "Understock","Okay")</f>
        <v>Okay</v>
      </c>
      <c r="O2023" s="13" t="str">
        <f>IF(Table2[[#This Row],[Stock Gap]]&lt;0, "Yes", "No")</f>
        <v>No</v>
      </c>
      <c r="P2023" s="13" t="str">
        <f>IF(Table2[[#This Row],[CurrentStock]]&lt;Table2[[#This Row],[ReorderLevel]],"Reorder", "Okay")</f>
        <v>Okay</v>
      </c>
      <c r="Q2023" s="13" t="str">
        <f>IF(Table2[[#This Row],[CurrentStock]]&gt;Table2[[#This Row],[ReorderLevel]]*3, "Overstock", "Okay")</f>
        <v>Overstock</v>
      </c>
    </row>
    <row r="2024" spans="1:17" x14ac:dyDescent="0.35">
      <c r="A2024">
        <v>83662</v>
      </c>
      <c r="B2024" t="s">
        <v>10</v>
      </c>
      <c r="C2024" t="s">
        <v>26</v>
      </c>
      <c r="D2024">
        <v>410</v>
      </c>
      <c r="E2024">
        <v>30</v>
      </c>
      <c r="F2024" s="2">
        <v>479.14</v>
      </c>
      <c r="G2024" t="s">
        <v>35</v>
      </c>
      <c r="H2024" s="1">
        <v>45566</v>
      </c>
      <c r="I2024" s="1">
        <v>45577</v>
      </c>
      <c r="J2024" t="s">
        <v>38</v>
      </c>
      <c r="K2024" s="8">
        <f>Table2[[#This Row],[CurrentStock]]*Table2[[#This Row],[UnitPrice]]</f>
        <v>196447.4</v>
      </c>
      <c r="L2024" t="str">
        <f>IF(Table2[[#This Row],[CurrentStock]]&lt;=Table2[[#This Row],[ReorderLevel]], "Reorder Needed", "Okay")</f>
        <v>Okay</v>
      </c>
      <c r="M2024" t="str">
        <f>IF(Table2[[#This Row],[CurrentStock]]-Table2[[#This Row],[ReorderLevel]]&lt;0,Table2[[#This Row],[CurrentStock]]-Table2[[#This Row],[ReorderLevel]],"")</f>
        <v/>
      </c>
      <c r="N2024" t="str">
        <f>IF(Table2[[#This Row],[Stock Gap]]&lt;0, "Understock","Okay")</f>
        <v>Okay</v>
      </c>
      <c r="O2024" s="13" t="str">
        <f>IF(Table2[[#This Row],[Stock Gap]]&lt;0, "Yes", "No")</f>
        <v>No</v>
      </c>
      <c r="P2024" s="13" t="str">
        <f>IF(Table2[[#This Row],[CurrentStock]]&lt;Table2[[#This Row],[ReorderLevel]],"Reorder", "Okay")</f>
        <v>Okay</v>
      </c>
      <c r="Q2024" s="13" t="str">
        <f>IF(Table2[[#This Row],[CurrentStock]]&gt;Table2[[#This Row],[ReorderLevel]]*3, "Overstock", "Okay")</f>
        <v>Overstock</v>
      </c>
    </row>
    <row r="2025" spans="1:17" x14ac:dyDescent="0.35">
      <c r="A2025">
        <v>55643</v>
      </c>
      <c r="B2025" t="s">
        <v>16</v>
      </c>
      <c r="C2025" t="s">
        <v>29</v>
      </c>
      <c r="D2025">
        <v>70</v>
      </c>
      <c r="E2025">
        <v>150</v>
      </c>
      <c r="F2025" s="2">
        <v>105.81</v>
      </c>
      <c r="G2025" t="s">
        <v>32</v>
      </c>
      <c r="H2025" s="1">
        <v>45515</v>
      </c>
      <c r="I2025" s="1">
        <v>45527</v>
      </c>
      <c r="J2025" t="s">
        <v>37</v>
      </c>
      <c r="K2025" s="8">
        <f>Table2[[#This Row],[CurrentStock]]*Table2[[#This Row],[UnitPrice]]</f>
        <v>7406.7</v>
      </c>
      <c r="L2025" t="str">
        <f>IF(Table2[[#This Row],[CurrentStock]]&lt;=Table2[[#This Row],[ReorderLevel]], "Reorder Needed", "Okay")</f>
        <v>Reorder Needed</v>
      </c>
      <c r="M2025" s="7">
        <f>IF(Table2[[#This Row],[CurrentStock]]-Table2[[#This Row],[ReorderLevel]]&lt;0,Table2[[#This Row],[CurrentStock]]-Table2[[#This Row],[ReorderLevel]],"")</f>
        <v>-80</v>
      </c>
      <c r="N2025" t="str">
        <f>IF(Table2[[#This Row],[Stock Gap]]&lt;0, "Understock","Okay")</f>
        <v>Understock</v>
      </c>
      <c r="O2025" s="13" t="str">
        <f>IF(Table2[[#This Row],[Stock Gap]]&lt;0, "Yes", "No")</f>
        <v>Yes</v>
      </c>
      <c r="P2025" s="13" t="str">
        <f>IF(Table2[[#This Row],[CurrentStock]]&lt;Table2[[#This Row],[ReorderLevel]],"Reorder", "Okay")</f>
        <v>Reorder</v>
      </c>
      <c r="Q2025" s="13" t="str">
        <f>IF(Table2[[#This Row],[CurrentStock]]&gt;Table2[[#This Row],[ReorderLevel]]*3, "Overstock", "Okay")</f>
        <v>Okay</v>
      </c>
    </row>
    <row r="2026" spans="1:17" x14ac:dyDescent="0.35">
      <c r="A2026">
        <v>25600</v>
      </c>
      <c r="B2026" t="s">
        <v>11</v>
      </c>
      <c r="C2026" t="s">
        <v>27</v>
      </c>
      <c r="D2026">
        <v>93</v>
      </c>
      <c r="E2026">
        <v>80</v>
      </c>
      <c r="F2026" s="2">
        <v>335.95</v>
      </c>
      <c r="G2026" t="s">
        <v>31</v>
      </c>
      <c r="H2026" s="1">
        <v>45353</v>
      </c>
      <c r="I2026" s="1">
        <v>45377</v>
      </c>
      <c r="J2026" t="s">
        <v>38</v>
      </c>
      <c r="K2026" s="8">
        <f>Table2[[#This Row],[CurrentStock]]*Table2[[#This Row],[UnitPrice]]</f>
        <v>31243.35</v>
      </c>
      <c r="L2026" t="str">
        <f>IF(Table2[[#This Row],[CurrentStock]]&lt;=Table2[[#This Row],[ReorderLevel]], "Reorder Needed", "Okay")</f>
        <v>Okay</v>
      </c>
      <c r="M2026" t="str">
        <f>IF(Table2[[#This Row],[CurrentStock]]-Table2[[#This Row],[ReorderLevel]]&lt;0,Table2[[#This Row],[CurrentStock]]-Table2[[#This Row],[ReorderLevel]],"")</f>
        <v/>
      </c>
      <c r="N2026" t="str">
        <f>IF(Table2[[#This Row],[Stock Gap]]&lt;0, "Understock","Okay")</f>
        <v>Okay</v>
      </c>
      <c r="O2026" s="13" t="str">
        <f>IF(Table2[[#This Row],[Stock Gap]]&lt;0, "Yes", "No")</f>
        <v>No</v>
      </c>
      <c r="P2026" s="13" t="str">
        <f>IF(Table2[[#This Row],[CurrentStock]]&lt;Table2[[#This Row],[ReorderLevel]],"Reorder", "Okay")</f>
        <v>Okay</v>
      </c>
      <c r="Q2026" s="13" t="str">
        <f>IF(Table2[[#This Row],[CurrentStock]]&gt;Table2[[#This Row],[ReorderLevel]]*3, "Overstock", "Okay")</f>
        <v>Okay</v>
      </c>
    </row>
    <row r="2027" spans="1:17" x14ac:dyDescent="0.35">
      <c r="A2027">
        <v>89303</v>
      </c>
      <c r="B2027" t="s">
        <v>21</v>
      </c>
      <c r="C2027" t="s">
        <v>26</v>
      </c>
      <c r="D2027">
        <v>453</v>
      </c>
      <c r="E2027">
        <v>100</v>
      </c>
      <c r="F2027" s="2">
        <v>319.8</v>
      </c>
      <c r="G2027" t="s">
        <v>35</v>
      </c>
      <c r="H2027" s="1">
        <v>45592</v>
      </c>
      <c r="I2027" s="1">
        <v>45607</v>
      </c>
      <c r="J2027" t="s">
        <v>38</v>
      </c>
      <c r="K2027" s="8">
        <f>Table2[[#This Row],[CurrentStock]]*Table2[[#This Row],[UnitPrice]]</f>
        <v>144869.4</v>
      </c>
      <c r="L2027" t="str">
        <f>IF(Table2[[#This Row],[CurrentStock]]&lt;=Table2[[#This Row],[ReorderLevel]], "Reorder Needed", "Okay")</f>
        <v>Okay</v>
      </c>
      <c r="M2027" t="str">
        <f>IF(Table2[[#This Row],[CurrentStock]]-Table2[[#This Row],[ReorderLevel]]&lt;0,Table2[[#This Row],[CurrentStock]]-Table2[[#This Row],[ReorderLevel]],"")</f>
        <v/>
      </c>
      <c r="N2027" t="str">
        <f>IF(Table2[[#This Row],[Stock Gap]]&lt;0, "Understock","Okay")</f>
        <v>Okay</v>
      </c>
      <c r="O2027" s="13" t="str">
        <f>IF(Table2[[#This Row],[Stock Gap]]&lt;0, "Yes", "No")</f>
        <v>No</v>
      </c>
      <c r="P2027" s="13" t="str">
        <f>IF(Table2[[#This Row],[CurrentStock]]&lt;Table2[[#This Row],[ReorderLevel]],"Reorder", "Okay")</f>
        <v>Okay</v>
      </c>
      <c r="Q2027" s="13" t="str">
        <f>IF(Table2[[#This Row],[CurrentStock]]&gt;Table2[[#This Row],[ReorderLevel]]*3, "Overstock", "Okay")</f>
        <v>Overstock</v>
      </c>
    </row>
    <row r="2028" spans="1:17" x14ac:dyDescent="0.35">
      <c r="A2028">
        <v>25900</v>
      </c>
      <c r="B2028" t="s">
        <v>20</v>
      </c>
      <c r="C2028" t="s">
        <v>30</v>
      </c>
      <c r="D2028">
        <v>111</v>
      </c>
      <c r="E2028">
        <v>20</v>
      </c>
      <c r="F2028" s="2">
        <v>447.79</v>
      </c>
      <c r="G2028" t="s">
        <v>32</v>
      </c>
      <c r="H2028" s="1">
        <v>45389</v>
      </c>
      <c r="I2028" s="1">
        <v>45417</v>
      </c>
      <c r="J2028" t="s">
        <v>38</v>
      </c>
      <c r="K2028" s="8">
        <f>Table2[[#This Row],[CurrentStock]]*Table2[[#This Row],[UnitPrice]]</f>
        <v>49704.69</v>
      </c>
      <c r="L2028" t="str">
        <f>IF(Table2[[#This Row],[CurrentStock]]&lt;=Table2[[#This Row],[ReorderLevel]], "Reorder Needed", "Okay")</f>
        <v>Okay</v>
      </c>
      <c r="M2028" t="str">
        <f>IF(Table2[[#This Row],[CurrentStock]]-Table2[[#This Row],[ReorderLevel]]&lt;0,Table2[[#This Row],[CurrentStock]]-Table2[[#This Row],[ReorderLevel]],"")</f>
        <v/>
      </c>
      <c r="N2028" t="str">
        <f>IF(Table2[[#This Row],[Stock Gap]]&lt;0, "Understock","Okay")</f>
        <v>Okay</v>
      </c>
      <c r="O2028" s="13" t="str">
        <f>IF(Table2[[#This Row],[Stock Gap]]&lt;0, "Yes", "No")</f>
        <v>No</v>
      </c>
      <c r="P2028" s="13" t="str">
        <f>IF(Table2[[#This Row],[CurrentStock]]&lt;Table2[[#This Row],[ReorderLevel]],"Reorder", "Okay")</f>
        <v>Okay</v>
      </c>
      <c r="Q2028" s="13" t="str">
        <f>IF(Table2[[#This Row],[CurrentStock]]&gt;Table2[[#This Row],[ReorderLevel]]*3, "Overstock", "Okay")</f>
        <v>Overstock</v>
      </c>
    </row>
    <row r="2029" spans="1:17" x14ac:dyDescent="0.35">
      <c r="A2029">
        <v>12977</v>
      </c>
      <c r="B2029" t="s">
        <v>17</v>
      </c>
      <c r="C2029" t="s">
        <v>27</v>
      </c>
      <c r="D2029">
        <v>327</v>
      </c>
      <c r="E2029">
        <v>80</v>
      </c>
      <c r="F2029" s="2">
        <v>350.79</v>
      </c>
      <c r="G2029" t="s">
        <v>31</v>
      </c>
      <c r="H2029" s="1">
        <v>45444</v>
      </c>
      <c r="I2029" s="1">
        <v>45471</v>
      </c>
      <c r="J2029" t="s">
        <v>38</v>
      </c>
      <c r="K2029" s="8">
        <f>Table2[[#This Row],[CurrentStock]]*Table2[[#This Row],[UnitPrice]]</f>
        <v>114708.33</v>
      </c>
      <c r="L2029" t="str">
        <f>IF(Table2[[#This Row],[CurrentStock]]&lt;=Table2[[#This Row],[ReorderLevel]], "Reorder Needed", "Okay")</f>
        <v>Okay</v>
      </c>
      <c r="M2029" t="str">
        <f>IF(Table2[[#This Row],[CurrentStock]]-Table2[[#This Row],[ReorderLevel]]&lt;0,Table2[[#This Row],[CurrentStock]]-Table2[[#This Row],[ReorderLevel]],"")</f>
        <v/>
      </c>
      <c r="N2029" t="str">
        <f>IF(Table2[[#This Row],[Stock Gap]]&lt;0, "Understock","Okay")</f>
        <v>Okay</v>
      </c>
      <c r="O2029" s="13" t="str">
        <f>IF(Table2[[#This Row],[Stock Gap]]&lt;0, "Yes", "No")</f>
        <v>No</v>
      </c>
      <c r="P2029" s="13" t="str">
        <f>IF(Table2[[#This Row],[CurrentStock]]&lt;Table2[[#This Row],[ReorderLevel]],"Reorder", "Okay")</f>
        <v>Okay</v>
      </c>
      <c r="Q2029" s="13" t="str">
        <f>IF(Table2[[#This Row],[CurrentStock]]&gt;Table2[[#This Row],[ReorderLevel]]*3, "Overstock", "Okay")</f>
        <v>Overstock</v>
      </c>
    </row>
    <row r="2030" spans="1:17" x14ac:dyDescent="0.35">
      <c r="A2030">
        <v>21885</v>
      </c>
      <c r="B2030" t="s">
        <v>23</v>
      </c>
      <c r="C2030" t="s">
        <v>30</v>
      </c>
      <c r="D2030">
        <v>289</v>
      </c>
      <c r="E2030">
        <v>80</v>
      </c>
      <c r="F2030" s="2">
        <v>84.48</v>
      </c>
      <c r="G2030" t="s">
        <v>35</v>
      </c>
      <c r="H2030" s="1">
        <v>45476</v>
      </c>
      <c r="I2030" s="1">
        <v>45487</v>
      </c>
      <c r="J2030" t="s">
        <v>37</v>
      </c>
      <c r="K2030" s="8">
        <f>Table2[[#This Row],[CurrentStock]]*Table2[[#This Row],[UnitPrice]]</f>
        <v>24414.720000000001</v>
      </c>
      <c r="L2030" t="str">
        <f>IF(Table2[[#This Row],[CurrentStock]]&lt;=Table2[[#This Row],[ReorderLevel]], "Reorder Needed", "Okay")</f>
        <v>Okay</v>
      </c>
      <c r="M2030" t="str">
        <f>IF(Table2[[#This Row],[CurrentStock]]-Table2[[#This Row],[ReorderLevel]]&lt;0,Table2[[#This Row],[CurrentStock]]-Table2[[#This Row],[ReorderLevel]],"")</f>
        <v/>
      </c>
      <c r="N2030" t="str">
        <f>IF(Table2[[#This Row],[Stock Gap]]&lt;0, "Understock","Okay")</f>
        <v>Okay</v>
      </c>
      <c r="O2030" s="13" t="str">
        <f>IF(Table2[[#This Row],[Stock Gap]]&lt;0, "Yes", "No")</f>
        <v>No</v>
      </c>
      <c r="P2030" s="13" t="str">
        <f>IF(Table2[[#This Row],[CurrentStock]]&lt;Table2[[#This Row],[ReorderLevel]],"Reorder", "Okay")</f>
        <v>Okay</v>
      </c>
      <c r="Q2030" s="13" t="str">
        <f>IF(Table2[[#This Row],[CurrentStock]]&gt;Table2[[#This Row],[ReorderLevel]]*3, "Overstock", "Okay")</f>
        <v>Overstock</v>
      </c>
    </row>
    <row r="2031" spans="1:17" x14ac:dyDescent="0.35">
      <c r="A2031">
        <v>74649</v>
      </c>
      <c r="B2031" t="s">
        <v>20</v>
      </c>
      <c r="C2031" t="s">
        <v>30</v>
      </c>
      <c r="D2031">
        <v>365</v>
      </c>
      <c r="E2031">
        <v>30</v>
      </c>
      <c r="F2031" s="2">
        <v>446.07</v>
      </c>
      <c r="G2031" t="s">
        <v>32</v>
      </c>
      <c r="H2031" s="1">
        <v>45528</v>
      </c>
      <c r="I2031" s="1">
        <v>45548</v>
      </c>
      <c r="J2031" t="s">
        <v>37</v>
      </c>
      <c r="K2031" s="8">
        <f>Table2[[#This Row],[CurrentStock]]*Table2[[#This Row],[UnitPrice]]</f>
        <v>162815.54999999999</v>
      </c>
      <c r="L2031" t="str">
        <f>IF(Table2[[#This Row],[CurrentStock]]&lt;=Table2[[#This Row],[ReorderLevel]], "Reorder Needed", "Okay")</f>
        <v>Okay</v>
      </c>
      <c r="M2031" t="str">
        <f>IF(Table2[[#This Row],[CurrentStock]]-Table2[[#This Row],[ReorderLevel]]&lt;0,Table2[[#This Row],[CurrentStock]]-Table2[[#This Row],[ReorderLevel]],"")</f>
        <v/>
      </c>
      <c r="N2031" t="str">
        <f>IF(Table2[[#This Row],[Stock Gap]]&lt;0, "Understock","Okay")</f>
        <v>Okay</v>
      </c>
      <c r="O2031" s="13" t="str">
        <f>IF(Table2[[#This Row],[Stock Gap]]&lt;0, "Yes", "No")</f>
        <v>No</v>
      </c>
      <c r="P2031" s="13" t="str">
        <f>IF(Table2[[#This Row],[CurrentStock]]&lt;Table2[[#This Row],[ReorderLevel]],"Reorder", "Okay")</f>
        <v>Okay</v>
      </c>
      <c r="Q2031" s="13" t="str">
        <f>IF(Table2[[#This Row],[CurrentStock]]&gt;Table2[[#This Row],[ReorderLevel]]*3, "Overstock", "Okay")</f>
        <v>Overstock</v>
      </c>
    </row>
    <row r="2032" spans="1:17" x14ac:dyDescent="0.35">
      <c r="A2032">
        <v>31661</v>
      </c>
      <c r="B2032" t="s">
        <v>22</v>
      </c>
      <c r="C2032" t="s">
        <v>29</v>
      </c>
      <c r="D2032">
        <v>438</v>
      </c>
      <c r="E2032">
        <v>40</v>
      </c>
      <c r="F2032" s="2">
        <v>57.26</v>
      </c>
      <c r="G2032" t="s">
        <v>34</v>
      </c>
      <c r="H2032" s="1">
        <v>45587</v>
      </c>
      <c r="I2032" s="1">
        <v>45600</v>
      </c>
      <c r="J2032" t="s">
        <v>37</v>
      </c>
      <c r="K2032" s="8">
        <f>Table2[[#This Row],[CurrentStock]]*Table2[[#This Row],[UnitPrice]]</f>
        <v>25079.879999999997</v>
      </c>
      <c r="L2032" t="str">
        <f>IF(Table2[[#This Row],[CurrentStock]]&lt;=Table2[[#This Row],[ReorderLevel]], "Reorder Needed", "Okay")</f>
        <v>Okay</v>
      </c>
      <c r="M2032" t="str">
        <f>IF(Table2[[#This Row],[CurrentStock]]-Table2[[#This Row],[ReorderLevel]]&lt;0,Table2[[#This Row],[CurrentStock]]-Table2[[#This Row],[ReorderLevel]],"")</f>
        <v/>
      </c>
      <c r="N2032" t="str">
        <f>IF(Table2[[#This Row],[Stock Gap]]&lt;0, "Understock","Okay")</f>
        <v>Okay</v>
      </c>
      <c r="O2032" s="13" t="str">
        <f>IF(Table2[[#This Row],[Stock Gap]]&lt;0, "Yes", "No")</f>
        <v>No</v>
      </c>
      <c r="P2032" s="13" t="str">
        <f>IF(Table2[[#This Row],[CurrentStock]]&lt;Table2[[#This Row],[ReorderLevel]],"Reorder", "Okay")</f>
        <v>Okay</v>
      </c>
      <c r="Q2032" s="13" t="str">
        <f>IF(Table2[[#This Row],[CurrentStock]]&gt;Table2[[#This Row],[ReorderLevel]]*3, "Overstock", "Okay")</f>
        <v>Overstock</v>
      </c>
    </row>
    <row r="2033" spans="1:17" x14ac:dyDescent="0.35">
      <c r="A2033">
        <v>13728</v>
      </c>
      <c r="B2033" t="s">
        <v>13</v>
      </c>
      <c r="C2033" t="s">
        <v>26</v>
      </c>
      <c r="D2033">
        <v>127</v>
      </c>
      <c r="E2033">
        <v>100</v>
      </c>
      <c r="F2033" s="2">
        <v>414.36</v>
      </c>
      <c r="G2033" t="s">
        <v>34</v>
      </c>
      <c r="H2033" s="1">
        <v>45648</v>
      </c>
      <c r="I2033" s="1">
        <v>45675</v>
      </c>
      <c r="J2033" t="s">
        <v>38</v>
      </c>
      <c r="K2033" s="8">
        <f>Table2[[#This Row],[CurrentStock]]*Table2[[#This Row],[UnitPrice]]</f>
        <v>52623.72</v>
      </c>
      <c r="L2033" t="str">
        <f>IF(Table2[[#This Row],[CurrentStock]]&lt;=Table2[[#This Row],[ReorderLevel]], "Reorder Needed", "Okay")</f>
        <v>Okay</v>
      </c>
      <c r="M2033" t="str">
        <f>IF(Table2[[#This Row],[CurrentStock]]-Table2[[#This Row],[ReorderLevel]]&lt;0,Table2[[#This Row],[CurrentStock]]-Table2[[#This Row],[ReorderLevel]],"")</f>
        <v/>
      </c>
      <c r="N2033" t="str">
        <f>IF(Table2[[#This Row],[Stock Gap]]&lt;0, "Understock","Okay")</f>
        <v>Okay</v>
      </c>
      <c r="O2033" s="13" t="str">
        <f>IF(Table2[[#This Row],[Stock Gap]]&lt;0, "Yes", "No")</f>
        <v>No</v>
      </c>
      <c r="P2033" s="13" t="str">
        <f>IF(Table2[[#This Row],[CurrentStock]]&lt;Table2[[#This Row],[ReorderLevel]],"Reorder", "Okay")</f>
        <v>Okay</v>
      </c>
      <c r="Q2033" s="13" t="str">
        <f>IF(Table2[[#This Row],[CurrentStock]]&gt;Table2[[#This Row],[ReorderLevel]]*3, "Overstock", "Okay")</f>
        <v>Okay</v>
      </c>
    </row>
    <row r="2034" spans="1:17" x14ac:dyDescent="0.35">
      <c r="A2034">
        <v>29439</v>
      </c>
      <c r="B2034" t="s">
        <v>14</v>
      </c>
      <c r="C2034" t="s">
        <v>28</v>
      </c>
      <c r="D2034">
        <v>484</v>
      </c>
      <c r="E2034">
        <v>40</v>
      </c>
      <c r="F2034" s="2">
        <v>179.81</v>
      </c>
      <c r="G2034" t="s">
        <v>35</v>
      </c>
      <c r="H2034" s="1">
        <v>45432</v>
      </c>
      <c r="I2034" s="1">
        <v>45450</v>
      </c>
      <c r="J2034" t="s">
        <v>38</v>
      </c>
      <c r="K2034" s="8">
        <f>Table2[[#This Row],[CurrentStock]]*Table2[[#This Row],[UnitPrice]]</f>
        <v>87028.040000000008</v>
      </c>
      <c r="L2034" t="str">
        <f>IF(Table2[[#This Row],[CurrentStock]]&lt;=Table2[[#This Row],[ReorderLevel]], "Reorder Needed", "Okay")</f>
        <v>Okay</v>
      </c>
      <c r="M2034" t="str">
        <f>IF(Table2[[#This Row],[CurrentStock]]-Table2[[#This Row],[ReorderLevel]]&lt;0,Table2[[#This Row],[CurrentStock]]-Table2[[#This Row],[ReorderLevel]],"")</f>
        <v/>
      </c>
      <c r="N2034" t="str">
        <f>IF(Table2[[#This Row],[Stock Gap]]&lt;0, "Understock","Okay")</f>
        <v>Okay</v>
      </c>
      <c r="O2034" s="13" t="str">
        <f>IF(Table2[[#This Row],[Stock Gap]]&lt;0, "Yes", "No")</f>
        <v>No</v>
      </c>
      <c r="P2034" s="13" t="str">
        <f>IF(Table2[[#This Row],[CurrentStock]]&lt;Table2[[#This Row],[ReorderLevel]],"Reorder", "Okay")</f>
        <v>Okay</v>
      </c>
      <c r="Q2034" s="13" t="str">
        <f>IF(Table2[[#This Row],[CurrentStock]]&gt;Table2[[#This Row],[ReorderLevel]]*3, "Overstock", "Okay")</f>
        <v>Overstock</v>
      </c>
    </row>
    <row r="2035" spans="1:17" x14ac:dyDescent="0.35">
      <c r="A2035">
        <v>72235</v>
      </c>
      <c r="B2035" t="s">
        <v>21</v>
      </c>
      <c r="C2035" t="s">
        <v>26</v>
      </c>
      <c r="D2035">
        <v>100</v>
      </c>
      <c r="E2035">
        <v>100</v>
      </c>
      <c r="F2035" s="2">
        <v>472.41</v>
      </c>
      <c r="G2035" t="s">
        <v>34</v>
      </c>
      <c r="H2035" s="1">
        <v>45610</v>
      </c>
      <c r="I2035" s="1">
        <v>45621</v>
      </c>
      <c r="J2035" t="s">
        <v>38</v>
      </c>
      <c r="K2035" s="8">
        <f>Table2[[#This Row],[CurrentStock]]*Table2[[#This Row],[UnitPrice]]</f>
        <v>47241</v>
      </c>
      <c r="L2035" t="str">
        <f>IF(Table2[[#This Row],[CurrentStock]]&lt;=Table2[[#This Row],[ReorderLevel]], "Reorder Needed", "Okay")</f>
        <v>Reorder Needed</v>
      </c>
      <c r="M2035" s="7" t="str">
        <f>IF(Table2[[#This Row],[CurrentStock]]-Table2[[#This Row],[ReorderLevel]]&lt;0,Table2[[#This Row],[CurrentStock]]-Table2[[#This Row],[ReorderLevel]],"")</f>
        <v/>
      </c>
      <c r="N2035" t="str">
        <f>IF(Table2[[#This Row],[Stock Gap]]&lt;0, "Understock","Okay")</f>
        <v>Okay</v>
      </c>
      <c r="O2035" s="13" t="str">
        <f>IF(Table2[[#This Row],[Stock Gap]]&lt;0, "Yes", "No")</f>
        <v>No</v>
      </c>
      <c r="P2035" s="13" t="str">
        <f>IF(Table2[[#This Row],[CurrentStock]]&lt;Table2[[#This Row],[ReorderLevel]],"Reorder", "Okay")</f>
        <v>Okay</v>
      </c>
      <c r="Q2035" s="13" t="str">
        <f>IF(Table2[[#This Row],[CurrentStock]]&gt;Table2[[#This Row],[ReorderLevel]]*3, "Overstock", "Okay")</f>
        <v>Okay</v>
      </c>
    </row>
    <row r="2036" spans="1:17" x14ac:dyDescent="0.35">
      <c r="A2036">
        <v>29330</v>
      </c>
      <c r="B2036" t="s">
        <v>11</v>
      </c>
      <c r="C2036" t="s">
        <v>27</v>
      </c>
      <c r="D2036">
        <v>382</v>
      </c>
      <c r="E2036">
        <v>20</v>
      </c>
      <c r="F2036" s="2">
        <v>242.45</v>
      </c>
      <c r="G2036" t="s">
        <v>31</v>
      </c>
      <c r="H2036" s="1">
        <v>45368</v>
      </c>
      <c r="I2036" s="1">
        <v>45390</v>
      </c>
      <c r="J2036" t="s">
        <v>36</v>
      </c>
      <c r="K2036" s="8">
        <f>Table2[[#This Row],[CurrentStock]]*Table2[[#This Row],[UnitPrice]]</f>
        <v>92615.9</v>
      </c>
      <c r="L2036" t="str">
        <f>IF(Table2[[#This Row],[CurrentStock]]&lt;=Table2[[#This Row],[ReorderLevel]], "Reorder Needed", "Okay")</f>
        <v>Okay</v>
      </c>
      <c r="M2036" t="str">
        <f>IF(Table2[[#This Row],[CurrentStock]]-Table2[[#This Row],[ReorderLevel]]&lt;0,Table2[[#This Row],[CurrentStock]]-Table2[[#This Row],[ReorderLevel]],"")</f>
        <v/>
      </c>
      <c r="N2036" t="str">
        <f>IF(Table2[[#This Row],[Stock Gap]]&lt;0, "Understock","Okay")</f>
        <v>Okay</v>
      </c>
      <c r="O2036" s="13" t="str">
        <f>IF(Table2[[#This Row],[Stock Gap]]&lt;0, "Yes", "No")</f>
        <v>No</v>
      </c>
      <c r="P2036" s="13" t="str">
        <f>IF(Table2[[#This Row],[CurrentStock]]&lt;Table2[[#This Row],[ReorderLevel]],"Reorder", "Okay")</f>
        <v>Okay</v>
      </c>
      <c r="Q2036" s="13" t="str">
        <f>IF(Table2[[#This Row],[CurrentStock]]&gt;Table2[[#This Row],[ReorderLevel]]*3, "Overstock", "Okay")</f>
        <v>Overstock</v>
      </c>
    </row>
    <row r="2037" spans="1:17" x14ac:dyDescent="0.35">
      <c r="A2037">
        <v>46688</v>
      </c>
      <c r="B2037" t="s">
        <v>17</v>
      </c>
      <c r="C2037" t="s">
        <v>27</v>
      </c>
      <c r="D2037">
        <v>23</v>
      </c>
      <c r="E2037">
        <v>40</v>
      </c>
      <c r="F2037" s="2">
        <v>195.85</v>
      </c>
      <c r="G2037" t="s">
        <v>31</v>
      </c>
      <c r="H2037" s="1">
        <v>45623</v>
      </c>
      <c r="I2037" s="1">
        <v>45649</v>
      </c>
      <c r="J2037" t="s">
        <v>36</v>
      </c>
      <c r="K2037" s="8">
        <f>Table2[[#This Row],[CurrentStock]]*Table2[[#This Row],[UnitPrice]]</f>
        <v>4504.55</v>
      </c>
      <c r="L2037" t="str">
        <f>IF(Table2[[#This Row],[CurrentStock]]&lt;=Table2[[#This Row],[ReorderLevel]], "Reorder Needed", "Okay")</f>
        <v>Reorder Needed</v>
      </c>
      <c r="M2037" s="7">
        <f>IF(Table2[[#This Row],[CurrentStock]]-Table2[[#This Row],[ReorderLevel]]&lt;0,Table2[[#This Row],[CurrentStock]]-Table2[[#This Row],[ReorderLevel]],"")</f>
        <v>-17</v>
      </c>
      <c r="N2037" t="str">
        <f>IF(Table2[[#This Row],[Stock Gap]]&lt;0, "Understock","Okay")</f>
        <v>Understock</v>
      </c>
      <c r="O2037" s="13" t="str">
        <f>IF(Table2[[#This Row],[Stock Gap]]&lt;0, "Yes", "No")</f>
        <v>Yes</v>
      </c>
      <c r="P2037" s="13" t="str">
        <f>IF(Table2[[#This Row],[CurrentStock]]&lt;Table2[[#This Row],[ReorderLevel]],"Reorder", "Okay")</f>
        <v>Reorder</v>
      </c>
      <c r="Q2037" s="13" t="str">
        <f>IF(Table2[[#This Row],[CurrentStock]]&gt;Table2[[#This Row],[ReorderLevel]]*3, "Overstock", "Okay")</f>
        <v>Okay</v>
      </c>
    </row>
    <row r="2038" spans="1:17" x14ac:dyDescent="0.35">
      <c r="A2038">
        <v>96314</v>
      </c>
      <c r="B2038" t="s">
        <v>18</v>
      </c>
      <c r="C2038" t="s">
        <v>27</v>
      </c>
      <c r="D2038">
        <v>264</v>
      </c>
      <c r="E2038">
        <v>80</v>
      </c>
      <c r="F2038" s="2">
        <v>358.65</v>
      </c>
      <c r="G2038" t="s">
        <v>34</v>
      </c>
      <c r="H2038" s="1">
        <v>45599</v>
      </c>
      <c r="I2038" s="1">
        <v>45626</v>
      </c>
      <c r="J2038" t="s">
        <v>37</v>
      </c>
      <c r="K2038" s="8">
        <f>Table2[[#This Row],[CurrentStock]]*Table2[[#This Row],[UnitPrice]]</f>
        <v>94683.599999999991</v>
      </c>
      <c r="L2038" t="str">
        <f>IF(Table2[[#This Row],[CurrentStock]]&lt;=Table2[[#This Row],[ReorderLevel]], "Reorder Needed", "Okay")</f>
        <v>Okay</v>
      </c>
      <c r="M2038" t="str">
        <f>IF(Table2[[#This Row],[CurrentStock]]-Table2[[#This Row],[ReorderLevel]]&lt;0,Table2[[#This Row],[CurrentStock]]-Table2[[#This Row],[ReorderLevel]],"")</f>
        <v/>
      </c>
      <c r="N2038" t="str">
        <f>IF(Table2[[#This Row],[Stock Gap]]&lt;0, "Understock","Okay")</f>
        <v>Okay</v>
      </c>
      <c r="O2038" s="13" t="str">
        <f>IF(Table2[[#This Row],[Stock Gap]]&lt;0, "Yes", "No")</f>
        <v>No</v>
      </c>
      <c r="P2038" s="13" t="str">
        <f>IF(Table2[[#This Row],[CurrentStock]]&lt;Table2[[#This Row],[ReorderLevel]],"Reorder", "Okay")</f>
        <v>Okay</v>
      </c>
      <c r="Q2038" s="13" t="str">
        <f>IF(Table2[[#This Row],[CurrentStock]]&gt;Table2[[#This Row],[ReorderLevel]]*3, "Overstock", "Okay")</f>
        <v>Overstock</v>
      </c>
    </row>
    <row r="2039" spans="1:17" x14ac:dyDescent="0.35">
      <c r="A2039">
        <v>52129</v>
      </c>
      <c r="B2039" t="s">
        <v>24</v>
      </c>
      <c r="C2039" t="s">
        <v>30</v>
      </c>
      <c r="D2039">
        <v>30</v>
      </c>
      <c r="E2039">
        <v>20</v>
      </c>
      <c r="F2039" s="2">
        <v>98.66</v>
      </c>
      <c r="G2039" t="s">
        <v>35</v>
      </c>
      <c r="H2039" s="1">
        <v>45606</v>
      </c>
      <c r="I2039" s="1">
        <v>45638</v>
      </c>
      <c r="J2039" t="s">
        <v>36</v>
      </c>
      <c r="K2039" s="8">
        <f>Table2[[#This Row],[CurrentStock]]*Table2[[#This Row],[UnitPrice]]</f>
        <v>2959.7999999999997</v>
      </c>
      <c r="L2039" t="str">
        <f>IF(Table2[[#This Row],[CurrentStock]]&lt;=Table2[[#This Row],[ReorderLevel]], "Reorder Needed", "Okay")</f>
        <v>Okay</v>
      </c>
      <c r="M2039" t="str">
        <f>IF(Table2[[#This Row],[CurrentStock]]-Table2[[#This Row],[ReorderLevel]]&lt;0,Table2[[#This Row],[CurrentStock]]-Table2[[#This Row],[ReorderLevel]],"")</f>
        <v/>
      </c>
      <c r="N2039" t="str">
        <f>IF(Table2[[#This Row],[Stock Gap]]&lt;0, "Understock","Okay")</f>
        <v>Okay</v>
      </c>
      <c r="O2039" s="13" t="str">
        <f>IF(Table2[[#This Row],[Stock Gap]]&lt;0, "Yes", "No")</f>
        <v>No</v>
      </c>
      <c r="P2039" s="13" t="str">
        <f>IF(Table2[[#This Row],[CurrentStock]]&lt;Table2[[#This Row],[ReorderLevel]],"Reorder", "Okay")</f>
        <v>Okay</v>
      </c>
      <c r="Q2039" s="13" t="str">
        <f>IF(Table2[[#This Row],[CurrentStock]]&gt;Table2[[#This Row],[ReorderLevel]]*3, "Overstock", "Okay")</f>
        <v>Okay</v>
      </c>
    </row>
    <row r="2040" spans="1:17" x14ac:dyDescent="0.35">
      <c r="A2040">
        <v>94946</v>
      </c>
      <c r="B2040" t="s">
        <v>24</v>
      </c>
      <c r="C2040" t="s">
        <v>30</v>
      </c>
      <c r="D2040">
        <v>292</v>
      </c>
      <c r="E2040">
        <v>80</v>
      </c>
      <c r="F2040" s="2">
        <v>174.87</v>
      </c>
      <c r="G2040" t="s">
        <v>32</v>
      </c>
      <c r="H2040" s="1">
        <v>45507</v>
      </c>
      <c r="I2040" s="1">
        <v>45525</v>
      </c>
      <c r="J2040" t="s">
        <v>36</v>
      </c>
      <c r="K2040" s="8">
        <f>Table2[[#This Row],[CurrentStock]]*Table2[[#This Row],[UnitPrice]]</f>
        <v>51062.04</v>
      </c>
      <c r="L2040" t="str">
        <f>IF(Table2[[#This Row],[CurrentStock]]&lt;=Table2[[#This Row],[ReorderLevel]], "Reorder Needed", "Okay")</f>
        <v>Okay</v>
      </c>
      <c r="M2040" t="str">
        <f>IF(Table2[[#This Row],[CurrentStock]]-Table2[[#This Row],[ReorderLevel]]&lt;0,Table2[[#This Row],[CurrentStock]]-Table2[[#This Row],[ReorderLevel]],"")</f>
        <v/>
      </c>
      <c r="N2040" t="str">
        <f>IF(Table2[[#This Row],[Stock Gap]]&lt;0, "Understock","Okay")</f>
        <v>Okay</v>
      </c>
      <c r="O2040" s="13" t="str">
        <f>IF(Table2[[#This Row],[Stock Gap]]&lt;0, "Yes", "No")</f>
        <v>No</v>
      </c>
      <c r="P2040" s="13" t="str">
        <f>IF(Table2[[#This Row],[CurrentStock]]&lt;Table2[[#This Row],[ReorderLevel]],"Reorder", "Okay")</f>
        <v>Okay</v>
      </c>
      <c r="Q2040" s="13" t="str">
        <f>IF(Table2[[#This Row],[CurrentStock]]&gt;Table2[[#This Row],[ReorderLevel]]*3, "Overstock", "Okay")</f>
        <v>Overstock</v>
      </c>
    </row>
    <row r="2041" spans="1:17" x14ac:dyDescent="0.35">
      <c r="A2041">
        <v>62571</v>
      </c>
      <c r="B2041" t="s">
        <v>10</v>
      </c>
      <c r="C2041" t="s">
        <v>26</v>
      </c>
      <c r="D2041">
        <v>423</v>
      </c>
      <c r="E2041">
        <v>30</v>
      </c>
      <c r="F2041" s="2">
        <v>13.38</v>
      </c>
      <c r="G2041" t="s">
        <v>34</v>
      </c>
      <c r="H2041" s="1">
        <v>45447</v>
      </c>
      <c r="I2041" s="1">
        <v>45455</v>
      </c>
      <c r="J2041" t="s">
        <v>36</v>
      </c>
      <c r="K2041" s="8">
        <f>Table2[[#This Row],[CurrentStock]]*Table2[[#This Row],[UnitPrice]]</f>
        <v>5659.7400000000007</v>
      </c>
      <c r="L2041" t="str">
        <f>IF(Table2[[#This Row],[CurrentStock]]&lt;=Table2[[#This Row],[ReorderLevel]], "Reorder Needed", "Okay")</f>
        <v>Okay</v>
      </c>
      <c r="M2041" t="str">
        <f>IF(Table2[[#This Row],[CurrentStock]]-Table2[[#This Row],[ReorderLevel]]&lt;0,Table2[[#This Row],[CurrentStock]]-Table2[[#This Row],[ReorderLevel]],"")</f>
        <v/>
      </c>
      <c r="N2041" t="str">
        <f>IF(Table2[[#This Row],[Stock Gap]]&lt;0, "Understock","Okay")</f>
        <v>Okay</v>
      </c>
      <c r="O2041" s="13" t="str">
        <f>IF(Table2[[#This Row],[Stock Gap]]&lt;0, "Yes", "No")</f>
        <v>No</v>
      </c>
      <c r="P2041" s="13" t="str">
        <f>IF(Table2[[#This Row],[CurrentStock]]&lt;Table2[[#This Row],[ReorderLevel]],"Reorder", "Okay")</f>
        <v>Okay</v>
      </c>
      <c r="Q2041" s="13" t="str">
        <f>IF(Table2[[#This Row],[CurrentStock]]&gt;Table2[[#This Row],[ReorderLevel]]*3, "Overstock", "Okay")</f>
        <v>Overstock</v>
      </c>
    </row>
    <row r="2042" spans="1:17" x14ac:dyDescent="0.35">
      <c r="A2042">
        <v>82264</v>
      </c>
      <c r="B2042" t="s">
        <v>11</v>
      </c>
      <c r="C2042" t="s">
        <v>27</v>
      </c>
      <c r="D2042">
        <v>339</v>
      </c>
      <c r="E2042">
        <v>30</v>
      </c>
      <c r="F2042" s="2">
        <v>256.3</v>
      </c>
      <c r="G2042" t="s">
        <v>35</v>
      </c>
      <c r="H2042" s="1">
        <v>45637</v>
      </c>
      <c r="I2042" s="1">
        <v>45663</v>
      </c>
      <c r="J2042" t="s">
        <v>36</v>
      </c>
      <c r="K2042" s="8">
        <f>Table2[[#This Row],[CurrentStock]]*Table2[[#This Row],[UnitPrice]]</f>
        <v>86885.7</v>
      </c>
      <c r="L2042" t="str">
        <f>IF(Table2[[#This Row],[CurrentStock]]&lt;=Table2[[#This Row],[ReorderLevel]], "Reorder Needed", "Okay")</f>
        <v>Okay</v>
      </c>
      <c r="M2042" t="str">
        <f>IF(Table2[[#This Row],[CurrentStock]]-Table2[[#This Row],[ReorderLevel]]&lt;0,Table2[[#This Row],[CurrentStock]]-Table2[[#This Row],[ReorderLevel]],"")</f>
        <v/>
      </c>
      <c r="N2042" t="str">
        <f>IF(Table2[[#This Row],[Stock Gap]]&lt;0, "Understock","Okay")</f>
        <v>Okay</v>
      </c>
      <c r="O2042" s="13" t="str">
        <f>IF(Table2[[#This Row],[Stock Gap]]&lt;0, "Yes", "No")</f>
        <v>No</v>
      </c>
      <c r="P2042" s="13" t="str">
        <f>IF(Table2[[#This Row],[CurrentStock]]&lt;Table2[[#This Row],[ReorderLevel]],"Reorder", "Okay")</f>
        <v>Okay</v>
      </c>
      <c r="Q2042" s="13" t="str">
        <f>IF(Table2[[#This Row],[CurrentStock]]&gt;Table2[[#This Row],[ReorderLevel]]*3, "Overstock", "Okay")</f>
        <v>Overstock</v>
      </c>
    </row>
    <row r="2043" spans="1:17" x14ac:dyDescent="0.35">
      <c r="A2043">
        <v>16621</v>
      </c>
      <c r="B2043" t="s">
        <v>11</v>
      </c>
      <c r="C2043" t="s">
        <v>27</v>
      </c>
      <c r="D2043">
        <v>1</v>
      </c>
      <c r="E2043">
        <v>80</v>
      </c>
      <c r="F2043" s="2">
        <v>406.15</v>
      </c>
      <c r="G2043" t="s">
        <v>31</v>
      </c>
      <c r="H2043" s="1">
        <v>45546</v>
      </c>
      <c r="I2043" s="1">
        <v>45563</v>
      </c>
      <c r="J2043" t="s">
        <v>37</v>
      </c>
      <c r="K2043" s="8">
        <f>Table2[[#This Row],[CurrentStock]]*Table2[[#This Row],[UnitPrice]]</f>
        <v>406.15</v>
      </c>
      <c r="L2043" t="str">
        <f>IF(Table2[[#This Row],[CurrentStock]]&lt;=Table2[[#This Row],[ReorderLevel]], "Reorder Needed", "Okay")</f>
        <v>Reorder Needed</v>
      </c>
      <c r="M2043" s="7">
        <f>IF(Table2[[#This Row],[CurrentStock]]-Table2[[#This Row],[ReorderLevel]]&lt;0,Table2[[#This Row],[CurrentStock]]-Table2[[#This Row],[ReorderLevel]],"")</f>
        <v>-79</v>
      </c>
      <c r="N2043" t="str">
        <f>IF(Table2[[#This Row],[Stock Gap]]&lt;0, "Understock","Okay")</f>
        <v>Understock</v>
      </c>
      <c r="O2043" s="13" t="str">
        <f>IF(Table2[[#This Row],[Stock Gap]]&lt;0, "Yes", "No")</f>
        <v>Yes</v>
      </c>
      <c r="P2043" s="13" t="str">
        <f>IF(Table2[[#This Row],[CurrentStock]]&lt;Table2[[#This Row],[ReorderLevel]],"Reorder", "Okay")</f>
        <v>Reorder</v>
      </c>
      <c r="Q2043" s="13" t="str">
        <f>IF(Table2[[#This Row],[CurrentStock]]&gt;Table2[[#This Row],[ReorderLevel]]*3, "Overstock", "Okay")</f>
        <v>Okay</v>
      </c>
    </row>
    <row r="2044" spans="1:17" x14ac:dyDescent="0.35">
      <c r="A2044">
        <v>51232</v>
      </c>
      <c r="B2044" t="s">
        <v>24</v>
      </c>
      <c r="C2044" t="s">
        <v>30</v>
      </c>
      <c r="D2044">
        <v>186</v>
      </c>
      <c r="E2044">
        <v>30</v>
      </c>
      <c r="F2044" s="2">
        <v>172.6</v>
      </c>
      <c r="G2044" t="s">
        <v>33</v>
      </c>
      <c r="H2044" s="1">
        <v>45475</v>
      </c>
      <c r="I2044" s="1">
        <v>45494</v>
      </c>
      <c r="J2044" t="s">
        <v>37</v>
      </c>
      <c r="K2044" s="8">
        <f>Table2[[#This Row],[CurrentStock]]*Table2[[#This Row],[UnitPrice]]</f>
        <v>32103.599999999999</v>
      </c>
      <c r="L2044" t="str">
        <f>IF(Table2[[#This Row],[CurrentStock]]&lt;=Table2[[#This Row],[ReorderLevel]], "Reorder Needed", "Okay")</f>
        <v>Okay</v>
      </c>
      <c r="M2044" t="str">
        <f>IF(Table2[[#This Row],[CurrentStock]]-Table2[[#This Row],[ReorderLevel]]&lt;0,Table2[[#This Row],[CurrentStock]]-Table2[[#This Row],[ReorderLevel]],"")</f>
        <v/>
      </c>
      <c r="N2044" t="str">
        <f>IF(Table2[[#This Row],[Stock Gap]]&lt;0, "Understock","Okay")</f>
        <v>Okay</v>
      </c>
      <c r="O2044" s="13" t="str">
        <f>IF(Table2[[#This Row],[Stock Gap]]&lt;0, "Yes", "No")</f>
        <v>No</v>
      </c>
      <c r="P2044" s="13" t="str">
        <f>IF(Table2[[#This Row],[CurrentStock]]&lt;Table2[[#This Row],[ReorderLevel]],"Reorder", "Okay")</f>
        <v>Okay</v>
      </c>
      <c r="Q2044" s="13" t="str">
        <f>IF(Table2[[#This Row],[CurrentStock]]&gt;Table2[[#This Row],[ReorderLevel]]*3, "Overstock", "Okay")</f>
        <v>Overstock</v>
      </c>
    </row>
    <row r="2045" spans="1:17" x14ac:dyDescent="0.35">
      <c r="A2045">
        <v>65034</v>
      </c>
      <c r="B2045" t="s">
        <v>22</v>
      </c>
      <c r="C2045" t="s">
        <v>29</v>
      </c>
      <c r="D2045">
        <v>224</v>
      </c>
      <c r="E2045">
        <v>100</v>
      </c>
      <c r="F2045" s="2">
        <v>446.44</v>
      </c>
      <c r="G2045" t="s">
        <v>31</v>
      </c>
      <c r="H2045" s="1">
        <v>45307</v>
      </c>
      <c r="I2045" s="1">
        <v>45314</v>
      </c>
      <c r="J2045" t="s">
        <v>37</v>
      </c>
      <c r="K2045" s="8">
        <f>Table2[[#This Row],[CurrentStock]]*Table2[[#This Row],[UnitPrice]]</f>
        <v>100002.56</v>
      </c>
      <c r="L2045" t="str">
        <f>IF(Table2[[#This Row],[CurrentStock]]&lt;=Table2[[#This Row],[ReorderLevel]], "Reorder Needed", "Okay")</f>
        <v>Okay</v>
      </c>
      <c r="M2045" t="str">
        <f>IF(Table2[[#This Row],[CurrentStock]]-Table2[[#This Row],[ReorderLevel]]&lt;0,Table2[[#This Row],[CurrentStock]]-Table2[[#This Row],[ReorderLevel]],"")</f>
        <v/>
      </c>
      <c r="N2045" t="str">
        <f>IF(Table2[[#This Row],[Stock Gap]]&lt;0, "Understock","Okay")</f>
        <v>Okay</v>
      </c>
      <c r="O2045" s="13" t="str">
        <f>IF(Table2[[#This Row],[Stock Gap]]&lt;0, "Yes", "No")</f>
        <v>No</v>
      </c>
      <c r="P2045" s="13" t="str">
        <f>IF(Table2[[#This Row],[CurrentStock]]&lt;Table2[[#This Row],[ReorderLevel]],"Reorder", "Okay")</f>
        <v>Okay</v>
      </c>
      <c r="Q2045" s="13" t="str">
        <f>IF(Table2[[#This Row],[CurrentStock]]&gt;Table2[[#This Row],[ReorderLevel]]*3, "Overstock", "Okay")</f>
        <v>Okay</v>
      </c>
    </row>
    <row r="2046" spans="1:17" x14ac:dyDescent="0.35">
      <c r="A2046">
        <v>51616</v>
      </c>
      <c r="B2046" t="s">
        <v>19</v>
      </c>
      <c r="C2046" t="s">
        <v>28</v>
      </c>
      <c r="D2046">
        <v>498</v>
      </c>
      <c r="E2046">
        <v>30</v>
      </c>
      <c r="F2046" s="2">
        <v>180.71</v>
      </c>
      <c r="G2046" t="s">
        <v>35</v>
      </c>
      <c r="H2046" s="1">
        <v>45313</v>
      </c>
      <c r="I2046" s="1">
        <v>45322</v>
      </c>
      <c r="J2046" t="s">
        <v>38</v>
      </c>
      <c r="K2046" s="8">
        <f>Table2[[#This Row],[CurrentStock]]*Table2[[#This Row],[UnitPrice]]</f>
        <v>89993.58</v>
      </c>
      <c r="L2046" t="str">
        <f>IF(Table2[[#This Row],[CurrentStock]]&lt;=Table2[[#This Row],[ReorderLevel]], "Reorder Needed", "Okay")</f>
        <v>Okay</v>
      </c>
      <c r="M2046" t="str">
        <f>IF(Table2[[#This Row],[CurrentStock]]-Table2[[#This Row],[ReorderLevel]]&lt;0,Table2[[#This Row],[CurrentStock]]-Table2[[#This Row],[ReorderLevel]],"")</f>
        <v/>
      </c>
      <c r="N2046" t="str">
        <f>IF(Table2[[#This Row],[Stock Gap]]&lt;0, "Understock","Okay")</f>
        <v>Okay</v>
      </c>
      <c r="O2046" s="13" t="str">
        <f>IF(Table2[[#This Row],[Stock Gap]]&lt;0, "Yes", "No")</f>
        <v>No</v>
      </c>
      <c r="P2046" s="13" t="str">
        <f>IF(Table2[[#This Row],[CurrentStock]]&lt;Table2[[#This Row],[ReorderLevel]],"Reorder", "Okay")</f>
        <v>Okay</v>
      </c>
      <c r="Q2046" s="13" t="str">
        <f>IF(Table2[[#This Row],[CurrentStock]]&gt;Table2[[#This Row],[ReorderLevel]]*3, "Overstock", "Okay")</f>
        <v>Overstock</v>
      </c>
    </row>
    <row r="2047" spans="1:17" x14ac:dyDescent="0.35">
      <c r="A2047">
        <v>72473</v>
      </c>
      <c r="B2047" t="s">
        <v>18</v>
      </c>
      <c r="C2047" t="s">
        <v>27</v>
      </c>
      <c r="D2047">
        <v>208</v>
      </c>
      <c r="E2047">
        <v>40</v>
      </c>
      <c r="F2047" s="2">
        <v>198.33</v>
      </c>
      <c r="G2047" t="s">
        <v>32</v>
      </c>
      <c r="H2047" s="1">
        <v>45528</v>
      </c>
      <c r="I2047" s="1">
        <v>45561</v>
      </c>
      <c r="J2047" t="s">
        <v>37</v>
      </c>
      <c r="K2047" s="8">
        <f>Table2[[#This Row],[CurrentStock]]*Table2[[#This Row],[UnitPrice]]</f>
        <v>41252.639999999999</v>
      </c>
      <c r="L2047" t="str">
        <f>IF(Table2[[#This Row],[CurrentStock]]&lt;=Table2[[#This Row],[ReorderLevel]], "Reorder Needed", "Okay")</f>
        <v>Okay</v>
      </c>
      <c r="M2047" t="str">
        <f>IF(Table2[[#This Row],[CurrentStock]]-Table2[[#This Row],[ReorderLevel]]&lt;0,Table2[[#This Row],[CurrentStock]]-Table2[[#This Row],[ReorderLevel]],"")</f>
        <v/>
      </c>
      <c r="N2047" t="str">
        <f>IF(Table2[[#This Row],[Stock Gap]]&lt;0, "Understock","Okay")</f>
        <v>Okay</v>
      </c>
      <c r="O2047" s="13" t="str">
        <f>IF(Table2[[#This Row],[Stock Gap]]&lt;0, "Yes", "No")</f>
        <v>No</v>
      </c>
      <c r="P2047" s="13" t="str">
        <f>IF(Table2[[#This Row],[CurrentStock]]&lt;Table2[[#This Row],[ReorderLevel]],"Reorder", "Okay")</f>
        <v>Okay</v>
      </c>
      <c r="Q2047" s="13" t="str">
        <f>IF(Table2[[#This Row],[CurrentStock]]&gt;Table2[[#This Row],[ReorderLevel]]*3, "Overstock", "Okay")</f>
        <v>Overstock</v>
      </c>
    </row>
    <row r="2048" spans="1:17" x14ac:dyDescent="0.35">
      <c r="A2048">
        <v>91863</v>
      </c>
      <c r="B2048" t="s">
        <v>10</v>
      </c>
      <c r="C2048" t="s">
        <v>26</v>
      </c>
      <c r="D2048">
        <v>241</v>
      </c>
      <c r="E2048">
        <v>20</v>
      </c>
      <c r="F2048" s="2">
        <v>210.27</v>
      </c>
      <c r="G2048" t="s">
        <v>34</v>
      </c>
      <c r="H2048" s="1">
        <v>45310</v>
      </c>
      <c r="I2048" s="1">
        <v>45337</v>
      </c>
      <c r="J2048" t="s">
        <v>36</v>
      </c>
      <c r="K2048" s="8">
        <f>Table2[[#This Row],[CurrentStock]]*Table2[[#This Row],[UnitPrice]]</f>
        <v>50675.07</v>
      </c>
      <c r="L2048" t="str">
        <f>IF(Table2[[#This Row],[CurrentStock]]&lt;=Table2[[#This Row],[ReorderLevel]], "Reorder Needed", "Okay")</f>
        <v>Okay</v>
      </c>
      <c r="M2048" t="str">
        <f>IF(Table2[[#This Row],[CurrentStock]]-Table2[[#This Row],[ReorderLevel]]&lt;0,Table2[[#This Row],[CurrentStock]]-Table2[[#This Row],[ReorderLevel]],"")</f>
        <v/>
      </c>
      <c r="N2048" t="str">
        <f>IF(Table2[[#This Row],[Stock Gap]]&lt;0, "Understock","Okay")</f>
        <v>Okay</v>
      </c>
      <c r="O2048" s="13" t="str">
        <f>IF(Table2[[#This Row],[Stock Gap]]&lt;0, "Yes", "No")</f>
        <v>No</v>
      </c>
      <c r="P2048" s="13" t="str">
        <f>IF(Table2[[#This Row],[CurrentStock]]&lt;Table2[[#This Row],[ReorderLevel]],"Reorder", "Okay")</f>
        <v>Okay</v>
      </c>
      <c r="Q2048" s="13" t="str">
        <f>IF(Table2[[#This Row],[CurrentStock]]&gt;Table2[[#This Row],[ReorderLevel]]*3, "Overstock", "Okay")</f>
        <v>Overstock</v>
      </c>
    </row>
    <row r="2049" spans="1:17" x14ac:dyDescent="0.35">
      <c r="A2049">
        <v>24620</v>
      </c>
      <c r="B2049" t="s">
        <v>23</v>
      </c>
      <c r="C2049" t="s">
        <v>30</v>
      </c>
      <c r="D2049">
        <v>27</v>
      </c>
      <c r="E2049">
        <v>40</v>
      </c>
      <c r="F2049" s="2">
        <v>442.46</v>
      </c>
      <c r="G2049" t="s">
        <v>33</v>
      </c>
      <c r="H2049" s="1">
        <v>45587</v>
      </c>
      <c r="I2049" s="1">
        <v>45610</v>
      </c>
      <c r="J2049" t="s">
        <v>37</v>
      </c>
      <c r="K2049" s="8">
        <f>Table2[[#This Row],[CurrentStock]]*Table2[[#This Row],[UnitPrice]]</f>
        <v>11946.42</v>
      </c>
      <c r="L2049" t="str">
        <f>IF(Table2[[#This Row],[CurrentStock]]&lt;=Table2[[#This Row],[ReorderLevel]], "Reorder Needed", "Okay")</f>
        <v>Reorder Needed</v>
      </c>
      <c r="M2049" s="7">
        <f>IF(Table2[[#This Row],[CurrentStock]]-Table2[[#This Row],[ReorderLevel]]&lt;0,Table2[[#This Row],[CurrentStock]]-Table2[[#This Row],[ReorderLevel]],"")</f>
        <v>-13</v>
      </c>
      <c r="N2049" t="str">
        <f>IF(Table2[[#This Row],[Stock Gap]]&lt;0, "Understock","Okay")</f>
        <v>Understock</v>
      </c>
      <c r="O2049" s="13" t="str">
        <f>IF(Table2[[#This Row],[Stock Gap]]&lt;0, "Yes", "No")</f>
        <v>Yes</v>
      </c>
      <c r="P2049" s="13" t="str">
        <f>IF(Table2[[#This Row],[CurrentStock]]&lt;Table2[[#This Row],[ReorderLevel]],"Reorder", "Okay")</f>
        <v>Reorder</v>
      </c>
      <c r="Q2049" s="13" t="str">
        <f>IF(Table2[[#This Row],[CurrentStock]]&gt;Table2[[#This Row],[ReorderLevel]]*3, "Overstock", "Okay")</f>
        <v>Okay</v>
      </c>
    </row>
    <row r="2050" spans="1:17" x14ac:dyDescent="0.35">
      <c r="A2050">
        <v>98456</v>
      </c>
      <c r="B2050" t="s">
        <v>20</v>
      </c>
      <c r="C2050" t="s">
        <v>30</v>
      </c>
      <c r="D2050">
        <v>395</v>
      </c>
      <c r="E2050">
        <v>20</v>
      </c>
      <c r="F2050" s="2">
        <v>410.32</v>
      </c>
      <c r="G2050" t="s">
        <v>32</v>
      </c>
      <c r="H2050" s="1">
        <v>45444</v>
      </c>
      <c r="I2050" s="1">
        <v>45452</v>
      </c>
      <c r="J2050" t="s">
        <v>37</v>
      </c>
      <c r="K2050" s="8">
        <f>Table2[[#This Row],[CurrentStock]]*Table2[[#This Row],[UnitPrice]]</f>
        <v>162076.4</v>
      </c>
      <c r="L2050" t="str">
        <f>IF(Table2[[#This Row],[CurrentStock]]&lt;=Table2[[#This Row],[ReorderLevel]], "Reorder Needed", "Okay")</f>
        <v>Okay</v>
      </c>
      <c r="M2050" t="str">
        <f>IF(Table2[[#This Row],[CurrentStock]]-Table2[[#This Row],[ReorderLevel]]&lt;0,Table2[[#This Row],[CurrentStock]]-Table2[[#This Row],[ReorderLevel]],"")</f>
        <v/>
      </c>
      <c r="N2050" t="str">
        <f>IF(Table2[[#This Row],[Stock Gap]]&lt;0, "Understock","Okay")</f>
        <v>Okay</v>
      </c>
      <c r="O2050" s="13" t="str">
        <f>IF(Table2[[#This Row],[Stock Gap]]&lt;0, "Yes", "No")</f>
        <v>No</v>
      </c>
      <c r="P2050" s="13" t="str">
        <f>IF(Table2[[#This Row],[CurrentStock]]&lt;Table2[[#This Row],[ReorderLevel]],"Reorder", "Okay")</f>
        <v>Okay</v>
      </c>
      <c r="Q2050" s="13" t="str">
        <f>IF(Table2[[#This Row],[CurrentStock]]&gt;Table2[[#This Row],[ReorderLevel]]*3, "Overstock", "Okay")</f>
        <v>Overstock</v>
      </c>
    </row>
    <row r="2051" spans="1:17" x14ac:dyDescent="0.35">
      <c r="A2051">
        <v>74264</v>
      </c>
      <c r="B2051" t="s">
        <v>24</v>
      </c>
      <c r="C2051" t="s">
        <v>30</v>
      </c>
      <c r="D2051">
        <v>159</v>
      </c>
      <c r="E2051">
        <v>50</v>
      </c>
      <c r="F2051" s="2">
        <v>473.59</v>
      </c>
      <c r="G2051" t="s">
        <v>35</v>
      </c>
      <c r="H2051" s="1">
        <v>45418</v>
      </c>
      <c r="I2051" s="1">
        <v>45454</v>
      </c>
      <c r="J2051" t="s">
        <v>36</v>
      </c>
      <c r="K2051" s="8">
        <f>Table2[[#This Row],[CurrentStock]]*Table2[[#This Row],[UnitPrice]]</f>
        <v>75300.81</v>
      </c>
      <c r="L2051" t="str">
        <f>IF(Table2[[#This Row],[CurrentStock]]&lt;=Table2[[#This Row],[ReorderLevel]], "Reorder Needed", "Okay")</f>
        <v>Okay</v>
      </c>
      <c r="M2051" t="str">
        <f>IF(Table2[[#This Row],[CurrentStock]]-Table2[[#This Row],[ReorderLevel]]&lt;0,Table2[[#This Row],[CurrentStock]]-Table2[[#This Row],[ReorderLevel]],"")</f>
        <v/>
      </c>
      <c r="N2051" t="str">
        <f>IF(Table2[[#This Row],[Stock Gap]]&lt;0, "Understock","Okay")</f>
        <v>Okay</v>
      </c>
      <c r="O2051" s="13" t="str">
        <f>IF(Table2[[#This Row],[Stock Gap]]&lt;0, "Yes", "No")</f>
        <v>No</v>
      </c>
      <c r="P2051" s="13" t="str">
        <f>IF(Table2[[#This Row],[CurrentStock]]&lt;Table2[[#This Row],[ReorderLevel]],"Reorder", "Okay")</f>
        <v>Okay</v>
      </c>
      <c r="Q2051" s="13" t="str">
        <f>IF(Table2[[#This Row],[CurrentStock]]&gt;Table2[[#This Row],[ReorderLevel]]*3, "Overstock", "Okay")</f>
        <v>Overstock</v>
      </c>
    </row>
    <row r="2052" spans="1:17" x14ac:dyDescent="0.35">
      <c r="A2052">
        <v>50028</v>
      </c>
      <c r="B2052" t="s">
        <v>14</v>
      </c>
      <c r="C2052" t="s">
        <v>28</v>
      </c>
      <c r="D2052">
        <v>399</v>
      </c>
      <c r="E2052">
        <v>50</v>
      </c>
      <c r="F2052" s="2">
        <v>271.01</v>
      </c>
      <c r="G2052" t="s">
        <v>33</v>
      </c>
      <c r="H2052" s="1">
        <v>45309</v>
      </c>
      <c r="I2052" s="1">
        <v>45326</v>
      </c>
      <c r="J2052" t="s">
        <v>36</v>
      </c>
      <c r="K2052" s="8">
        <f>Table2[[#This Row],[CurrentStock]]*Table2[[#This Row],[UnitPrice]]</f>
        <v>108132.98999999999</v>
      </c>
      <c r="L2052" t="str">
        <f>IF(Table2[[#This Row],[CurrentStock]]&lt;=Table2[[#This Row],[ReorderLevel]], "Reorder Needed", "Okay")</f>
        <v>Okay</v>
      </c>
      <c r="M2052" t="str">
        <f>IF(Table2[[#This Row],[CurrentStock]]-Table2[[#This Row],[ReorderLevel]]&lt;0,Table2[[#This Row],[CurrentStock]]-Table2[[#This Row],[ReorderLevel]],"")</f>
        <v/>
      </c>
      <c r="N2052" t="str">
        <f>IF(Table2[[#This Row],[Stock Gap]]&lt;0, "Understock","Okay")</f>
        <v>Okay</v>
      </c>
      <c r="O2052" s="13" t="str">
        <f>IF(Table2[[#This Row],[Stock Gap]]&lt;0, "Yes", "No")</f>
        <v>No</v>
      </c>
      <c r="P2052" s="13" t="str">
        <f>IF(Table2[[#This Row],[CurrentStock]]&lt;Table2[[#This Row],[ReorderLevel]],"Reorder", "Okay")</f>
        <v>Okay</v>
      </c>
      <c r="Q2052" s="13" t="str">
        <f>IF(Table2[[#This Row],[CurrentStock]]&gt;Table2[[#This Row],[ReorderLevel]]*3, "Overstock", "Okay")</f>
        <v>Overstock</v>
      </c>
    </row>
    <row r="2053" spans="1:17" x14ac:dyDescent="0.35">
      <c r="A2053">
        <v>91583</v>
      </c>
      <c r="B2053" t="s">
        <v>9</v>
      </c>
      <c r="C2053" t="s">
        <v>26</v>
      </c>
      <c r="D2053">
        <v>42</v>
      </c>
      <c r="E2053">
        <v>150</v>
      </c>
      <c r="F2053" s="2">
        <v>359.16</v>
      </c>
      <c r="G2053" t="s">
        <v>34</v>
      </c>
      <c r="H2053" s="1">
        <v>45325</v>
      </c>
      <c r="I2053" s="1">
        <v>45363</v>
      </c>
      <c r="J2053" t="s">
        <v>38</v>
      </c>
      <c r="K2053" s="8">
        <f>Table2[[#This Row],[CurrentStock]]*Table2[[#This Row],[UnitPrice]]</f>
        <v>15084.720000000001</v>
      </c>
      <c r="L2053" t="str">
        <f>IF(Table2[[#This Row],[CurrentStock]]&lt;=Table2[[#This Row],[ReorderLevel]], "Reorder Needed", "Okay")</f>
        <v>Reorder Needed</v>
      </c>
      <c r="M2053" s="7">
        <f>IF(Table2[[#This Row],[CurrentStock]]-Table2[[#This Row],[ReorderLevel]]&lt;0,Table2[[#This Row],[CurrentStock]]-Table2[[#This Row],[ReorderLevel]],"")</f>
        <v>-108</v>
      </c>
      <c r="N2053" t="str">
        <f>IF(Table2[[#This Row],[Stock Gap]]&lt;0, "Understock","Okay")</f>
        <v>Understock</v>
      </c>
      <c r="O2053" s="13" t="str">
        <f>IF(Table2[[#This Row],[Stock Gap]]&lt;0, "Yes", "No")</f>
        <v>Yes</v>
      </c>
      <c r="P2053" s="13" t="str">
        <f>IF(Table2[[#This Row],[CurrentStock]]&lt;Table2[[#This Row],[ReorderLevel]],"Reorder", "Okay")</f>
        <v>Reorder</v>
      </c>
      <c r="Q2053" s="13" t="str">
        <f>IF(Table2[[#This Row],[CurrentStock]]&gt;Table2[[#This Row],[ReorderLevel]]*3, "Overstock", "Okay")</f>
        <v>Okay</v>
      </c>
    </row>
    <row r="2054" spans="1:17" x14ac:dyDescent="0.35">
      <c r="A2054">
        <v>42161</v>
      </c>
      <c r="B2054" t="s">
        <v>16</v>
      </c>
      <c r="C2054" t="s">
        <v>29</v>
      </c>
      <c r="D2054">
        <v>365</v>
      </c>
      <c r="E2054">
        <v>50</v>
      </c>
      <c r="F2054" s="2">
        <v>471.69</v>
      </c>
      <c r="G2054" t="s">
        <v>33</v>
      </c>
      <c r="H2054" s="1">
        <v>45362</v>
      </c>
      <c r="I2054" s="1">
        <v>45373</v>
      </c>
      <c r="J2054" t="s">
        <v>37</v>
      </c>
      <c r="K2054" s="8">
        <f>Table2[[#This Row],[CurrentStock]]*Table2[[#This Row],[UnitPrice]]</f>
        <v>172166.85</v>
      </c>
      <c r="L2054" t="str">
        <f>IF(Table2[[#This Row],[CurrentStock]]&lt;=Table2[[#This Row],[ReorderLevel]], "Reorder Needed", "Okay")</f>
        <v>Okay</v>
      </c>
      <c r="M2054" t="str">
        <f>IF(Table2[[#This Row],[CurrentStock]]-Table2[[#This Row],[ReorderLevel]]&lt;0,Table2[[#This Row],[CurrentStock]]-Table2[[#This Row],[ReorderLevel]],"")</f>
        <v/>
      </c>
      <c r="N2054" t="str">
        <f>IF(Table2[[#This Row],[Stock Gap]]&lt;0, "Understock","Okay")</f>
        <v>Okay</v>
      </c>
      <c r="O2054" s="13" t="str">
        <f>IF(Table2[[#This Row],[Stock Gap]]&lt;0, "Yes", "No")</f>
        <v>No</v>
      </c>
      <c r="P2054" s="13" t="str">
        <f>IF(Table2[[#This Row],[CurrentStock]]&lt;Table2[[#This Row],[ReorderLevel]],"Reorder", "Okay")</f>
        <v>Okay</v>
      </c>
      <c r="Q2054" s="13" t="str">
        <f>IF(Table2[[#This Row],[CurrentStock]]&gt;Table2[[#This Row],[ReorderLevel]]*3, "Overstock", "Okay")</f>
        <v>Overstock</v>
      </c>
    </row>
    <row r="2055" spans="1:17" x14ac:dyDescent="0.35">
      <c r="A2055">
        <v>75781</v>
      </c>
      <c r="B2055" t="s">
        <v>17</v>
      </c>
      <c r="C2055" t="s">
        <v>27</v>
      </c>
      <c r="D2055">
        <v>400</v>
      </c>
      <c r="E2055">
        <v>50</v>
      </c>
      <c r="F2055" s="2">
        <v>369.35</v>
      </c>
      <c r="G2055" t="s">
        <v>35</v>
      </c>
      <c r="H2055" s="1">
        <v>45496</v>
      </c>
      <c r="I2055" s="1">
        <v>45524</v>
      </c>
      <c r="J2055" t="s">
        <v>37</v>
      </c>
      <c r="K2055" s="8">
        <f>Table2[[#This Row],[CurrentStock]]*Table2[[#This Row],[UnitPrice]]</f>
        <v>147740</v>
      </c>
      <c r="L2055" t="str">
        <f>IF(Table2[[#This Row],[CurrentStock]]&lt;=Table2[[#This Row],[ReorderLevel]], "Reorder Needed", "Okay")</f>
        <v>Okay</v>
      </c>
      <c r="M2055" t="str">
        <f>IF(Table2[[#This Row],[CurrentStock]]-Table2[[#This Row],[ReorderLevel]]&lt;0,Table2[[#This Row],[CurrentStock]]-Table2[[#This Row],[ReorderLevel]],"")</f>
        <v/>
      </c>
      <c r="N2055" t="str">
        <f>IF(Table2[[#This Row],[Stock Gap]]&lt;0, "Understock","Okay")</f>
        <v>Okay</v>
      </c>
      <c r="O2055" s="13" t="str">
        <f>IF(Table2[[#This Row],[Stock Gap]]&lt;0, "Yes", "No")</f>
        <v>No</v>
      </c>
      <c r="P2055" s="13" t="str">
        <f>IF(Table2[[#This Row],[CurrentStock]]&lt;Table2[[#This Row],[ReorderLevel]],"Reorder", "Okay")</f>
        <v>Okay</v>
      </c>
      <c r="Q2055" s="13" t="str">
        <f>IF(Table2[[#This Row],[CurrentStock]]&gt;Table2[[#This Row],[ReorderLevel]]*3, "Overstock", "Okay")</f>
        <v>Overstock</v>
      </c>
    </row>
    <row r="2056" spans="1:17" x14ac:dyDescent="0.35">
      <c r="A2056">
        <v>47371</v>
      </c>
      <c r="B2056" t="s">
        <v>9</v>
      </c>
      <c r="C2056" t="s">
        <v>26</v>
      </c>
      <c r="D2056">
        <v>444</v>
      </c>
      <c r="E2056">
        <v>100</v>
      </c>
      <c r="F2056" s="2">
        <v>129.07</v>
      </c>
      <c r="G2056" t="s">
        <v>31</v>
      </c>
      <c r="H2056" s="1">
        <v>45385</v>
      </c>
      <c r="I2056" s="1">
        <v>45419</v>
      </c>
      <c r="J2056" t="s">
        <v>38</v>
      </c>
      <c r="K2056" s="8">
        <f>Table2[[#This Row],[CurrentStock]]*Table2[[#This Row],[UnitPrice]]</f>
        <v>57307.079999999994</v>
      </c>
      <c r="L2056" t="str">
        <f>IF(Table2[[#This Row],[CurrentStock]]&lt;=Table2[[#This Row],[ReorderLevel]], "Reorder Needed", "Okay")</f>
        <v>Okay</v>
      </c>
      <c r="M2056" t="str">
        <f>IF(Table2[[#This Row],[CurrentStock]]-Table2[[#This Row],[ReorderLevel]]&lt;0,Table2[[#This Row],[CurrentStock]]-Table2[[#This Row],[ReorderLevel]],"")</f>
        <v/>
      </c>
      <c r="N2056" t="str">
        <f>IF(Table2[[#This Row],[Stock Gap]]&lt;0, "Understock","Okay")</f>
        <v>Okay</v>
      </c>
      <c r="O2056" s="13" t="str">
        <f>IF(Table2[[#This Row],[Stock Gap]]&lt;0, "Yes", "No")</f>
        <v>No</v>
      </c>
      <c r="P2056" s="13" t="str">
        <f>IF(Table2[[#This Row],[CurrentStock]]&lt;Table2[[#This Row],[ReorderLevel]],"Reorder", "Okay")</f>
        <v>Okay</v>
      </c>
      <c r="Q2056" s="13" t="str">
        <f>IF(Table2[[#This Row],[CurrentStock]]&gt;Table2[[#This Row],[ReorderLevel]]*3, "Overstock", "Okay")</f>
        <v>Overstock</v>
      </c>
    </row>
    <row r="2057" spans="1:17" x14ac:dyDescent="0.35">
      <c r="A2057">
        <v>41426</v>
      </c>
      <c r="B2057" t="s">
        <v>25</v>
      </c>
      <c r="C2057" t="s">
        <v>29</v>
      </c>
      <c r="D2057">
        <v>441</v>
      </c>
      <c r="E2057">
        <v>100</v>
      </c>
      <c r="F2057" s="2">
        <v>196.09</v>
      </c>
      <c r="G2057" t="s">
        <v>32</v>
      </c>
      <c r="H2057" s="1">
        <v>45473</v>
      </c>
      <c r="I2057" s="1">
        <v>45490</v>
      </c>
      <c r="J2057" t="s">
        <v>38</v>
      </c>
      <c r="K2057" s="8">
        <f>Table2[[#This Row],[CurrentStock]]*Table2[[#This Row],[UnitPrice]]</f>
        <v>86475.69</v>
      </c>
      <c r="L2057" t="str">
        <f>IF(Table2[[#This Row],[CurrentStock]]&lt;=Table2[[#This Row],[ReorderLevel]], "Reorder Needed", "Okay")</f>
        <v>Okay</v>
      </c>
      <c r="M2057" t="str">
        <f>IF(Table2[[#This Row],[CurrentStock]]-Table2[[#This Row],[ReorderLevel]]&lt;0,Table2[[#This Row],[CurrentStock]]-Table2[[#This Row],[ReorderLevel]],"")</f>
        <v/>
      </c>
      <c r="N2057" t="str">
        <f>IF(Table2[[#This Row],[Stock Gap]]&lt;0, "Understock","Okay")</f>
        <v>Okay</v>
      </c>
      <c r="O2057" s="13" t="str">
        <f>IF(Table2[[#This Row],[Stock Gap]]&lt;0, "Yes", "No")</f>
        <v>No</v>
      </c>
      <c r="P2057" s="13" t="str">
        <f>IF(Table2[[#This Row],[CurrentStock]]&lt;Table2[[#This Row],[ReorderLevel]],"Reorder", "Okay")</f>
        <v>Okay</v>
      </c>
      <c r="Q2057" s="13" t="str">
        <f>IF(Table2[[#This Row],[CurrentStock]]&gt;Table2[[#This Row],[ReorderLevel]]*3, "Overstock", "Okay")</f>
        <v>Overstock</v>
      </c>
    </row>
    <row r="2058" spans="1:17" x14ac:dyDescent="0.35">
      <c r="A2058">
        <v>23760</v>
      </c>
      <c r="B2058" t="s">
        <v>9</v>
      </c>
      <c r="C2058" t="s">
        <v>26</v>
      </c>
      <c r="D2058">
        <v>308</v>
      </c>
      <c r="E2058">
        <v>40</v>
      </c>
      <c r="F2058" s="2">
        <v>181.27</v>
      </c>
      <c r="G2058" t="s">
        <v>33</v>
      </c>
      <c r="H2058" s="1">
        <v>45295</v>
      </c>
      <c r="I2058" s="1">
        <v>45314</v>
      </c>
      <c r="J2058" t="s">
        <v>36</v>
      </c>
      <c r="K2058" s="8">
        <f>Table2[[#This Row],[CurrentStock]]*Table2[[#This Row],[UnitPrice]]</f>
        <v>55831.16</v>
      </c>
      <c r="L2058" t="str">
        <f>IF(Table2[[#This Row],[CurrentStock]]&lt;=Table2[[#This Row],[ReorderLevel]], "Reorder Needed", "Okay")</f>
        <v>Okay</v>
      </c>
      <c r="M2058" t="str">
        <f>IF(Table2[[#This Row],[CurrentStock]]-Table2[[#This Row],[ReorderLevel]]&lt;0,Table2[[#This Row],[CurrentStock]]-Table2[[#This Row],[ReorderLevel]],"")</f>
        <v/>
      </c>
      <c r="N2058" t="str">
        <f>IF(Table2[[#This Row],[Stock Gap]]&lt;0, "Understock","Okay")</f>
        <v>Okay</v>
      </c>
      <c r="O2058" s="13" t="str">
        <f>IF(Table2[[#This Row],[Stock Gap]]&lt;0, "Yes", "No")</f>
        <v>No</v>
      </c>
      <c r="P2058" s="13" t="str">
        <f>IF(Table2[[#This Row],[CurrentStock]]&lt;Table2[[#This Row],[ReorderLevel]],"Reorder", "Okay")</f>
        <v>Okay</v>
      </c>
      <c r="Q2058" s="13" t="str">
        <f>IF(Table2[[#This Row],[CurrentStock]]&gt;Table2[[#This Row],[ReorderLevel]]*3, "Overstock", "Okay")</f>
        <v>Overstock</v>
      </c>
    </row>
    <row r="2059" spans="1:17" x14ac:dyDescent="0.35">
      <c r="A2059">
        <v>68616</v>
      </c>
      <c r="B2059" t="s">
        <v>17</v>
      </c>
      <c r="C2059" t="s">
        <v>27</v>
      </c>
      <c r="D2059">
        <v>381</v>
      </c>
      <c r="E2059">
        <v>80</v>
      </c>
      <c r="F2059" s="2">
        <v>228.79</v>
      </c>
      <c r="G2059" t="s">
        <v>33</v>
      </c>
      <c r="H2059" s="1">
        <v>45496</v>
      </c>
      <c r="I2059" s="1">
        <v>45530</v>
      </c>
      <c r="J2059" t="s">
        <v>37</v>
      </c>
      <c r="K2059" s="8">
        <f>Table2[[#This Row],[CurrentStock]]*Table2[[#This Row],[UnitPrice]]</f>
        <v>87168.989999999991</v>
      </c>
      <c r="L2059" t="str">
        <f>IF(Table2[[#This Row],[CurrentStock]]&lt;=Table2[[#This Row],[ReorderLevel]], "Reorder Needed", "Okay")</f>
        <v>Okay</v>
      </c>
      <c r="M2059" t="str">
        <f>IF(Table2[[#This Row],[CurrentStock]]-Table2[[#This Row],[ReorderLevel]]&lt;0,Table2[[#This Row],[CurrentStock]]-Table2[[#This Row],[ReorderLevel]],"")</f>
        <v/>
      </c>
      <c r="N2059" t="str">
        <f>IF(Table2[[#This Row],[Stock Gap]]&lt;0, "Understock","Okay")</f>
        <v>Okay</v>
      </c>
      <c r="O2059" s="13" t="str">
        <f>IF(Table2[[#This Row],[Stock Gap]]&lt;0, "Yes", "No")</f>
        <v>No</v>
      </c>
      <c r="P2059" s="13" t="str">
        <f>IF(Table2[[#This Row],[CurrentStock]]&lt;Table2[[#This Row],[ReorderLevel]],"Reorder", "Okay")</f>
        <v>Okay</v>
      </c>
      <c r="Q2059" s="13" t="str">
        <f>IF(Table2[[#This Row],[CurrentStock]]&gt;Table2[[#This Row],[ReorderLevel]]*3, "Overstock", "Okay")</f>
        <v>Overstock</v>
      </c>
    </row>
    <row r="2060" spans="1:17" x14ac:dyDescent="0.35">
      <c r="A2060">
        <v>30325</v>
      </c>
      <c r="B2060" t="s">
        <v>15</v>
      </c>
      <c r="C2060" t="s">
        <v>29</v>
      </c>
      <c r="D2060">
        <v>84</v>
      </c>
      <c r="E2060">
        <v>100</v>
      </c>
      <c r="F2060" s="2">
        <v>359.24</v>
      </c>
      <c r="G2060" t="s">
        <v>33</v>
      </c>
      <c r="H2060" s="1">
        <v>45642</v>
      </c>
      <c r="I2060" s="1">
        <v>45665</v>
      </c>
      <c r="J2060" t="s">
        <v>38</v>
      </c>
      <c r="K2060" s="8">
        <f>Table2[[#This Row],[CurrentStock]]*Table2[[#This Row],[UnitPrice]]</f>
        <v>30176.16</v>
      </c>
      <c r="L2060" t="str">
        <f>IF(Table2[[#This Row],[CurrentStock]]&lt;=Table2[[#This Row],[ReorderLevel]], "Reorder Needed", "Okay")</f>
        <v>Reorder Needed</v>
      </c>
      <c r="M2060" s="7">
        <f>IF(Table2[[#This Row],[CurrentStock]]-Table2[[#This Row],[ReorderLevel]]&lt;0,Table2[[#This Row],[CurrentStock]]-Table2[[#This Row],[ReorderLevel]],"")</f>
        <v>-16</v>
      </c>
      <c r="N2060" t="str">
        <f>IF(Table2[[#This Row],[Stock Gap]]&lt;0, "Understock","Okay")</f>
        <v>Understock</v>
      </c>
      <c r="O2060" s="13" t="str">
        <f>IF(Table2[[#This Row],[Stock Gap]]&lt;0, "Yes", "No")</f>
        <v>Yes</v>
      </c>
      <c r="P2060" s="13" t="str">
        <f>IF(Table2[[#This Row],[CurrentStock]]&lt;Table2[[#This Row],[ReorderLevel]],"Reorder", "Okay")</f>
        <v>Reorder</v>
      </c>
      <c r="Q2060" s="13" t="str">
        <f>IF(Table2[[#This Row],[CurrentStock]]&gt;Table2[[#This Row],[ReorderLevel]]*3, "Overstock", "Okay")</f>
        <v>Okay</v>
      </c>
    </row>
    <row r="2061" spans="1:17" x14ac:dyDescent="0.35">
      <c r="A2061">
        <v>62485</v>
      </c>
      <c r="B2061" t="s">
        <v>24</v>
      </c>
      <c r="C2061" t="s">
        <v>30</v>
      </c>
      <c r="D2061">
        <v>338</v>
      </c>
      <c r="E2061">
        <v>50</v>
      </c>
      <c r="F2061" s="2">
        <v>305.63</v>
      </c>
      <c r="G2061" t="s">
        <v>31</v>
      </c>
      <c r="H2061" s="1">
        <v>45488</v>
      </c>
      <c r="I2061" s="1">
        <v>45497</v>
      </c>
      <c r="J2061" t="s">
        <v>36</v>
      </c>
      <c r="K2061" s="8">
        <f>Table2[[#This Row],[CurrentStock]]*Table2[[#This Row],[UnitPrice]]</f>
        <v>103302.94</v>
      </c>
      <c r="L2061" t="str">
        <f>IF(Table2[[#This Row],[CurrentStock]]&lt;=Table2[[#This Row],[ReorderLevel]], "Reorder Needed", "Okay")</f>
        <v>Okay</v>
      </c>
      <c r="M2061" t="str">
        <f>IF(Table2[[#This Row],[CurrentStock]]-Table2[[#This Row],[ReorderLevel]]&lt;0,Table2[[#This Row],[CurrentStock]]-Table2[[#This Row],[ReorderLevel]],"")</f>
        <v/>
      </c>
      <c r="N2061" t="str">
        <f>IF(Table2[[#This Row],[Stock Gap]]&lt;0, "Understock","Okay")</f>
        <v>Okay</v>
      </c>
      <c r="O2061" s="13" t="str">
        <f>IF(Table2[[#This Row],[Stock Gap]]&lt;0, "Yes", "No")</f>
        <v>No</v>
      </c>
      <c r="P2061" s="13" t="str">
        <f>IF(Table2[[#This Row],[CurrentStock]]&lt;Table2[[#This Row],[ReorderLevel]],"Reorder", "Okay")</f>
        <v>Okay</v>
      </c>
      <c r="Q2061" s="13" t="str">
        <f>IF(Table2[[#This Row],[CurrentStock]]&gt;Table2[[#This Row],[ReorderLevel]]*3, "Overstock", "Okay")</f>
        <v>Overstock</v>
      </c>
    </row>
    <row r="2062" spans="1:17" x14ac:dyDescent="0.35">
      <c r="A2062">
        <v>16023</v>
      </c>
      <c r="B2062" t="s">
        <v>18</v>
      </c>
      <c r="C2062" t="s">
        <v>27</v>
      </c>
      <c r="D2062">
        <v>121</v>
      </c>
      <c r="E2062">
        <v>80</v>
      </c>
      <c r="F2062" s="2">
        <v>128.94999999999999</v>
      </c>
      <c r="G2062" t="s">
        <v>32</v>
      </c>
      <c r="H2062" s="1">
        <v>45522</v>
      </c>
      <c r="I2062" s="1">
        <v>45543</v>
      </c>
      <c r="J2062" t="s">
        <v>38</v>
      </c>
      <c r="K2062" s="8">
        <f>Table2[[#This Row],[CurrentStock]]*Table2[[#This Row],[UnitPrice]]</f>
        <v>15602.949999999999</v>
      </c>
      <c r="L2062" t="str">
        <f>IF(Table2[[#This Row],[CurrentStock]]&lt;=Table2[[#This Row],[ReorderLevel]], "Reorder Needed", "Okay")</f>
        <v>Okay</v>
      </c>
      <c r="M2062" t="str">
        <f>IF(Table2[[#This Row],[CurrentStock]]-Table2[[#This Row],[ReorderLevel]]&lt;0,Table2[[#This Row],[CurrentStock]]-Table2[[#This Row],[ReorderLevel]],"")</f>
        <v/>
      </c>
      <c r="N2062" t="str">
        <f>IF(Table2[[#This Row],[Stock Gap]]&lt;0, "Understock","Okay")</f>
        <v>Okay</v>
      </c>
      <c r="O2062" s="13" t="str">
        <f>IF(Table2[[#This Row],[Stock Gap]]&lt;0, "Yes", "No")</f>
        <v>No</v>
      </c>
      <c r="P2062" s="13" t="str">
        <f>IF(Table2[[#This Row],[CurrentStock]]&lt;Table2[[#This Row],[ReorderLevel]],"Reorder", "Okay")</f>
        <v>Okay</v>
      </c>
      <c r="Q2062" s="13" t="str">
        <f>IF(Table2[[#This Row],[CurrentStock]]&gt;Table2[[#This Row],[ReorderLevel]]*3, "Overstock", "Okay")</f>
        <v>Okay</v>
      </c>
    </row>
    <row r="2063" spans="1:17" x14ac:dyDescent="0.35">
      <c r="A2063">
        <v>23397</v>
      </c>
      <c r="B2063" t="s">
        <v>23</v>
      </c>
      <c r="C2063" t="s">
        <v>30</v>
      </c>
      <c r="D2063">
        <v>235</v>
      </c>
      <c r="E2063">
        <v>80</v>
      </c>
      <c r="F2063" s="2">
        <v>183.68</v>
      </c>
      <c r="G2063" t="s">
        <v>35</v>
      </c>
      <c r="H2063" s="1">
        <v>45444</v>
      </c>
      <c r="I2063" s="1">
        <v>45471</v>
      </c>
      <c r="J2063" t="s">
        <v>38</v>
      </c>
      <c r="K2063" s="8">
        <f>Table2[[#This Row],[CurrentStock]]*Table2[[#This Row],[UnitPrice]]</f>
        <v>43164.800000000003</v>
      </c>
      <c r="L2063" t="str">
        <f>IF(Table2[[#This Row],[CurrentStock]]&lt;=Table2[[#This Row],[ReorderLevel]], "Reorder Needed", "Okay")</f>
        <v>Okay</v>
      </c>
      <c r="M2063" t="str">
        <f>IF(Table2[[#This Row],[CurrentStock]]-Table2[[#This Row],[ReorderLevel]]&lt;0,Table2[[#This Row],[CurrentStock]]-Table2[[#This Row],[ReorderLevel]],"")</f>
        <v/>
      </c>
      <c r="N2063" t="str">
        <f>IF(Table2[[#This Row],[Stock Gap]]&lt;0, "Understock","Okay")</f>
        <v>Okay</v>
      </c>
      <c r="O2063" s="13" t="str">
        <f>IF(Table2[[#This Row],[Stock Gap]]&lt;0, "Yes", "No")</f>
        <v>No</v>
      </c>
      <c r="P2063" s="13" t="str">
        <f>IF(Table2[[#This Row],[CurrentStock]]&lt;Table2[[#This Row],[ReorderLevel]],"Reorder", "Okay")</f>
        <v>Okay</v>
      </c>
      <c r="Q2063" s="13" t="str">
        <f>IF(Table2[[#This Row],[CurrentStock]]&gt;Table2[[#This Row],[ReorderLevel]]*3, "Overstock", "Okay")</f>
        <v>Okay</v>
      </c>
    </row>
    <row r="2064" spans="1:17" x14ac:dyDescent="0.35">
      <c r="A2064">
        <v>13846</v>
      </c>
      <c r="B2064" t="s">
        <v>19</v>
      </c>
      <c r="C2064" t="s">
        <v>28</v>
      </c>
      <c r="D2064">
        <v>366</v>
      </c>
      <c r="E2064">
        <v>50</v>
      </c>
      <c r="F2064" s="2">
        <v>89.2</v>
      </c>
      <c r="G2064" t="s">
        <v>34</v>
      </c>
      <c r="H2064" s="1">
        <v>45494</v>
      </c>
      <c r="I2064" s="1">
        <v>45522</v>
      </c>
      <c r="J2064" t="s">
        <v>36</v>
      </c>
      <c r="K2064" s="8">
        <f>Table2[[#This Row],[CurrentStock]]*Table2[[#This Row],[UnitPrice]]</f>
        <v>32647.200000000001</v>
      </c>
      <c r="L2064" t="str">
        <f>IF(Table2[[#This Row],[CurrentStock]]&lt;=Table2[[#This Row],[ReorderLevel]], "Reorder Needed", "Okay")</f>
        <v>Okay</v>
      </c>
      <c r="M2064" t="str">
        <f>IF(Table2[[#This Row],[CurrentStock]]-Table2[[#This Row],[ReorderLevel]]&lt;0,Table2[[#This Row],[CurrentStock]]-Table2[[#This Row],[ReorderLevel]],"")</f>
        <v/>
      </c>
      <c r="N2064" t="str">
        <f>IF(Table2[[#This Row],[Stock Gap]]&lt;0, "Understock","Okay")</f>
        <v>Okay</v>
      </c>
      <c r="O2064" s="13" t="str">
        <f>IF(Table2[[#This Row],[Stock Gap]]&lt;0, "Yes", "No")</f>
        <v>No</v>
      </c>
      <c r="P2064" s="13" t="str">
        <f>IF(Table2[[#This Row],[CurrentStock]]&lt;Table2[[#This Row],[ReorderLevel]],"Reorder", "Okay")</f>
        <v>Okay</v>
      </c>
      <c r="Q2064" s="13" t="str">
        <f>IF(Table2[[#This Row],[CurrentStock]]&gt;Table2[[#This Row],[ReorderLevel]]*3, "Overstock", "Okay")</f>
        <v>Overstock</v>
      </c>
    </row>
    <row r="2065" spans="1:17" x14ac:dyDescent="0.35">
      <c r="A2065">
        <v>31157</v>
      </c>
      <c r="B2065" t="s">
        <v>18</v>
      </c>
      <c r="C2065" t="s">
        <v>27</v>
      </c>
      <c r="D2065">
        <v>359</v>
      </c>
      <c r="E2065">
        <v>50</v>
      </c>
      <c r="F2065" s="2">
        <v>122.55</v>
      </c>
      <c r="G2065" t="s">
        <v>35</v>
      </c>
      <c r="H2065" s="1">
        <v>45337</v>
      </c>
      <c r="I2065" s="1">
        <v>45342</v>
      </c>
      <c r="J2065" t="s">
        <v>37</v>
      </c>
      <c r="K2065" s="8">
        <f>Table2[[#This Row],[CurrentStock]]*Table2[[#This Row],[UnitPrice]]</f>
        <v>43995.45</v>
      </c>
      <c r="L2065" t="str">
        <f>IF(Table2[[#This Row],[CurrentStock]]&lt;=Table2[[#This Row],[ReorderLevel]], "Reorder Needed", "Okay")</f>
        <v>Okay</v>
      </c>
      <c r="M2065" t="str">
        <f>IF(Table2[[#This Row],[CurrentStock]]-Table2[[#This Row],[ReorderLevel]]&lt;0,Table2[[#This Row],[CurrentStock]]-Table2[[#This Row],[ReorderLevel]],"")</f>
        <v/>
      </c>
      <c r="N2065" t="str">
        <f>IF(Table2[[#This Row],[Stock Gap]]&lt;0, "Understock","Okay")</f>
        <v>Okay</v>
      </c>
      <c r="O2065" s="13" t="str">
        <f>IF(Table2[[#This Row],[Stock Gap]]&lt;0, "Yes", "No")</f>
        <v>No</v>
      </c>
      <c r="P2065" s="13" t="str">
        <f>IF(Table2[[#This Row],[CurrentStock]]&lt;Table2[[#This Row],[ReorderLevel]],"Reorder", "Okay")</f>
        <v>Okay</v>
      </c>
      <c r="Q2065" s="13" t="str">
        <f>IF(Table2[[#This Row],[CurrentStock]]&gt;Table2[[#This Row],[ReorderLevel]]*3, "Overstock", "Okay")</f>
        <v>Overstock</v>
      </c>
    </row>
    <row r="2066" spans="1:17" x14ac:dyDescent="0.35">
      <c r="A2066">
        <v>16421</v>
      </c>
      <c r="B2066" t="s">
        <v>14</v>
      </c>
      <c r="C2066" t="s">
        <v>28</v>
      </c>
      <c r="D2066">
        <v>203</v>
      </c>
      <c r="E2066">
        <v>30</v>
      </c>
      <c r="F2066" s="2">
        <v>343.07</v>
      </c>
      <c r="G2066" t="s">
        <v>35</v>
      </c>
      <c r="H2066" s="1">
        <v>45571</v>
      </c>
      <c r="I2066" s="1">
        <v>45603</v>
      </c>
      <c r="J2066" t="s">
        <v>36</v>
      </c>
      <c r="K2066" s="8">
        <f>Table2[[#This Row],[CurrentStock]]*Table2[[#This Row],[UnitPrice]]</f>
        <v>69643.209999999992</v>
      </c>
      <c r="L2066" t="str">
        <f>IF(Table2[[#This Row],[CurrentStock]]&lt;=Table2[[#This Row],[ReorderLevel]], "Reorder Needed", "Okay")</f>
        <v>Okay</v>
      </c>
      <c r="M2066" t="str">
        <f>IF(Table2[[#This Row],[CurrentStock]]-Table2[[#This Row],[ReorderLevel]]&lt;0,Table2[[#This Row],[CurrentStock]]-Table2[[#This Row],[ReorderLevel]],"")</f>
        <v/>
      </c>
      <c r="N2066" t="str">
        <f>IF(Table2[[#This Row],[Stock Gap]]&lt;0, "Understock","Okay")</f>
        <v>Okay</v>
      </c>
      <c r="O2066" s="13" t="str">
        <f>IF(Table2[[#This Row],[Stock Gap]]&lt;0, "Yes", "No")</f>
        <v>No</v>
      </c>
      <c r="P2066" s="13" t="str">
        <f>IF(Table2[[#This Row],[CurrentStock]]&lt;Table2[[#This Row],[ReorderLevel]],"Reorder", "Okay")</f>
        <v>Okay</v>
      </c>
      <c r="Q2066" s="13" t="str">
        <f>IF(Table2[[#This Row],[CurrentStock]]&gt;Table2[[#This Row],[ReorderLevel]]*3, "Overstock", "Okay")</f>
        <v>Overstock</v>
      </c>
    </row>
    <row r="2067" spans="1:17" x14ac:dyDescent="0.35">
      <c r="A2067">
        <v>28130</v>
      </c>
      <c r="B2067" t="s">
        <v>10</v>
      </c>
      <c r="C2067" t="s">
        <v>26</v>
      </c>
      <c r="D2067">
        <v>317</v>
      </c>
      <c r="E2067">
        <v>40</v>
      </c>
      <c r="F2067" s="2">
        <v>372.68</v>
      </c>
      <c r="G2067" t="s">
        <v>34</v>
      </c>
      <c r="H2067" s="1">
        <v>45358</v>
      </c>
      <c r="I2067" s="1">
        <v>45389</v>
      </c>
      <c r="J2067" t="s">
        <v>36</v>
      </c>
      <c r="K2067" s="8">
        <f>Table2[[#This Row],[CurrentStock]]*Table2[[#This Row],[UnitPrice]]</f>
        <v>118139.56</v>
      </c>
      <c r="L2067" t="str">
        <f>IF(Table2[[#This Row],[CurrentStock]]&lt;=Table2[[#This Row],[ReorderLevel]], "Reorder Needed", "Okay")</f>
        <v>Okay</v>
      </c>
      <c r="M2067" t="str">
        <f>IF(Table2[[#This Row],[CurrentStock]]-Table2[[#This Row],[ReorderLevel]]&lt;0,Table2[[#This Row],[CurrentStock]]-Table2[[#This Row],[ReorderLevel]],"")</f>
        <v/>
      </c>
      <c r="N2067" t="str">
        <f>IF(Table2[[#This Row],[Stock Gap]]&lt;0, "Understock","Okay")</f>
        <v>Okay</v>
      </c>
      <c r="O2067" s="13" t="str">
        <f>IF(Table2[[#This Row],[Stock Gap]]&lt;0, "Yes", "No")</f>
        <v>No</v>
      </c>
      <c r="P2067" s="13" t="str">
        <f>IF(Table2[[#This Row],[CurrentStock]]&lt;Table2[[#This Row],[ReorderLevel]],"Reorder", "Okay")</f>
        <v>Okay</v>
      </c>
      <c r="Q2067" s="13" t="str">
        <f>IF(Table2[[#This Row],[CurrentStock]]&gt;Table2[[#This Row],[ReorderLevel]]*3, "Overstock", "Okay")</f>
        <v>Overstock</v>
      </c>
    </row>
    <row r="2068" spans="1:17" x14ac:dyDescent="0.35">
      <c r="A2068">
        <v>33267</v>
      </c>
      <c r="B2068" t="s">
        <v>25</v>
      </c>
      <c r="C2068" t="s">
        <v>29</v>
      </c>
      <c r="D2068">
        <v>32</v>
      </c>
      <c r="E2068">
        <v>40</v>
      </c>
      <c r="F2068" s="2">
        <v>89.86</v>
      </c>
      <c r="G2068" t="s">
        <v>34</v>
      </c>
      <c r="H2068" s="1">
        <v>45489</v>
      </c>
      <c r="I2068" s="1">
        <v>45508</v>
      </c>
      <c r="J2068" t="s">
        <v>37</v>
      </c>
      <c r="K2068" s="8">
        <f>Table2[[#This Row],[CurrentStock]]*Table2[[#This Row],[UnitPrice]]</f>
        <v>2875.52</v>
      </c>
      <c r="L2068" t="str">
        <f>IF(Table2[[#This Row],[CurrentStock]]&lt;=Table2[[#This Row],[ReorderLevel]], "Reorder Needed", "Okay")</f>
        <v>Reorder Needed</v>
      </c>
      <c r="M2068" s="7">
        <f>IF(Table2[[#This Row],[CurrentStock]]-Table2[[#This Row],[ReorderLevel]]&lt;0,Table2[[#This Row],[CurrentStock]]-Table2[[#This Row],[ReorderLevel]],"")</f>
        <v>-8</v>
      </c>
      <c r="N2068" t="str">
        <f>IF(Table2[[#This Row],[Stock Gap]]&lt;0, "Understock","Okay")</f>
        <v>Understock</v>
      </c>
      <c r="O2068" s="13" t="str">
        <f>IF(Table2[[#This Row],[Stock Gap]]&lt;0, "Yes", "No")</f>
        <v>Yes</v>
      </c>
      <c r="P2068" s="13" t="str">
        <f>IF(Table2[[#This Row],[CurrentStock]]&lt;Table2[[#This Row],[ReorderLevel]],"Reorder", "Okay")</f>
        <v>Reorder</v>
      </c>
      <c r="Q2068" s="13" t="str">
        <f>IF(Table2[[#This Row],[CurrentStock]]&gt;Table2[[#This Row],[ReorderLevel]]*3, "Overstock", "Okay")</f>
        <v>Okay</v>
      </c>
    </row>
    <row r="2069" spans="1:17" x14ac:dyDescent="0.35">
      <c r="A2069">
        <v>71854</v>
      </c>
      <c r="B2069" t="s">
        <v>18</v>
      </c>
      <c r="C2069" t="s">
        <v>27</v>
      </c>
      <c r="D2069">
        <v>240</v>
      </c>
      <c r="E2069">
        <v>150</v>
      </c>
      <c r="F2069" s="2">
        <v>452.99</v>
      </c>
      <c r="G2069" t="s">
        <v>34</v>
      </c>
      <c r="H2069" s="1">
        <v>45529</v>
      </c>
      <c r="I2069" s="1">
        <v>45562</v>
      </c>
      <c r="J2069" t="s">
        <v>38</v>
      </c>
      <c r="K2069" s="8">
        <f>Table2[[#This Row],[CurrentStock]]*Table2[[#This Row],[UnitPrice]]</f>
        <v>108717.6</v>
      </c>
      <c r="L2069" t="str">
        <f>IF(Table2[[#This Row],[CurrentStock]]&lt;=Table2[[#This Row],[ReorderLevel]], "Reorder Needed", "Okay")</f>
        <v>Okay</v>
      </c>
      <c r="M2069" t="str">
        <f>IF(Table2[[#This Row],[CurrentStock]]-Table2[[#This Row],[ReorderLevel]]&lt;0,Table2[[#This Row],[CurrentStock]]-Table2[[#This Row],[ReorderLevel]],"")</f>
        <v/>
      </c>
      <c r="N2069" t="str">
        <f>IF(Table2[[#This Row],[Stock Gap]]&lt;0, "Understock","Okay")</f>
        <v>Okay</v>
      </c>
      <c r="O2069" s="13" t="str">
        <f>IF(Table2[[#This Row],[Stock Gap]]&lt;0, "Yes", "No")</f>
        <v>No</v>
      </c>
      <c r="P2069" s="13" t="str">
        <f>IF(Table2[[#This Row],[CurrentStock]]&lt;Table2[[#This Row],[ReorderLevel]],"Reorder", "Okay")</f>
        <v>Okay</v>
      </c>
      <c r="Q2069" s="13" t="str">
        <f>IF(Table2[[#This Row],[CurrentStock]]&gt;Table2[[#This Row],[ReorderLevel]]*3, "Overstock", "Okay")</f>
        <v>Okay</v>
      </c>
    </row>
    <row r="2070" spans="1:17" x14ac:dyDescent="0.35">
      <c r="A2070">
        <v>72239</v>
      </c>
      <c r="B2070" t="s">
        <v>20</v>
      </c>
      <c r="C2070" t="s">
        <v>30</v>
      </c>
      <c r="D2070">
        <v>261</v>
      </c>
      <c r="E2070">
        <v>50</v>
      </c>
      <c r="F2070" s="2">
        <v>441.19</v>
      </c>
      <c r="G2070" t="s">
        <v>32</v>
      </c>
      <c r="H2070" s="1">
        <v>45530</v>
      </c>
      <c r="I2070" s="1">
        <v>45564</v>
      </c>
      <c r="J2070" t="s">
        <v>37</v>
      </c>
      <c r="K2070" s="8">
        <f>Table2[[#This Row],[CurrentStock]]*Table2[[#This Row],[UnitPrice]]</f>
        <v>115150.59</v>
      </c>
      <c r="L2070" t="str">
        <f>IF(Table2[[#This Row],[CurrentStock]]&lt;=Table2[[#This Row],[ReorderLevel]], "Reorder Needed", "Okay")</f>
        <v>Okay</v>
      </c>
      <c r="M2070" t="str">
        <f>IF(Table2[[#This Row],[CurrentStock]]-Table2[[#This Row],[ReorderLevel]]&lt;0,Table2[[#This Row],[CurrentStock]]-Table2[[#This Row],[ReorderLevel]],"")</f>
        <v/>
      </c>
      <c r="N2070" t="str">
        <f>IF(Table2[[#This Row],[Stock Gap]]&lt;0, "Understock","Okay")</f>
        <v>Okay</v>
      </c>
      <c r="O2070" s="13" t="str">
        <f>IF(Table2[[#This Row],[Stock Gap]]&lt;0, "Yes", "No")</f>
        <v>No</v>
      </c>
      <c r="P2070" s="13" t="str">
        <f>IF(Table2[[#This Row],[CurrentStock]]&lt;Table2[[#This Row],[ReorderLevel]],"Reorder", "Okay")</f>
        <v>Okay</v>
      </c>
      <c r="Q2070" s="13" t="str">
        <f>IF(Table2[[#This Row],[CurrentStock]]&gt;Table2[[#This Row],[ReorderLevel]]*3, "Overstock", "Okay")</f>
        <v>Overstock</v>
      </c>
    </row>
    <row r="2071" spans="1:17" x14ac:dyDescent="0.35">
      <c r="A2071">
        <v>93017</v>
      </c>
      <c r="B2071" t="s">
        <v>25</v>
      </c>
      <c r="C2071" t="s">
        <v>29</v>
      </c>
      <c r="D2071">
        <v>68</v>
      </c>
      <c r="E2071">
        <v>80</v>
      </c>
      <c r="F2071" s="2">
        <v>340.3</v>
      </c>
      <c r="G2071" t="s">
        <v>34</v>
      </c>
      <c r="H2071" s="1">
        <v>45510</v>
      </c>
      <c r="I2071" s="1">
        <v>45518</v>
      </c>
      <c r="J2071" t="s">
        <v>37</v>
      </c>
      <c r="K2071" s="8">
        <f>Table2[[#This Row],[CurrentStock]]*Table2[[#This Row],[UnitPrice]]</f>
        <v>23140.400000000001</v>
      </c>
      <c r="L2071" t="str">
        <f>IF(Table2[[#This Row],[CurrentStock]]&lt;=Table2[[#This Row],[ReorderLevel]], "Reorder Needed", "Okay")</f>
        <v>Reorder Needed</v>
      </c>
      <c r="M2071" s="7">
        <f>IF(Table2[[#This Row],[CurrentStock]]-Table2[[#This Row],[ReorderLevel]]&lt;0,Table2[[#This Row],[CurrentStock]]-Table2[[#This Row],[ReorderLevel]],"")</f>
        <v>-12</v>
      </c>
      <c r="N2071" t="str">
        <f>IF(Table2[[#This Row],[Stock Gap]]&lt;0, "Understock","Okay")</f>
        <v>Understock</v>
      </c>
      <c r="O2071" s="13" t="str">
        <f>IF(Table2[[#This Row],[Stock Gap]]&lt;0, "Yes", "No")</f>
        <v>Yes</v>
      </c>
      <c r="P2071" s="13" t="str">
        <f>IF(Table2[[#This Row],[CurrentStock]]&lt;Table2[[#This Row],[ReorderLevel]],"Reorder", "Okay")</f>
        <v>Reorder</v>
      </c>
      <c r="Q2071" s="13" t="str">
        <f>IF(Table2[[#This Row],[CurrentStock]]&gt;Table2[[#This Row],[ReorderLevel]]*3, "Overstock", "Okay")</f>
        <v>Okay</v>
      </c>
    </row>
    <row r="2072" spans="1:17" x14ac:dyDescent="0.35">
      <c r="A2072">
        <v>18418</v>
      </c>
      <c r="B2072" t="s">
        <v>18</v>
      </c>
      <c r="C2072" t="s">
        <v>27</v>
      </c>
      <c r="D2072">
        <v>160</v>
      </c>
      <c r="E2072">
        <v>20</v>
      </c>
      <c r="F2072" s="2">
        <v>210.35</v>
      </c>
      <c r="G2072" t="s">
        <v>34</v>
      </c>
      <c r="H2072" s="1">
        <v>45549</v>
      </c>
      <c r="I2072" s="1">
        <v>45564</v>
      </c>
      <c r="J2072" t="s">
        <v>38</v>
      </c>
      <c r="K2072" s="8">
        <f>Table2[[#This Row],[CurrentStock]]*Table2[[#This Row],[UnitPrice]]</f>
        <v>33656</v>
      </c>
      <c r="L2072" t="str">
        <f>IF(Table2[[#This Row],[CurrentStock]]&lt;=Table2[[#This Row],[ReorderLevel]], "Reorder Needed", "Okay")</f>
        <v>Okay</v>
      </c>
      <c r="M2072" t="str">
        <f>IF(Table2[[#This Row],[CurrentStock]]-Table2[[#This Row],[ReorderLevel]]&lt;0,Table2[[#This Row],[CurrentStock]]-Table2[[#This Row],[ReorderLevel]],"")</f>
        <v/>
      </c>
      <c r="N2072" t="str">
        <f>IF(Table2[[#This Row],[Stock Gap]]&lt;0, "Understock","Okay")</f>
        <v>Okay</v>
      </c>
      <c r="O2072" s="13" t="str">
        <f>IF(Table2[[#This Row],[Stock Gap]]&lt;0, "Yes", "No")</f>
        <v>No</v>
      </c>
      <c r="P2072" s="13" t="str">
        <f>IF(Table2[[#This Row],[CurrentStock]]&lt;Table2[[#This Row],[ReorderLevel]],"Reorder", "Okay")</f>
        <v>Okay</v>
      </c>
      <c r="Q2072" s="13" t="str">
        <f>IF(Table2[[#This Row],[CurrentStock]]&gt;Table2[[#This Row],[ReorderLevel]]*3, "Overstock", "Okay")</f>
        <v>Overstock</v>
      </c>
    </row>
    <row r="2073" spans="1:17" x14ac:dyDescent="0.35">
      <c r="A2073">
        <v>15888</v>
      </c>
      <c r="B2073" t="s">
        <v>15</v>
      </c>
      <c r="C2073" t="s">
        <v>29</v>
      </c>
      <c r="D2073">
        <v>85</v>
      </c>
      <c r="E2073">
        <v>40</v>
      </c>
      <c r="F2073" s="2">
        <v>293.39</v>
      </c>
      <c r="G2073" t="s">
        <v>33</v>
      </c>
      <c r="H2073" s="1">
        <v>45650</v>
      </c>
      <c r="I2073" s="1">
        <v>45656</v>
      </c>
      <c r="J2073" t="s">
        <v>37</v>
      </c>
      <c r="K2073" s="8">
        <f>Table2[[#This Row],[CurrentStock]]*Table2[[#This Row],[UnitPrice]]</f>
        <v>24938.149999999998</v>
      </c>
      <c r="L2073" t="str">
        <f>IF(Table2[[#This Row],[CurrentStock]]&lt;=Table2[[#This Row],[ReorderLevel]], "Reorder Needed", "Okay")</f>
        <v>Okay</v>
      </c>
      <c r="M2073" t="str">
        <f>IF(Table2[[#This Row],[CurrentStock]]-Table2[[#This Row],[ReorderLevel]]&lt;0,Table2[[#This Row],[CurrentStock]]-Table2[[#This Row],[ReorderLevel]],"")</f>
        <v/>
      </c>
      <c r="N2073" t="str">
        <f>IF(Table2[[#This Row],[Stock Gap]]&lt;0, "Understock","Okay")</f>
        <v>Okay</v>
      </c>
      <c r="O2073" s="13" t="str">
        <f>IF(Table2[[#This Row],[Stock Gap]]&lt;0, "Yes", "No")</f>
        <v>No</v>
      </c>
      <c r="P2073" s="13" t="str">
        <f>IF(Table2[[#This Row],[CurrentStock]]&lt;Table2[[#This Row],[ReorderLevel]],"Reorder", "Okay")</f>
        <v>Okay</v>
      </c>
      <c r="Q2073" s="13" t="str">
        <f>IF(Table2[[#This Row],[CurrentStock]]&gt;Table2[[#This Row],[ReorderLevel]]*3, "Overstock", "Okay")</f>
        <v>Okay</v>
      </c>
    </row>
    <row r="2074" spans="1:17" x14ac:dyDescent="0.35">
      <c r="A2074">
        <v>36691</v>
      </c>
      <c r="B2074" t="s">
        <v>21</v>
      </c>
      <c r="C2074" t="s">
        <v>26</v>
      </c>
      <c r="D2074">
        <v>251</v>
      </c>
      <c r="E2074">
        <v>80</v>
      </c>
      <c r="F2074" s="2">
        <v>30.89</v>
      </c>
      <c r="G2074" t="s">
        <v>31</v>
      </c>
      <c r="H2074" s="1">
        <v>45454</v>
      </c>
      <c r="I2074" s="1">
        <v>45466</v>
      </c>
      <c r="J2074" t="s">
        <v>37</v>
      </c>
      <c r="K2074" s="8">
        <f>Table2[[#This Row],[CurrentStock]]*Table2[[#This Row],[UnitPrice]]</f>
        <v>7753.39</v>
      </c>
      <c r="L2074" t="str">
        <f>IF(Table2[[#This Row],[CurrentStock]]&lt;=Table2[[#This Row],[ReorderLevel]], "Reorder Needed", "Okay")</f>
        <v>Okay</v>
      </c>
      <c r="M2074" t="str">
        <f>IF(Table2[[#This Row],[CurrentStock]]-Table2[[#This Row],[ReorderLevel]]&lt;0,Table2[[#This Row],[CurrentStock]]-Table2[[#This Row],[ReorderLevel]],"")</f>
        <v/>
      </c>
      <c r="N2074" t="str">
        <f>IF(Table2[[#This Row],[Stock Gap]]&lt;0, "Understock","Okay")</f>
        <v>Okay</v>
      </c>
      <c r="O2074" s="13" t="str">
        <f>IF(Table2[[#This Row],[Stock Gap]]&lt;0, "Yes", "No")</f>
        <v>No</v>
      </c>
      <c r="P2074" s="13" t="str">
        <f>IF(Table2[[#This Row],[CurrentStock]]&lt;Table2[[#This Row],[ReorderLevel]],"Reorder", "Okay")</f>
        <v>Okay</v>
      </c>
      <c r="Q2074" s="13" t="str">
        <f>IF(Table2[[#This Row],[CurrentStock]]&gt;Table2[[#This Row],[ReorderLevel]]*3, "Overstock", "Okay")</f>
        <v>Overstock</v>
      </c>
    </row>
    <row r="2075" spans="1:17" x14ac:dyDescent="0.35">
      <c r="A2075">
        <v>91499</v>
      </c>
      <c r="B2075" t="s">
        <v>23</v>
      </c>
      <c r="C2075" t="s">
        <v>30</v>
      </c>
      <c r="D2075">
        <v>441</v>
      </c>
      <c r="E2075">
        <v>20</v>
      </c>
      <c r="F2075" s="2">
        <v>59.44</v>
      </c>
      <c r="G2075" t="s">
        <v>32</v>
      </c>
      <c r="H2075" s="1">
        <v>45379</v>
      </c>
      <c r="I2075" s="1">
        <v>45388</v>
      </c>
      <c r="J2075" t="s">
        <v>38</v>
      </c>
      <c r="K2075" s="8">
        <f>Table2[[#This Row],[CurrentStock]]*Table2[[#This Row],[UnitPrice]]</f>
        <v>26213.039999999997</v>
      </c>
      <c r="L2075" t="str">
        <f>IF(Table2[[#This Row],[CurrentStock]]&lt;=Table2[[#This Row],[ReorderLevel]], "Reorder Needed", "Okay")</f>
        <v>Okay</v>
      </c>
      <c r="M2075" t="str">
        <f>IF(Table2[[#This Row],[CurrentStock]]-Table2[[#This Row],[ReorderLevel]]&lt;0,Table2[[#This Row],[CurrentStock]]-Table2[[#This Row],[ReorderLevel]],"")</f>
        <v/>
      </c>
      <c r="N2075" t="str">
        <f>IF(Table2[[#This Row],[Stock Gap]]&lt;0, "Understock","Okay")</f>
        <v>Okay</v>
      </c>
      <c r="O2075" s="13" t="str">
        <f>IF(Table2[[#This Row],[Stock Gap]]&lt;0, "Yes", "No")</f>
        <v>No</v>
      </c>
      <c r="P2075" s="13" t="str">
        <f>IF(Table2[[#This Row],[CurrentStock]]&lt;Table2[[#This Row],[ReorderLevel]],"Reorder", "Okay")</f>
        <v>Okay</v>
      </c>
      <c r="Q2075" s="13" t="str">
        <f>IF(Table2[[#This Row],[CurrentStock]]&gt;Table2[[#This Row],[ReorderLevel]]*3, "Overstock", "Okay")</f>
        <v>Overstock</v>
      </c>
    </row>
    <row r="2076" spans="1:17" x14ac:dyDescent="0.35">
      <c r="A2076">
        <v>47462</v>
      </c>
      <c r="B2076" t="s">
        <v>25</v>
      </c>
      <c r="C2076" t="s">
        <v>29</v>
      </c>
      <c r="D2076">
        <v>457</v>
      </c>
      <c r="E2076">
        <v>20</v>
      </c>
      <c r="F2076" s="2">
        <v>74.650000000000006</v>
      </c>
      <c r="G2076" t="s">
        <v>35</v>
      </c>
      <c r="H2076" s="1">
        <v>45487</v>
      </c>
      <c r="I2076" s="1">
        <v>45519</v>
      </c>
      <c r="J2076" t="s">
        <v>38</v>
      </c>
      <c r="K2076" s="8">
        <f>Table2[[#This Row],[CurrentStock]]*Table2[[#This Row],[UnitPrice]]</f>
        <v>34115.050000000003</v>
      </c>
      <c r="L2076" t="str">
        <f>IF(Table2[[#This Row],[CurrentStock]]&lt;=Table2[[#This Row],[ReorderLevel]], "Reorder Needed", "Okay")</f>
        <v>Okay</v>
      </c>
      <c r="M2076" t="str">
        <f>IF(Table2[[#This Row],[CurrentStock]]-Table2[[#This Row],[ReorderLevel]]&lt;0,Table2[[#This Row],[CurrentStock]]-Table2[[#This Row],[ReorderLevel]],"")</f>
        <v/>
      </c>
      <c r="N2076" t="str">
        <f>IF(Table2[[#This Row],[Stock Gap]]&lt;0, "Understock","Okay")</f>
        <v>Okay</v>
      </c>
      <c r="O2076" s="13" t="str">
        <f>IF(Table2[[#This Row],[Stock Gap]]&lt;0, "Yes", "No")</f>
        <v>No</v>
      </c>
      <c r="P2076" s="13" t="str">
        <f>IF(Table2[[#This Row],[CurrentStock]]&lt;Table2[[#This Row],[ReorderLevel]],"Reorder", "Okay")</f>
        <v>Okay</v>
      </c>
      <c r="Q2076" s="13" t="str">
        <f>IF(Table2[[#This Row],[CurrentStock]]&gt;Table2[[#This Row],[ReorderLevel]]*3, "Overstock", "Okay")</f>
        <v>Overstock</v>
      </c>
    </row>
    <row r="2077" spans="1:17" x14ac:dyDescent="0.35">
      <c r="A2077">
        <v>12792</v>
      </c>
      <c r="B2077" t="s">
        <v>20</v>
      </c>
      <c r="C2077" t="s">
        <v>30</v>
      </c>
      <c r="D2077">
        <v>358</v>
      </c>
      <c r="E2077">
        <v>50</v>
      </c>
      <c r="F2077" s="2">
        <v>94.25</v>
      </c>
      <c r="G2077" t="s">
        <v>35</v>
      </c>
      <c r="H2077" s="1">
        <v>45437</v>
      </c>
      <c r="I2077" s="1">
        <v>45457</v>
      </c>
      <c r="J2077" t="s">
        <v>36</v>
      </c>
      <c r="K2077" s="8">
        <f>Table2[[#This Row],[CurrentStock]]*Table2[[#This Row],[UnitPrice]]</f>
        <v>33741.5</v>
      </c>
      <c r="L2077" t="str">
        <f>IF(Table2[[#This Row],[CurrentStock]]&lt;=Table2[[#This Row],[ReorderLevel]], "Reorder Needed", "Okay")</f>
        <v>Okay</v>
      </c>
      <c r="M2077" t="str">
        <f>IF(Table2[[#This Row],[CurrentStock]]-Table2[[#This Row],[ReorderLevel]]&lt;0,Table2[[#This Row],[CurrentStock]]-Table2[[#This Row],[ReorderLevel]],"")</f>
        <v/>
      </c>
      <c r="N2077" t="str">
        <f>IF(Table2[[#This Row],[Stock Gap]]&lt;0, "Understock","Okay")</f>
        <v>Okay</v>
      </c>
      <c r="O2077" s="13" t="str">
        <f>IF(Table2[[#This Row],[Stock Gap]]&lt;0, "Yes", "No")</f>
        <v>No</v>
      </c>
      <c r="P2077" s="13" t="str">
        <f>IF(Table2[[#This Row],[CurrentStock]]&lt;Table2[[#This Row],[ReorderLevel]],"Reorder", "Okay")</f>
        <v>Okay</v>
      </c>
      <c r="Q2077" s="13" t="str">
        <f>IF(Table2[[#This Row],[CurrentStock]]&gt;Table2[[#This Row],[ReorderLevel]]*3, "Overstock", "Okay")</f>
        <v>Overstock</v>
      </c>
    </row>
    <row r="2078" spans="1:17" x14ac:dyDescent="0.35">
      <c r="A2078">
        <v>28243</v>
      </c>
      <c r="B2078" t="s">
        <v>11</v>
      </c>
      <c r="C2078" t="s">
        <v>27</v>
      </c>
      <c r="D2078">
        <v>7</v>
      </c>
      <c r="E2078">
        <v>50</v>
      </c>
      <c r="F2078" s="2">
        <v>63.98</v>
      </c>
      <c r="G2078" t="s">
        <v>33</v>
      </c>
      <c r="H2078" s="1">
        <v>45631</v>
      </c>
      <c r="I2078" s="1">
        <v>45653</v>
      </c>
      <c r="J2078" t="s">
        <v>38</v>
      </c>
      <c r="K2078" s="8">
        <f>Table2[[#This Row],[CurrentStock]]*Table2[[#This Row],[UnitPrice]]</f>
        <v>447.85999999999996</v>
      </c>
      <c r="L2078" t="str">
        <f>IF(Table2[[#This Row],[CurrentStock]]&lt;=Table2[[#This Row],[ReorderLevel]], "Reorder Needed", "Okay")</f>
        <v>Reorder Needed</v>
      </c>
      <c r="M2078" s="7">
        <f>IF(Table2[[#This Row],[CurrentStock]]-Table2[[#This Row],[ReorderLevel]]&lt;0,Table2[[#This Row],[CurrentStock]]-Table2[[#This Row],[ReorderLevel]],"")</f>
        <v>-43</v>
      </c>
      <c r="N2078" t="str">
        <f>IF(Table2[[#This Row],[Stock Gap]]&lt;0, "Understock","Okay")</f>
        <v>Understock</v>
      </c>
      <c r="O2078" s="13" t="str">
        <f>IF(Table2[[#This Row],[Stock Gap]]&lt;0, "Yes", "No")</f>
        <v>Yes</v>
      </c>
      <c r="P2078" s="13" t="str">
        <f>IF(Table2[[#This Row],[CurrentStock]]&lt;Table2[[#This Row],[ReorderLevel]],"Reorder", "Okay")</f>
        <v>Reorder</v>
      </c>
      <c r="Q2078" s="13" t="str">
        <f>IF(Table2[[#This Row],[CurrentStock]]&gt;Table2[[#This Row],[ReorderLevel]]*3, "Overstock", "Okay")</f>
        <v>Okay</v>
      </c>
    </row>
    <row r="2079" spans="1:17" x14ac:dyDescent="0.35">
      <c r="A2079">
        <v>16773</v>
      </c>
      <c r="B2079" t="s">
        <v>14</v>
      </c>
      <c r="C2079" t="s">
        <v>28</v>
      </c>
      <c r="D2079">
        <v>366</v>
      </c>
      <c r="E2079">
        <v>30</v>
      </c>
      <c r="F2079" s="2">
        <v>116.86</v>
      </c>
      <c r="G2079" t="s">
        <v>32</v>
      </c>
      <c r="H2079" s="1">
        <v>45326</v>
      </c>
      <c r="I2079" s="1">
        <v>45336</v>
      </c>
      <c r="J2079" t="s">
        <v>38</v>
      </c>
      <c r="K2079" s="8">
        <f>Table2[[#This Row],[CurrentStock]]*Table2[[#This Row],[UnitPrice]]</f>
        <v>42770.76</v>
      </c>
      <c r="L2079" t="str">
        <f>IF(Table2[[#This Row],[CurrentStock]]&lt;=Table2[[#This Row],[ReorderLevel]], "Reorder Needed", "Okay")</f>
        <v>Okay</v>
      </c>
      <c r="M2079" t="str">
        <f>IF(Table2[[#This Row],[CurrentStock]]-Table2[[#This Row],[ReorderLevel]]&lt;0,Table2[[#This Row],[CurrentStock]]-Table2[[#This Row],[ReorderLevel]],"")</f>
        <v/>
      </c>
      <c r="N2079" t="str">
        <f>IF(Table2[[#This Row],[Stock Gap]]&lt;0, "Understock","Okay")</f>
        <v>Okay</v>
      </c>
      <c r="O2079" s="13" t="str">
        <f>IF(Table2[[#This Row],[Stock Gap]]&lt;0, "Yes", "No")</f>
        <v>No</v>
      </c>
      <c r="P2079" s="13" t="str">
        <f>IF(Table2[[#This Row],[CurrentStock]]&lt;Table2[[#This Row],[ReorderLevel]],"Reorder", "Okay")</f>
        <v>Okay</v>
      </c>
      <c r="Q2079" s="13" t="str">
        <f>IF(Table2[[#This Row],[CurrentStock]]&gt;Table2[[#This Row],[ReorderLevel]]*3, "Overstock", "Okay")</f>
        <v>Overstock</v>
      </c>
    </row>
    <row r="2080" spans="1:17" x14ac:dyDescent="0.35">
      <c r="A2080">
        <v>99343</v>
      </c>
      <c r="B2080" t="s">
        <v>25</v>
      </c>
      <c r="C2080" t="s">
        <v>29</v>
      </c>
      <c r="D2080">
        <v>87</v>
      </c>
      <c r="E2080">
        <v>150</v>
      </c>
      <c r="F2080" s="2">
        <v>468.26</v>
      </c>
      <c r="G2080" t="s">
        <v>31</v>
      </c>
      <c r="H2080" s="1">
        <v>45424</v>
      </c>
      <c r="I2080" s="1">
        <v>45435</v>
      </c>
      <c r="J2080" t="s">
        <v>37</v>
      </c>
      <c r="K2080" s="8">
        <f>Table2[[#This Row],[CurrentStock]]*Table2[[#This Row],[UnitPrice]]</f>
        <v>40738.620000000003</v>
      </c>
      <c r="L2080" t="str">
        <f>IF(Table2[[#This Row],[CurrentStock]]&lt;=Table2[[#This Row],[ReorderLevel]], "Reorder Needed", "Okay")</f>
        <v>Reorder Needed</v>
      </c>
      <c r="M2080" s="7">
        <f>IF(Table2[[#This Row],[CurrentStock]]-Table2[[#This Row],[ReorderLevel]]&lt;0,Table2[[#This Row],[CurrentStock]]-Table2[[#This Row],[ReorderLevel]],"")</f>
        <v>-63</v>
      </c>
      <c r="N2080" t="str">
        <f>IF(Table2[[#This Row],[Stock Gap]]&lt;0, "Understock","Okay")</f>
        <v>Understock</v>
      </c>
      <c r="O2080" s="13" t="str">
        <f>IF(Table2[[#This Row],[Stock Gap]]&lt;0, "Yes", "No")</f>
        <v>Yes</v>
      </c>
      <c r="P2080" s="13" t="str">
        <f>IF(Table2[[#This Row],[CurrentStock]]&lt;Table2[[#This Row],[ReorderLevel]],"Reorder", "Okay")</f>
        <v>Reorder</v>
      </c>
      <c r="Q2080" s="13" t="str">
        <f>IF(Table2[[#This Row],[CurrentStock]]&gt;Table2[[#This Row],[ReorderLevel]]*3, "Overstock", "Okay")</f>
        <v>Okay</v>
      </c>
    </row>
    <row r="2081" spans="1:17" x14ac:dyDescent="0.35">
      <c r="A2081">
        <v>40875</v>
      </c>
      <c r="B2081" t="s">
        <v>25</v>
      </c>
      <c r="C2081" t="s">
        <v>29</v>
      </c>
      <c r="D2081">
        <v>34</v>
      </c>
      <c r="E2081">
        <v>30</v>
      </c>
      <c r="F2081" s="2">
        <v>406.99</v>
      </c>
      <c r="G2081" t="s">
        <v>33</v>
      </c>
      <c r="H2081" s="1">
        <v>45576</v>
      </c>
      <c r="I2081" s="1">
        <v>45582</v>
      </c>
      <c r="J2081" t="s">
        <v>36</v>
      </c>
      <c r="K2081" s="8">
        <f>Table2[[#This Row],[CurrentStock]]*Table2[[#This Row],[UnitPrice]]</f>
        <v>13837.66</v>
      </c>
      <c r="L2081" t="str">
        <f>IF(Table2[[#This Row],[CurrentStock]]&lt;=Table2[[#This Row],[ReorderLevel]], "Reorder Needed", "Okay")</f>
        <v>Okay</v>
      </c>
      <c r="M2081" t="str">
        <f>IF(Table2[[#This Row],[CurrentStock]]-Table2[[#This Row],[ReorderLevel]]&lt;0,Table2[[#This Row],[CurrentStock]]-Table2[[#This Row],[ReorderLevel]],"")</f>
        <v/>
      </c>
      <c r="N2081" t="str">
        <f>IF(Table2[[#This Row],[Stock Gap]]&lt;0, "Understock","Okay")</f>
        <v>Okay</v>
      </c>
      <c r="O2081" s="13" t="str">
        <f>IF(Table2[[#This Row],[Stock Gap]]&lt;0, "Yes", "No")</f>
        <v>No</v>
      </c>
      <c r="P2081" s="13" t="str">
        <f>IF(Table2[[#This Row],[CurrentStock]]&lt;Table2[[#This Row],[ReorderLevel]],"Reorder", "Okay")</f>
        <v>Okay</v>
      </c>
      <c r="Q2081" s="13" t="str">
        <f>IF(Table2[[#This Row],[CurrentStock]]&gt;Table2[[#This Row],[ReorderLevel]]*3, "Overstock", "Okay")</f>
        <v>Okay</v>
      </c>
    </row>
    <row r="2082" spans="1:17" x14ac:dyDescent="0.35">
      <c r="A2082">
        <v>50533</v>
      </c>
      <c r="B2082" t="s">
        <v>14</v>
      </c>
      <c r="C2082" t="s">
        <v>28</v>
      </c>
      <c r="D2082">
        <v>373</v>
      </c>
      <c r="E2082">
        <v>30</v>
      </c>
      <c r="F2082" s="2">
        <v>245.04</v>
      </c>
      <c r="G2082" t="s">
        <v>35</v>
      </c>
      <c r="H2082" s="1">
        <v>45655</v>
      </c>
      <c r="I2082" s="1">
        <v>45693</v>
      </c>
      <c r="J2082" t="s">
        <v>38</v>
      </c>
      <c r="K2082" s="8">
        <f>Table2[[#This Row],[CurrentStock]]*Table2[[#This Row],[UnitPrice]]</f>
        <v>91399.92</v>
      </c>
      <c r="L2082" t="str">
        <f>IF(Table2[[#This Row],[CurrentStock]]&lt;=Table2[[#This Row],[ReorderLevel]], "Reorder Needed", "Okay")</f>
        <v>Okay</v>
      </c>
      <c r="M2082" t="str">
        <f>IF(Table2[[#This Row],[CurrentStock]]-Table2[[#This Row],[ReorderLevel]]&lt;0,Table2[[#This Row],[CurrentStock]]-Table2[[#This Row],[ReorderLevel]],"")</f>
        <v/>
      </c>
      <c r="N2082" t="str">
        <f>IF(Table2[[#This Row],[Stock Gap]]&lt;0, "Understock","Okay")</f>
        <v>Okay</v>
      </c>
      <c r="O2082" s="13" t="str">
        <f>IF(Table2[[#This Row],[Stock Gap]]&lt;0, "Yes", "No")</f>
        <v>No</v>
      </c>
      <c r="P2082" s="13" t="str">
        <f>IF(Table2[[#This Row],[CurrentStock]]&lt;Table2[[#This Row],[ReorderLevel]],"Reorder", "Okay")</f>
        <v>Okay</v>
      </c>
      <c r="Q2082" s="13" t="str">
        <f>IF(Table2[[#This Row],[CurrentStock]]&gt;Table2[[#This Row],[ReorderLevel]]*3, "Overstock", "Okay")</f>
        <v>Overstock</v>
      </c>
    </row>
    <row r="2083" spans="1:17" x14ac:dyDescent="0.35">
      <c r="A2083">
        <v>24538</v>
      </c>
      <c r="B2083" t="s">
        <v>25</v>
      </c>
      <c r="C2083" t="s">
        <v>29</v>
      </c>
      <c r="D2083">
        <v>457</v>
      </c>
      <c r="E2083">
        <v>30</v>
      </c>
      <c r="F2083" s="2">
        <v>33.299999999999997</v>
      </c>
      <c r="G2083" t="s">
        <v>33</v>
      </c>
      <c r="H2083" s="1">
        <v>45504</v>
      </c>
      <c r="I2083" s="1">
        <v>45521</v>
      </c>
      <c r="J2083" t="s">
        <v>38</v>
      </c>
      <c r="K2083" s="8">
        <f>Table2[[#This Row],[CurrentStock]]*Table2[[#This Row],[UnitPrice]]</f>
        <v>15218.099999999999</v>
      </c>
      <c r="L2083" t="str">
        <f>IF(Table2[[#This Row],[CurrentStock]]&lt;=Table2[[#This Row],[ReorderLevel]], "Reorder Needed", "Okay")</f>
        <v>Okay</v>
      </c>
      <c r="M2083" t="str">
        <f>IF(Table2[[#This Row],[CurrentStock]]-Table2[[#This Row],[ReorderLevel]]&lt;0,Table2[[#This Row],[CurrentStock]]-Table2[[#This Row],[ReorderLevel]],"")</f>
        <v/>
      </c>
      <c r="N2083" t="str">
        <f>IF(Table2[[#This Row],[Stock Gap]]&lt;0, "Understock","Okay")</f>
        <v>Okay</v>
      </c>
      <c r="O2083" s="13" t="str">
        <f>IF(Table2[[#This Row],[Stock Gap]]&lt;0, "Yes", "No")</f>
        <v>No</v>
      </c>
      <c r="P2083" s="13" t="str">
        <f>IF(Table2[[#This Row],[CurrentStock]]&lt;Table2[[#This Row],[ReorderLevel]],"Reorder", "Okay")</f>
        <v>Okay</v>
      </c>
      <c r="Q2083" s="13" t="str">
        <f>IF(Table2[[#This Row],[CurrentStock]]&gt;Table2[[#This Row],[ReorderLevel]]*3, "Overstock", "Okay")</f>
        <v>Overstock</v>
      </c>
    </row>
    <row r="2084" spans="1:17" x14ac:dyDescent="0.35">
      <c r="A2084">
        <v>54191</v>
      </c>
      <c r="B2084" t="s">
        <v>11</v>
      </c>
      <c r="C2084" t="s">
        <v>27</v>
      </c>
      <c r="D2084">
        <v>361</v>
      </c>
      <c r="E2084">
        <v>40</v>
      </c>
      <c r="F2084" s="2">
        <v>107.52</v>
      </c>
      <c r="G2084" t="s">
        <v>34</v>
      </c>
      <c r="H2084" s="1">
        <v>45452</v>
      </c>
      <c r="I2084" s="1">
        <v>45464</v>
      </c>
      <c r="J2084" t="s">
        <v>38</v>
      </c>
      <c r="K2084" s="8">
        <f>Table2[[#This Row],[CurrentStock]]*Table2[[#This Row],[UnitPrice]]</f>
        <v>38814.720000000001</v>
      </c>
      <c r="L2084" t="str">
        <f>IF(Table2[[#This Row],[CurrentStock]]&lt;=Table2[[#This Row],[ReorderLevel]], "Reorder Needed", "Okay")</f>
        <v>Okay</v>
      </c>
      <c r="M2084" t="str">
        <f>IF(Table2[[#This Row],[CurrentStock]]-Table2[[#This Row],[ReorderLevel]]&lt;0,Table2[[#This Row],[CurrentStock]]-Table2[[#This Row],[ReorderLevel]],"")</f>
        <v/>
      </c>
      <c r="N2084" t="str">
        <f>IF(Table2[[#This Row],[Stock Gap]]&lt;0, "Understock","Okay")</f>
        <v>Okay</v>
      </c>
      <c r="O2084" s="13" t="str">
        <f>IF(Table2[[#This Row],[Stock Gap]]&lt;0, "Yes", "No")</f>
        <v>No</v>
      </c>
      <c r="P2084" s="13" t="str">
        <f>IF(Table2[[#This Row],[CurrentStock]]&lt;Table2[[#This Row],[ReorderLevel]],"Reorder", "Okay")</f>
        <v>Okay</v>
      </c>
      <c r="Q2084" s="13" t="str">
        <f>IF(Table2[[#This Row],[CurrentStock]]&gt;Table2[[#This Row],[ReorderLevel]]*3, "Overstock", "Okay")</f>
        <v>Overstock</v>
      </c>
    </row>
    <row r="2085" spans="1:17" x14ac:dyDescent="0.35">
      <c r="A2085">
        <v>89946</v>
      </c>
      <c r="B2085" t="s">
        <v>24</v>
      </c>
      <c r="C2085" t="s">
        <v>30</v>
      </c>
      <c r="D2085">
        <v>105</v>
      </c>
      <c r="E2085">
        <v>150</v>
      </c>
      <c r="F2085" s="2">
        <v>59.62</v>
      </c>
      <c r="G2085" t="s">
        <v>32</v>
      </c>
      <c r="H2085" s="1">
        <v>45568</v>
      </c>
      <c r="I2085" s="1">
        <v>45604</v>
      </c>
      <c r="J2085" t="s">
        <v>38</v>
      </c>
      <c r="K2085" s="8">
        <f>Table2[[#This Row],[CurrentStock]]*Table2[[#This Row],[UnitPrice]]</f>
        <v>6260.0999999999995</v>
      </c>
      <c r="L2085" t="str">
        <f>IF(Table2[[#This Row],[CurrentStock]]&lt;=Table2[[#This Row],[ReorderLevel]], "Reorder Needed", "Okay")</f>
        <v>Reorder Needed</v>
      </c>
      <c r="M2085" s="7">
        <f>IF(Table2[[#This Row],[CurrentStock]]-Table2[[#This Row],[ReorderLevel]]&lt;0,Table2[[#This Row],[CurrentStock]]-Table2[[#This Row],[ReorderLevel]],"")</f>
        <v>-45</v>
      </c>
      <c r="N2085" t="str">
        <f>IF(Table2[[#This Row],[Stock Gap]]&lt;0, "Understock","Okay")</f>
        <v>Understock</v>
      </c>
      <c r="O2085" s="13" t="str">
        <f>IF(Table2[[#This Row],[Stock Gap]]&lt;0, "Yes", "No")</f>
        <v>Yes</v>
      </c>
      <c r="P2085" s="13" t="str">
        <f>IF(Table2[[#This Row],[CurrentStock]]&lt;Table2[[#This Row],[ReorderLevel]],"Reorder", "Okay")</f>
        <v>Reorder</v>
      </c>
      <c r="Q2085" s="13" t="str">
        <f>IF(Table2[[#This Row],[CurrentStock]]&gt;Table2[[#This Row],[ReorderLevel]]*3, "Overstock", "Okay")</f>
        <v>Okay</v>
      </c>
    </row>
    <row r="2086" spans="1:17" x14ac:dyDescent="0.35">
      <c r="A2086">
        <v>93247</v>
      </c>
      <c r="B2086" t="s">
        <v>14</v>
      </c>
      <c r="C2086" t="s">
        <v>28</v>
      </c>
      <c r="D2086">
        <v>481</v>
      </c>
      <c r="E2086">
        <v>80</v>
      </c>
      <c r="F2086" s="2">
        <v>490.9</v>
      </c>
      <c r="G2086" t="s">
        <v>31</v>
      </c>
      <c r="H2086" s="1">
        <v>45625</v>
      </c>
      <c r="I2086" s="1">
        <v>45654</v>
      </c>
      <c r="J2086" t="s">
        <v>36</v>
      </c>
      <c r="K2086" s="8">
        <f>Table2[[#This Row],[CurrentStock]]*Table2[[#This Row],[UnitPrice]]</f>
        <v>236122.9</v>
      </c>
      <c r="L2086" t="str">
        <f>IF(Table2[[#This Row],[CurrentStock]]&lt;=Table2[[#This Row],[ReorderLevel]], "Reorder Needed", "Okay")</f>
        <v>Okay</v>
      </c>
      <c r="M2086" t="str">
        <f>IF(Table2[[#This Row],[CurrentStock]]-Table2[[#This Row],[ReorderLevel]]&lt;0,Table2[[#This Row],[CurrentStock]]-Table2[[#This Row],[ReorderLevel]],"")</f>
        <v/>
      </c>
      <c r="N2086" t="str">
        <f>IF(Table2[[#This Row],[Stock Gap]]&lt;0, "Understock","Okay")</f>
        <v>Okay</v>
      </c>
      <c r="O2086" s="13" t="str">
        <f>IF(Table2[[#This Row],[Stock Gap]]&lt;0, "Yes", "No")</f>
        <v>No</v>
      </c>
      <c r="P2086" s="13" t="str">
        <f>IF(Table2[[#This Row],[CurrentStock]]&lt;Table2[[#This Row],[ReorderLevel]],"Reorder", "Okay")</f>
        <v>Okay</v>
      </c>
      <c r="Q2086" s="13" t="str">
        <f>IF(Table2[[#This Row],[CurrentStock]]&gt;Table2[[#This Row],[ReorderLevel]]*3, "Overstock", "Okay")</f>
        <v>Overstock</v>
      </c>
    </row>
    <row r="2087" spans="1:17" x14ac:dyDescent="0.35">
      <c r="A2087">
        <v>98232</v>
      </c>
      <c r="B2087" t="s">
        <v>16</v>
      </c>
      <c r="C2087" t="s">
        <v>29</v>
      </c>
      <c r="D2087">
        <v>165</v>
      </c>
      <c r="E2087">
        <v>150</v>
      </c>
      <c r="F2087" s="2">
        <v>469.49</v>
      </c>
      <c r="G2087" t="s">
        <v>32</v>
      </c>
      <c r="H2087" s="1">
        <v>45328</v>
      </c>
      <c r="I2087" s="1">
        <v>45338</v>
      </c>
      <c r="J2087" t="s">
        <v>36</v>
      </c>
      <c r="K2087" s="8">
        <f>Table2[[#This Row],[CurrentStock]]*Table2[[#This Row],[UnitPrice]]</f>
        <v>77465.850000000006</v>
      </c>
      <c r="L2087" t="str">
        <f>IF(Table2[[#This Row],[CurrentStock]]&lt;=Table2[[#This Row],[ReorderLevel]], "Reorder Needed", "Okay")</f>
        <v>Okay</v>
      </c>
      <c r="M2087" t="str">
        <f>IF(Table2[[#This Row],[CurrentStock]]-Table2[[#This Row],[ReorderLevel]]&lt;0,Table2[[#This Row],[CurrentStock]]-Table2[[#This Row],[ReorderLevel]],"")</f>
        <v/>
      </c>
      <c r="N2087" t="str">
        <f>IF(Table2[[#This Row],[Stock Gap]]&lt;0, "Understock","Okay")</f>
        <v>Okay</v>
      </c>
      <c r="O2087" s="13" t="str">
        <f>IF(Table2[[#This Row],[Stock Gap]]&lt;0, "Yes", "No")</f>
        <v>No</v>
      </c>
      <c r="P2087" s="13" t="str">
        <f>IF(Table2[[#This Row],[CurrentStock]]&lt;Table2[[#This Row],[ReorderLevel]],"Reorder", "Okay")</f>
        <v>Okay</v>
      </c>
      <c r="Q2087" s="13" t="str">
        <f>IF(Table2[[#This Row],[CurrentStock]]&gt;Table2[[#This Row],[ReorderLevel]]*3, "Overstock", "Okay")</f>
        <v>Okay</v>
      </c>
    </row>
    <row r="2088" spans="1:17" x14ac:dyDescent="0.35">
      <c r="A2088">
        <v>34336</v>
      </c>
      <c r="B2088" t="s">
        <v>22</v>
      </c>
      <c r="C2088" t="s">
        <v>29</v>
      </c>
      <c r="D2088">
        <v>498</v>
      </c>
      <c r="E2088">
        <v>50</v>
      </c>
      <c r="F2088" s="2">
        <v>247.57</v>
      </c>
      <c r="G2088" t="s">
        <v>34</v>
      </c>
      <c r="H2088" s="1">
        <v>45433</v>
      </c>
      <c r="I2088" s="1">
        <v>45438</v>
      </c>
      <c r="J2088" t="s">
        <v>37</v>
      </c>
      <c r="K2088" s="8">
        <f>Table2[[#This Row],[CurrentStock]]*Table2[[#This Row],[UnitPrice]]</f>
        <v>123289.86</v>
      </c>
      <c r="L2088" t="str">
        <f>IF(Table2[[#This Row],[CurrentStock]]&lt;=Table2[[#This Row],[ReorderLevel]], "Reorder Needed", "Okay")</f>
        <v>Okay</v>
      </c>
      <c r="M2088" t="str">
        <f>IF(Table2[[#This Row],[CurrentStock]]-Table2[[#This Row],[ReorderLevel]]&lt;0,Table2[[#This Row],[CurrentStock]]-Table2[[#This Row],[ReorderLevel]],"")</f>
        <v/>
      </c>
      <c r="N2088" t="str">
        <f>IF(Table2[[#This Row],[Stock Gap]]&lt;0, "Understock","Okay")</f>
        <v>Okay</v>
      </c>
      <c r="O2088" s="13" t="str">
        <f>IF(Table2[[#This Row],[Stock Gap]]&lt;0, "Yes", "No")</f>
        <v>No</v>
      </c>
      <c r="P2088" s="13" t="str">
        <f>IF(Table2[[#This Row],[CurrentStock]]&lt;Table2[[#This Row],[ReorderLevel]],"Reorder", "Okay")</f>
        <v>Okay</v>
      </c>
      <c r="Q2088" s="13" t="str">
        <f>IF(Table2[[#This Row],[CurrentStock]]&gt;Table2[[#This Row],[ReorderLevel]]*3, "Overstock", "Okay")</f>
        <v>Overstock</v>
      </c>
    </row>
    <row r="2089" spans="1:17" x14ac:dyDescent="0.35">
      <c r="A2089">
        <v>36447</v>
      </c>
      <c r="B2089" t="s">
        <v>25</v>
      </c>
      <c r="C2089" t="s">
        <v>29</v>
      </c>
      <c r="D2089">
        <v>117</v>
      </c>
      <c r="E2089">
        <v>80</v>
      </c>
      <c r="F2089" s="2">
        <v>223.55</v>
      </c>
      <c r="G2089" t="s">
        <v>32</v>
      </c>
      <c r="H2089" s="1">
        <v>45427</v>
      </c>
      <c r="I2089" s="1">
        <v>45461</v>
      </c>
      <c r="J2089" t="s">
        <v>36</v>
      </c>
      <c r="K2089" s="8">
        <f>Table2[[#This Row],[CurrentStock]]*Table2[[#This Row],[UnitPrice]]</f>
        <v>26155.350000000002</v>
      </c>
      <c r="L2089" t="str">
        <f>IF(Table2[[#This Row],[CurrentStock]]&lt;=Table2[[#This Row],[ReorderLevel]], "Reorder Needed", "Okay")</f>
        <v>Okay</v>
      </c>
      <c r="M2089" t="str">
        <f>IF(Table2[[#This Row],[CurrentStock]]-Table2[[#This Row],[ReorderLevel]]&lt;0,Table2[[#This Row],[CurrentStock]]-Table2[[#This Row],[ReorderLevel]],"")</f>
        <v/>
      </c>
      <c r="N2089" t="str">
        <f>IF(Table2[[#This Row],[Stock Gap]]&lt;0, "Understock","Okay")</f>
        <v>Okay</v>
      </c>
      <c r="O2089" s="13" t="str">
        <f>IF(Table2[[#This Row],[Stock Gap]]&lt;0, "Yes", "No")</f>
        <v>No</v>
      </c>
      <c r="P2089" s="13" t="str">
        <f>IF(Table2[[#This Row],[CurrentStock]]&lt;Table2[[#This Row],[ReorderLevel]],"Reorder", "Okay")</f>
        <v>Okay</v>
      </c>
      <c r="Q2089" s="13" t="str">
        <f>IF(Table2[[#This Row],[CurrentStock]]&gt;Table2[[#This Row],[ReorderLevel]]*3, "Overstock", "Okay")</f>
        <v>Okay</v>
      </c>
    </row>
    <row r="2090" spans="1:17" x14ac:dyDescent="0.35">
      <c r="A2090">
        <v>26945</v>
      </c>
      <c r="B2090" t="s">
        <v>24</v>
      </c>
      <c r="C2090" t="s">
        <v>30</v>
      </c>
      <c r="D2090">
        <v>428</v>
      </c>
      <c r="E2090">
        <v>40</v>
      </c>
      <c r="F2090" s="2">
        <v>28.44</v>
      </c>
      <c r="G2090" t="s">
        <v>34</v>
      </c>
      <c r="H2090" s="1">
        <v>45615</v>
      </c>
      <c r="I2090" s="1">
        <v>45638</v>
      </c>
      <c r="J2090" t="s">
        <v>38</v>
      </c>
      <c r="K2090" s="8">
        <f>Table2[[#This Row],[CurrentStock]]*Table2[[#This Row],[UnitPrice]]</f>
        <v>12172.32</v>
      </c>
      <c r="L2090" t="str">
        <f>IF(Table2[[#This Row],[CurrentStock]]&lt;=Table2[[#This Row],[ReorderLevel]], "Reorder Needed", "Okay")</f>
        <v>Okay</v>
      </c>
      <c r="M2090" t="str">
        <f>IF(Table2[[#This Row],[CurrentStock]]-Table2[[#This Row],[ReorderLevel]]&lt;0,Table2[[#This Row],[CurrentStock]]-Table2[[#This Row],[ReorderLevel]],"")</f>
        <v/>
      </c>
      <c r="N2090" t="str">
        <f>IF(Table2[[#This Row],[Stock Gap]]&lt;0, "Understock","Okay")</f>
        <v>Okay</v>
      </c>
      <c r="O2090" s="13" t="str">
        <f>IF(Table2[[#This Row],[Stock Gap]]&lt;0, "Yes", "No")</f>
        <v>No</v>
      </c>
      <c r="P2090" s="13" t="str">
        <f>IF(Table2[[#This Row],[CurrentStock]]&lt;Table2[[#This Row],[ReorderLevel]],"Reorder", "Okay")</f>
        <v>Okay</v>
      </c>
      <c r="Q2090" s="13" t="str">
        <f>IF(Table2[[#This Row],[CurrentStock]]&gt;Table2[[#This Row],[ReorderLevel]]*3, "Overstock", "Okay")</f>
        <v>Overstock</v>
      </c>
    </row>
    <row r="2091" spans="1:17" x14ac:dyDescent="0.35">
      <c r="A2091">
        <v>45449</v>
      </c>
      <c r="B2091" t="s">
        <v>19</v>
      </c>
      <c r="C2091" t="s">
        <v>28</v>
      </c>
      <c r="D2091">
        <v>478</v>
      </c>
      <c r="E2091">
        <v>50</v>
      </c>
      <c r="F2091" s="2">
        <v>243.82</v>
      </c>
      <c r="G2091" t="s">
        <v>32</v>
      </c>
      <c r="H2091" s="1">
        <v>45330</v>
      </c>
      <c r="I2091" s="1">
        <v>45341</v>
      </c>
      <c r="J2091" t="s">
        <v>37</v>
      </c>
      <c r="K2091" s="8">
        <f>Table2[[#This Row],[CurrentStock]]*Table2[[#This Row],[UnitPrice]]</f>
        <v>116545.95999999999</v>
      </c>
      <c r="L2091" t="str">
        <f>IF(Table2[[#This Row],[CurrentStock]]&lt;=Table2[[#This Row],[ReorderLevel]], "Reorder Needed", "Okay")</f>
        <v>Okay</v>
      </c>
      <c r="M2091" t="str">
        <f>IF(Table2[[#This Row],[CurrentStock]]-Table2[[#This Row],[ReorderLevel]]&lt;0,Table2[[#This Row],[CurrentStock]]-Table2[[#This Row],[ReorderLevel]],"")</f>
        <v/>
      </c>
      <c r="N2091" t="str">
        <f>IF(Table2[[#This Row],[Stock Gap]]&lt;0, "Understock","Okay")</f>
        <v>Okay</v>
      </c>
      <c r="O2091" s="13" t="str">
        <f>IF(Table2[[#This Row],[Stock Gap]]&lt;0, "Yes", "No")</f>
        <v>No</v>
      </c>
      <c r="P2091" s="13" t="str">
        <f>IF(Table2[[#This Row],[CurrentStock]]&lt;Table2[[#This Row],[ReorderLevel]],"Reorder", "Okay")</f>
        <v>Okay</v>
      </c>
      <c r="Q2091" s="13" t="str">
        <f>IF(Table2[[#This Row],[CurrentStock]]&gt;Table2[[#This Row],[ReorderLevel]]*3, "Overstock", "Okay")</f>
        <v>Overstock</v>
      </c>
    </row>
    <row r="2092" spans="1:17" x14ac:dyDescent="0.35">
      <c r="A2092">
        <v>28706</v>
      </c>
      <c r="B2092" t="s">
        <v>15</v>
      </c>
      <c r="C2092" t="s">
        <v>29</v>
      </c>
      <c r="D2092">
        <v>214</v>
      </c>
      <c r="E2092">
        <v>50</v>
      </c>
      <c r="F2092" s="2">
        <v>282.01</v>
      </c>
      <c r="G2092" t="s">
        <v>33</v>
      </c>
      <c r="H2092" s="1">
        <v>45316</v>
      </c>
      <c r="I2092" s="1">
        <v>45348</v>
      </c>
      <c r="J2092" t="s">
        <v>38</v>
      </c>
      <c r="K2092" s="8">
        <f>Table2[[#This Row],[CurrentStock]]*Table2[[#This Row],[UnitPrice]]</f>
        <v>60350.14</v>
      </c>
      <c r="L2092" t="str">
        <f>IF(Table2[[#This Row],[CurrentStock]]&lt;=Table2[[#This Row],[ReorderLevel]], "Reorder Needed", "Okay")</f>
        <v>Okay</v>
      </c>
      <c r="M2092" t="str">
        <f>IF(Table2[[#This Row],[CurrentStock]]-Table2[[#This Row],[ReorderLevel]]&lt;0,Table2[[#This Row],[CurrentStock]]-Table2[[#This Row],[ReorderLevel]],"")</f>
        <v/>
      </c>
      <c r="N2092" t="str">
        <f>IF(Table2[[#This Row],[Stock Gap]]&lt;0, "Understock","Okay")</f>
        <v>Okay</v>
      </c>
      <c r="O2092" s="13" t="str">
        <f>IF(Table2[[#This Row],[Stock Gap]]&lt;0, "Yes", "No")</f>
        <v>No</v>
      </c>
      <c r="P2092" s="13" t="str">
        <f>IF(Table2[[#This Row],[CurrentStock]]&lt;Table2[[#This Row],[ReorderLevel]],"Reorder", "Okay")</f>
        <v>Okay</v>
      </c>
      <c r="Q2092" s="13" t="str">
        <f>IF(Table2[[#This Row],[CurrentStock]]&gt;Table2[[#This Row],[ReorderLevel]]*3, "Overstock", "Okay")</f>
        <v>Overstock</v>
      </c>
    </row>
    <row r="2093" spans="1:17" x14ac:dyDescent="0.35">
      <c r="A2093">
        <v>37924</v>
      </c>
      <c r="B2093" t="s">
        <v>17</v>
      </c>
      <c r="C2093" t="s">
        <v>27</v>
      </c>
      <c r="D2093">
        <v>65</v>
      </c>
      <c r="E2093">
        <v>150</v>
      </c>
      <c r="F2093" s="2">
        <v>82.08</v>
      </c>
      <c r="G2093" t="s">
        <v>33</v>
      </c>
      <c r="H2093" s="1">
        <v>45437</v>
      </c>
      <c r="I2093" s="1">
        <v>45442</v>
      </c>
      <c r="J2093" t="s">
        <v>38</v>
      </c>
      <c r="K2093" s="8">
        <f>Table2[[#This Row],[CurrentStock]]*Table2[[#This Row],[UnitPrice]]</f>
        <v>5335.2</v>
      </c>
      <c r="L2093" t="str">
        <f>IF(Table2[[#This Row],[CurrentStock]]&lt;=Table2[[#This Row],[ReorderLevel]], "Reorder Needed", "Okay")</f>
        <v>Reorder Needed</v>
      </c>
      <c r="M2093" s="7">
        <f>IF(Table2[[#This Row],[CurrentStock]]-Table2[[#This Row],[ReorderLevel]]&lt;0,Table2[[#This Row],[CurrentStock]]-Table2[[#This Row],[ReorderLevel]],"")</f>
        <v>-85</v>
      </c>
      <c r="N2093" t="str">
        <f>IF(Table2[[#This Row],[Stock Gap]]&lt;0, "Understock","Okay")</f>
        <v>Understock</v>
      </c>
      <c r="O2093" s="13" t="str">
        <f>IF(Table2[[#This Row],[Stock Gap]]&lt;0, "Yes", "No")</f>
        <v>Yes</v>
      </c>
      <c r="P2093" s="13" t="str">
        <f>IF(Table2[[#This Row],[CurrentStock]]&lt;Table2[[#This Row],[ReorderLevel]],"Reorder", "Okay")</f>
        <v>Reorder</v>
      </c>
      <c r="Q2093" s="13" t="str">
        <f>IF(Table2[[#This Row],[CurrentStock]]&gt;Table2[[#This Row],[ReorderLevel]]*3, "Overstock", "Okay")</f>
        <v>Okay</v>
      </c>
    </row>
    <row r="2094" spans="1:17" x14ac:dyDescent="0.35">
      <c r="A2094">
        <v>82575</v>
      </c>
      <c r="B2094" t="s">
        <v>14</v>
      </c>
      <c r="C2094" t="s">
        <v>28</v>
      </c>
      <c r="D2094">
        <v>110</v>
      </c>
      <c r="E2094">
        <v>80</v>
      </c>
      <c r="F2094" s="2">
        <v>393.57</v>
      </c>
      <c r="G2094" t="s">
        <v>35</v>
      </c>
      <c r="H2094" s="1">
        <v>45449</v>
      </c>
      <c r="I2094" s="1">
        <v>45477</v>
      </c>
      <c r="J2094" t="s">
        <v>37</v>
      </c>
      <c r="K2094" s="8">
        <f>Table2[[#This Row],[CurrentStock]]*Table2[[#This Row],[UnitPrice]]</f>
        <v>43292.7</v>
      </c>
      <c r="L2094" t="str">
        <f>IF(Table2[[#This Row],[CurrentStock]]&lt;=Table2[[#This Row],[ReorderLevel]], "Reorder Needed", "Okay")</f>
        <v>Okay</v>
      </c>
      <c r="M2094" t="str">
        <f>IF(Table2[[#This Row],[CurrentStock]]-Table2[[#This Row],[ReorderLevel]]&lt;0,Table2[[#This Row],[CurrentStock]]-Table2[[#This Row],[ReorderLevel]],"")</f>
        <v/>
      </c>
      <c r="N2094" t="str">
        <f>IF(Table2[[#This Row],[Stock Gap]]&lt;0, "Understock","Okay")</f>
        <v>Okay</v>
      </c>
      <c r="O2094" s="13" t="str">
        <f>IF(Table2[[#This Row],[Stock Gap]]&lt;0, "Yes", "No")</f>
        <v>No</v>
      </c>
      <c r="P2094" s="13" t="str">
        <f>IF(Table2[[#This Row],[CurrentStock]]&lt;Table2[[#This Row],[ReorderLevel]],"Reorder", "Okay")</f>
        <v>Okay</v>
      </c>
      <c r="Q2094" s="13" t="str">
        <f>IF(Table2[[#This Row],[CurrentStock]]&gt;Table2[[#This Row],[ReorderLevel]]*3, "Overstock", "Okay")</f>
        <v>Okay</v>
      </c>
    </row>
    <row r="2095" spans="1:17" x14ac:dyDescent="0.35">
      <c r="A2095">
        <v>10360</v>
      </c>
      <c r="B2095" t="s">
        <v>13</v>
      </c>
      <c r="C2095" t="s">
        <v>26</v>
      </c>
      <c r="D2095">
        <v>358</v>
      </c>
      <c r="E2095">
        <v>40</v>
      </c>
      <c r="F2095" s="2">
        <v>100.03</v>
      </c>
      <c r="G2095" t="s">
        <v>34</v>
      </c>
      <c r="H2095" s="1">
        <v>45455</v>
      </c>
      <c r="I2095" s="1">
        <v>45472</v>
      </c>
      <c r="J2095" t="s">
        <v>37</v>
      </c>
      <c r="K2095" s="8">
        <f>Table2[[#This Row],[CurrentStock]]*Table2[[#This Row],[UnitPrice]]</f>
        <v>35810.74</v>
      </c>
      <c r="L2095" t="str">
        <f>IF(Table2[[#This Row],[CurrentStock]]&lt;=Table2[[#This Row],[ReorderLevel]], "Reorder Needed", "Okay")</f>
        <v>Okay</v>
      </c>
      <c r="M2095" t="str">
        <f>IF(Table2[[#This Row],[CurrentStock]]-Table2[[#This Row],[ReorderLevel]]&lt;0,Table2[[#This Row],[CurrentStock]]-Table2[[#This Row],[ReorderLevel]],"")</f>
        <v/>
      </c>
      <c r="N2095" t="str">
        <f>IF(Table2[[#This Row],[Stock Gap]]&lt;0, "Understock","Okay")</f>
        <v>Okay</v>
      </c>
      <c r="O2095" s="13" t="str">
        <f>IF(Table2[[#This Row],[Stock Gap]]&lt;0, "Yes", "No")</f>
        <v>No</v>
      </c>
      <c r="P2095" s="13" t="str">
        <f>IF(Table2[[#This Row],[CurrentStock]]&lt;Table2[[#This Row],[ReorderLevel]],"Reorder", "Okay")</f>
        <v>Okay</v>
      </c>
      <c r="Q2095" s="13" t="str">
        <f>IF(Table2[[#This Row],[CurrentStock]]&gt;Table2[[#This Row],[ReorderLevel]]*3, "Overstock", "Okay")</f>
        <v>Overstock</v>
      </c>
    </row>
    <row r="2096" spans="1:17" x14ac:dyDescent="0.35">
      <c r="A2096">
        <v>80655</v>
      </c>
      <c r="B2096" t="s">
        <v>15</v>
      </c>
      <c r="C2096" t="s">
        <v>29</v>
      </c>
      <c r="D2096">
        <v>194</v>
      </c>
      <c r="E2096">
        <v>20</v>
      </c>
      <c r="F2096" s="2">
        <v>48.82</v>
      </c>
      <c r="G2096" t="s">
        <v>33</v>
      </c>
      <c r="H2096" s="1">
        <v>45512</v>
      </c>
      <c r="I2096" s="1">
        <v>45527</v>
      </c>
      <c r="J2096" t="s">
        <v>37</v>
      </c>
      <c r="K2096" s="8">
        <f>Table2[[#This Row],[CurrentStock]]*Table2[[#This Row],[UnitPrice]]</f>
        <v>9471.08</v>
      </c>
      <c r="L2096" t="str">
        <f>IF(Table2[[#This Row],[CurrentStock]]&lt;=Table2[[#This Row],[ReorderLevel]], "Reorder Needed", "Okay")</f>
        <v>Okay</v>
      </c>
      <c r="M2096" t="str">
        <f>IF(Table2[[#This Row],[CurrentStock]]-Table2[[#This Row],[ReorderLevel]]&lt;0,Table2[[#This Row],[CurrentStock]]-Table2[[#This Row],[ReorderLevel]],"")</f>
        <v/>
      </c>
      <c r="N2096" t="str">
        <f>IF(Table2[[#This Row],[Stock Gap]]&lt;0, "Understock","Okay")</f>
        <v>Okay</v>
      </c>
      <c r="O2096" s="13" t="str">
        <f>IF(Table2[[#This Row],[Stock Gap]]&lt;0, "Yes", "No")</f>
        <v>No</v>
      </c>
      <c r="P2096" s="13" t="str">
        <f>IF(Table2[[#This Row],[CurrentStock]]&lt;Table2[[#This Row],[ReorderLevel]],"Reorder", "Okay")</f>
        <v>Okay</v>
      </c>
      <c r="Q2096" s="13" t="str">
        <f>IF(Table2[[#This Row],[CurrentStock]]&gt;Table2[[#This Row],[ReorderLevel]]*3, "Overstock", "Okay")</f>
        <v>Overstock</v>
      </c>
    </row>
    <row r="2097" spans="1:17" x14ac:dyDescent="0.35">
      <c r="A2097">
        <v>45081</v>
      </c>
      <c r="B2097" t="s">
        <v>17</v>
      </c>
      <c r="C2097" t="s">
        <v>27</v>
      </c>
      <c r="D2097">
        <v>153</v>
      </c>
      <c r="E2097">
        <v>80</v>
      </c>
      <c r="F2097" s="2">
        <v>404</v>
      </c>
      <c r="G2097" t="s">
        <v>32</v>
      </c>
      <c r="H2097" s="1">
        <v>45322</v>
      </c>
      <c r="I2097" s="1">
        <v>45357</v>
      </c>
      <c r="J2097" t="s">
        <v>36</v>
      </c>
      <c r="K2097" s="8">
        <f>Table2[[#This Row],[CurrentStock]]*Table2[[#This Row],[UnitPrice]]</f>
        <v>61812</v>
      </c>
      <c r="L2097" t="str">
        <f>IF(Table2[[#This Row],[CurrentStock]]&lt;=Table2[[#This Row],[ReorderLevel]], "Reorder Needed", "Okay")</f>
        <v>Okay</v>
      </c>
      <c r="M2097" t="str">
        <f>IF(Table2[[#This Row],[CurrentStock]]-Table2[[#This Row],[ReorderLevel]]&lt;0,Table2[[#This Row],[CurrentStock]]-Table2[[#This Row],[ReorderLevel]],"")</f>
        <v/>
      </c>
      <c r="N2097" t="str">
        <f>IF(Table2[[#This Row],[Stock Gap]]&lt;0, "Understock","Okay")</f>
        <v>Okay</v>
      </c>
      <c r="O2097" s="13" t="str">
        <f>IF(Table2[[#This Row],[Stock Gap]]&lt;0, "Yes", "No")</f>
        <v>No</v>
      </c>
      <c r="P2097" s="13" t="str">
        <f>IF(Table2[[#This Row],[CurrentStock]]&lt;Table2[[#This Row],[ReorderLevel]],"Reorder", "Okay")</f>
        <v>Okay</v>
      </c>
      <c r="Q2097" s="13" t="str">
        <f>IF(Table2[[#This Row],[CurrentStock]]&gt;Table2[[#This Row],[ReorderLevel]]*3, "Overstock", "Okay")</f>
        <v>Okay</v>
      </c>
    </row>
    <row r="2098" spans="1:17" x14ac:dyDescent="0.35">
      <c r="A2098">
        <v>22427</v>
      </c>
      <c r="B2098" t="s">
        <v>13</v>
      </c>
      <c r="C2098" t="s">
        <v>26</v>
      </c>
      <c r="D2098">
        <v>200</v>
      </c>
      <c r="E2098">
        <v>150</v>
      </c>
      <c r="F2098" s="2">
        <v>485.9</v>
      </c>
      <c r="G2098" t="s">
        <v>33</v>
      </c>
      <c r="H2098" s="1">
        <v>45381</v>
      </c>
      <c r="I2098" s="1">
        <v>45409</v>
      </c>
      <c r="J2098" t="s">
        <v>38</v>
      </c>
      <c r="K2098" s="8">
        <f>Table2[[#This Row],[CurrentStock]]*Table2[[#This Row],[UnitPrice]]</f>
        <v>97180</v>
      </c>
      <c r="L2098" t="str">
        <f>IF(Table2[[#This Row],[CurrentStock]]&lt;=Table2[[#This Row],[ReorderLevel]], "Reorder Needed", "Okay")</f>
        <v>Okay</v>
      </c>
      <c r="M2098" t="str">
        <f>IF(Table2[[#This Row],[CurrentStock]]-Table2[[#This Row],[ReorderLevel]]&lt;0,Table2[[#This Row],[CurrentStock]]-Table2[[#This Row],[ReorderLevel]],"")</f>
        <v/>
      </c>
      <c r="N2098" t="str">
        <f>IF(Table2[[#This Row],[Stock Gap]]&lt;0, "Understock","Okay")</f>
        <v>Okay</v>
      </c>
      <c r="O2098" s="13" t="str">
        <f>IF(Table2[[#This Row],[Stock Gap]]&lt;0, "Yes", "No")</f>
        <v>No</v>
      </c>
      <c r="P2098" s="13" t="str">
        <f>IF(Table2[[#This Row],[CurrentStock]]&lt;Table2[[#This Row],[ReorderLevel]],"Reorder", "Okay")</f>
        <v>Okay</v>
      </c>
      <c r="Q2098" s="13" t="str">
        <f>IF(Table2[[#This Row],[CurrentStock]]&gt;Table2[[#This Row],[ReorderLevel]]*3, "Overstock", "Okay")</f>
        <v>Okay</v>
      </c>
    </row>
    <row r="2099" spans="1:17" x14ac:dyDescent="0.35">
      <c r="A2099">
        <v>83586</v>
      </c>
      <c r="B2099" t="s">
        <v>16</v>
      </c>
      <c r="C2099" t="s">
        <v>29</v>
      </c>
      <c r="D2099">
        <v>466</v>
      </c>
      <c r="E2099">
        <v>150</v>
      </c>
      <c r="F2099" s="2">
        <v>97.48</v>
      </c>
      <c r="G2099" t="s">
        <v>33</v>
      </c>
      <c r="H2099" s="1">
        <v>45643</v>
      </c>
      <c r="I2099" s="1">
        <v>45667</v>
      </c>
      <c r="J2099" t="s">
        <v>38</v>
      </c>
      <c r="K2099" s="8">
        <f>Table2[[#This Row],[CurrentStock]]*Table2[[#This Row],[UnitPrice]]</f>
        <v>45425.68</v>
      </c>
      <c r="L2099" t="str">
        <f>IF(Table2[[#This Row],[CurrentStock]]&lt;=Table2[[#This Row],[ReorderLevel]], "Reorder Needed", "Okay")</f>
        <v>Okay</v>
      </c>
      <c r="M2099" t="str">
        <f>IF(Table2[[#This Row],[CurrentStock]]-Table2[[#This Row],[ReorderLevel]]&lt;0,Table2[[#This Row],[CurrentStock]]-Table2[[#This Row],[ReorderLevel]],"")</f>
        <v/>
      </c>
      <c r="N2099" t="str">
        <f>IF(Table2[[#This Row],[Stock Gap]]&lt;0, "Understock","Okay")</f>
        <v>Okay</v>
      </c>
      <c r="O2099" s="13" t="str">
        <f>IF(Table2[[#This Row],[Stock Gap]]&lt;0, "Yes", "No")</f>
        <v>No</v>
      </c>
      <c r="P2099" s="13" t="str">
        <f>IF(Table2[[#This Row],[CurrentStock]]&lt;Table2[[#This Row],[ReorderLevel]],"Reorder", "Okay")</f>
        <v>Okay</v>
      </c>
      <c r="Q2099" s="13" t="str">
        <f>IF(Table2[[#This Row],[CurrentStock]]&gt;Table2[[#This Row],[ReorderLevel]]*3, "Overstock", "Okay")</f>
        <v>Overstock</v>
      </c>
    </row>
    <row r="2100" spans="1:17" x14ac:dyDescent="0.35">
      <c r="A2100">
        <v>51644</v>
      </c>
      <c r="B2100" t="s">
        <v>14</v>
      </c>
      <c r="C2100" t="s">
        <v>28</v>
      </c>
      <c r="D2100">
        <v>332</v>
      </c>
      <c r="E2100">
        <v>20</v>
      </c>
      <c r="F2100" s="2">
        <v>397.54</v>
      </c>
      <c r="G2100" t="s">
        <v>31</v>
      </c>
      <c r="H2100" s="1">
        <v>45307</v>
      </c>
      <c r="I2100" s="1">
        <v>45316</v>
      </c>
      <c r="J2100" t="s">
        <v>38</v>
      </c>
      <c r="K2100" s="8">
        <f>Table2[[#This Row],[CurrentStock]]*Table2[[#This Row],[UnitPrice]]</f>
        <v>131983.28</v>
      </c>
      <c r="L2100" t="str">
        <f>IF(Table2[[#This Row],[CurrentStock]]&lt;=Table2[[#This Row],[ReorderLevel]], "Reorder Needed", "Okay")</f>
        <v>Okay</v>
      </c>
      <c r="M2100" t="str">
        <f>IF(Table2[[#This Row],[CurrentStock]]-Table2[[#This Row],[ReorderLevel]]&lt;0,Table2[[#This Row],[CurrentStock]]-Table2[[#This Row],[ReorderLevel]],"")</f>
        <v/>
      </c>
      <c r="N2100" t="str">
        <f>IF(Table2[[#This Row],[Stock Gap]]&lt;0, "Understock","Okay")</f>
        <v>Okay</v>
      </c>
      <c r="O2100" s="13" t="str">
        <f>IF(Table2[[#This Row],[Stock Gap]]&lt;0, "Yes", "No")</f>
        <v>No</v>
      </c>
      <c r="P2100" s="13" t="str">
        <f>IF(Table2[[#This Row],[CurrentStock]]&lt;Table2[[#This Row],[ReorderLevel]],"Reorder", "Okay")</f>
        <v>Okay</v>
      </c>
      <c r="Q2100" s="13" t="str">
        <f>IF(Table2[[#This Row],[CurrentStock]]&gt;Table2[[#This Row],[ReorderLevel]]*3, "Overstock", "Okay")</f>
        <v>Overstock</v>
      </c>
    </row>
    <row r="2101" spans="1:17" x14ac:dyDescent="0.35">
      <c r="A2101">
        <v>13571</v>
      </c>
      <c r="B2101" t="s">
        <v>19</v>
      </c>
      <c r="C2101" t="s">
        <v>28</v>
      </c>
      <c r="D2101">
        <v>462</v>
      </c>
      <c r="E2101">
        <v>150</v>
      </c>
      <c r="F2101" s="2">
        <v>82.15</v>
      </c>
      <c r="G2101" t="s">
        <v>34</v>
      </c>
      <c r="H2101" s="1">
        <v>45354</v>
      </c>
      <c r="I2101" s="1">
        <v>45363</v>
      </c>
      <c r="J2101" t="s">
        <v>38</v>
      </c>
      <c r="K2101" s="8">
        <f>Table2[[#This Row],[CurrentStock]]*Table2[[#This Row],[UnitPrice]]</f>
        <v>37953.300000000003</v>
      </c>
      <c r="L2101" t="str">
        <f>IF(Table2[[#This Row],[CurrentStock]]&lt;=Table2[[#This Row],[ReorderLevel]], "Reorder Needed", "Okay")</f>
        <v>Okay</v>
      </c>
      <c r="M2101" t="str">
        <f>IF(Table2[[#This Row],[CurrentStock]]-Table2[[#This Row],[ReorderLevel]]&lt;0,Table2[[#This Row],[CurrentStock]]-Table2[[#This Row],[ReorderLevel]],"")</f>
        <v/>
      </c>
      <c r="N2101" t="str">
        <f>IF(Table2[[#This Row],[Stock Gap]]&lt;0, "Understock","Okay")</f>
        <v>Okay</v>
      </c>
      <c r="O2101" s="13" t="str">
        <f>IF(Table2[[#This Row],[Stock Gap]]&lt;0, "Yes", "No")</f>
        <v>No</v>
      </c>
      <c r="P2101" s="13" t="str">
        <f>IF(Table2[[#This Row],[CurrentStock]]&lt;Table2[[#This Row],[ReorderLevel]],"Reorder", "Okay")</f>
        <v>Okay</v>
      </c>
      <c r="Q2101" s="13" t="str">
        <f>IF(Table2[[#This Row],[CurrentStock]]&gt;Table2[[#This Row],[ReorderLevel]]*3, "Overstock", "Okay")</f>
        <v>Overstock</v>
      </c>
    </row>
    <row r="2102" spans="1:17" x14ac:dyDescent="0.35">
      <c r="A2102">
        <v>26972</v>
      </c>
      <c r="B2102" t="s">
        <v>18</v>
      </c>
      <c r="C2102" t="s">
        <v>27</v>
      </c>
      <c r="D2102">
        <v>494</v>
      </c>
      <c r="E2102">
        <v>50</v>
      </c>
      <c r="F2102" s="2">
        <v>21.43</v>
      </c>
      <c r="G2102" t="s">
        <v>34</v>
      </c>
      <c r="H2102" s="1">
        <v>45600</v>
      </c>
      <c r="I2102" s="1">
        <v>45627</v>
      </c>
      <c r="J2102" t="s">
        <v>36</v>
      </c>
      <c r="K2102" s="8">
        <f>Table2[[#This Row],[CurrentStock]]*Table2[[#This Row],[UnitPrice]]</f>
        <v>10586.42</v>
      </c>
      <c r="L2102" t="str">
        <f>IF(Table2[[#This Row],[CurrentStock]]&lt;=Table2[[#This Row],[ReorderLevel]], "Reorder Needed", "Okay")</f>
        <v>Okay</v>
      </c>
      <c r="M2102" t="str">
        <f>IF(Table2[[#This Row],[CurrentStock]]-Table2[[#This Row],[ReorderLevel]]&lt;0,Table2[[#This Row],[CurrentStock]]-Table2[[#This Row],[ReorderLevel]],"")</f>
        <v/>
      </c>
      <c r="N2102" t="str">
        <f>IF(Table2[[#This Row],[Stock Gap]]&lt;0, "Understock","Okay")</f>
        <v>Okay</v>
      </c>
      <c r="O2102" s="13" t="str">
        <f>IF(Table2[[#This Row],[Stock Gap]]&lt;0, "Yes", "No")</f>
        <v>No</v>
      </c>
      <c r="P2102" s="13" t="str">
        <f>IF(Table2[[#This Row],[CurrentStock]]&lt;Table2[[#This Row],[ReorderLevel]],"Reorder", "Okay")</f>
        <v>Okay</v>
      </c>
      <c r="Q2102" s="13" t="str">
        <f>IF(Table2[[#This Row],[CurrentStock]]&gt;Table2[[#This Row],[ReorderLevel]]*3, "Overstock", "Okay")</f>
        <v>Overstock</v>
      </c>
    </row>
    <row r="2103" spans="1:17" x14ac:dyDescent="0.35">
      <c r="A2103">
        <v>67602</v>
      </c>
      <c r="B2103" t="s">
        <v>22</v>
      </c>
      <c r="C2103" t="s">
        <v>29</v>
      </c>
      <c r="D2103">
        <v>353</v>
      </c>
      <c r="E2103">
        <v>30</v>
      </c>
      <c r="F2103" s="2">
        <v>392.58</v>
      </c>
      <c r="G2103" t="s">
        <v>33</v>
      </c>
      <c r="H2103" s="1">
        <v>45606</v>
      </c>
      <c r="I2103" s="1">
        <v>45619</v>
      </c>
      <c r="J2103" t="s">
        <v>37</v>
      </c>
      <c r="K2103" s="8">
        <f>Table2[[#This Row],[CurrentStock]]*Table2[[#This Row],[UnitPrice]]</f>
        <v>138580.74</v>
      </c>
      <c r="L2103" t="str">
        <f>IF(Table2[[#This Row],[CurrentStock]]&lt;=Table2[[#This Row],[ReorderLevel]], "Reorder Needed", "Okay")</f>
        <v>Okay</v>
      </c>
      <c r="M2103" t="str">
        <f>IF(Table2[[#This Row],[CurrentStock]]-Table2[[#This Row],[ReorderLevel]]&lt;0,Table2[[#This Row],[CurrentStock]]-Table2[[#This Row],[ReorderLevel]],"")</f>
        <v/>
      </c>
      <c r="N2103" t="str">
        <f>IF(Table2[[#This Row],[Stock Gap]]&lt;0, "Understock","Okay")</f>
        <v>Okay</v>
      </c>
      <c r="O2103" s="13" t="str">
        <f>IF(Table2[[#This Row],[Stock Gap]]&lt;0, "Yes", "No")</f>
        <v>No</v>
      </c>
      <c r="P2103" s="13" t="str">
        <f>IF(Table2[[#This Row],[CurrentStock]]&lt;Table2[[#This Row],[ReorderLevel]],"Reorder", "Okay")</f>
        <v>Okay</v>
      </c>
      <c r="Q2103" s="13" t="str">
        <f>IF(Table2[[#This Row],[CurrentStock]]&gt;Table2[[#This Row],[ReorderLevel]]*3, "Overstock", "Okay")</f>
        <v>Overstock</v>
      </c>
    </row>
    <row r="2104" spans="1:17" x14ac:dyDescent="0.35">
      <c r="A2104">
        <v>71483</v>
      </c>
      <c r="B2104" t="s">
        <v>22</v>
      </c>
      <c r="C2104" t="s">
        <v>29</v>
      </c>
      <c r="D2104">
        <v>467</v>
      </c>
      <c r="E2104">
        <v>50</v>
      </c>
      <c r="F2104" s="2">
        <v>419.94</v>
      </c>
      <c r="G2104" t="s">
        <v>34</v>
      </c>
      <c r="H2104" s="1">
        <v>45627</v>
      </c>
      <c r="I2104" s="1">
        <v>45656</v>
      </c>
      <c r="J2104" t="s">
        <v>38</v>
      </c>
      <c r="K2104" s="8">
        <f>Table2[[#This Row],[CurrentStock]]*Table2[[#This Row],[UnitPrice]]</f>
        <v>196111.98</v>
      </c>
      <c r="L2104" t="str">
        <f>IF(Table2[[#This Row],[CurrentStock]]&lt;=Table2[[#This Row],[ReorderLevel]], "Reorder Needed", "Okay")</f>
        <v>Okay</v>
      </c>
      <c r="M2104" t="str">
        <f>IF(Table2[[#This Row],[CurrentStock]]-Table2[[#This Row],[ReorderLevel]]&lt;0,Table2[[#This Row],[CurrentStock]]-Table2[[#This Row],[ReorderLevel]],"")</f>
        <v/>
      </c>
      <c r="N2104" t="str">
        <f>IF(Table2[[#This Row],[Stock Gap]]&lt;0, "Understock","Okay")</f>
        <v>Okay</v>
      </c>
      <c r="O2104" s="13" t="str">
        <f>IF(Table2[[#This Row],[Stock Gap]]&lt;0, "Yes", "No")</f>
        <v>No</v>
      </c>
      <c r="P2104" s="13" t="str">
        <f>IF(Table2[[#This Row],[CurrentStock]]&lt;Table2[[#This Row],[ReorderLevel]],"Reorder", "Okay")</f>
        <v>Okay</v>
      </c>
      <c r="Q2104" s="13" t="str">
        <f>IF(Table2[[#This Row],[CurrentStock]]&gt;Table2[[#This Row],[ReorderLevel]]*3, "Overstock", "Okay")</f>
        <v>Overstock</v>
      </c>
    </row>
    <row r="2105" spans="1:17" x14ac:dyDescent="0.35">
      <c r="A2105">
        <v>96113</v>
      </c>
      <c r="B2105" t="s">
        <v>14</v>
      </c>
      <c r="C2105" t="s">
        <v>28</v>
      </c>
      <c r="D2105">
        <v>274</v>
      </c>
      <c r="E2105">
        <v>100</v>
      </c>
      <c r="F2105" s="2">
        <v>5.27</v>
      </c>
      <c r="G2105" t="s">
        <v>34</v>
      </c>
      <c r="H2105" s="1">
        <v>45505</v>
      </c>
      <c r="I2105" s="1">
        <v>45524</v>
      </c>
      <c r="J2105" t="s">
        <v>38</v>
      </c>
      <c r="K2105" s="8">
        <f>Table2[[#This Row],[CurrentStock]]*Table2[[#This Row],[UnitPrice]]</f>
        <v>1443.9799999999998</v>
      </c>
      <c r="L2105" t="str">
        <f>IF(Table2[[#This Row],[CurrentStock]]&lt;=Table2[[#This Row],[ReorderLevel]], "Reorder Needed", "Okay")</f>
        <v>Okay</v>
      </c>
      <c r="M2105" t="str">
        <f>IF(Table2[[#This Row],[CurrentStock]]-Table2[[#This Row],[ReorderLevel]]&lt;0,Table2[[#This Row],[CurrentStock]]-Table2[[#This Row],[ReorderLevel]],"")</f>
        <v/>
      </c>
      <c r="N2105" t="str">
        <f>IF(Table2[[#This Row],[Stock Gap]]&lt;0, "Understock","Okay")</f>
        <v>Okay</v>
      </c>
      <c r="O2105" s="13" t="str">
        <f>IF(Table2[[#This Row],[Stock Gap]]&lt;0, "Yes", "No")</f>
        <v>No</v>
      </c>
      <c r="P2105" s="13" t="str">
        <f>IF(Table2[[#This Row],[CurrentStock]]&lt;Table2[[#This Row],[ReorderLevel]],"Reorder", "Okay")</f>
        <v>Okay</v>
      </c>
      <c r="Q2105" s="13" t="str">
        <f>IF(Table2[[#This Row],[CurrentStock]]&gt;Table2[[#This Row],[ReorderLevel]]*3, "Overstock", "Okay")</f>
        <v>Okay</v>
      </c>
    </row>
    <row r="2106" spans="1:17" x14ac:dyDescent="0.35">
      <c r="A2106">
        <v>97097</v>
      </c>
      <c r="B2106" t="s">
        <v>11</v>
      </c>
      <c r="C2106" t="s">
        <v>27</v>
      </c>
      <c r="D2106">
        <v>478</v>
      </c>
      <c r="E2106">
        <v>50</v>
      </c>
      <c r="F2106" s="2">
        <v>181.29</v>
      </c>
      <c r="G2106" t="s">
        <v>32</v>
      </c>
      <c r="H2106" s="1">
        <v>45301</v>
      </c>
      <c r="I2106" s="1">
        <v>45326</v>
      </c>
      <c r="J2106" t="s">
        <v>37</v>
      </c>
      <c r="K2106" s="8">
        <f>Table2[[#This Row],[CurrentStock]]*Table2[[#This Row],[UnitPrice]]</f>
        <v>86656.62</v>
      </c>
      <c r="L2106" t="str">
        <f>IF(Table2[[#This Row],[CurrentStock]]&lt;=Table2[[#This Row],[ReorderLevel]], "Reorder Needed", "Okay")</f>
        <v>Okay</v>
      </c>
      <c r="M2106" t="str">
        <f>IF(Table2[[#This Row],[CurrentStock]]-Table2[[#This Row],[ReorderLevel]]&lt;0,Table2[[#This Row],[CurrentStock]]-Table2[[#This Row],[ReorderLevel]],"")</f>
        <v/>
      </c>
      <c r="N2106" t="str">
        <f>IF(Table2[[#This Row],[Stock Gap]]&lt;0, "Understock","Okay")</f>
        <v>Okay</v>
      </c>
      <c r="O2106" s="13" t="str">
        <f>IF(Table2[[#This Row],[Stock Gap]]&lt;0, "Yes", "No")</f>
        <v>No</v>
      </c>
      <c r="P2106" s="13" t="str">
        <f>IF(Table2[[#This Row],[CurrentStock]]&lt;Table2[[#This Row],[ReorderLevel]],"Reorder", "Okay")</f>
        <v>Okay</v>
      </c>
      <c r="Q2106" s="13" t="str">
        <f>IF(Table2[[#This Row],[CurrentStock]]&gt;Table2[[#This Row],[ReorderLevel]]*3, "Overstock", "Okay")</f>
        <v>Overstock</v>
      </c>
    </row>
    <row r="2107" spans="1:17" x14ac:dyDescent="0.35">
      <c r="A2107">
        <v>38564</v>
      </c>
      <c r="B2107" t="s">
        <v>15</v>
      </c>
      <c r="C2107" t="s">
        <v>29</v>
      </c>
      <c r="D2107">
        <v>426</v>
      </c>
      <c r="E2107">
        <v>40</v>
      </c>
      <c r="F2107" s="2">
        <v>272.13</v>
      </c>
      <c r="G2107" t="s">
        <v>34</v>
      </c>
      <c r="H2107" s="1">
        <v>45337</v>
      </c>
      <c r="I2107" s="1">
        <v>45342</v>
      </c>
      <c r="J2107" t="s">
        <v>36</v>
      </c>
      <c r="K2107" s="8">
        <f>Table2[[#This Row],[CurrentStock]]*Table2[[#This Row],[UnitPrice]]</f>
        <v>115927.38</v>
      </c>
      <c r="L2107" t="str">
        <f>IF(Table2[[#This Row],[CurrentStock]]&lt;=Table2[[#This Row],[ReorderLevel]], "Reorder Needed", "Okay")</f>
        <v>Okay</v>
      </c>
      <c r="M2107" t="str">
        <f>IF(Table2[[#This Row],[CurrentStock]]-Table2[[#This Row],[ReorderLevel]]&lt;0,Table2[[#This Row],[CurrentStock]]-Table2[[#This Row],[ReorderLevel]],"")</f>
        <v/>
      </c>
      <c r="N2107" t="str">
        <f>IF(Table2[[#This Row],[Stock Gap]]&lt;0, "Understock","Okay")</f>
        <v>Okay</v>
      </c>
      <c r="O2107" s="13" t="str">
        <f>IF(Table2[[#This Row],[Stock Gap]]&lt;0, "Yes", "No")</f>
        <v>No</v>
      </c>
      <c r="P2107" s="13" t="str">
        <f>IF(Table2[[#This Row],[CurrentStock]]&lt;Table2[[#This Row],[ReorderLevel]],"Reorder", "Okay")</f>
        <v>Okay</v>
      </c>
      <c r="Q2107" s="13" t="str">
        <f>IF(Table2[[#This Row],[CurrentStock]]&gt;Table2[[#This Row],[ReorderLevel]]*3, "Overstock", "Okay")</f>
        <v>Overstock</v>
      </c>
    </row>
    <row r="2108" spans="1:17" x14ac:dyDescent="0.35">
      <c r="A2108">
        <v>88579</v>
      </c>
      <c r="B2108" t="s">
        <v>17</v>
      </c>
      <c r="C2108" t="s">
        <v>27</v>
      </c>
      <c r="D2108">
        <v>277</v>
      </c>
      <c r="E2108">
        <v>100</v>
      </c>
      <c r="F2108" s="2">
        <v>350.33</v>
      </c>
      <c r="G2108" t="s">
        <v>33</v>
      </c>
      <c r="H2108" s="1">
        <v>45493</v>
      </c>
      <c r="I2108" s="1">
        <v>45512</v>
      </c>
      <c r="J2108" t="s">
        <v>36</v>
      </c>
      <c r="K2108" s="8">
        <f>Table2[[#This Row],[CurrentStock]]*Table2[[#This Row],[UnitPrice]]</f>
        <v>97041.409999999989</v>
      </c>
      <c r="L2108" t="str">
        <f>IF(Table2[[#This Row],[CurrentStock]]&lt;=Table2[[#This Row],[ReorderLevel]], "Reorder Needed", "Okay")</f>
        <v>Okay</v>
      </c>
      <c r="M2108" t="str">
        <f>IF(Table2[[#This Row],[CurrentStock]]-Table2[[#This Row],[ReorderLevel]]&lt;0,Table2[[#This Row],[CurrentStock]]-Table2[[#This Row],[ReorderLevel]],"")</f>
        <v/>
      </c>
      <c r="N2108" t="str">
        <f>IF(Table2[[#This Row],[Stock Gap]]&lt;0, "Understock","Okay")</f>
        <v>Okay</v>
      </c>
      <c r="O2108" s="13" t="str">
        <f>IF(Table2[[#This Row],[Stock Gap]]&lt;0, "Yes", "No")</f>
        <v>No</v>
      </c>
      <c r="P2108" s="13" t="str">
        <f>IF(Table2[[#This Row],[CurrentStock]]&lt;Table2[[#This Row],[ReorderLevel]],"Reorder", "Okay")</f>
        <v>Okay</v>
      </c>
      <c r="Q2108" s="13" t="str">
        <f>IF(Table2[[#This Row],[CurrentStock]]&gt;Table2[[#This Row],[ReorderLevel]]*3, "Overstock", "Okay")</f>
        <v>Okay</v>
      </c>
    </row>
    <row r="2109" spans="1:17" x14ac:dyDescent="0.35">
      <c r="A2109">
        <v>61599</v>
      </c>
      <c r="B2109" t="s">
        <v>13</v>
      </c>
      <c r="C2109" t="s">
        <v>26</v>
      </c>
      <c r="D2109">
        <v>324</v>
      </c>
      <c r="E2109">
        <v>80</v>
      </c>
      <c r="F2109" s="2">
        <v>177.75</v>
      </c>
      <c r="G2109" t="s">
        <v>33</v>
      </c>
      <c r="H2109" s="1">
        <v>45444</v>
      </c>
      <c r="I2109" s="1">
        <v>45464</v>
      </c>
      <c r="J2109" t="s">
        <v>36</v>
      </c>
      <c r="K2109" s="8">
        <f>Table2[[#This Row],[CurrentStock]]*Table2[[#This Row],[UnitPrice]]</f>
        <v>57591</v>
      </c>
      <c r="L2109" t="str">
        <f>IF(Table2[[#This Row],[CurrentStock]]&lt;=Table2[[#This Row],[ReorderLevel]], "Reorder Needed", "Okay")</f>
        <v>Okay</v>
      </c>
      <c r="M2109" t="str">
        <f>IF(Table2[[#This Row],[CurrentStock]]-Table2[[#This Row],[ReorderLevel]]&lt;0,Table2[[#This Row],[CurrentStock]]-Table2[[#This Row],[ReorderLevel]],"")</f>
        <v/>
      </c>
      <c r="N2109" t="str">
        <f>IF(Table2[[#This Row],[Stock Gap]]&lt;0, "Understock","Okay")</f>
        <v>Okay</v>
      </c>
      <c r="O2109" s="13" t="str">
        <f>IF(Table2[[#This Row],[Stock Gap]]&lt;0, "Yes", "No")</f>
        <v>No</v>
      </c>
      <c r="P2109" s="13" t="str">
        <f>IF(Table2[[#This Row],[CurrentStock]]&lt;Table2[[#This Row],[ReorderLevel]],"Reorder", "Okay")</f>
        <v>Okay</v>
      </c>
      <c r="Q2109" s="13" t="str">
        <f>IF(Table2[[#This Row],[CurrentStock]]&gt;Table2[[#This Row],[ReorderLevel]]*3, "Overstock", "Okay")</f>
        <v>Overstock</v>
      </c>
    </row>
    <row r="2110" spans="1:17" x14ac:dyDescent="0.35">
      <c r="A2110">
        <v>64457</v>
      </c>
      <c r="B2110" t="s">
        <v>17</v>
      </c>
      <c r="C2110" t="s">
        <v>27</v>
      </c>
      <c r="D2110">
        <v>452</v>
      </c>
      <c r="E2110">
        <v>20</v>
      </c>
      <c r="F2110" s="2">
        <v>84.38</v>
      </c>
      <c r="G2110" t="s">
        <v>32</v>
      </c>
      <c r="H2110" s="1">
        <v>45531</v>
      </c>
      <c r="I2110" s="1">
        <v>45569</v>
      </c>
      <c r="J2110" t="s">
        <v>38</v>
      </c>
      <c r="K2110" s="8">
        <f>Table2[[#This Row],[CurrentStock]]*Table2[[#This Row],[UnitPrice]]</f>
        <v>38139.759999999995</v>
      </c>
      <c r="L2110" t="str">
        <f>IF(Table2[[#This Row],[CurrentStock]]&lt;=Table2[[#This Row],[ReorderLevel]], "Reorder Needed", "Okay")</f>
        <v>Okay</v>
      </c>
      <c r="M2110" t="str">
        <f>IF(Table2[[#This Row],[CurrentStock]]-Table2[[#This Row],[ReorderLevel]]&lt;0,Table2[[#This Row],[CurrentStock]]-Table2[[#This Row],[ReorderLevel]],"")</f>
        <v/>
      </c>
      <c r="N2110" t="str">
        <f>IF(Table2[[#This Row],[Stock Gap]]&lt;0, "Understock","Okay")</f>
        <v>Okay</v>
      </c>
      <c r="O2110" s="13" t="str">
        <f>IF(Table2[[#This Row],[Stock Gap]]&lt;0, "Yes", "No")</f>
        <v>No</v>
      </c>
      <c r="P2110" s="13" t="str">
        <f>IF(Table2[[#This Row],[CurrentStock]]&lt;Table2[[#This Row],[ReorderLevel]],"Reorder", "Okay")</f>
        <v>Okay</v>
      </c>
      <c r="Q2110" s="13" t="str">
        <f>IF(Table2[[#This Row],[CurrentStock]]&gt;Table2[[#This Row],[ReorderLevel]]*3, "Overstock", "Okay")</f>
        <v>Overstock</v>
      </c>
    </row>
    <row r="2111" spans="1:17" x14ac:dyDescent="0.35">
      <c r="A2111">
        <v>61331</v>
      </c>
      <c r="B2111" t="s">
        <v>25</v>
      </c>
      <c r="C2111" t="s">
        <v>29</v>
      </c>
      <c r="D2111">
        <v>143</v>
      </c>
      <c r="E2111">
        <v>40</v>
      </c>
      <c r="F2111" s="2">
        <v>85.33</v>
      </c>
      <c r="G2111" t="s">
        <v>34</v>
      </c>
      <c r="H2111" s="1">
        <v>45654</v>
      </c>
      <c r="I2111" s="1">
        <v>45675</v>
      </c>
      <c r="J2111" t="s">
        <v>37</v>
      </c>
      <c r="K2111" s="8">
        <f>Table2[[#This Row],[CurrentStock]]*Table2[[#This Row],[UnitPrice]]</f>
        <v>12202.19</v>
      </c>
      <c r="L2111" t="str">
        <f>IF(Table2[[#This Row],[CurrentStock]]&lt;=Table2[[#This Row],[ReorderLevel]], "Reorder Needed", "Okay")</f>
        <v>Okay</v>
      </c>
      <c r="M2111" t="str">
        <f>IF(Table2[[#This Row],[CurrentStock]]-Table2[[#This Row],[ReorderLevel]]&lt;0,Table2[[#This Row],[CurrentStock]]-Table2[[#This Row],[ReorderLevel]],"")</f>
        <v/>
      </c>
      <c r="N2111" t="str">
        <f>IF(Table2[[#This Row],[Stock Gap]]&lt;0, "Understock","Okay")</f>
        <v>Okay</v>
      </c>
      <c r="O2111" s="13" t="str">
        <f>IF(Table2[[#This Row],[Stock Gap]]&lt;0, "Yes", "No")</f>
        <v>No</v>
      </c>
      <c r="P2111" s="13" t="str">
        <f>IF(Table2[[#This Row],[CurrentStock]]&lt;Table2[[#This Row],[ReorderLevel]],"Reorder", "Okay")</f>
        <v>Okay</v>
      </c>
      <c r="Q2111" s="13" t="str">
        <f>IF(Table2[[#This Row],[CurrentStock]]&gt;Table2[[#This Row],[ReorderLevel]]*3, "Overstock", "Okay")</f>
        <v>Overstock</v>
      </c>
    </row>
    <row r="2112" spans="1:17" x14ac:dyDescent="0.35">
      <c r="A2112">
        <v>23936</v>
      </c>
      <c r="B2112" t="s">
        <v>17</v>
      </c>
      <c r="C2112" t="s">
        <v>27</v>
      </c>
      <c r="D2112">
        <v>333</v>
      </c>
      <c r="E2112">
        <v>40</v>
      </c>
      <c r="F2112" s="2">
        <v>295.12</v>
      </c>
      <c r="G2112" t="s">
        <v>33</v>
      </c>
      <c r="H2112" s="1">
        <v>45298</v>
      </c>
      <c r="I2112" s="1">
        <v>45312</v>
      </c>
      <c r="J2112" t="s">
        <v>37</v>
      </c>
      <c r="K2112" s="8">
        <f>Table2[[#This Row],[CurrentStock]]*Table2[[#This Row],[UnitPrice]]</f>
        <v>98274.96</v>
      </c>
      <c r="L2112" t="str">
        <f>IF(Table2[[#This Row],[CurrentStock]]&lt;=Table2[[#This Row],[ReorderLevel]], "Reorder Needed", "Okay")</f>
        <v>Okay</v>
      </c>
      <c r="M2112" t="str">
        <f>IF(Table2[[#This Row],[CurrentStock]]-Table2[[#This Row],[ReorderLevel]]&lt;0,Table2[[#This Row],[CurrentStock]]-Table2[[#This Row],[ReorderLevel]],"")</f>
        <v/>
      </c>
      <c r="N2112" t="str">
        <f>IF(Table2[[#This Row],[Stock Gap]]&lt;0, "Understock","Okay")</f>
        <v>Okay</v>
      </c>
      <c r="O2112" s="13" t="str">
        <f>IF(Table2[[#This Row],[Stock Gap]]&lt;0, "Yes", "No")</f>
        <v>No</v>
      </c>
      <c r="P2112" s="13" t="str">
        <f>IF(Table2[[#This Row],[CurrentStock]]&lt;Table2[[#This Row],[ReorderLevel]],"Reorder", "Okay")</f>
        <v>Okay</v>
      </c>
      <c r="Q2112" s="13" t="str">
        <f>IF(Table2[[#This Row],[CurrentStock]]&gt;Table2[[#This Row],[ReorderLevel]]*3, "Overstock", "Okay")</f>
        <v>Overstock</v>
      </c>
    </row>
    <row r="2113" spans="1:17" x14ac:dyDescent="0.35">
      <c r="A2113">
        <v>29112</v>
      </c>
      <c r="B2113" t="s">
        <v>14</v>
      </c>
      <c r="C2113" t="s">
        <v>28</v>
      </c>
      <c r="D2113">
        <v>240</v>
      </c>
      <c r="E2113">
        <v>100</v>
      </c>
      <c r="F2113" s="2">
        <v>14.91</v>
      </c>
      <c r="G2113" t="s">
        <v>32</v>
      </c>
      <c r="H2113" s="1">
        <v>45393</v>
      </c>
      <c r="I2113" s="1">
        <v>45409</v>
      </c>
      <c r="J2113" t="s">
        <v>37</v>
      </c>
      <c r="K2113" s="8">
        <f>Table2[[#This Row],[CurrentStock]]*Table2[[#This Row],[UnitPrice]]</f>
        <v>3578.4</v>
      </c>
      <c r="L2113" t="str">
        <f>IF(Table2[[#This Row],[CurrentStock]]&lt;=Table2[[#This Row],[ReorderLevel]], "Reorder Needed", "Okay")</f>
        <v>Okay</v>
      </c>
      <c r="M2113" t="str">
        <f>IF(Table2[[#This Row],[CurrentStock]]-Table2[[#This Row],[ReorderLevel]]&lt;0,Table2[[#This Row],[CurrentStock]]-Table2[[#This Row],[ReorderLevel]],"")</f>
        <v/>
      </c>
      <c r="N2113" t="str">
        <f>IF(Table2[[#This Row],[Stock Gap]]&lt;0, "Understock","Okay")</f>
        <v>Okay</v>
      </c>
      <c r="O2113" s="13" t="str">
        <f>IF(Table2[[#This Row],[Stock Gap]]&lt;0, "Yes", "No")</f>
        <v>No</v>
      </c>
      <c r="P2113" s="13" t="str">
        <f>IF(Table2[[#This Row],[CurrentStock]]&lt;Table2[[#This Row],[ReorderLevel]],"Reorder", "Okay")</f>
        <v>Okay</v>
      </c>
      <c r="Q2113" s="13" t="str">
        <f>IF(Table2[[#This Row],[CurrentStock]]&gt;Table2[[#This Row],[ReorderLevel]]*3, "Overstock", "Okay")</f>
        <v>Okay</v>
      </c>
    </row>
    <row r="2114" spans="1:17" x14ac:dyDescent="0.35">
      <c r="A2114">
        <v>75729</v>
      </c>
      <c r="B2114" t="s">
        <v>23</v>
      </c>
      <c r="C2114" t="s">
        <v>30</v>
      </c>
      <c r="D2114">
        <v>464</v>
      </c>
      <c r="E2114">
        <v>80</v>
      </c>
      <c r="F2114" s="2">
        <v>295.2</v>
      </c>
      <c r="G2114" t="s">
        <v>34</v>
      </c>
      <c r="H2114" s="1">
        <v>45620</v>
      </c>
      <c r="I2114" s="1">
        <v>45630</v>
      </c>
      <c r="J2114" t="s">
        <v>37</v>
      </c>
      <c r="K2114" s="8">
        <f>Table2[[#This Row],[CurrentStock]]*Table2[[#This Row],[UnitPrice]]</f>
        <v>136972.79999999999</v>
      </c>
      <c r="L2114" t="str">
        <f>IF(Table2[[#This Row],[CurrentStock]]&lt;=Table2[[#This Row],[ReorderLevel]], "Reorder Needed", "Okay")</f>
        <v>Okay</v>
      </c>
      <c r="M2114" t="str">
        <f>IF(Table2[[#This Row],[CurrentStock]]-Table2[[#This Row],[ReorderLevel]]&lt;0,Table2[[#This Row],[CurrentStock]]-Table2[[#This Row],[ReorderLevel]],"")</f>
        <v/>
      </c>
      <c r="N2114" t="str">
        <f>IF(Table2[[#This Row],[Stock Gap]]&lt;0, "Understock","Okay")</f>
        <v>Okay</v>
      </c>
      <c r="O2114" s="13" t="str">
        <f>IF(Table2[[#This Row],[Stock Gap]]&lt;0, "Yes", "No")</f>
        <v>No</v>
      </c>
      <c r="P2114" s="13" t="str">
        <f>IF(Table2[[#This Row],[CurrentStock]]&lt;Table2[[#This Row],[ReorderLevel]],"Reorder", "Okay")</f>
        <v>Okay</v>
      </c>
      <c r="Q2114" s="13" t="str">
        <f>IF(Table2[[#This Row],[CurrentStock]]&gt;Table2[[#This Row],[ReorderLevel]]*3, "Overstock", "Okay")</f>
        <v>Overstock</v>
      </c>
    </row>
    <row r="2115" spans="1:17" x14ac:dyDescent="0.35">
      <c r="A2115">
        <v>82131</v>
      </c>
      <c r="B2115" t="s">
        <v>18</v>
      </c>
      <c r="C2115" t="s">
        <v>27</v>
      </c>
      <c r="D2115">
        <v>348</v>
      </c>
      <c r="E2115">
        <v>50</v>
      </c>
      <c r="F2115" s="2">
        <v>172.41</v>
      </c>
      <c r="G2115" t="s">
        <v>31</v>
      </c>
      <c r="H2115" s="1">
        <v>45573</v>
      </c>
      <c r="I2115" s="1">
        <v>45612</v>
      </c>
      <c r="J2115" t="s">
        <v>38</v>
      </c>
      <c r="K2115" s="8">
        <f>Table2[[#This Row],[CurrentStock]]*Table2[[#This Row],[UnitPrice]]</f>
        <v>59998.68</v>
      </c>
      <c r="L2115" t="str">
        <f>IF(Table2[[#This Row],[CurrentStock]]&lt;=Table2[[#This Row],[ReorderLevel]], "Reorder Needed", "Okay")</f>
        <v>Okay</v>
      </c>
      <c r="M2115" t="str">
        <f>IF(Table2[[#This Row],[CurrentStock]]-Table2[[#This Row],[ReorderLevel]]&lt;0,Table2[[#This Row],[CurrentStock]]-Table2[[#This Row],[ReorderLevel]],"")</f>
        <v/>
      </c>
      <c r="N2115" t="str">
        <f>IF(Table2[[#This Row],[Stock Gap]]&lt;0, "Understock","Okay")</f>
        <v>Okay</v>
      </c>
      <c r="O2115" s="13" t="str">
        <f>IF(Table2[[#This Row],[Stock Gap]]&lt;0, "Yes", "No")</f>
        <v>No</v>
      </c>
      <c r="P2115" s="13" t="str">
        <f>IF(Table2[[#This Row],[CurrentStock]]&lt;Table2[[#This Row],[ReorderLevel]],"Reorder", "Okay")</f>
        <v>Okay</v>
      </c>
      <c r="Q2115" s="13" t="str">
        <f>IF(Table2[[#This Row],[CurrentStock]]&gt;Table2[[#This Row],[ReorderLevel]]*3, "Overstock", "Okay")</f>
        <v>Overstock</v>
      </c>
    </row>
    <row r="2116" spans="1:17" x14ac:dyDescent="0.35">
      <c r="A2116">
        <v>32593</v>
      </c>
      <c r="B2116" t="s">
        <v>16</v>
      </c>
      <c r="C2116" t="s">
        <v>29</v>
      </c>
      <c r="D2116">
        <v>430</v>
      </c>
      <c r="E2116">
        <v>150</v>
      </c>
      <c r="F2116" s="2">
        <v>87.7</v>
      </c>
      <c r="G2116" t="s">
        <v>34</v>
      </c>
      <c r="H2116" s="1">
        <v>45333</v>
      </c>
      <c r="I2116" s="1">
        <v>45356</v>
      </c>
      <c r="J2116" t="s">
        <v>38</v>
      </c>
      <c r="K2116" s="8">
        <f>Table2[[#This Row],[CurrentStock]]*Table2[[#This Row],[UnitPrice]]</f>
        <v>37711</v>
      </c>
      <c r="L2116" t="str">
        <f>IF(Table2[[#This Row],[CurrentStock]]&lt;=Table2[[#This Row],[ReorderLevel]], "Reorder Needed", "Okay")</f>
        <v>Okay</v>
      </c>
      <c r="M2116" t="str">
        <f>IF(Table2[[#This Row],[CurrentStock]]-Table2[[#This Row],[ReorderLevel]]&lt;0,Table2[[#This Row],[CurrentStock]]-Table2[[#This Row],[ReorderLevel]],"")</f>
        <v/>
      </c>
      <c r="N2116" t="str">
        <f>IF(Table2[[#This Row],[Stock Gap]]&lt;0, "Understock","Okay")</f>
        <v>Okay</v>
      </c>
      <c r="O2116" s="13" t="str">
        <f>IF(Table2[[#This Row],[Stock Gap]]&lt;0, "Yes", "No")</f>
        <v>No</v>
      </c>
      <c r="P2116" s="13" t="str">
        <f>IF(Table2[[#This Row],[CurrentStock]]&lt;Table2[[#This Row],[ReorderLevel]],"Reorder", "Okay")</f>
        <v>Okay</v>
      </c>
      <c r="Q2116" s="13" t="str">
        <f>IF(Table2[[#This Row],[CurrentStock]]&gt;Table2[[#This Row],[ReorderLevel]]*3, "Overstock", "Okay")</f>
        <v>Okay</v>
      </c>
    </row>
    <row r="2117" spans="1:17" x14ac:dyDescent="0.35">
      <c r="A2117">
        <v>15193</v>
      </c>
      <c r="B2117" t="s">
        <v>22</v>
      </c>
      <c r="C2117" t="s">
        <v>29</v>
      </c>
      <c r="D2117">
        <v>427</v>
      </c>
      <c r="E2117">
        <v>100</v>
      </c>
      <c r="F2117" s="2">
        <v>383.77</v>
      </c>
      <c r="G2117" t="s">
        <v>34</v>
      </c>
      <c r="H2117" s="1">
        <v>45388</v>
      </c>
      <c r="I2117" s="1">
        <v>45415</v>
      </c>
      <c r="J2117" t="s">
        <v>38</v>
      </c>
      <c r="K2117" s="8">
        <f>Table2[[#This Row],[CurrentStock]]*Table2[[#This Row],[UnitPrice]]</f>
        <v>163869.78999999998</v>
      </c>
      <c r="L2117" t="str">
        <f>IF(Table2[[#This Row],[CurrentStock]]&lt;=Table2[[#This Row],[ReorderLevel]], "Reorder Needed", "Okay")</f>
        <v>Okay</v>
      </c>
      <c r="M2117" t="str">
        <f>IF(Table2[[#This Row],[CurrentStock]]-Table2[[#This Row],[ReorderLevel]]&lt;0,Table2[[#This Row],[CurrentStock]]-Table2[[#This Row],[ReorderLevel]],"")</f>
        <v/>
      </c>
      <c r="N2117" t="str">
        <f>IF(Table2[[#This Row],[Stock Gap]]&lt;0, "Understock","Okay")</f>
        <v>Okay</v>
      </c>
      <c r="O2117" s="13" t="str">
        <f>IF(Table2[[#This Row],[Stock Gap]]&lt;0, "Yes", "No")</f>
        <v>No</v>
      </c>
      <c r="P2117" s="13" t="str">
        <f>IF(Table2[[#This Row],[CurrentStock]]&lt;Table2[[#This Row],[ReorderLevel]],"Reorder", "Okay")</f>
        <v>Okay</v>
      </c>
      <c r="Q2117" s="13" t="str">
        <f>IF(Table2[[#This Row],[CurrentStock]]&gt;Table2[[#This Row],[ReorderLevel]]*3, "Overstock", "Okay")</f>
        <v>Overstock</v>
      </c>
    </row>
    <row r="2118" spans="1:17" x14ac:dyDescent="0.35">
      <c r="A2118">
        <v>93408</v>
      </c>
      <c r="B2118" t="s">
        <v>21</v>
      </c>
      <c r="C2118" t="s">
        <v>26</v>
      </c>
      <c r="D2118">
        <v>291</v>
      </c>
      <c r="E2118">
        <v>20</v>
      </c>
      <c r="F2118" s="2">
        <v>288.11</v>
      </c>
      <c r="G2118" t="s">
        <v>32</v>
      </c>
      <c r="H2118" s="1">
        <v>45550</v>
      </c>
      <c r="I2118" s="1">
        <v>45568</v>
      </c>
      <c r="J2118" t="s">
        <v>37</v>
      </c>
      <c r="K2118" s="8">
        <f>Table2[[#This Row],[CurrentStock]]*Table2[[#This Row],[UnitPrice]]</f>
        <v>83840.010000000009</v>
      </c>
      <c r="L2118" t="str">
        <f>IF(Table2[[#This Row],[CurrentStock]]&lt;=Table2[[#This Row],[ReorderLevel]], "Reorder Needed", "Okay")</f>
        <v>Okay</v>
      </c>
      <c r="M2118" t="str">
        <f>IF(Table2[[#This Row],[CurrentStock]]-Table2[[#This Row],[ReorderLevel]]&lt;0,Table2[[#This Row],[CurrentStock]]-Table2[[#This Row],[ReorderLevel]],"")</f>
        <v/>
      </c>
      <c r="N2118" t="str">
        <f>IF(Table2[[#This Row],[Stock Gap]]&lt;0, "Understock","Okay")</f>
        <v>Okay</v>
      </c>
      <c r="O2118" s="13" t="str">
        <f>IF(Table2[[#This Row],[Stock Gap]]&lt;0, "Yes", "No")</f>
        <v>No</v>
      </c>
      <c r="P2118" s="13" t="str">
        <f>IF(Table2[[#This Row],[CurrentStock]]&lt;Table2[[#This Row],[ReorderLevel]],"Reorder", "Okay")</f>
        <v>Okay</v>
      </c>
      <c r="Q2118" s="13" t="str">
        <f>IF(Table2[[#This Row],[CurrentStock]]&gt;Table2[[#This Row],[ReorderLevel]]*3, "Overstock", "Okay")</f>
        <v>Overstock</v>
      </c>
    </row>
    <row r="2119" spans="1:17" x14ac:dyDescent="0.35">
      <c r="A2119">
        <v>86519</v>
      </c>
      <c r="B2119" t="s">
        <v>22</v>
      </c>
      <c r="C2119" t="s">
        <v>29</v>
      </c>
      <c r="D2119">
        <v>178</v>
      </c>
      <c r="E2119">
        <v>20</v>
      </c>
      <c r="F2119" s="2">
        <v>78.040000000000006</v>
      </c>
      <c r="G2119" t="s">
        <v>35</v>
      </c>
      <c r="H2119" s="1">
        <v>45518</v>
      </c>
      <c r="I2119" s="1">
        <v>45540</v>
      </c>
      <c r="J2119" t="s">
        <v>37</v>
      </c>
      <c r="K2119" s="8">
        <f>Table2[[#This Row],[CurrentStock]]*Table2[[#This Row],[UnitPrice]]</f>
        <v>13891.12</v>
      </c>
      <c r="L2119" t="str">
        <f>IF(Table2[[#This Row],[CurrentStock]]&lt;=Table2[[#This Row],[ReorderLevel]], "Reorder Needed", "Okay")</f>
        <v>Okay</v>
      </c>
      <c r="M2119" t="str">
        <f>IF(Table2[[#This Row],[CurrentStock]]-Table2[[#This Row],[ReorderLevel]]&lt;0,Table2[[#This Row],[CurrentStock]]-Table2[[#This Row],[ReorderLevel]],"")</f>
        <v/>
      </c>
      <c r="N2119" t="str">
        <f>IF(Table2[[#This Row],[Stock Gap]]&lt;0, "Understock","Okay")</f>
        <v>Okay</v>
      </c>
      <c r="O2119" s="13" t="str">
        <f>IF(Table2[[#This Row],[Stock Gap]]&lt;0, "Yes", "No")</f>
        <v>No</v>
      </c>
      <c r="P2119" s="13" t="str">
        <f>IF(Table2[[#This Row],[CurrentStock]]&lt;Table2[[#This Row],[ReorderLevel]],"Reorder", "Okay")</f>
        <v>Okay</v>
      </c>
      <c r="Q2119" s="13" t="str">
        <f>IF(Table2[[#This Row],[CurrentStock]]&gt;Table2[[#This Row],[ReorderLevel]]*3, "Overstock", "Okay")</f>
        <v>Overstock</v>
      </c>
    </row>
    <row r="2120" spans="1:17" x14ac:dyDescent="0.35">
      <c r="A2120">
        <v>23898</v>
      </c>
      <c r="B2120" t="s">
        <v>17</v>
      </c>
      <c r="C2120" t="s">
        <v>27</v>
      </c>
      <c r="D2120">
        <v>137</v>
      </c>
      <c r="E2120">
        <v>40</v>
      </c>
      <c r="F2120" s="2">
        <v>361.56</v>
      </c>
      <c r="G2120" t="s">
        <v>34</v>
      </c>
      <c r="H2120" s="1">
        <v>45614</v>
      </c>
      <c r="I2120" s="1">
        <v>45622</v>
      </c>
      <c r="J2120" t="s">
        <v>36</v>
      </c>
      <c r="K2120" s="8">
        <f>Table2[[#This Row],[CurrentStock]]*Table2[[#This Row],[UnitPrice]]</f>
        <v>49533.72</v>
      </c>
      <c r="L2120" t="str">
        <f>IF(Table2[[#This Row],[CurrentStock]]&lt;=Table2[[#This Row],[ReorderLevel]], "Reorder Needed", "Okay")</f>
        <v>Okay</v>
      </c>
      <c r="M2120" t="str">
        <f>IF(Table2[[#This Row],[CurrentStock]]-Table2[[#This Row],[ReorderLevel]]&lt;0,Table2[[#This Row],[CurrentStock]]-Table2[[#This Row],[ReorderLevel]],"")</f>
        <v/>
      </c>
      <c r="N2120" t="str">
        <f>IF(Table2[[#This Row],[Stock Gap]]&lt;0, "Understock","Okay")</f>
        <v>Okay</v>
      </c>
      <c r="O2120" s="13" t="str">
        <f>IF(Table2[[#This Row],[Stock Gap]]&lt;0, "Yes", "No")</f>
        <v>No</v>
      </c>
      <c r="P2120" s="13" t="str">
        <f>IF(Table2[[#This Row],[CurrentStock]]&lt;Table2[[#This Row],[ReorderLevel]],"Reorder", "Okay")</f>
        <v>Okay</v>
      </c>
      <c r="Q2120" s="13" t="str">
        <f>IF(Table2[[#This Row],[CurrentStock]]&gt;Table2[[#This Row],[ReorderLevel]]*3, "Overstock", "Okay")</f>
        <v>Overstock</v>
      </c>
    </row>
    <row r="2121" spans="1:17" x14ac:dyDescent="0.35">
      <c r="A2121">
        <v>53386</v>
      </c>
      <c r="B2121" t="s">
        <v>10</v>
      </c>
      <c r="C2121" t="s">
        <v>26</v>
      </c>
      <c r="D2121">
        <v>376</v>
      </c>
      <c r="E2121">
        <v>150</v>
      </c>
      <c r="F2121" s="2">
        <v>422.48</v>
      </c>
      <c r="G2121" t="s">
        <v>34</v>
      </c>
      <c r="H2121" s="1">
        <v>45494</v>
      </c>
      <c r="I2121" s="1">
        <v>45504</v>
      </c>
      <c r="J2121" t="s">
        <v>37</v>
      </c>
      <c r="K2121" s="8">
        <f>Table2[[#This Row],[CurrentStock]]*Table2[[#This Row],[UnitPrice]]</f>
        <v>158852.48000000001</v>
      </c>
      <c r="L2121" t="str">
        <f>IF(Table2[[#This Row],[CurrentStock]]&lt;=Table2[[#This Row],[ReorderLevel]], "Reorder Needed", "Okay")</f>
        <v>Okay</v>
      </c>
      <c r="M2121" t="str">
        <f>IF(Table2[[#This Row],[CurrentStock]]-Table2[[#This Row],[ReorderLevel]]&lt;0,Table2[[#This Row],[CurrentStock]]-Table2[[#This Row],[ReorderLevel]],"")</f>
        <v/>
      </c>
      <c r="N2121" t="str">
        <f>IF(Table2[[#This Row],[Stock Gap]]&lt;0, "Understock","Okay")</f>
        <v>Okay</v>
      </c>
      <c r="O2121" s="13" t="str">
        <f>IF(Table2[[#This Row],[Stock Gap]]&lt;0, "Yes", "No")</f>
        <v>No</v>
      </c>
      <c r="P2121" s="13" t="str">
        <f>IF(Table2[[#This Row],[CurrentStock]]&lt;Table2[[#This Row],[ReorderLevel]],"Reorder", "Okay")</f>
        <v>Okay</v>
      </c>
      <c r="Q2121" s="13" t="str">
        <f>IF(Table2[[#This Row],[CurrentStock]]&gt;Table2[[#This Row],[ReorderLevel]]*3, "Overstock", "Okay")</f>
        <v>Okay</v>
      </c>
    </row>
    <row r="2122" spans="1:17" x14ac:dyDescent="0.35">
      <c r="A2122">
        <v>63812</v>
      </c>
      <c r="B2122" t="s">
        <v>16</v>
      </c>
      <c r="C2122" t="s">
        <v>29</v>
      </c>
      <c r="D2122">
        <v>149</v>
      </c>
      <c r="E2122">
        <v>80</v>
      </c>
      <c r="F2122" s="2">
        <v>317.79000000000002</v>
      </c>
      <c r="G2122" t="s">
        <v>32</v>
      </c>
      <c r="H2122" s="1">
        <v>45475</v>
      </c>
      <c r="I2122" s="1">
        <v>45508</v>
      </c>
      <c r="J2122" t="s">
        <v>38</v>
      </c>
      <c r="K2122" s="8">
        <f>Table2[[#This Row],[CurrentStock]]*Table2[[#This Row],[UnitPrice]]</f>
        <v>47350.710000000006</v>
      </c>
      <c r="L2122" t="str">
        <f>IF(Table2[[#This Row],[CurrentStock]]&lt;=Table2[[#This Row],[ReorderLevel]], "Reorder Needed", "Okay")</f>
        <v>Okay</v>
      </c>
      <c r="M2122" t="str">
        <f>IF(Table2[[#This Row],[CurrentStock]]-Table2[[#This Row],[ReorderLevel]]&lt;0,Table2[[#This Row],[CurrentStock]]-Table2[[#This Row],[ReorderLevel]],"")</f>
        <v/>
      </c>
      <c r="N2122" t="str">
        <f>IF(Table2[[#This Row],[Stock Gap]]&lt;0, "Understock","Okay")</f>
        <v>Okay</v>
      </c>
      <c r="O2122" s="13" t="str">
        <f>IF(Table2[[#This Row],[Stock Gap]]&lt;0, "Yes", "No")</f>
        <v>No</v>
      </c>
      <c r="P2122" s="13" t="str">
        <f>IF(Table2[[#This Row],[CurrentStock]]&lt;Table2[[#This Row],[ReorderLevel]],"Reorder", "Okay")</f>
        <v>Okay</v>
      </c>
      <c r="Q2122" s="13" t="str">
        <f>IF(Table2[[#This Row],[CurrentStock]]&gt;Table2[[#This Row],[ReorderLevel]]*3, "Overstock", "Okay")</f>
        <v>Okay</v>
      </c>
    </row>
    <row r="2123" spans="1:17" x14ac:dyDescent="0.35">
      <c r="A2123">
        <v>13477</v>
      </c>
      <c r="B2123" t="s">
        <v>9</v>
      </c>
      <c r="C2123" t="s">
        <v>26</v>
      </c>
      <c r="D2123">
        <v>410</v>
      </c>
      <c r="E2123">
        <v>100</v>
      </c>
      <c r="F2123" s="2">
        <v>202.48</v>
      </c>
      <c r="G2123" t="s">
        <v>31</v>
      </c>
      <c r="H2123" s="1">
        <v>45652</v>
      </c>
      <c r="I2123" s="1">
        <v>45659</v>
      </c>
      <c r="J2123" t="s">
        <v>37</v>
      </c>
      <c r="K2123" s="8">
        <f>Table2[[#This Row],[CurrentStock]]*Table2[[#This Row],[UnitPrice]]</f>
        <v>83016.800000000003</v>
      </c>
      <c r="L2123" t="str">
        <f>IF(Table2[[#This Row],[CurrentStock]]&lt;=Table2[[#This Row],[ReorderLevel]], "Reorder Needed", "Okay")</f>
        <v>Okay</v>
      </c>
      <c r="M2123" t="str">
        <f>IF(Table2[[#This Row],[CurrentStock]]-Table2[[#This Row],[ReorderLevel]]&lt;0,Table2[[#This Row],[CurrentStock]]-Table2[[#This Row],[ReorderLevel]],"")</f>
        <v/>
      </c>
      <c r="N2123" t="str">
        <f>IF(Table2[[#This Row],[Stock Gap]]&lt;0, "Understock","Okay")</f>
        <v>Okay</v>
      </c>
      <c r="O2123" s="13" t="str">
        <f>IF(Table2[[#This Row],[Stock Gap]]&lt;0, "Yes", "No")</f>
        <v>No</v>
      </c>
      <c r="P2123" s="13" t="str">
        <f>IF(Table2[[#This Row],[CurrentStock]]&lt;Table2[[#This Row],[ReorderLevel]],"Reorder", "Okay")</f>
        <v>Okay</v>
      </c>
      <c r="Q2123" s="13" t="str">
        <f>IF(Table2[[#This Row],[CurrentStock]]&gt;Table2[[#This Row],[ReorderLevel]]*3, "Overstock", "Okay")</f>
        <v>Overstock</v>
      </c>
    </row>
    <row r="2124" spans="1:17" x14ac:dyDescent="0.35">
      <c r="A2124">
        <v>10185</v>
      </c>
      <c r="B2124" t="s">
        <v>19</v>
      </c>
      <c r="C2124" t="s">
        <v>28</v>
      </c>
      <c r="D2124">
        <v>257</v>
      </c>
      <c r="E2124">
        <v>40</v>
      </c>
      <c r="F2124" s="2">
        <v>398.21</v>
      </c>
      <c r="G2124" t="s">
        <v>32</v>
      </c>
      <c r="H2124" s="1">
        <v>45522</v>
      </c>
      <c r="I2124" s="1">
        <v>45559</v>
      </c>
      <c r="J2124" t="s">
        <v>37</v>
      </c>
      <c r="K2124" s="8">
        <f>Table2[[#This Row],[CurrentStock]]*Table2[[#This Row],[UnitPrice]]</f>
        <v>102339.97</v>
      </c>
      <c r="L2124" t="str">
        <f>IF(Table2[[#This Row],[CurrentStock]]&lt;=Table2[[#This Row],[ReorderLevel]], "Reorder Needed", "Okay")</f>
        <v>Okay</v>
      </c>
      <c r="M2124" t="str">
        <f>IF(Table2[[#This Row],[CurrentStock]]-Table2[[#This Row],[ReorderLevel]]&lt;0,Table2[[#This Row],[CurrentStock]]-Table2[[#This Row],[ReorderLevel]],"")</f>
        <v/>
      </c>
      <c r="N2124" t="str">
        <f>IF(Table2[[#This Row],[Stock Gap]]&lt;0, "Understock","Okay")</f>
        <v>Okay</v>
      </c>
      <c r="O2124" s="13" t="str">
        <f>IF(Table2[[#This Row],[Stock Gap]]&lt;0, "Yes", "No")</f>
        <v>No</v>
      </c>
      <c r="P2124" s="13" t="str">
        <f>IF(Table2[[#This Row],[CurrentStock]]&lt;Table2[[#This Row],[ReorderLevel]],"Reorder", "Okay")</f>
        <v>Okay</v>
      </c>
      <c r="Q2124" s="13" t="str">
        <f>IF(Table2[[#This Row],[CurrentStock]]&gt;Table2[[#This Row],[ReorderLevel]]*3, "Overstock", "Okay")</f>
        <v>Overstock</v>
      </c>
    </row>
    <row r="2125" spans="1:17" x14ac:dyDescent="0.35">
      <c r="A2125">
        <v>37655</v>
      </c>
      <c r="B2125" t="s">
        <v>14</v>
      </c>
      <c r="C2125" t="s">
        <v>28</v>
      </c>
      <c r="D2125">
        <v>486</v>
      </c>
      <c r="E2125">
        <v>150</v>
      </c>
      <c r="F2125" s="2">
        <v>280.62</v>
      </c>
      <c r="G2125" t="s">
        <v>31</v>
      </c>
      <c r="H2125" s="1">
        <v>45312</v>
      </c>
      <c r="I2125" s="1">
        <v>45331</v>
      </c>
      <c r="J2125" t="s">
        <v>37</v>
      </c>
      <c r="K2125" s="8">
        <f>Table2[[#This Row],[CurrentStock]]*Table2[[#This Row],[UnitPrice]]</f>
        <v>136381.32</v>
      </c>
      <c r="L2125" t="str">
        <f>IF(Table2[[#This Row],[CurrentStock]]&lt;=Table2[[#This Row],[ReorderLevel]], "Reorder Needed", "Okay")</f>
        <v>Okay</v>
      </c>
      <c r="M2125" t="str">
        <f>IF(Table2[[#This Row],[CurrentStock]]-Table2[[#This Row],[ReorderLevel]]&lt;0,Table2[[#This Row],[CurrentStock]]-Table2[[#This Row],[ReorderLevel]],"")</f>
        <v/>
      </c>
      <c r="N2125" t="str">
        <f>IF(Table2[[#This Row],[Stock Gap]]&lt;0, "Understock","Okay")</f>
        <v>Okay</v>
      </c>
      <c r="O2125" s="13" t="str">
        <f>IF(Table2[[#This Row],[Stock Gap]]&lt;0, "Yes", "No")</f>
        <v>No</v>
      </c>
      <c r="P2125" s="13" t="str">
        <f>IF(Table2[[#This Row],[CurrentStock]]&lt;Table2[[#This Row],[ReorderLevel]],"Reorder", "Okay")</f>
        <v>Okay</v>
      </c>
      <c r="Q2125" s="13" t="str">
        <f>IF(Table2[[#This Row],[CurrentStock]]&gt;Table2[[#This Row],[ReorderLevel]]*3, "Overstock", "Okay")</f>
        <v>Overstock</v>
      </c>
    </row>
    <row r="2126" spans="1:17" x14ac:dyDescent="0.35">
      <c r="A2126">
        <v>76865</v>
      </c>
      <c r="B2126" t="s">
        <v>13</v>
      </c>
      <c r="C2126" t="s">
        <v>26</v>
      </c>
      <c r="D2126">
        <v>376</v>
      </c>
      <c r="E2126">
        <v>30</v>
      </c>
      <c r="F2126" s="2">
        <v>181.07</v>
      </c>
      <c r="G2126" t="s">
        <v>35</v>
      </c>
      <c r="H2126" s="1">
        <v>45437</v>
      </c>
      <c r="I2126" s="1">
        <v>45460</v>
      </c>
      <c r="J2126" t="s">
        <v>37</v>
      </c>
      <c r="K2126" s="8">
        <f>Table2[[#This Row],[CurrentStock]]*Table2[[#This Row],[UnitPrice]]</f>
        <v>68082.319999999992</v>
      </c>
      <c r="L2126" t="str">
        <f>IF(Table2[[#This Row],[CurrentStock]]&lt;=Table2[[#This Row],[ReorderLevel]], "Reorder Needed", "Okay")</f>
        <v>Okay</v>
      </c>
      <c r="M2126" t="str">
        <f>IF(Table2[[#This Row],[CurrentStock]]-Table2[[#This Row],[ReorderLevel]]&lt;0,Table2[[#This Row],[CurrentStock]]-Table2[[#This Row],[ReorderLevel]],"")</f>
        <v/>
      </c>
      <c r="N2126" t="str">
        <f>IF(Table2[[#This Row],[Stock Gap]]&lt;0, "Understock","Okay")</f>
        <v>Okay</v>
      </c>
      <c r="O2126" s="13" t="str">
        <f>IF(Table2[[#This Row],[Stock Gap]]&lt;0, "Yes", "No")</f>
        <v>No</v>
      </c>
      <c r="P2126" s="13" t="str">
        <f>IF(Table2[[#This Row],[CurrentStock]]&lt;Table2[[#This Row],[ReorderLevel]],"Reorder", "Okay")</f>
        <v>Okay</v>
      </c>
      <c r="Q2126" s="13" t="str">
        <f>IF(Table2[[#This Row],[CurrentStock]]&gt;Table2[[#This Row],[ReorderLevel]]*3, "Overstock", "Okay")</f>
        <v>Overstock</v>
      </c>
    </row>
    <row r="2127" spans="1:17" x14ac:dyDescent="0.35">
      <c r="A2127">
        <v>33459</v>
      </c>
      <c r="B2127" t="s">
        <v>10</v>
      </c>
      <c r="C2127" t="s">
        <v>26</v>
      </c>
      <c r="D2127">
        <v>225</v>
      </c>
      <c r="E2127">
        <v>40</v>
      </c>
      <c r="F2127" s="2">
        <v>307.66000000000003</v>
      </c>
      <c r="G2127" t="s">
        <v>32</v>
      </c>
      <c r="H2127" s="1">
        <v>45507</v>
      </c>
      <c r="I2127" s="1">
        <v>45515</v>
      </c>
      <c r="J2127" t="s">
        <v>38</v>
      </c>
      <c r="K2127" s="8">
        <f>Table2[[#This Row],[CurrentStock]]*Table2[[#This Row],[UnitPrice]]</f>
        <v>69223.5</v>
      </c>
      <c r="L2127" t="str">
        <f>IF(Table2[[#This Row],[CurrentStock]]&lt;=Table2[[#This Row],[ReorderLevel]], "Reorder Needed", "Okay")</f>
        <v>Okay</v>
      </c>
      <c r="M2127" t="str">
        <f>IF(Table2[[#This Row],[CurrentStock]]-Table2[[#This Row],[ReorderLevel]]&lt;0,Table2[[#This Row],[CurrentStock]]-Table2[[#This Row],[ReorderLevel]],"")</f>
        <v/>
      </c>
      <c r="N2127" t="str">
        <f>IF(Table2[[#This Row],[Stock Gap]]&lt;0, "Understock","Okay")</f>
        <v>Okay</v>
      </c>
      <c r="O2127" s="13" t="str">
        <f>IF(Table2[[#This Row],[Stock Gap]]&lt;0, "Yes", "No")</f>
        <v>No</v>
      </c>
      <c r="P2127" s="13" t="str">
        <f>IF(Table2[[#This Row],[CurrentStock]]&lt;Table2[[#This Row],[ReorderLevel]],"Reorder", "Okay")</f>
        <v>Okay</v>
      </c>
      <c r="Q2127" s="13" t="str">
        <f>IF(Table2[[#This Row],[CurrentStock]]&gt;Table2[[#This Row],[ReorderLevel]]*3, "Overstock", "Okay")</f>
        <v>Overstock</v>
      </c>
    </row>
    <row r="2128" spans="1:17" x14ac:dyDescent="0.35">
      <c r="A2128">
        <v>18912</v>
      </c>
      <c r="B2128" t="s">
        <v>17</v>
      </c>
      <c r="C2128" t="s">
        <v>27</v>
      </c>
      <c r="D2128">
        <v>66</v>
      </c>
      <c r="E2128">
        <v>100</v>
      </c>
      <c r="F2128" s="2">
        <v>299.77</v>
      </c>
      <c r="G2128" t="s">
        <v>31</v>
      </c>
      <c r="H2128" s="1">
        <v>45568</v>
      </c>
      <c r="I2128" s="1">
        <v>45580</v>
      </c>
      <c r="J2128" t="s">
        <v>37</v>
      </c>
      <c r="K2128" s="8">
        <f>Table2[[#This Row],[CurrentStock]]*Table2[[#This Row],[UnitPrice]]</f>
        <v>19784.82</v>
      </c>
      <c r="L2128" t="str">
        <f>IF(Table2[[#This Row],[CurrentStock]]&lt;=Table2[[#This Row],[ReorderLevel]], "Reorder Needed", "Okay")</f>
        <v>Reorder Needed</v>
      </c>
      <c r="M2128" s="7">
        <f>IF(Table2[[#This Row],[CurrentStock]]-Table2[[#This Row],[ReorderLevel]]&lt;0,Table2[[#This Row],[CurrentStock]]-Table2[[#This Row],[ReorderLevel]],"")</f>
        <v>-34</v>
      </c>
      <c r="N2128" t="str">
        <f>IF(Table2[[#This Row],[Stock Gap]]&lt;0, "Understock","Okay")</f>
        <v>Understock</v>
      </c>
      <c r="O2128" s="13" t="str">
        <f>IF(Table2[[#This Row],[Stock Gap]]&lt;0, "Yes", "No")</f>
        <v>Yes</v>
      </c>
      <c r="P2128" s="13" t="str">
        <f>IF(Table2[[#This Row],[CurrentStock]]&lt;Table2[[#This Row],[ReorderLevel]],"Reorder", "Okay")</f>
        <v>Reorder</v>
      </c>
      <c r="Q2128" s="13" t="str">
        <f>IF(Table2[[#This Row],[CurrentStock]]&gt;Table2[[#This Row],[ReorderLevel]]*3, "Overstock", "Okay")</f>
        <v>Okay</v>
      </c>
    </row>
    <row r="2129" spans="1:17" x14ac:dyDescent="0.35">
      <c r="A2129">
        <v>62716</v>
      </c>
      <c r="B2129" t="s">
        <v>11</v>
      </c>
      <c r="C2129" t="s">
        <v>27</v>
      </c>
      <c r="D2129">
        <v>307</v>
      </c>
      <c r="E2129">
        <v>100</v>
      </c>
      <c r="F2129" s="2">
        <v>83.03</v>
      </c>
      <c r="G2129" t="s">
        <v>34</v>
      </c>
      <c r="H2129" s="1">
        <v>45457</v>
      </c>
      <c r="I2129" s="1">
        <v>45481</v>
      </c>
      <c r="J2129" t="s">
        <v>38</v>
      </c>
      <c r="K2129" s="8">
        <f>Table2[[#This Row],[CurrentStock]]*Table2[[#This Row],[UnitPrice]]</f>
        <v>25490.21</v>
      </c>
      <c r="L2129" t="str">
        <f>IF(Table2[[#This Row],[CurrentStock]]&lt;=Table2[[#This Row],[ReorderLevel]], "Reorder Needed", "Okay")</f>
        <v>Okay</v>
      </c>
      <c r="M2129" t="str">
        <f>IF(Table2[[#This Row],[CurrentStock]]-Table2[[#This Row],[ReorderLevel]]&lt;0,Table2[[#This Row],[CurrentStock]]-Table2[[#This Row],[ReorderLevel]],"")</f>
        <v/>
      </c>
      <c r="N2129" t="str">
        <f>IF(Table2[[#This Row],[Stock Gap]]&lt;0, "Understock","Okay")</f>
        <v>Okay</v>
      </c>
      <c r="O2129" s="13" t="str">
        <f>IF(Table2[[#This Row],[Stock Gap]]&lt;0, "Yes", "No")</f>
        <v>No</v>
      </c>
      <c r="P2129" s="13" t="str">
        <f>IF(Table2[[#This Row],[CurrentStock]]&lt;Table2[[#This Row],[ReorderLevel]],"Reorder", "Okay")</f>
        <v>Okay</v>
      </c>
      <c r="Q2129" s="13" t="str">
        <f>IF(Table2[[#This Row],[CurrentStock]]&gt;Table2[[#This Row],[ReorderLevel]]*3, "Overstock", "Okay")</f>
        <v>Overstock</v>
      </c>
    </row>
    <row r="2130" spans="1:17" x14ac:dyDescent="0.35">
      <c r="A2130">
        <v>49177</v>
      </c>
      <c r="B2130" t="s">
        <v>19</v>
      </c>
      <c r="C2130" t="s">
        <v>28</v>
      </c>
      <c r="D2130">
        <v>66</v>
      </c>
      <c r="E2130">
        <v>30</v>
      </c>
      <c r="F2130" s="2">
        <v>10.55</v>
      </c>
      <c r="G2130" t="s">
        <v>34</v>
      </c>
      <c r="H2130" s="1">
        <v>45446</v>
      </c>
      <c r="I2130" s="1">
        <v>45482</v>
      </c>
      <c r="J2130" t="s">
        <v>38</v>
      </c>
      <c r="K2130" s="8">
        <f>Table2[[#This Row],[CurrentStock]]*Table2[[#This Row],[UnitPrice]]</f>
        <v>696.30000000000007</v>
      </c>
      <c r="L2130" t="str">
        <f>IF(Table2[[#This Row],[CurrentStock]]&lt;=Table2[[#This Row],[ReorderLevel]], "Reorder Needed", "Okay")</f>
        <v>Okay</v>
      </c>
      <c r="M2130" t="str">
        <f>IF(Table2[[#This Row],[CurrentStock]]-Table2[[#This Row],[ReorderLevel]]&lt;0,Table2[[#This Row],[CurrentStock]]-Table2[[#This Row],[ReorderLevel]],"")</f>
        <v/>
      </c>
      <c r="N2130" t="str">
        <f>IF(Table2[[#This Row],[Stock Gap]]&lt;0, "Understock","Okay")</f>
        <v>Okay</v>
      </c>
      <c r="O2130" s="13" t="str">
        <f>IF(Table2[[#This Row],[Stock Gap]]&lt;0, "Yes", "No")</f>
        <v>No</v>
      </c>
      <c r="P2130" s="13" t="str">
        <f>IF(Table2[[#This Row],[CurrentStock]]&lt;Table2[[#This Row],[ReorderLevel]],"Reorder", "Okay")</f>
        <v>Okay</v>
      </c>
      <c r="Q2130" s="13" t="str">
        <f>IF(Table2[[#This Row],[CurrentStock]]&gt;Table2[[#This Row],[ReorderLevel]]*3, "Overstock", "Okay")</f>
        <v>Okay</v>
      </c>
    </row>
    <row r="2131" spans="1:17" x14ac:dyDescent="0.35">
      <c r="A2131">
        <v>25070</v>
      </c>
      <c r="B2131" t="s">
        <v>11</v>
      </c>
      <c r="C2131" t="s">
        <v>27</v>
      </c>
      <c r="D2131">
        <v>422</v>
      </c>
      <c r="E2131">
        <v>150</v>
      </c>
      <c r="F2131" s="2">
        <v>119.48</v>
      </c>
      <c r="G2131" t="s">
        <v>32</v>
      </c>
      <c r="H2131" s="1">
        <v>45619</v>
      </c>
      <c r="I2131" s="1">
        <v>45648</v>
      </c>
      <c r="J2131" t="s">
        <v>36</v>
      </c>
      <c r="K2131" s="8">
        <f>Table2[[#This Row],[CurrentStock]]*Table2[[#This Row],[UnitPrice]]</f>
        <v>50420.560000000005</v>
      </c>
      <c r="L2131" t="str">
        <f>IF(Table2[[#This Row],[CurrentStock]]&lt;=Table2[[#This Row],[ReorderLevel]], "Reorder Needed", "Okay")</f>
        <v>Okay</v>
      </c>
      <c r="M2131" t="str">
        <f>IF(Table2[[#This Row],[CurrentStock]]-Table2[[#This Row],[ReorderLevel]]&lt;0,Table2[[#This Row],[CurrentStock]]-Table2[[#This Row],[ReorderLevel]],"")</f>
        <v/>
      </c>
      <c r="N2131" t="str">
        <f>IF(Table2[[#This Row],[Stock Gap]]&lt;0, "Understock","Okay")</f>
        <v>Okay</v>
      </c>
      <c r="O2131" s="13" t="str">
        <f>IF(Table2[[#This Row],[Stock Gap]]&lt;0, "Yes", "No")</f>
        <v>No</v>
      </c>
      <c r="P2131" s="13" t="str">
        <f>IF(Table2[[#This Row],[CurrentStock]]&lt;Table2[[#This Row],[ReorderLevel]],"Reorder", "Okay")</f>
        <v>Okay</v>
      </c>
      <c r="Q2131" s="13" t="str">
        <f>IF(Table2[[#This Row],[CurrentStock]]&gt;Table2[[#This Row],[ReorderLevel]]*3, "Overstock", "Okay")</f>
        <v>Okay</v>
      </c>
    </row>
    <row r="2132" spans="1:17" x14ac:dyDescent="0.35">
      <c r="A2132">
        <v>51912</v>
      </c>
      <c r="B2132" t="s">
        <v>10</v>
      </c>
      <c r="C2132" t="s">
        <v>26</v>
      </c>
      <c r="D2132">
        <v>283</v>
      </c>
      <c r="E2132">
        <v>20</v>
      </c>
      <c r="F2132" s="2">
        <v>191.63</v>
      </c>
      <c r="G2132" t="s">
        <v>35</v>
      </c>
      <c r="H2132" s="1">
        <v>45591</v>
      </c>
      <c r="I2132" s="1">
        <v>45618</v>
      </c>
      <c r="J2132" t="s">
        <v>38</v>
      </c>
      <c r="K2132" s="8">
        <f>Table2[[#This Row],[CurrentStock]]*Table2[[#This Row],[UnitPrice]]</f>
        <v>54231.29</v>
      </c>
      <c r="L2132" t="str">
        <f>IF(Table2[[#This Row],[CurrentStock]]&lt;=Table2[[#This Row],[ReorderLevel]], "Reorder Needed", "Okay")</f>
        <v>Okay</v>
      </c>
      <c r="M2132" t="str">
        <f>IF(Table2[[#This Row],[CurrentStock]]-Table2[[#This Row],[ReorderLevel]]&lt;0,Table2[[#This Row],[CurrentStock]]-Table2[[#This Row],[ReorderLevel]],"")</f>
        <v/>
      </c>
      <c r="N2132" t="str">
        <f>IF(Table2[[#This Row],[Stock Gap]]&lt;0, "Understock","Okay")</f>
        <v>Okay</v>
      </c>
      <c r="O2132" s="13" t="str">
        <f>IF(Table2[[#This Row],[Stock Gap]]&lt;0, "Yes", "No")</f>
        <v>No</v>
      </c>
      <c r="P2132" s="13" t="str">
        <f>IF(Table2[[#This Row],[CurrentStock]]&lt;Table2[[#This Row],[ReorderLevel]],"Reorder", "Okay")</f>
        <v>Okay</v>
      </c>
      <c r="Q2132" s="13" t="str">
        <f>IF(Table2[[#This Row],[CurrentStock]]&gt;Table2[[#This Row],[ReorderLevel]]*3, "Overstock", "Okay")</f>
        <v>Overstock</v>
      </c>
    </row>
    <row r="2133" spans="1:17" x14ac:dyDescent="0.35">
      <c r="A2133">
        <v>58505</v>
      </c>
      <c r="B2133" t="s">
        <v>23</v>
      </c>
      <c r="C2133" t="s">
        <v>30</v>
      </c>
      <c r="D2133">
        <v>464</v>
      </c>
      <c r="E2133">
        <v>150</v>
      </c>
      <c r="F2133" s="2">
        <v>396.49</v>
      </c>
      <c r="G2133" t="s">
        <v>33</v>
      </c>
      <c r="H2133" s="1">
        <v>45408</v>
      </c>
      <c r="I2133" s="1">
        <v>45422</v>
      </c>
      <c r="J2133" t="s">
        <v>37</v>
      </c>
      <c r="K2133" s="8">
        <f>Table2[[#This Row],[CurrentStock]]*Table2[[#This Row],[UnitPrice]]</f>
        <v>183971.36000000002</v>
      </c>
      <c r="L2133" t="str">
        <f>IF(Table2[[#This Row],[CurrentStock]]&lt;=Table2[[#This Row],[ReorderLevel]], "Reorder Needed", "Okay")</f>
        <v>Okay</v>
      </c>
      <c r="M2133" t="str">
        <f>IF(Table2[[#This Row],[CurrentStock]]-Table2[[#This Row],[ReorderLevel]]&lt;0,Table2[[#This Row],[CurrentStock]]-Table2[[#This Row],[ReorderLevel]],"")</f>
        <v/>
      </c>
      <c r="N2133" t="str">
        <f>IF(Table2[[#This Row],[Stock Gap]]&lt;0, "Understock","Okay")</f>
        <v>Okay</v>
      </c>
      <c r="O2133" s="13" t="str">
        <f>IF(Table2[[#This Row],[Stock Gap]]&lt;0, "Yes", "No")</f>
        <v>No</v>
      </c>
      <c r="P2133" s="13" t="str">
        <f>IF(Table2[[#This Row],[CurrentStock]]&lt;Table2[[#This Row],[ReorderLevel]],"Reorder", "Okay")</f>
        <v>Okay</v>
      </c>
      <c r="Q2133" s="13" t="str">
        <f>IF(Table2[[#This Row],[CurrentStock]]&gt;Table2[[#This Row],[ReorderLevel]]*3, "Overstock", "Okay")</f>
        <v>Overstock</v>
      </c>
    </row>
    <row r="2134" spans="1:17" x14ac:dyDescent="0.35">
      <c r="A2134">
        <v>43292</v>
      </c>
      <c r="B2134" t="s">
        <v>20</v>
      </c>
      <c r="C2134" t="s">
        <v>30</v>
      </c>
      <c r="D2134">
        <v>368</v>
      </c>
      <c r="E2134">
        <v>30</v>
      </c>
      <c r="F2134" s="2">
        <v>441.72</v>
      </c>
      <c r="G2134" t="s">
        <v>34</v>
      </c>
      <c r="H2134" s="1">
        <v>45639</v>
      </c>
      <c r="I2134" s="1">
        <v>45671</v>
      </c>
      <c r="J2134" t="s">
        <v>38</v>
      </c>
      <c r="K2134" s="8">
        <f>Table2[[#This Row],[CurrentStock]]*Table2[[#This Row],[UnitPrice]]</f>
        <v>162552.96000000002</v>
      </c>
      <c r="L2134" t="str">
        <f>IF(Table2[[#This Row],[CurrentStock]]&lt;=Table2[[#This Row],[ReorderLevel]], "Reorder Needed", "Okay")</f>
        <v>Okay</v>
      </c>
      <c r="M2134" t="str">
        <f>IF(Table2[[#This Row],[CurrentStock]]-Table2[[#This Row],[ReorderLevel]]&lt;0,Table2[[#This Row],[CurrentStock]]-Table2[[#This Row],[ReorderLevel]],"")</f>
        <v/>
      </c>
      <c r="N2134" t="str">
        <f>IF(Table2[[#This Row],[Stock Gap]]&lt;0, "Understock","Okay")</f>
        <v>Okay</v>
      </c>
      <c r="O2134" s="13" t="str">
        <f>IF(Table2[[#This Row],[Stock Gap]]&lt;0, "Yes", "No")</f>
        <v>No</v>
      </c>
      <c r="P2134" s="13" t="str">
        <f>IF(Table2[[#This Row],[CurrentStock]]&lt;Table2[[#This Row],[ReorderLevel]],"Reorder", "Okay")</f>
        <v>Okay</v>
      </c>
      <c r="Q2134" s="13" t="str">
        <f>IF(Table2[[#This Row],[CurrentStock]]&gt;Table2[[#This Row],[ReorderLevel]]*3, "Overstock", "Okay")</f>
        <v>Overstock</v>
      </c>
    </row>
    <row r="2135" spans="1:17" x14ac:dyDescent="0.35">
      <c r="A2135">
        <v>22987</v>
      </c>
      <c r="B2135" t="s">
        <v>11</v>
      </c>
      <c r="C2135" t="s">
        <v>27</v>
      </c>
      <c r="D2135">
        <v>248</v>
      </c>
      <c r="E2135">
        <v>150</v>
      </c>
      <c r="F2135" s="2">
        <v>362.71</v>
      </c>
      <c r="G2135" t="s">
        <v>32</v>
      </c>
      <c r="H2135" s="1">
        <v>45555</v>
      </c>
      <c r="I2135" s="1">
        <v>45568</v>
      </c>
      <c r="J2135" t="s">
        <v>37</v>
      </c>
      <c r="K2135" s="8">
        <f>Table2[[#This Row],[CurrentStock]]*Table2[[#This Row],[UnitPrice]]</f>
        <v>89952.08</v>
      </c>
      <c r="L2135" t="str">
        <f>IF(Table2[[#This Row],[CurrentStock]]&lt;=Table2[[#This Row],[ReorderLevel]], "Reorder Needed", "Okay")</f>
        <v>Okay</v>
      </c>
      <c r="M2135" t="str">
        <f>IF(Table2[[#This Row],[CurrentStock]]-Table2[[#This Row],[ReorderLevel]]&lt;0,Table2[[#This Row],[CurrentStock]]-Table2[[#This Row],[ReorderLevel]],"")</f>
        <v/>
      </c>
      <c r="N2135" t="str">
        <f>IF(Table2[[#This Row],[Stock Gap]]&lt;0, "Understock","Okay")</f>
        <v>Okay</v>
      </c>
      <c r="O2135" s="13" t="str">
        <f>IF(Table2[[#This Row],[Stock Gap]]&lt;0, "Yes", "No")</f>
        <v>No</v>
      </c>
      <c r="P2135" s="13" t="str">
        <f>IF(Table2[[#This Row],[CurrentStock]]&lt;Table2[[#This Row],[ReorderLevel]],"Reorder", "Okay")</f>
        <v>Okay</v>
      </c>
      <c r="Q2135" s="13" t="str">
        <f>IF(Table2[[#This Row],[CurrentStock]]&gt;Table2[[#This Row],[ReorderLevel]]*3, "Overstock", "Okay")</f>
        <v>Okay</v>
      </c>
    </row>
    <row r="2136" spans="1:17" x14ac:dyDescent="0.35">
      <c r="A2136">
        <v>64510</v>
      </c>
      <c r="B2136" t="s">
        <v>12</v>
      </c>
      <c r="C2136" t="s">
        <v>28</v>
      </c>
      <c r="D2136">
        <v>456</v>
      </c>
      <c r="E2136">
        <v>80</v>
      </c>
      <c r="F2136" s="2">
        <v>99.38</v>
      </c>
      <c r="G2136" t="s">
        <v>35</v>
      </c>
      <c r="H2136" s="1">
        <v>45343</v>
      </c>
      <c r="I2136" s="1">
        <v>45355</v>
      </c>
      <c r="J2136" t="s">
        <v>37</v>
      </c>
      <c r="K2136" s="8">
        <f>Table2[[#This Row],[CurrentStock]]*Table2[[#This Row],[UnitPrice]]</f>
        <v>45317.279999999999</v>
      </c>
      <c r="L2136" t="str">
        <f>IF(Table2[[#This Row],[CurrentStock]]&lt;=Table2[[#This Row],[ReorderLevel]], "Reorder Needed", "Okay")</f>
        <v>Okay</v>
      </c>
      <c r="M2136" t="str">
        <f>IF(Table2[[#This Row],[CurrentStock]]-Table2[[#This Row],[ReorderLevel]]&lt;0,Table2[[#This Row],[CurrentStock]]-Table2[[#This Row],[ReorderLevel]],"")</f>
        <v/>
      </c>
      <c r="N2136" t="str">
        <f>IF(Table2[[#This Row],[Stock Gap]]&lt;0, "Understock","Okay")</f>
        <v>Okay</v>
      </c>
      <c r="O2136" s="13" t="str">
        <f>IF(Table2[[#This Row],[Stock Gap]]&lt;0, "Yes", "No")</f>
        <v>No</v>
      </c>
      <c r="P2136" s="13" t="str">
        <f>IF(Table2[[#This Row],[CurrentStock]]&lt;Table2[[#This Row],[ReorderLevel]],"Reorder", "Okay")</f>
        <v>Okay</v>
      </c>
      <c r="Q2136" s="13" t="str">
        <f>IF(Table2[[#This Row],[CurrentStock]]&gt;Table2[[#This Row],[ReorderLevel]]*3, "Overstock", "Okay")</f>
        <v>Overstock</v>
      </c>
    </row>
    <row r="2137" spans="1:17" x14ac:dyDescent="0.35">
      <c r="A2137">
        <v>17213</v>
      </c>
      <c r="B2137" t="s">
        <v>25</v>
      </c>
      <c r="C2137" t="s">
        <v>29</v>
      </c>
      <c r="D2137">
        <v>236</v>
      </c>
      <c r="E2137">
        <v>150</v>
      </c>
      <c r="F2137" s="2">
        <v>445.25</v>
      </c>
      <c r="G2137" t="s">
        <v>32</v>
      </c>
      <c r="H2137" s="1">
        <v>45348</v>
      </c>
      <c r="I2137" s="1">
        <v>45371</v>
      </c>
      <c r="J2137" t="s">
        <v>36</v>
      </c>
      <c r="K2137" s="8">
        <f>Table2[[#This Row],[CurrentStock]]*Table2[[#This Row],[UnitPrice]]</f>
        <v>105079</v>
      </c>
      <c r="L2137" t="str">
        <f>IF(Table2[[#This Row],[CurrentStock]]&lt;=Table2[[#This Row],[ReorderLevel]], "Reorder Needed", "Okay")</f>
        <v>Okay</v>
      </c>
      <c r="M2137" t="str">
        <f>IF(Table2[[#This Row],[CurrentStock]]-Table2[[#This Row],[ReorderLevel]]&lt;0,Table2[[#This Row],[CurrentStock]]-Table2[[#This Row],[ReorderLevel]],"")</f>
        <v/>
      </c>
      <c r="N2137" t="str">
        <f>IF(Table2[[#This Row],[Stock Gap]]&lt;0, "Understock","Okay")</f>
        <v>Okay</v>
      </c>
      <c r="O2137" s="13" t="str">
        <f>IF(Table2[[#This Row],[Stock Gap]]&lt;0, "Yes", "No")</f>
        <v>No</v>
      </c>
      <c r="P2137" s="13" t="str">
        <f>IF(Table2[[#This Row],[CurrentStock]]&lt;Table2[[#This Row],[ReorderLevel]],"Reorder", "Okay")</f>
        <v>Okay</v>
      </c>
      <c r="Q2137" s="13" t="str">
        <f>IF(Table2[[#This Row],[CurrentStock]]&gt;Table2[[#This Row],[ReorderLevel]]*3, "Overstock", "Okay")</f>
        <v>Okay</v>
      </c>
    </row>
    <row r="2138" spans="1:17" x14ac:dyDescent="0.35">
      <c r="A2138">
        <v>33368</v>
      </c>
      <c r="B2138" t="s">
        <v>16</v>
      </c>
      <c r="C2138" t="s">
        <v>29</v>
      </c>
      <c r="D2138">
        <v>401</v>
      </c>
      <c r="E2138">
        <v>50</v>
      </c>
      <c r="F2138" s="2">
        <v>192.67</v>
      </c>
      <c r="G2138" t="s">
        <v>34</v>
      </c>
      <c r="H2138" s="1">
        <v>45353</v>
      </c>
      <c r="I2138" s="1">
        <v>45368</v>
      </c>
      <c r="J2138" t="s">
        <v>37</v>
      </c>
      <c r="K2138" s="8">
        <f>Table2[[#This Row],[CurrentStock]]*Table2[[#This Row],[UnitPrice]]</f>
        <v>77260.67</v>
      </c>
      <c r="L2138" t="str">
        <f>IF(Table2[[#This Row],[CurrentStock]]&lt;=Table2[[#This Row],[ReorderLevel]], "Reorder Needed", "Okay")</f>
        <v>Okay</v>
      </c>
      <c r="M2138" t="str">
        <f>IF(Table2[[#This Row],[CurrentStock]]-Table2[[#This Row],[ReorderLevel]]&lt;0,Table2[[#This Row],[CurrentStock]]-Table2[[#This Row],[ReorderLevel]],"")</f>
        <v/>
      </c>
      <c r="N2138" t="str">
        <f>IF(Table2[[#This Row],[Stock Gap]]&lt;0, "Understock","Okay")</f>
        <v>Okay</v>
      </c>
      <c r="O2138" s="13" t="str">
        <f>IF(Table2[[#This Row],[Stock Gap]]&lt;0, "Yes", "No")</f>
        <v>No</v>
      </c>
      <c r="P2138" s="13" t="str">
        <f>IF(Table2[[#This Row],[CurrentStock]]&lt;Table2[[#This Row],[ReorderLevel]],"Reorder", "Okay")</f>
        <v>Okay</v>
      </c>
      <c r="Q2138" s="13" t="str">
        <f>IF(Table2[[#This Row],[CurrentStock]]&gt;Table2[[#This Row],[ReorderLevel]]*3, "Overstock", "Okay")</f>
        <v>Overstock</v>
      </c>
    </row>
    <row r="2139" spans="1:17" x14ac:dyDescent="0.35">
      <c r="A2139">
        <v>19223</v>
      </c>
      <c r="B2139" t="s">
        <v>18</v>
      </c>
      <c r="C2139" t="s">
        <v>27</v>
      </c>
      <c r="D2139">
        <v>264</v>
      </c>
      <c r="E2139">
        <v>50</v>
      </c>
      <c r="F2139" s="2">
        <v>235.26</v>
      </c>
      <c r="G2139" t="s">
        <v>32</v>
      </c>
      <c r="H2139" s="1">
        <v>45457</v>
      </c>
      <c r="I2139" s="1">
        <v>45489</v>
      </c>
      <c r="J2139" t="s">
        <v>36</v>
      </c>
      <c r="K2139" s="8">
        <f>Table2[[#This Row],[CurrentStock]]*Table2[[#This Row],[UnitPrice]]</f>
        <v>62108.639999999999</v>
      </c>
      <c r="L2139" t="str">
        <f>IF(Table2[[#This Row],[CurrentStock]]&lt;=Table2[[#This Row],[ReorderLevel]], "Reorder Needed", "Okay")</f>
        <v>Okay</v>
      </c>
      <c r="M2139" t="str">
        <f>IF(Table2[[#This Row],[CurrentStock]]-Table2[[#This Row],[ReorderLevel]]&lt;0,Table2[[#This Row],[CurrentStock]]-Table2[[#This Row],[ReorderLevel]],"")</f>
        <v/>
      </c>
      <c r="N2139" t="str">
        <f>IF(Table2[[#This Row],[Stock Gap]]&lt;0, "Understock","Okay")</f>
        <v>Okay</v>
      </c>
      <c r="O2139" s="13" t="str">
        <f>IF(Table2[[#This Row],[Stock Gap]]&lt;0, "Yes", "No")</f>
        <v>No</v>
      </c>
      <c r="P2139" s="13" t="str">
        <f>IF(Table2[[#This Row],[CurrentStock]]&lt;Table2[[#This Row],[ReorderLevel]],"Reorder", "Okay")</f>
        <v>Okay</v>
      </c>
      <c r="Q2139" s="13" t="str">
        <f>IF(Table2[[#This Row],[CurrentStock]]&gt;Table2[[#This Row],[ReorderLevel]]*3, "Overstock", "Okay")</f>
        <v>Overstock</v>
      </c>
    </row>
    <row r="2140" spans="1:17" x14ac:dyDescent="0.35">
      <c r="A2140">
        <v>82002</v>
      </c>
      <c r="B2140" t="s">
        <v>9</v>
      </c>
      <c r="C2140" t="s">
        <v>26</v>
      </c>
      <c r="D2140">
        <v>49</v>
      </c>
      <c r="E2140">
        <v>40</v>
      </c>
      <c r="F2140" s="2">
        <v>8.2100000000000009</v>
      </c>
      <c r="G2140" t="s">
        <v>35</v>
      </c>
      <c r="H2140" s="1">
        <v>45479</v>
      </c>
      <c r="I2140" s="1">
        <v>45491</v>
      </c>
      <c r="J2140" t="s">
        <v>38</v>
      </c>
      <c r="K2140" s="8">
        <f>Table2[[#This Row],[CurrentStock]]*Table2[[#This Row],[UnitPrice]]</f>
        <v>402.29</v>
      </c>
      <c r="L2140" t="str">
        <f>IF(Table2[[#This Row],[CurrentStock]]&lt;=Table2[[#This Row],[ReorderLevel]], "Reorder Needed", "Okay")</f>
        <v>Okay</v>
      </c>
      <c r="M2140" t="str">
        <f>IF(Table2[[#This Row],[CurrentStock]]-Table2[[#This Row],[ReorderLevel]]&lt;0,Table2[[#This Row],[CurrentStock]]-Table2[[#This Row],[ReorderLevel]],"")</f>
        <v/>
      </c>
      <c r="N2140" t="str">
        <f>IF(Table2[[#This Row],[Stock Gap]]&lt;0, "Understock","Okay")</f>
        <v>Okay</v>
      </c>
      <c r="O2140" s="13" t="str">
        <f>IF(Table2[[#This Row],[Stock Gap]]&lt;0, "Yes", "No")</f>
        <v>No</v>
      </c>
      <c r="P2140" s="13" t="str">
        <f>IF(Table2[[#This Row],[CurrentStock]]&lt;Table2[[#This Row],[ReorderLevel]],"Reorder", "Okay")</f>
        <v>Okay</v>
      </c>
      <c r="Q2140" s="13" t="str">
        <f>IF(Table2[[#This Row],[CurrentStock]]&gt;Table2[[#This Row],[ReorderLevel]]*3, "Overstock", "Okay")</f>
        <v>Okay</v>
      </c>
    </row>
    <row r="2141" spans="1:17" x14ac:dyDescent="0.35">
      <c r="A2141">
        <v>13346</v>
      </c>
      <c r="B2141" t="s">
        <v>19</v>
      </c>
      <c r="C2141" t="s">
        <v>28</v>
      </c>
      <c r="D2141">
        <v>227</v>
      </c>
      <c r="E2141">
        <v>80</v>
      </c>
      <c r="F2141" s="2">
        <v>399.79</v>
      </c>
      <c r="G2141" t="s">
        <v>33</v>
      </c>
      <c r="H2141" s="1">
        <v>45354</v>
      </c>
      <c r="I2141" s="1">
        <v>45373</v>
      </c>
      <c r="J2141" t="s">
        <v>38</v>
      </c>
      <c r="K2141" s="8">
        <f>Table2[[#This Row],[CurrentStock]]*Table2[[#This Row],[UnitPrice]]</f>
        <v>90752.33</v>
      </c>
      <c r="L2141" t="str">
        <f>IF(Table2[[#This Row],[CurrentStock]]&lt;=Table2[[#This Row],[ReorderLevel]], "Reorder Needed", "Okay")</f>
        <v>Okay</v>
      </c>
      <c r="M2141" t="str">
        <f>IF(Table2[[#This Row],[CurrentStock]]-Table2[[#This Row],[ReorderLevel]]&lt;0,Table2[[#This Row],[CurrentStock]]-Table2[[#This Row],[ReorderLevel]],"")</f>
        <v/>
      </c>
      <c r="N2141" t="str">
        <f>IF(Table2[[#This Row],[Stock Gap]]&lt;0, "Understock","Okay")</f>
        <v>Okay</v>
      </c>
      <c r="O2141" s="13" t="str">
        <f>IF(Table2[[#This Row],[Stock Gap]]&lt;0, "Yes", "No")</f>
        <v>No</v>
      </c>
      <c r="P2141" s="13" t="str">
        <f>IF(Table2[[#This Row],[CurrentStock]]&lt;Table2[[#This Row],[ReorderLevel]],"Reorder", "Okay")</f>
        <v>Okay</v>
      </c>
      <c r="Q2141" s="13" t="str">
        <f>IF(Table2[[#This Row],[CurrentStock]]&gt;Table2[[#This Row],[ReorderLevel]]*3, "Overstock", "Okay")</f>
        <v>Okay</v>
      </c>
    </row>
    <row r="2142" spans="1:17" x14ac:dyDescent="0.35">
      <c r="A2142">
        <v>55039</v>
      </c>
      <c r="B2142" t="s">
        <v>10</v>
      </c>
      <c r="C2142" t="s">
        <v>26</v>
      </c>
      <c r="D2142">
        <v>200</v>
      </c>
      <c r="E2142">
        <v>50</v>
      </c>
      <c r="F2142" s="2">
        <v>51.16</v>
      </c>
      <c r="G2142" t="s">
        <v>33</v>
      </c>
      <c r="H2142" s="1">
        <v>45421</v>
      </c>
      <c r="I2142" s="1">
        <v>45447</v>
      </c>
      <c r="J2142" t="s">
        <v>36</v>
      </c>
      <c r="K2142" s="8">
        <f>Table2[[#This Row],[CurrentStock]]*Table2[[#This Row],[UnitPrice]]</f>
        <v>10232</v>
      </c>
      <c r="L2142" t="str">
        <f>IF(Table2[[#This Row],[CurrentStock]]&lt;=Table2[[#This Row],[ReorderLevel]], "Reorder Needed", "Okay")</f>
        <v>Okay</v>
      </c>
      <c r="M2142" t="str">
        <f>IF(Table2[[#This Row],[CurrentStock]]-Table2[[#This Row],[ReorderLevel]]&lt;0,Table2[[#This Row],[CurrentStock]]-Table2[[#This Row],[ReorderLevel]],"")</f>
        <v/>
      </c>
      <c r="N2142" t="str">
        <f>IF(Table2[[#This Row],[Stock Gap]]&lt;0, "Understock","Okay")</f>
        <v>Okay</v>
      </c>
      <c r="O2142" s="13" t="str">
        <f>IF(Table2[[#This Row],[Stock Gap]]&lt;0, "Yes", "No")</f>
        <v>No</v>
      </c>
      <c r="P2142" s="13" t="str">
        <f>IF(Table2[[#This Row],[CurrentStock]]&lt;Table2[[#This Row],[ReorderLevel]],"Reorder", "Okay")</f>
        <v>Okay</v>
      </c>
      <c r="Q2142" s="13" t="str">
        <f>IF(Table2[[#This Row],[CurrentStock]]&gt;Table2[[#This Row],[ReorderLevel]]*3, "Overstock", "Okay")</f>
        <v>Overstock</v>
      </c>
    </row>
    <row r="2143" spans="1:17" x14ac:dyDescent="0.35">
      <c r="A2143">
        <v>54700</v>
      </c>
      <c r="B2143" t="s">
        <v>20</v>
      </c>
      <c r="C2143" t="s">
        <v>30</v>
      </c>
      <c r="D2143">
        <v>167</v>
      </c>
      <c r="E2143">
        <v>80</v>
      </c>
      <c r="F2143" s="2">
        <v>300.56</v>
      </c>
      <c r="G2143" t="s">
        <v>34</v>
      </c>
      <c r="H2143" s="1">
        <v>45503</v>
      </c>
      <c r="I2143" s="1">
        <v>45535</v>
      </c>
      <c r="J2143" t="s">
        <v>36</v>
      </c>
      <c r="K2143" s="8">
        <f>Table2[[#This Row],[CurrentStock]]*Table2[[#This Row],[UnitPrice]]</f>
        <v>50193.52</v>
      </c>
      <c r="L2143" t="str">
        <f>IF(Table2[[#This Row],[CurrentStock]]&lt;=Table2[[#This Row],[ReorderLevel]], "Reorder Needed", "Okay")</f>
        <v>Okay</v>
      </c>
      <c r="M2143" t="str">
        <f>IF(Table2[[#This Row],[CurrentStock]]-Table2[[#This Row],[ReorderLevel]]&lt;0,Table2[[#This Row],[CurrentStock]]-Table2[[#This Row],[ReorderLevel]],"")</f>
        <v/>
      </c>
      <c r="N2143" t="str">
        <f>IF(Table2[[#This Row],[Stock Gap]]&lt;0, "Understock","Okay")</f>
        <v>Okay</v>
      </c>
      <c r="O2143" s="13" t="str">
        <f>IF(Table2[[#This Row],[Stock Gap]]&lt;0, "Yes", "No")</f>
        <v>No</v>
      </c>
      <c r="P2143" s="13" t="str">
        <f>IF(Table2[[#This Row],[CurrentStock]]&lt;Table2[[#This Row],[ReorderLevel]],"Reorder", "Okay")</f>
        <v>Okay</v>
      </c>
      <c r="Q2143" s="13" t="str">
        <f>IF(Table2[[#This Row],[CurrentStock]]&gt;Table2[[#This Row],[ReorderLevel]]*3, "Overstock", "Okay")</f>
        <v>Okay</v>
      </c>
    </row>
    <row r="2144" spans="1:17" x14ac:dyDescent="0.35">
      <c r="A2144">
        <v>84683</v>
      </c>
      <c r="B2144" t="s">
        <v>20</v>
      </c>
      <c r="C2144" t="s">
        <v>30</v>
      </c>
      <c r="D2144">
        <v>325</v>
      </c>
      <c r="E2144">
        <v>150</v>
      </c>
      <c r="F2144" s="2">
        <v>156.88</v>
      </c>
      <c r="G2144" t="s">
        <v>33</v>
      </c>
      <c r="H2144" s="1">
        <v>45493</v>
      </c>
      <c r="I2144" s="1">
        <v>45498</v>
      </c>
      <c r="J2144" t="s">
        <v>37</v>
      </c>
      <c r="K2144" s="8">
        <f>Table2[[#This Row],[CurrentStock]]*Table2[[#This Row],[UnitPrice]]</f>
        <v>50986</v>
      </c>
      <c r="L2144" t="str">
        <f>IF(Table2[[#This Row],[CurrentStock]]&lt;=Table2[[#This Row],[ReorderLevel]], "Reorder Needed", "Okay")</f>
        <v>Okay</v>
      </c>
      <c r="M2144" t="str">
        <f>IF(Table2[[#This Row],[CurrentStock]]-Table2[[#This Row],[ReorderLevel]]&lt;0,Table2[[#This Row],[CurrentStock]]-Table2[[#This Row],[ReorderLevel]],"")</f>
        <v/>
      </c>
      <c r="N2144" t="str">
        <f>IF(Table2[[#This Row],[Stock Gap]]&lt;0, "Understock","Okay")</f>
        <v>Okay</v>
      </c>
      <c r="O2144" s="13" t="str">
        <f>IF(Table2[[#This Row],[Stock Gap]]&lt;0, "Yes", "No")</f>
        <v>No</v>
      </c>
      <c r="P2144" s="13" t="str">
        <f>IF(Table2[[#This Row],[CurrentStock]]&lt;Table2[[#This Row],[ReorderLevel]],"Reorder", "Okay")</f>
        <v>Okay</v>
      </c>
      <c r="Q2144" s="13" t="str">
        <f>IF(Table2[[#This Row],[CurrentStock]]&gt;Table2[[#This Row],[ReorderLevel]]*3, "Overstock", "Okay")</f>
        <v>Okay</v>
      </c>
    </row>
    <row r="2145" spans="1:17" x14ac:dyDescent="0.35">
      <c r="A2145">
        <v>23188</v>
      </c>
      <c r="B2145" t="s">
        <v>25</v>
      </c>
      <c r="C2145" t="s">
        <v>29</v>
      </c>
      <c r="D2145">
        <v>323</v>
      </c>
      <c r="E2145">
        <v>80</v>
      </c>
      <c r="F2145" s="2">
        <v>460.4</v>
      </c>
      <c r="G2145" t="s">
        <v>33</v>
      </c>
      <c r="H2145" s="1">
        <v>45335</v>
      </c>
      <c r="I2145" s="1">
        <v>45352</v>
      </c>
      <c r="J2145" t="s">
        <v>38</v>
      </c>
      <c r="K2145" s="8">
        <f>Table2[[#This Row],[CurrentStock]]*Table2[[#This Row],[UnitPrice]]</f>
        <v>148709.19999999998</v>
      </c>
      <c r="L2145" t="str">
        <f>IF(Table2[[#This Row],[CurrentStock]]&lt;=Table2[[#This Row],[ReorderLevel]], "Reorder Needed", "Okay")</f>
        <v>Okay</v>
      </c>
      <c r="M2145" t="str">
        <f>IF(Table2[[#This Row],[CurrentStock]]-Table2[[#This Row],[ReorderLevel]]&lt;0,Table2[[#This Row],[CurrentStock]]-Table2[[#This Row],[ReorderLevel]],"")</f>
        <v/>
      </c>
      <c r="N2145" t="str">
        <f>IF(Table2[[#This Row],[Stock Gap]]&lt;0, "Understock","Okay")</f>
        <v>Okay</v>
      </c>
      <c r="O2145" s="13" t="str">
        <f>IF(Table2[[#This Row],[Stock Gap]]&lt;0, "Yes", "No")</f>
        <v>No</v>
      </c>
      <c r="P2145" s="13" t="str">
        <f>IF(Table2[[#This Row],[CurrentStock]]&lt;Table2[[#This Row],[ReorderLevel]],"Reorder", "Okay")</f>
        <v>Okay</v>
      </c>
      <c r="Q2145" s="13" t="str">
        <f>IF(Table2[[#This Row],[CurrentStock]]&gt;Table2[[#This Row],[ReorderLevel]]*3, "Overstock", "Okay")</f>
        <v>Overstock</v>
      </c>
    </row>
    <row r="2146" spans="1:17" x14ac:dyDescent="0.35">
      <c r="A2146">
        <v>48082</v>
      </c>
      <c r="B2146" t="s">
        <v>23</v>
      </c>
      <c r="C2146" t="s">
        <v>30</v>
      </c>
      <c r="D2146">
        <v>262</v>
      </c>
      <c r="E2146">
        <v>100</v>
      </c>
      <c r="F2146" s="2">
        <v>464.77</v>
      </c>
      <c r="G2146" t="s">
        <v>34</v>
      </c>
      <c r="H2146" s="1">
        <v>45511</v>
      </c>
      <c r="I2146" s="1">
        <v>45525</v>
      </c>
      <c r="J2146" t="s">
        <v>37</v>
      </c>
      <c r="K2146" s="8">
        <f>Table2[[#This Row],[CurrentStock]]*Table2[[#This Row],[UnitPrice]]</f>
        <v>121769.73999999999</v>
      </c>
      <c r="L2146" t="str">
        <f>IF(Table2[[#This Row],[CurrentStock]]&lt;=Table2[[#This Row],[ReorderLevel]], "Reorder Needed", "Okay")</f>
        <v>Okay</v>
      </c>
      <c r="M2146" t="str">
        <f>IF(Table2[[#This Row],[CurrentStock]]-Table2[[#This Row],[ReorderLevel]]&lt;0,Table2[[#This Row],[CurrentStock]]-Table2[[#This Row],[ReorderLevel]],"")</f>
        <v/>
      </c>
      <c r="N2146" t="str">
        <f>IF(Table2[[#This Row],[Stock Gap]]&lt;0, "Understock","Okay")</f>
        <v>Okay</v>
      </c>
      <c r="O2146" s="13" t="str">
        <f>IF(Table2[[#This Row],[Stock Gap]]&lt;0, "Yes", "No")</f>
        <v>No</v>
      </c>
      <c r="P2146" s="13" t="str">
        <f>IF(Table2[[#This Row],[CurrentStock]]&lt;Table2[[#This Row],[ReorderLevel]],"Reorder", "Okay")</f>
        <v>Okay</v>
      </c>
      <c r="Q2146" s="13" t="str">
        <f>IF(Table2[[#This Row],[CurrentStock]]&gt;Table2[[#This Row],[ReorderLevel]]*3, "Overstock", "Okay")</f>
        <v>Okay</v>
      </c>
    </row>
    <row r="2147" spans="1:17" x14ac:dyDescent="0.35">
      <c r="A2147">
        <v>54514</v>
      </c>
      <c r="B2147" t="s">
        <v>14</v>
      </c>
      <c r="C2147" t="s">
        <v>28</v>
      </c>
      <c r="D2147">
        <v>60</v>
      </c>
      <c r="E2147">
        <v>100</v>
      </c>
      <c r="F2147" s="2">
        <v>437.58</v>
      </c>
      <c r="G2147" t="s">
        <v>35</v>
      </c>
      <c r="H2147" s="1">
        <v>45402</v>
      </c>
      <c r="I2147" s="1">
        <v>45409</v>
      </c>
      <c r="J2147" t="s">
        <v>38</v>
      </c>
      <c r="K2147" s="8">
        <f>Table2[[#This Row],[CurrentStock]]*Table2[[#This Row],[UnitPrice]]</f>
        <v>26254.799999999999</v>
      </c>
      <c r="L2147" t="str">
        <f>IF(Table2[[#This Row],[CurrentStock]]&lt;=Table2[[#This Row],[ReorderLevel]], "Reorder Needed", "Okay")</f>
        <v>Reorder Needed</v>
      </c>
      <c r="M2147" s="7">
        <f>IF(Table2[[#This Row],[CurrentStock]]-Table2[[#This Row],[ReorderLevel]]&lt;0,Table2[[#This Row],[CurrentStock]]-Table2[[#This Row],[ReorderLevel]],"")</f>
        <v>-40</v>
      </c>
      <c r="N2147" t="str">
        <f>IF(Table2[[#This Row],[Stock Gap]]&lt;0, "Understock","Okay")</f>
        <v>Understock</v>
      </c>
      <c r="O2147" s="13" t="str">
        <f>IF(Table2[[#This Row],[Stock Gap]]&lt;0, "Yes", "No")</f>
        <v>Yes</v>
      </c>
      <c r="P2147" s="13" t="str">
        <f>IF(Table2[[#This Row],[CurrentStock]]&lt;Table2[[#This Row],[ReorderLevel]],"Reorder", "Okay")</f>
        <v>Reorder</v>
      </c>
      <c r="Q2147" s="13" t="str">
        <f>IF(Table2[[#This Row],[CurrentStock]]&gt;Table2[[#This Row],[ReorderLevel]]*3, "Overstock", "Okay")</f>
        <v>Okay</v>
      </c>
    </row>
    <row r="2148" spans="1:17" x14ac:dyDescent="0.35">
      <c r="A2148">
        <v>11833</v>
      </c>
      <c r="B2148" t="s">
        <v>18</v>
      </c>
      <c r="C2148" t="s">
        <v>27</v>
      </c>
      <c r="D2148">
        <v>264</v>
      </c>
      <c r="E2148">
        <v>50</v>
      </c>
      <c r="F2148" s="2">
        <v>398.34</v>
      </c>
      <c r="G2148" t="s">
        <v>34</v>
      </c>
      <c r="H2148" s="1">
        <v>45510</v>
      </c>
      <c r="I2148" s="1">
        <v>45532</v>
      </c>
      <c r="J2148" t="s">
        <v>38</v>
      </c>
      <c r="K2148" s="8">
        <f>Table2[[#This Row],[CurrentStock]]*Table2[[#This Row],[UnitPrice]]</f>
        <v>105161.76</v>
      </c>
      <c r="L2148" t="str">
        <f>IF(Table2[[#This Row],[CurrentStock]]&lt;=Table2[[#This Row],[ReorderLevel]], "Reorder Needed", "Okay")</f>
        <v>Okay</v>
      </c>
      <c r="M2148" t="str">
        <f>IF(Table2[[#This Row],[CurrentStock]]-Table2[[#This Row],[ReorderLevel]]&lt;0,Table2[[#This Row],[CurrentStock]]-Table2[[#This Row],[ReorderLevel]],"")</f>
        <v/>
      </c>
      <c r="N2148" t="str">
        <f>IF(Table2[[#This Row],[Stock Gap]]&lt;0, "Understock","Okay")</f>
        <v>Okay</v>
      </c>
      <c r="O2148" s="13" t="str">
        <f>IF(Table2[[#This Row],[Stock Gap]]&lt;0, "Yes", "No")</f>
        <v>No</v>
      </c>
      <c r="P2148" s="13" t="str">
        <f>IF(Table2[[#This Row],[CurrentStock]]&lt;Table2[[#This Row],[ReorderLevel]],"Reorder", "Okay")</f>
        <v>Okay</v>
      </c>
      <c r="Q2148" s="13" t="str">
        <f>IF(Table2[[#This Row],[CurrentStock]]&gt;Table2[[#This Row],[ReorderLevel]]*3, "Overstock", "Okay")</f>
        <v>Overstock</v>
      </c>
    </row>
    <row r="2149" spans="1:17" x14ac:dyDescent="0.35">
      <c r="A2149">
        <v>19940</v>
      </c>
      <c r="B2149" t="s">
        <v>17</v>
      </c>
      <c r="C2149" t="s">
        <v>27</v>
      </c>
      <c r="D2149">
        <v>233</v>
      </c>
      <c r="E2149">
        <v>20</v>
      </c>
      <c r="F2149" s="2">
        <v>430.84</v>
      </c>
      <c r="G2149" t="s">
        <v>32</v>
      </c>
      <c r="H2149" s="1">
        <v>45506</v>
      </c>
      <c r="I2149" s="1">
        <v>45543</v>
      </c>
      <c r="J2149" t="s">
        <v>36</v>
      </c>
      <c r="K2149" s="8">
        <f>Table2[[#This Row],[CurrentStock]]*Table2[[#This Row],[UnitPrice]]</f>
        <v>100385.72</v>
      </c>
      <c r="L2149" t="str">
        <f>IF(Table2[[#This Row],[CurrentStock]]&lt;=Table2[[#This Row],[ReorderLevel]], "Reorder Needed", "Okay")</f>
        <v>Okay</v>
      </c>
      <c r="M2149" t="str">
        <f>IF(Table2[[#This Row],[CurrentStock]]-Table2[[#This Row],[ReorderLevel]]&lt;0,Table2[[#This Row],[CurrentStock]]-Table2[[#This Row],[ReorderLevel]],"")</f>
        <v/>
      </c>
      <c r="N2149" t="str">
        <f>IF(Table2[[#This Row],[Stock Gap]]&lt;0, "Understock","Okay")</f>
        <v>Okay</v>
      </c>
      <c r="O2149" s="13" t="str">
        <f>IF(Table2[[#This Row],[Stock Gap]]&lt;0, "Yes", "No")</f>
        <v>No</v>
      </c>
      <c r="P2149" s="13" t="str">
        <f>IF(Table2[[#This Row],[CurrentStock]]&lt;Table2[[#This Row],[ReorderLevel]],"Reorder", "Okay")</f>
        <v>Okay</v>
      </c>
      <c r="Q2149" s="13" t="str">
        <f>IF(Table2[[#This Row],[CurrentStock]]&gt;Table2[[#This Row],[ReorderLevel]]*3, "Overstock", "Okay")</f>
        <v>Overstock</v>
      </c>
    </row>
    <row r="2150" spans="1:17" x14ac:dyDescent="0.35">
      <c r="A2150">
        <v>10530</v>
      </c>
      <c r="B2150" t="s">
        <v>24</v>
      </c>
      <c r="C2150" t="s">
        <v>30</v>
      </c>
      <c r="D2150">
        <v>43</v>
      </c>
      <c r="E2150">
        <v>40</v>
      </c>
      <c r="F2150" s="2">
        <v>37.4</v>
      </c>
      <c r="G2150" t="s">
        <v>31</v>
      </c>
      <c r="H2150" s="1">
        <v>45540</v>
      </c>
      <c r="I2150" s="1">
        <v>45546</v>
      </c>
      <c r="J2150" t="s">
        <v>36</v>
      </c>
      <c r="K2150" s="8">
        <f>Table2[[#This Row],[CurrentStock]]*Table2[[#This Row],[UnitPrice]]</f>
        <v>1608.2</v>
      </c>
      <c r="L2150" t="str">
        <f>IF(Table2[[#This Row],[CurrentStock]]&lt;=Table2[[#This Row],[ReorderLevel]], "Reorder Needed", "Okay")</f>
        <v>Okay</v>
      </c>
      <c r="M2150" t="str">
        <f>IF(Table2[[#This Row],[CurrentStock]]-Table2[[#This Row],[ReorderLevel]]&lt;0,Table2[[#This Row],[CurrentStock]]-Table2[[#This Row],[ReorderLevel]],"")</f>
        <v/>
      </c>
      <c r="N2150" t="str">
        <f>IF(Table2[[#This Row],[Stock Gap]]&lt;0, "Understock","Okay")</f>
        <v>Okay</v>
      </c>
      <c r="O2150" s="13" t="str">
        <f>IF(Table2[[#This Row],[Stock Gap]]&lt;0, "Yes", "No")</f>
        <v>No</v>
      </c>
      <c r="P2150" s="13" t="str">
        <f>IF(Table2[[#This Row],[CurrentStock]]&lt;Table2[[#This Row],[ReorderLevel]],"Reorder", "Okay")</f>
        <v>Okay</v>
      </c>
      <c r="Q2150" s="13" t="str">
        <f>IF(Table2[[#This Row],[CurrentStock]]&gt;Table2[[#This Row],[ReorderLevel]]*3, "Overstock", "Okay")</f>
        <v>Okay</v>
      </c>
    </row>
    <row r="2151" spans="1:17" x14ac:dyDescent="0.35">
      <c r="A2151">
        <v>68642</v>
      </c>
      <c r="B2151" t="s">
        <v>11</v>
      </c>
      <c r="C2151" t="s">
        <v>27</v>
      </c>
      <c r="D2151">
        <v>495</v>
      </c>
      <c r="E2151">
        <v>40</v>
      </c>
      <c r="F2151" s="2">
        <v>104.76</v>
      </c>
      <c r="G2151" t="s">
        <v>32</v>
      </c>
      <c r="H2151" s="1">
        <v>45513</v>
      </c>
      <c r="I2151" s="1">
        <v>45527</v>
      </c>
      <c r="J2151" t="s">
        <v>36</v>
      </c>
      <c r="K2151" s="8">
        <f>Table2[[#This Row],[CurrentStock]]*Table2[[#This Row],[UnitPrice]]</f>
        <v>51856.200000000004</v>
      </c>
      <c r="L2151" t="str">
        <f>IF(Table2[[#This Row],[CurrentStock]]&lt;=Table2[[#This Row],[ReorderLevel]], "Reorder Needed", "Okay")</f>
        <v>Okay</v>
      </c>
      <c r="M2151" t="str">
        <f>IF(Table2[[#This Row],[CurrentStock]]-Table2[[#This Row],[ReorderLevel]]&lt;0,Table2[[#This Row],[CurrentStock]]-Table2[[#This Row],[ReorderLevel]],"")</f>
        <v/>
      </c>
      <c r="N2151" t="str">
        <f>IF(Table2[[#This Row],[Stock Gap]]&lt;0, "Understock","Okay")</f>
        <v>Okay</v>
      </c>
      <c r="O2151" s="13" t="str">
        <f>IF(Table2[[#This Row],[Stock Gap]]&lt;0, "Yes", "No")</f>
        <v>No</v>
      </c>
      <c r="P2151" s="13" t="str">
        <f>IF(Table2[[#This Row],[CurrentStock]]&lt;Table2[[#This Row],[ReorderLevel]],"Reorder", "Okay")</f>
        <v>Okay</v>
      </c>
      <c r="Q2151" s="13" t="str">
        <f>IF(Table2[[#This Row],[CurrentStock]]&gt;Table2[[#This Row],[ReorderLevel]]*3, "Overstock", "Okay")</f>
        <v>Overstock</v>
      </c>
    </row>
    <row r="2152" spans="1:17" x14ac:dyDescent="0.35">
      <c r="A2152">
        <v>99937</v>
      </c>
      <c r="B2152" t="s">
        <v>20</v>
      </c>
      <c r="C2152" t="s">
        <v>30</v>
      </c>
      <c r="D2152">
        <v>94</v>
      </c>
      <c r="E2152">
        <v>80</v>
      </c>
      <c r="F2152" s="2">
        <v>342.08</v>
      </c>
      <c r="G2152" t="s">
        <v>34</v>
      </c>
      <c r="H2152" s="1">
        <v>45348</v>
      </c>
      <c r="I2152" s="1">
        <v>45381</v>
      </c>
      <c r="J2152" t="s">
        <v>37</v>
      </c>
      <c r="K2152" s="8">
        <f>Table2[[#This Row],[CurrentStock]]*Table2[[#This Row],[UnitPrice]]</f>
        <v>32155.519999999997</v>
      </c>
      <c r="L2152" t="str">
        <f>IF(Table2[[#This Row],[CurrentStock]]&lt;=Table2[[#This Row],[ReorderLevel]], "Reorder Needed", "Okay")</f>
        <v>Okay</v>
      </c>
      <c r="M2152" t="str">
        <f>IF(Table2[[#This Row],[CurrentStock]]-Table2[[#This Row],[ReorderLevel]]&lt;0,Table2[[#This Row],[CurrentStock]]-Table2[[#This Row],[ReorderLevel]],"")</f>
        <v/>
      </c>
      <c r="N2152" t="str">
        <f>IF(Table2[[#This Row],[Stock Gap]]&lt;0, "Understock","Okay")</f>
        <v>Okay</v>
      </c>
      <c r="O2152" s="13" t="str">
        <f>IF(Table2[[#This Row],[Stock Gap]]&lt;0, "Yes", "No")</f>
        <v>No</v>
      </c>
      <c r="P2152" s="13" t="str">
        <f>IF(Table2[[#This Row],[CurrentStock]]&lt;Table2[[#This Row],[ReorderLevel]],"Reorder", "Okay")</f>
        <v>Okay</v>
      </c>
      <c r="Q2152" s="13" t="str">
        <f>IF(Table2[[#This Row],[CurrentStock]]&gt;Table2[[#This Row],[ReorderLevel]]*3, "Overstock", "Okay")</f>
        <v>Okay</v>
      </c>
    </row>
    <row r="2153" spans="1:17" x14ac:dyDescent="0.35">
      <c r="A2153">
        <v>11929</v>
      </c>
      <c r="B2153" t="s">
        <v>19</v>
      </c>
      <c r="C2153" t="s">
        <v>28</v>
      </c>
      <c r="D2153">
        <v>454</v>
      </c>
      <c r="E2153">
        <v>30</v>
      </c>
      <c r="F2153" s="2">
        <v>217.03</v>
      </c>
      <c r="G2153" t="s">
        <v>32</v>
      </c>
      <c r="H2153" s="1">
        <v>45348</v>
      </c>
      <c r="I2153" s="1">
        <v>45380</v>
      </c>
      <c r="J2153" t="s">
        <v>37</v>
      </c>
      <c r="K2153" s="8">
        <f>Table2[[#This Row],[CurrentStock]]*Table2[[#This Row],[UnitPrice]]</f>
        <v>98531.62</v>
      </c>
      <c r="L2153" t="str">
        <f>IF(Table2[[#This Row],[CurrentStock]]&lt;=Table2[[#This Row],[ReorderLevel]], "Reorder Needed", "Okay")</f>
        <v>Okay</v>
      </c>
      <c r="M2153" t="str">
        <f>IF(Table2[[#This Row],[CurrentStock]]-Table2[[#This Row],[ReorderLevel]]&lt;0,Table2[[#This Row],[CurrentStock]]-Table2[[#This Row],[ReorderLevel]],"")</f>
        <v/>
      </c>
      <c r="N2153" t="str">
        <f>IF(Table2[[#This Row],[Stock Gap]]&lt;0, "Understock","Okay")</f>
        <v>Okay</v>
      </c>
      <c r="O2153" s="13" t="str">
        <f>IF(Table2[[#This Row],[Stock Gap]]&lt;0, "Yes", "No")</f>
        <v>No</v>
      </c>
      <c r="P2153" s="13" t="str">
        <f>IF(Table2[[#This Row],[CurrentStock]]&lt;Table2[[#This Row],[ReorderLevel]],"Reorder", "Okay")</f>
        <v>Okay</v>
      </c>
      <c r="Q2153" s="13" t="str">
        <f>IF(Table2[[#This Row],[CurrentStock]]&gt;Table2[[#This Row],[ReorderLevel]]*3, "Overstock", "Okay")</f>
        <v>Overstock</v>
      </c>
    </row>
    <row r="2154" spans="1:17" x14ac:dyDescent="0.35">
      <c r="A2154">
        <v>91243</v>
      </c>
      <c r="B2154" t="s">
        <v>15</v>
      </c>
      <c r="C2154" t="s">
        <v>29</v>
      </c>
      <c r="D2154">
        <v>420</v>
      </c>
      <c r="E2154">
        <v>50</v>
      </c>
      <c r="F2154" s="2">
        <v>360.55</v>
      </c>
      <c r="G2154" t="s">
        <v>35</v>
      </c>
      <c r="H2154" s="1">
        <v>45656</v>
      </c>
      <c r="I2154" s="1">
        <v>45679</v>
      </c>
      <c r="J2154" t="s">
        <v>36</v>
      </c>
      <c r="K2154" s="8">
        <f>Table2[[#This Row],[CurrentStock]]*Table2[[#This Row],[UnitPrice]]</f>
        <v>151431</v>
      </c>
      <c r="L2154" t="str">
        <f>IF(Table2[[#This Row],[CurrentStock]]&lt;=Table2[[#This Row],[ReorderLevel]], "Reorder Needed", "Okay")</f>
        <v>Okay</v>
      </c>
      <c r="M2154" t="str">
        <f>IF(Table2[[#This Row],[CurrentStock]]-Table2[[#This Row],[ReorderLevel]]&lt;0,Table2[[#This Row],[CurrentStock]]-Table2[[#This Row],[ReorderLevel]],"")</f>
        <v/>
      </c>
      <c r="N2154" t="str">
        <f>IF(Table2[[#This Row],[Stock Gap]]&lt;0, "Understock","Okay")</f>
        <v>Okay</v>
      </c>
      <c r="O2154" s="13" t="str">
        <f>IF(Table2[[#This Row],[Stock Gap]]&lt;0, "Yes", "No")</f>
        <v>No</v>
      </c>
      <c r="P2154" s="13" t="str">
        <f>IF(Table2[[#This Row],[CurrentStock]]&lt;Table2[[#This Row],[ReorderLevel]],"Reorder", "Okay")</f>
        <v>Okay</v>
      </c>
      <c r="Q2154" s="13" t="str">
        <f>IF(Table2[[#This Row],[CurrentStock]]&gt;Table2[[#This Row],[ReorderLevel]]*3, "Overstock", "Okay")</f>
        <v>Overstock</v>
      </c>
    </row>
    <row r="2155" spans="1:17" x14ac:dyDescent="0.35">
      <c r="A2155">
        <v>43577</v>
      </c>
      <c r="B2155" t="s">
        <v>15</v>
      </c>
      <c r="C2155" t="s">
        <v>29</v>
      </c>
      <c r="D2155">
        <v>292</v>
      </c>
      <c r="E2155">
        <v>80</v>
      </c>
      <c r="F2155" s="2">
        <v>206.59</v>
      </c>
      <c r="G2155" t="s">
        <v>34</v>
      </c>
      <c r="H2155" s="1">
        <v>45511</v>
      </c>
      <c r="I2155" s="1">
        <v>45534</v>
      </c>
      <c r="J2155" t="s">
        <v>37</v>
      </c>
      <c r="K2155" s="8">
        <f>Table2[[#This Row],[CurrentStock]]*Table2[[#This Row],[UnitPrice]]</f>
        <v>60324.28</v>
      </c>
      <c r="L2155" t="str">
        <f>IF(Table2[[#This Row],[CurrentStock]]&lt;=Table2[[#This Row],[ReorderLevel]], "Reorder Needed", "Okay")</f>
        <v>Okay</v>
      </c>
      <c r="M2155" t="str">
        <f>IF(Table2[[#This Row],[CurrentStock]]-Table2[[#This Row],[ReorderLevel]]&lt;0,Table2[[#This Row],[CurrentStock]]-Table2[[#This Row],[ReorderLevel]],"")</f>
        <v/>
      </c>
      <c r="N2155" t="str">
        <f>IF(Table2[[#This Row],[Stock Gap]]&lt;0, "Understock","Okay")</f>
        <v>Okay</v>
      </c>
      <c r="O2155" s="13" t="str">
        <f>IF(Table2[[#This Row],[Stock Gap]]&lt;0, "Yes", "No")</f>
        <v>No</v>
      </c>
      <c r="P2155" s="13" t="str">
        <f>IF(Table2[[#This Row],[CurrentStock]]&lt;Table2[[#This Row],[ReorderLevel]],"Reorder", "Okay")</f>
        <v>Okay</v>
      </c>
      <c r="Q2155" s="13" t="str">
        <f>IF(Table2[[#This Row],[CurrentStock]]&gt;Table2[[#This Row],[ReorderLevel]]*3, "Overstock", "Okay")</f>
        <v>Overstock</v>
      </c>
    </row>
    <row r="2156" spans="1:17" x14ac:dyDescent="0.35">
      <c r="A2156">
        <v>44001</v>
      </c>
      <c r="B2156" t="s">
        <v>10</v>
      </c>
      <c r="C2156" t="s">
        <v>26</v>
      </c>
      <c r="D2156">
        <v>387</v>
      </c>
      <c r="E2156">
        <v>20</v>
      </c>
      <c r="F2156" s="2">
        <v>106.23</v>
      </c>
      <c r="G2156" t="s">
        <v>31</v>
      </c>
      <c r="H2156" s="1">
        <v>45340</v>
      </c>
      <c r="I2156" s="1">
        <v>45369</v>
      </c>
      <c r="J2156" t="s">
        <v>36</v>
      </c>
      <c r="K2156" s="8">
        <f>Table2[[#This Row],[CurrentStock]]*Table2[[#This Row],[UnitPrice]]</f>
        <v>41111.01</v>
      </c>
      <c r="L2156" t="str">
        <f>IF(Table2[[#This Row],[CurrentStock]]&lt;=Table2[[#This Row],[ReorderLevel]], "Reorder Needed", "Okay")</f>
        <v>Okay</v>
      </c>
      <c r="M2156" t="str">
        <f>IF(Table2[[#This Row],[CurrentStock]]-Table2[[#This Row],[ReorderLevel]]&lt;0,Table2[[#This Row],[CurrentStock]]-Table2[[#This Row],[ReorderLevel]],"")</f>
        <v/>
      </c>
      <c r="N2156" t="str">
        <f>IF(Table2[[#This Row],[Stock Gap]]&lt;0, "Understock","Okay")</f>
        <v>Okay</v>
      </c>
      <c r="O2156" s="13" t="str">
        <f>IF(Table2[[#This Row],[Stock Gap]]&lt;0, "Yes", "No")</f>
        <v>No</v>
      </c>
      <c r="P2156" s="13" t="str">
        <f>IF(Table2[[#This Row],[CurrentStock]]&lt;Table2[[#This Row],[ReorderLevel]],"Reorder", "Okay")</f>
        <v>Okay</v>
      </c>
      <c r="Q2156" s="13" t="str">
        <f>IF(Table2[[#This Row],[CurrentStock]]&gt;Table2[[#This Row],[ReorderLevel]]*3, "Overstock", "Okay")</f>
        <v>Overstock</v>
      </c>
    </row>
    <row r="2157" spans="1:17" x14ac:dyDescent="0.35">
      <c r="A2157">
        <v>79498</v>
      </c>
      <c r="B2157" t="s">
        <v>9</v>
      </c>
      <c r="C2157" t="s">
        <v>26</v>
      </c>
      <c r="D2157">
        <v>354</v>
      </c>
      <c r="E2157">
        <v>20</v>
      </c>
      <c r="F2157" s="2">
        <v>122.34</v>
      </c>
      <c r="G2157" t="s">
        <v>34</v>
      </c>
      <c r="H2157" s="1">
        <v>45555</v>
      </c>
      <c r="I2157" s="1">
        <v>45577</v>
      </c>
      <c r="J2157" t="s">
        <v>36</v>
      </c>
      <c r="K2157" s="8">
        <f>Table2[[#This Row],[CurrentStock]]*Table2[[#This Row],[UnitPrice]]</f>
        <v>43308.36</v>
      </c>
      <c r="L2157" t="str">
        <f>IF(Table2[[#This Row],[CurrentStock]]&lt;=Table2[[#This Row],[ReorderLevel]], "Reorder Needed", "Okay")</f>
        <v>Okay</v>
      </c>
      <c r="M2157" t="str">
        <f>IF(Table2[[#This Row],[CurrentStock]]-Table2[[#This Row],[ReorderLevel]]&lt;0,Table2[[#This Row],[CurrentStock]]-Table2[[#This Row],[ReorderLevel]],"")</f>
        <v/>
      </c>
      <c r="N2157" t="str">
        <f>IF(Table2[[#This Row],[Stock Gap]]&lt;0, "Understock","Okay")</f>
        <v>Okay</v>
      </c>
      <c r="O2157" s="13" t="str">
        <f>IF(Table2[[#This Row],[Stock Gap]]&lt;0, "Yes", "No")</f>
        <v>No</v>
      </c>
      <c r="P2157" s="13" t="str">
        <f>IF(Table2[[#This Row],[CurrentStock]]&lt;Table2[[#This Row],[ReorderLevel]],"Reorder", "Okay")</f>
        <v>Okay</v>
      </c>
      <c r="Q2157" s="13" t="str">
        <f>IF(Table2[[#This Row],[CurrentStock]]&gt;Table2[[#This Row],[ReorderLevel]]*3, "Overstock", "Okay")</f>
        <v>Overstock</v>
      </c>
    </row>
    <row r="2158" spans="1:17" x14ac:dyDescent="0.35">
      <c r="A2158">
        <v>35090</v>
      </c>
      <c r="B2158" t="s">
        <v>10</v>
      </c>
      <c r="C2158" t="s">
        <v>26</v>
      </c>
      <c r="D2158">
        <v>348</v>
      </c>
      <c r="E2158">
        <v>20</v>
      </c>
      <c r="F2158" s="2">
        <v>191.3</v>
      </c>
      <c r="G2158" t="s">
        <v>32</v>
      </c>
      <c r="H2158" s="1">
        <v>45464</v>
      </c>
      <c r="I2158" s="1">
        <v>45469</v>
      </c>
      <c r="J2158" t="s">
        <v>36</v>
      </c>
      <c r="K2158" s="8">
        <f>Table2[[#This Row],[CurrentStock]]*Table2[[#This Row],[UnitPrice]]</f>
        <v>66572.400000000009</v>
      </c>
      <c r="L2158" t="str">
        <f>IF(Table2[[#This Row],[CurrentStock]]&lt;=Table2[[#This Row],[ReorderLevel]], "Reorder Needed", "Okay")</f>
        <v>Okay</v>
      </c>
      <c r="M2158" t="str">
        <f>IF(Table2[[#This Row],[CurrentStock]]-Table2[[#This Row],[ReorderLevel]]&lt;0,Table2[[#This Row],[CurrentStock]]-Table2[[#This Row],[ReorderLevel]],"")</f>
        <v/>
      </c>
      <c r="N2158" t="str">
        <f>IF(Table2[[#This Row],[Stock Gap]]&lt;0, "Understock","Okay")</f>
        <v>Okay</v>
      </c>
      <c r="O2158" s="13" t="str">
        <f>IF(Table2[[#This Row],[Stock Gap]]&lt;0, "Yes", "No")</f>
        <v>No</v>
      </c>
      <c r="P2158" s="13" t="str">
        <f>IF(Table2[[#This Row],[CurrentStock]]&lt;Table2[[#This Row],[ReorderLevel]],"Reorder", "Okay")</f>
        <v>Okay</v>
      </c>
      <c r="Q2158" s="13" t="str">
        <f>IF(Table2[[#This Row],[CurrentStock]]&gt;Table2[[#This Row],[ReorderLevel]]*3, "Overstock", "Okay")</f>
        <v>Overstock</v>
      </c>
    </row>
    <row r="2159" spans="1:17" x14ac:dyDescent="0.35">
      <c r="A2159">
        <v>60374</v>
      </c>
      <c r="B2159" t="s">
        <v>10</v>
      </c>
      <c r="C2159" t="s">
        <v>26</v>
      </c>
      <c r="D2159">
        <v>158</v>
      </c>
      <c r="E2159">
        <v>100</v>
      </c>
      <c r="F2159" s="2">
        <v>76.41</v>
      </c>
      <c r="G2159" t="s">
        <v>31</v>
      </c>
      <c r="H2159" s="1">
        <v>45500</v>
      </c>
      <c r="I2159" s="1">
        <v>45514</v>
      </c>
      <c r="J2159" t="s">
        <v>38</v>
      </c>
      <c r="K2159" s="8">
        <f>Table2[[#This Row],[CurrentStock]]*Table2[[#This Row],[UnitPrice]]</f>
        <v>12072.779999999999</v>
      </c>
      <c r="L2159" t="str">
        <f>IF(Table2[[#This Row],[CurrentStock]]&lt;=Table2[[#This Row],[ReorderLevel]], "Reorder Needed", "Okay")</f>
        <v>Okay</v>
      </c>
      <c r="M2159" t="str">
        <f>IF(Table2[[#This Row],[CurrentStock]]-Table2[[#This Row],[ReorderLevel]]&lt;0,Table2[[#This Row],[CurrentStock]]-Table2[[#This Row],[ReorderLevel]],"")</f>
        <v/>
      </c>
      <c r="N2159" t="str">
        <f>IF(Table2[[#This Row],[Stock Gap]]&lt;0, "Understock","Okay")</f>
        <v>Okay</v>
      </c>
      <c r="O2159" s="13" t="str">
        <f>IF(Table2[[#This Row],[Stock Gap]]&lt;0, "Yes", "No")</f>
        <v>No</v>
      </c>
      <c r="P2159" s="13" t="str">
        <f>IF(Table2[[#This Row],[CurrentStock]]&lt;Table2[[#This Row],[ReorderLevel]],"Reorder", "Okay")</f>
        <v>Okay</v>
      </c>
      <c r="Q2159" s="13" t="str">
        <f>IF(Table2[[#This Row],[CurrentStock]]&gt;Table2[[#This Row],[ReorderLevel]]*3, "Overstock", "Okay")</f>
        <v>Okay</v>
      </c>
    </row>
    <row r="2160" spans="1:17" x14ac:dyDescent="0.35">
      <c r="A2160">
        <v>11927</v>
      </c>
      <c r="B2160" t="s">
        <v>12</v>
      </c>
      <c r="C2160" t="s">
        <v>28</v>
      </c>
      <c r="D2160">
        <v>392</v>
      </c>
      <c r="E2160">
        <v>100</v>
      </c>
      <c r="F2160" s="2">
        <v>327.13</v>
      </c>
      <c r="G2160" t="s">
        <v>34</v>
      </c>
      <c r="H2160" s="1">
        <v>45300</v>
      </c>
      <c r="I2160" s="1">
        <v>45328</v>
      </c>
      <c r="J2160" t="s">
        <v>38</v>
      </c>
      <c r="K2160" s="8">
        <f>Table2[[#This Row],[CurrentStock]]*Table2[[#This Row],[UnitPrice]]</f>
        <v>128234.95999999999</v>
      </c>
      <c r="L2160" t="str">
        <f>IF(Table2[[#This Row],[CurrentStock]]&lt;=Table2[[#This Row],[ReorderLevel]], "Reorder Needed", "Okay")</f>
        <v>Okay</v>
      </c>
      <c r="M2160" t="str">
        <f>IF(Table2[[#This Row],[CurrentStock]]-Table2[[#This Row],[ReorderLevel]]&lt;0,Table2[[#This Row],[CurrentStock]]-Table2[[#This Row],[ReorderLevel]],"")</f>
        <v/>
      </c>
      <c r="N2160" t="str">
        <f>IF(Table2[[#This Row],[Stock Gap]]&lt;0, "Understock","Okay")</f>
        <v>Okay</v>
      </c>
      <c r="O2160" s="13" t="str">
        <f>IF(Table2[[#This Row],[Stock Gap]]&lt;0, "Yes", "No")</f>
        <v>No</v>
      </c>
      <c r="P2160" s="13" t="str">
        <f>IF(Table2[[#This Row],[CurrentStock]]&lt;Table2[[#This Row],[ReorderLevel]],"Reorder", "Okay")</f>
        <v>Okay</v>
      </c>
      <c r="Q2160" s="13" t="str">
        <f>IF(Table2[[#This Row],[CurrentStock]]&gt;Table2[[#This Row],[ReorderLevel]]*3, "Overstock", "Okay")</f>
        <v>Overstock</v>
      </c>
    </row>
    <row r="2161" spans="1:17" x14ac:dyDescent="0.35">
      <c r="A2161">
        <v>25007</v>
      </c>
      <c r="B2161" t="s">
        <v>20</v>
      </c>
      <c r="C2161" t="s">
        <v>30</v>
      </c>
      <c r="D2161">
        <v>372</v>
      </c>
      <c r="E2161">
        <v>40</v>
      </c>
      <c r="F2161" s="2">
        <v>297.27</v>
      </c>
      <c r="G2161" t="s">
        <v>35</v>
      </c>
      <c r="H2161" s="1">
        <v>45425</v>
      </c>
      <c r="I2161" s="1">
        <v>45435</v>
      </c>
      <c r="J2161" t="s">
        <v>37</v>
      </c>
      <c r="K2161" s="8">
        <f>Table2[[#This Row],[CurrentStock]]*Table2[[#This Row],[UnitPrice]]</f>
        <v>110584.43999999999</v>
      </c>
      <c r="L2161" t="str">
        <f>IF(Table2[[#This Row],[CurrentStock]]&lt;=Table2[[#This Row],[ReorderLevel]], "Reorder Needed", "Okay")</f>
        <v>Okay</v>
      </c>
      <c r="M2161" t="str">
        <f>IF(Table2[[#This Row],[CurrentStock]]-Table2[[#This Row],[ReorderLevel]]&lt;0,Table2[[#This Row],[CurrentStock]]-Table2[[#This Row],[ReorderLevel]],"")</f>
        <v/>
      </c>
      <c r="N2161" t="str">
        <f>IF(Table2[[#This Row],[Stock Gap]]&lt;0, "Understock","Okay")</f>
        <v>Okay</v>
      </c>
      <c r="O2161" s="13" t="str">
        <f>IF(Table2[[#This Row],[Stock Gap]]&lt;0, "Yes", "No")</f>
        <v>No</v>
      </c>
      <c r="P2161" s="13" t="str">
        <f>IF(Table2[[#This Row],[CurrentStock]]&lt;Table2[[#This Row],[ReorderLevel]],"Reorder", "Okay")</f>
        <v>Okay</v>
      </c>
      <c r="Q2161" s="13" t="str">
        <f>IF(Table2[[#This Row],[CurrentStock]]&gt;Table2[[#This Row],[ReorderLevel]]*3, "Overstock", "Okay")</f>
        <v>Overstock</v>
      </c>
    </row>
    <row r="2162" spans="1:17" x14ac:dyDescent="0.35">
      <c r="A2162">
        <v>40497</v>
      </c>
      <c r="B2162" t="s">
        <v>19</v>
      </c>
      <c r="C2162" t="s">
        <v>28</v>
      </c>
      <c r="D2162">
        <v>183</v>
      </c>
      <c r="E2162">
        <v>40</v>
      </c>
      <c r="F2162" s="2">
        <v>277.02999999999997</v>
      </c>
      <c r="G2162" t="s">
        <v>33</v>
      </c>
      <c r="H2162" s="1">
        <v>45628</v>
      </c>
      <c r="I2162" s="1">
        <v>45635</v>
      </c>
      <c r="J2162" t="s">
        <v>38</v>
      </c>
      <c r="K2162" s="8">
        <f>Table2[[#This Row],[CurrentStock]]*Table2[[#This Row],[UnitPrice]]</f>
        <v>50696.49</v>
      </c>
      <c r="L2162" t="str">
        <f>IF(Table2[[#This Row],[CurrentStock]]&lt;=Table2[[#This Row],[ReorderLevel]], "Reorder Needed", "Okay")</f>
        <v>Okay</v>
      </c>
      <c r="M2162" t="str">
        <f>IF(Table2[[#This Row],[CurrentStock]]-Table2[[#This Row],[ReorderLevel]]&lt;0,Table2[[#This Row],[CurrentStock]]-Table2[[#This Row],[ReorderLevel]],"")</f>
        <v/>
      </c>
      <c r="N2162" t="str">
        <f>IF(Table2[[#This Row],[Stock Gap]]&lt;0, "Understock","Okay")</f>
        <v>Okay</v>
      </c>
      <c r="O2162" s="13" t="str">
        <f>IF(Table2[[#This Row],[Stock Gap]]&lt;0, "Yes", "No")</f>
        <v>No</v>
      </c>
      <c r="P2162" s="13" t="str">
        <f>IF(Table2[[#This Row],[CurrentStock]]&lt;Table2[[#This Row],[ReorderLevel]],"Reorder", "Okay")</f>
        <v>Okay</v>
      </c>
      <c r="Q2162" s="13" t="str">
        <f>IF(Table2[[#This Row],[CurrentStock]]&gt;Table2[[#This Row],[ReorderLevel]]*3, "Overstock", "Okay")</f>
        <v>Overstock</v>
      </c>
    </row>
    <row r="2163" spans="1:17" x14ac:dyDescent="0.35">
      <c r="A2163">
        <v>89925</v>
      </c>
      <c r="B2163" t="s">
        <v>24</v>
      </c>
      <c r="C2163" t="s">
        <v>30</v>
      </c>
      <c r="D2163">
        <v>367</v>
      </c>
      <c r="E2163">
        <v>40</v>
      </c>
      <c r="F2163" s="2">
        <v>304.49</v>
      </c>
      <c r="G2163" t="s">
        <v>34</v>
      </c>
      <c r="H2163" s="1">
        <v>45565</v>
      </c>
      <c r="I2163" s="1">
        <v>45596</v>
      </c>
      <c r="J2163" t="s">
        <v>36</v>
      </c>
      <c r="K2163" s="8">
        <f>Table2[[#This Row],[CurrentStock]]*Table2[[#This Row],[UnitPrice]]</f>
        <v>111747.83</v>
      </c>
      <c r="L2163" t="str">
        <f>IF(Table2[[#This Row],[CurrentStock]]&lt;=Table2[[#This Row],[ReorderLevel]], "Reorder Needed", "Okay")</f>
        <v>Okay</v>
      </c>
      <c r="M2163" t="str">
        <f>IF(Table2[[#This Row],[CurrentStock]]-Table2[[#This Row],[ReorderLevel]]&lt;0,Table2[[#This Row],[CurrentStock]]-Table2[[#This Row],[ReorderLevel]],"")</f>
        <v/>
      </c>
      <c r="N2163" t="str">
        <f>IF(Table2[[#This Row],[Stock Gap]]&lt;0, "Understock","Okay")</f>
        <v>Okay</v>
      </c>
      <c r="O2163" s="13" t="str">
        <f>IF(Table2[[#This Row],[Stock Gap]]&lt;0, "Yes", "No")</f>
        <v>No</v>
      </c>
      <c r="P2163" s="13" t="str">
        <f>IF(Table2[[#This Row],[CurrentStock]]&lt;Table2[[#This Row],[ReorderLevel]],"Reorder", "Okay")</f>
        <v>Okay</v>
      </c>
      <c r="Q2163" s="13" t="str">
        <f>IF(Table2[[#This Row],[CurrentStock]]&gt;Table2[[#This Row],[ReorderLevel]]*3, "Overstock", "Okay")</f>
        <v>Overstock</v>
      </c>
    </row>
    <row r="2164" spans="1:17" x14ac:dyDescent="0.35">
      <c r="A2164">
        <v>90642</v>
      </c>
      <c r="B2164" t="s">
        <v>12</v>
      </c>
      <c r="C2164" t="s">
        <v>28</v>
      </c>
      <c r="D2164">
        <v>417</v>
      </c>
      <c r="E2164">
        <v>20</v>
      </c>
      <c r="F2164" s="2">
        <v>469.66</v>
      </c>
      <c r="G2164" t="s">
        <v>34</v>
      </c>
      <c r="H2164" s="1">
        <v>45467</v>
      </c>
      <c r="I2164" s="1">
        <v>45489</v>
      </c>
      <c r="J2164" t="s">
        <v>38</v>
      </c>
      <c r="K2164" s="8">
        <f>Table2[[#This Row],[CurrentStock]]*Table2[[#This Row],[UnitPrice]]</f>
        <v>195848.22</v>
      </c>
      <c r="L2164" t="str">
        <f>IF(Table2[[#This Row],[CurrentStock]]&lt;=Table2[[#This Row],[ReorderLevel]], "Reorder Needed", "Okay")</f>
        <v>Okay</v>
      </c>
      <c r="M2164" t="str">
        <f>IF(Table2[[#This Row],[CurrentStock]]-Table2[[#This Row],[ReorderLevel]]&lt;0,Table2[[#This Row],[CurrentStock]]-Table2[[#This Row],[ReorderLevel]],"")</f>
        <v/>
      </c>
      <c r="N2164" t="str">
        <f>IF(Table2[[#This Row],[Stock Gap]]&lt;0, "Understock","Okay")</f>
        <v>Okay</v>
      </c>
      <c r="O2164" s="13" t="str">
        <f>IF(Table2[[#This Row],[Stock Gap]]&lt;0, "Yes", "No")</f>
        <v>No</v>
      </c>
      <c r="P2164" s="13" t="str">
        <f>IF(Table2[[#This Row],[CurrentStock]]&lt;Table2[[#This Row],[ReorderLevel]],"Reorder", "Okay")</f>
        <v>Okay</v>
      </c>
      <c r="Q2164" s="13" t="str">
        <f>IF(Table2[[#This Row],[CurrentStock]]&gt;Table2[[#This Row],[ReorderLevel]]*3, "Overstock", "Okay")</f>
        <v>Overstock</v>
      </c>
    </row>
    <row r="2165" spans="1:17" x14ac:dyDescent="0.35">
      <c r="A2165">
        <v>85348</v>
      </c>
      <c r="B2165" t="s">
        <v>14</v>
      </c>
      <c r="C2165" t="s">
        <v>28</v>
      </c>
      <c r="D2165">
        <v>370</v>
      </c>
      <c r="E2165">
        <v>40</v>
      </c>
      <c r="F2165" s="2">
        <v>277.08999999999997</v>
      </c>
      <c r="G2165" t="s">
        <v>33</v>
      </c>
      <c r="H2165" s="1">
        <v>45488</v>
      </c>
      <c r="I2165" s="1">
        <v>45501</v>
      </c>
      <c r="J2165" t="s">
        <v>38</v>
      </c>
      <c r="K2165" s="8">
        <f>Table2[[#This Row],[CurrentStock]]*Table2[[#This Row],[UnitPrice]]</f>
        <v>102523.29999999999</v>
      </c>
      <c r="L2165" t="str">
        <f>IF(Table2[[#This Row],[CurrentStock]]&lt;=Table2[[#This Row],[ReorderLevel]], "Reorder Needed", "Okay")</f>
        <v>Okay</v>
      </c>
      <c r="M2165" t="str">
        <f>IF(Table2[[#This Row],[CurrentStock]]-Table2[[#This Row],[ReorderLevel]]&lt;0,Table2[[#This Row],[CurrentStock]]-Table2[[#This Row],[ReorderLevel]],"")</f>
        <v/>
      </c>
      <c r="N2165" t="str">
        <f>IF(Table2[[#This Row],[Stock Gap]]&lt;0, "Understock","Okay")</f>
        <v>Okay</v>
      </c>
      <c r="O2165" s="13" t="str">
        <f>IF(Table2[[#This Row],[Stock Gap]]&lt;0, "Yes", "No")</f>
        <v>No</v>
      </c>
      <c r="P2165" s="13" t="str">
        <f>IF(Table2[[#This Row],[CurrentStock]]&lt;Table2[[#This Row],[ReorderLevel]],"Reorder", "Okay")</f>
        <v>Okay</v>
      </c>
      <c r="Q2165" s="13" t="str">
        <f>IF(Table2[[#This Row],[CurrentStock]]&gt;Table2[[#This Row],[ReorderLevel]]*3, "Overstock", "Okay")</f>
        <v>Overstock</v>
      </c>
    </row>
    <row r="2166" spans="1:17" x14ac:dyDescent="0.35">
      <c r="A2166">
        <v>69337</v>
      </c>
      <c r="B2166" t="s">
        <v>10</v>
      </c>
      <c r="C2166" t="s">
        <v>26</v>
      </c>
      <c r="D2166">
        <v>215</v>
      </c>
      <c r="E2166">
        <v>50</v>
      </c>
      <c r="F2166" s="2">
        <v>14.76</v>
      </c>
      <c r="G2166" t="s">
        <v>32</v>
      </c>
      <c r="H2166" s="1">
        <v>45325</v>
      </c>
      <c r="I2166" s="1">
        <v>45349</v>
      </c>
      <c r="J2166" t="s">
        <v>37</v>
      </c>
      <c r="K2166" s="8">
        <f>Table2[[#This Row],[CurrentStock]]*Table2[[#This Row],[UnitPrice]]</f>
        <v>3173.4</v>
      </c>
      <c r="L2166" t="str">
        <f>IF(Table2[[#This Row],[CurrentStock]]&lt;=Table2[[#This Row],[ReorderLevel]], "Reorder Needed", "Okay")</f>
        <v>Okay</v>
      </c>
      <c r="M2166" t="str">
        <f>IF(Table2[[#This Row],[CurrentStock]]-Table2[[#This Row],[ReorderLevel]]&lt;0,Table2[[#This Row],[CurrentStock]]-Table2[[#This Row],[ReorderLevel]],"")</f>
        <v/>
      </c>
      <c r="N2166" t="str">
        <f>IF(Table2[[#This Row],[Stock Gap]]&lt;0, "Understock","Okay")</f>
        <v>Okay</v>
      </c>
      <c r="O2166" s="13" t="str">
        <f>IF(Table2[[#This Row],[Stock Gap]]&lt;0, "Yes", "No")</f>
        <v>No</v>
      </c>
      <c r="P2166" s="13" t="str">
        <f>IF(Table2[[#This Row],[CurrentStock]]&lt;Table2[[#This Row],[ReorderLevel]],"Reorder", "Okay")</f>
        <v>Okay</v>
      </c>
      <c r="Q2166" s="13" t="str">
        <f>IF(Table2[[#This Row],[CurrentStock]]&gt;Table2[[#This Row],[ReorderLevel]]*3, "Overstock", "Okay")</f>
        <v>Overstock</v>
      </c>
    </row>
    <row r="2167" spans="1:17" x14ac:dyDescent="0.35">
      <c r="A2167">
        <v>79550</v>
      </c>
      <c r="B2167" t="s">
        <v>20</v>
      </c>
      <c r="C2167" t="s">
        <v>30</v>
      </c>
      <c r="D2167">
        <v>413</v>
      </c>
      <c r="E2167">
        <v>40</v>
      </c>
      <c r="F2167" s="2">
        <v>384.92</v>
      </c>
      <c r="G2167" t="s">
        <v>33</v>
      </c>
      <c r="H2167" s="1">
        <v>45398</v>
      </c>
      <c r="I2167" s="1">
        <v>45409</v>
      </c>
      <c r="J2167" t="s">
        <v>36</v>
      </c>
      <c r="K2167" s="8">
        <f>Table2[[#This Row],[CurrentStock]]*Table2[[#This Row],[UnitPrice]]</f>
        <v>158971.96000000002</v>
      </c>
      <c r="L2167" t="str">
        <f>IF(Table2[[#This Row],[CurrentStock]]&lt;=Table2[[#This Row],[ReorderLevel]], "Reorder Needed", "Okay")</f>
        <v>Okay</v>
      </c>
      <c r="M2167" t="str">
        <f>IF(Table2[[#This Row],[CurrentStock]]-Table2[[#This Row],[ReorderLevel]]&lt;0,Table2[[#This Row],[CurrentStock]]-Table2[[#This Row],[ReorderLevel]],"")</f>
        <v/>
      </c>
      <c r="N2167" t="str">
        <f>IF(Table2[[#This Row],[Stock Gap]]&lt;0, "Understock","Okay")</f>
        <v>Okay</v>
      </c>
      <c r="O2167" s="13" t="str">
        <f>IF(Table2[[#This Row],[Stock Gap]]&lt;0, "Yes", "No")</f>
        <v>No</v>
      </c>
      <c r="P2167" s="13" t="str">
        <f>IF(Table2[[#This Row],[CurrentStock]]&lt;Table2[[#This Row],[ReorderLevel]],"Reorder", "Okay")</f>
        <v>Okay</v>
      </c>
      <c r="Q2167" s="13" t="str">
        <f>IF(Table2[[#This Row],[CurrentStock]]&gt;Table2[[#This Row],[ReorderLevel]]*3, "Overstock", "Okay")</f>
        <v>Overstock</v>
      </c>
    </row>
    <row r="2168" spans="1:17" x14ac:dyDescent="0.35">
      <c r="A2168">
        <v>97350</v>
      </c>
      <c r="B2168" t="s">
        <v>12</v>
      </c>
      <c r="C2168" t="s">
        <v>28</v>
      </c>
      <c r="D2168">
        <v>301</v>
      </c>
      <c r="E2168">
        <v>50</v>
      </c>
      <c r="F2168" s="2">
        <v>380.75</v>
      </c>
      <c r="G2168" t="s">
        <v>31</v>
      </c>
      <c r="H2168" s="1">
        <v>45497</v>
      </c>
      <c r="I2168" s="1">
        <v>45509</v>
      </c>
      <c r="J2168" t="s">
        <v>38</v>
      </c>
      <c r="K2168" s="8">
        <f>Table2[[#This Row],[CurrentStock]]*Table2[[#This Row],[UnitPrice]]</f>
        <v>114605.75</v>
      </c>
      <c r="L2168" t="str">
        <f>IF(Table2[[#This Row],[CurrentStock]]&lt;=Table2[[#This Row],[ReorderLevel]], "Reorder Needed", "Okay")</f>
        <v>Okay</v>
      </c>
      <c r="M2168" t="str">
        <f>IF(Table2[[#This Row],[CurrentStock]]-Table2[[#This Row],[ReorderLevel]]&lt;0,Table2[[#This Row],[CurrentStock]]-Table2[[#This Row],[ReorderLevel]],"")</f>
        <v/>
      </c>
      <c r="N2168" t="str">
        <f>IF(Table2[[#This Row],[Stock Gap]]&lt;0, "Understock","Okay")</f>
        <v>Okay</v>
      </c>
      <c r="O2168" s="13" t="str">
        <f>IF(Table2[[#This Row],[Stock Gap]]&lt;0, "Yes", "No")</f>
        <v>No</v>
      </c>
      <c r="P2168" s="13" t="str">
        <f>IF(Table2[[#This Row],[CurrentStock]]&lt;Table2[[#This Row],[ReorderLevel]],"Reorder", "Okay")</f>
        <v>Okay</v>
      </c>
      <c r="Q2168" s="13" t="str">
        <f>IF(Table2[[#This Row],[CurrentStock]]&gt;Table2[[#This Row],[ReorderLevel]]*3, "Overstock", "Okay")</f>
        <v>Overstock</v>
      </c>
    </row>
    <row r="2169" spans="1:17" x14ac:dyDescent="0.35">
      <c r="A2169">
        <v>88764</v>
      </c>
      <c r="B2169" t="s">
        <v>11</v>
      </c>
      <c r="C2169" t="s">
        <v>27</v>
      </c>
      <c r="D2169">
        <v>78</v>
      </c>
      <c r="E2169">
        <v>80</v>
      </c>
      <c r="F2169" s="2">
        <v>132.26</v>
      </c>
      <c r="G2169" t="s">
        <v>32</v>
      </c>
      <c r="H2169" s="1">
        <v>45341</v>
      </c>
      <c r="I2169" s="1">
        <v>45376</v>
      </c>
      <c r="J2169" t="s">
        <v>38</v>
      </c>
      <c r="K2169" s="8">
        <f>Table2[[#This Row],[CurrentStock]]*Table2[[#This Row],[UnitPrice]]</f>
        <v>10316.279999999999</v>
      </c>
      <c r="L2169" t="str">
        <f>IF(Table2[[#This Row],[CurrentStock]]&lt;=Table2[[#This Row],[ReorderLevel]], "Reorder Needed", "Okay")</f>
        <v>Reorder Needed</v>
      </c>
      <c r="M2169" s="7">
        <f>IF(Table2[[#This Row],[CurrentStock]]-Table2[[#This Row],[ReorderLevel]]&lt;0,Table2[[#This Row],[CurrentStock]]-Table2[[#This Row],[ReorderLevel]],"")</f>
        <v>-2</v>
      </c>
      <c r="N2169" t="str">
        <f>IF(Table2[[#This Row],[Stock Gap]]&lt;0, "Understock","Okay")</f>
        <v>Understock</v>
      </c>
      <c r="O2169" s="13" t="str">
        <f>IF(Table2[[#This Row],[Stock Gap]]&lt;0, "Yes", "No")</f>
        <v>Yes</v>
      </c>
      <c r="P2169" s="13" t="str">
        <f>IF(Table2[[#This Row],[CurrentStock]]&lt;Table2[[#This Row],[ReorderLevel]],"Reorder", "Okay")</f>
        <v>Reorder</v>
      </c>
      <c r="Q2169" s="13" t="str">
        <f>IF(Table2[[#This Row],[CurrentStock]]&gt;Table2[[#This Row],[ReorderLevel]]*3, "Overstock", "Okay")</f>
        <v>Okay</v>
      </c>
    </row>
    <row r="2170" spans="1:17" x14ac:dyDescent="0.35">
      <c r="A2170">
        <v>55652</v>
      </c>
      <c r="B2170" t="s">
        <v>21</v>
      </c>
      <c r="C2170" t="s">
        <v>26</v>
      </c>
      <c r="D2170">
        <v>103</v>
      </c>
      <c r="E2170">
        <v>150</v>
      </c>
      <c r="F2170" s="2">
        <v>238.43</v>
      </c>
      <c r="G2170" t="s">
        <v>34</v>
      </c>
      <c r="H2170" s="1">
        <v>45448</v>
      </c>
      <c r="I2170" s="1">
        <v>45479</v>
      </c>
      <c r="J2170" t="s">
        <v>37</v>
      </c>
      <c r="K2170" s="8">
        <f>Table2[[#This Row],[CurrentStock]]*Table2[[#This Row],[UnitPrice]]</f>
        <v>24558.29</v>
      </c>
      <c r="L2170" t="str">
        <f>IF(Table2[[#This Row],[CurrentStock]]&lt;=Table2[[#This Row],[ReorderLevel]], "Reorder Needed", "Okay")</f>
        <v>Reorder Needed</v>
      </c>
      <c r="M2170" s="7">
        <f>IF(Table2[[#This Row],[CurrentStock]]-Table2[[#This Row],[ReorderLevel]]&lt;0,Table2[[#This Row],[CurrentStock]]-Table2[[#This Row],[ReorderLevel]],"")</f>
        <v>-47</v>
      </c>
      <c r="N2170" t="str">
        <f>IF(Table2[[#This Row],[Stock Gap]]&lt;0, "Understock","Okay")</f>
        <v>Understock</v>
      </c>
      <c r="O2170" s="13" t="str">
        <f>IF(Table2[[#This Row],[Stock Gap]]&lt;0, "Yes", "No")</f>
        <v>Yes</v>
      </c>
      <c r="P2170" s="13" t="str">
        <f>IF(Table2[[#This Row],[CurrentStock]]&lt;Table2[[#This Row],[ReorderLevel]],"Reorder", "Okay")</f>
        <v>Reorder</v>
      </c>
      <c r="Q2170" s="13" t="str">
        <f>IF(Table2[[#This Row],[CurrentStock]]&gt;Table2[[#This Row],[ReorderLevel]]*3, "Overstock", "Okay")</f>
        <v>Okay</v>
      </c>
    </row>
    <row r="2171" spans="1:17" x14ac:dyDescent="0.35">
      <c r="A2171">
        <v>24328</v>
      </c>
      <c r="B2171" t="s">
        <v>24</v>
      </c>
      <c r="C2171" t="s">
        <v>30</v>
      </c>
      <c r="D2171">
        <v>215</v>
      </c>
      <c r="E2171">
        <v>20</v>
      </c>
      <c r="F2171" s="2">
        <v>231.12</v>
      </c>
      <c r="G2171" t="s">
        <v>31</v>
      </c>
      <c r="H2171" s="1">
        <v>45647</v>
      </c>
      <c r="I2171" s="1">
        <v>45662</v>
      </c>
      <c r="J2171" t="s">
        <v>37</v>
      </c>
      <c r="K2171" s="8">
        <f>Table2[[#This Row],[CurrentStock]]*Table2[[#This Row],[UnitPrice]]</f>
        <v>49690.8</v>
      </c>
      <c r="L2171" t="str">
        <f>IF(Table2[[#This Row],[CurrentStock]]&lt;=Table2[[#This Row],[ReorderLevel]], "Reorder Needed", "Okay")</f>
        <v>Okay</v>
      </c>
      <c r="M2171" t="str">
        <f>IF(Table2[[#This Row],[CurrentStock]]-Table2[[#This Row],[ReorderLevel]]&lt;0,Table2[[#This Row],[CurrentStock]]-Table2[[#This Row],[ReorderLevel]],"")</f>
        <v/>
      </c>
      <c r="N2171" t="str">
        <f>IF(Table2[[#This Row],[Stock Gap]]&lt;0, "Understock","Okay")</f>
        <v>Okay</v>
      </c>
      <c r="O2171" s="13" t="str">
        <f>IF(Table2[[#This Row],[Stock Gap]]&lt;0, "Yes", "No")</f>
        <v>No</v>
      </c>
      <c r="P2171" s="13" t="str">
        <f>IF(Table2[[#This Row],[CurrentStock]]&lt;Table2[[#This Row],[ReorderLevel]],"Reorder", "Okay")</f>
        <v>Okay</v>
      </c>
      <c r="Q2171" s="13" t="str">
        <f>IF(Table2[[#This Row],[CurrentStock]]&gt;Table2[[#This Row],[ReorderLevel]]*3, "Overstock", "Okay")</f>
        <v>Overstock</v>
      </c>
    </row>
    <row r="2172" spans="1:17" x14ac:dyDescent="0.35">
      <c r="A2172">
        <v>78917</v>
      </c>
      <c r="B2172" t="s">
        <v>18</v>
      </c>
      <c r="C2172" t="s">
        <v>27</v>
      </c>
      <c r="D2172">
        <v>419</v>
      </c>
      <c r="E2172">
        <v>20</v>
      </c>
      <c r="F2172" s="2">
        <v>329.06</v>
      </c>
      <c r="G2172" t="s">
        <v>34</v>
      </c>
      <c r="H2172" s="1">
        <v>45558</v>
      </c>
      <c r="I2172" s="1">
        <v>45578</v>
      </c>
      <c r="J2172" t="s">
        <v>38</v>
      </c>
      <c r="K2172" s="8">
        <f>Table2[[#This Row],[CurrentStock]]*Table2[[#This Row],[UnitPrice]]</f>
        <v>137876.14000000001</v>
      </c>
      <c r="L2172" t="str">
        <f>IF(Table2[[#This Row],[CurrentStock]]&lt;=Table2[[#This Row],[ReorderLevel]], "Reorder Needed", "Okay")</f>
        <v>Okay</v>
      </c>
      <c r="M2172" t="str">
        <f>IF(Table2[[#This Row],[CurrentStock]]-Table2[[#This Row],[ReorderLevel]]&lt;0,Table2[[#This Row],[CurrentStock]]-Table2[[#This Row],[ReorderLevel]],"")</f>
        <v/>
      </c>
      <c r="N2172" t="str">
        <f>IF(Table2[[#This Row],[Stock Gap]]&lt;0, "Understock","Okay")</f>
        <v>Okay</v>
      </c>
      <c r="O2172" s="13" t="str">
        <f>IF(Table2[[#This Row],[Stock Gap]]&lt;0, "Yes", "No")</f>
        <v>No</v>
      </c>
      <c r="P2172" s="13" t="str">
        <f>IF(Table2[[#This Row],[CurrentStock]]&lt;Table2[[#This Row],[ReorderLevel]],"Reorder", "Okay")</f>
        <v>Okay</v>
      </c>
      <c r="Q2172" s="13" t="str">
        <f>IF(Table2[[#This Row],[CurrentStock]]&gt;Table2[[#This Row],[ReorderLevel]]*3, "Overstock", "Okay")</f>
        <v>Overstock</v>
      </c>
    </row>
    <row r="2173" spans="1:17" x14ac:dyDescent="0.35">
      <c r="A2173">
        <v>66843</v>
      </c>
      <c r="B2173" t="s">
        <v>23</v>
      </c>
      <c r="C2173" t="s">
        <v>30</v>
      </c>
      <c r="D2173">
        <v>303</v>
      </c>
      <c r="E2173">
        <v>50</v>
      </c>
      <c r="F2173" s="2">
        <v>72.430000000000007</v>
      </c>
      <c r="G2173" t="s">
        <v>35</v>
      </c>
      <c r="H2173" s="1">
        <v>45298</v>
      </c>
      <c r="I2173" s="1">
        <v>45316</v>
      </c>
      <c r="J2173" t="s">
        <v>36</v>
      </c>
      <c r="K2173" s="8">
        <f>Table2[[#This Row],[CurrentStock]]*Table2[[#This Row],[UnitPrice]]</f>
        <v>21946.29</v>
      </c>
      <c r="L2173" t="str">
        <f>IF(Table2[[#This Row],[CurrentStock]]&lt;=Table2[[#This Row],[ReorderLevel]], "Reorder Needed", "Okay")</f>
        <v>Okay</v>
      </c>
      <c r="M2173" t="str">
        <f>IF(Table2[[#This Row],[CurrentStock]]-Table2[[#This Row],[ReorderLevel]]&lt;0,Table2[[#This Row],[CurrentStock]]-Table2[[#This Row],[ReorderLevel]],"")</f>
        <v/>
      </c>
      <c r="N2173" t="str">
        <f>IF(Table2[[#This Row],[Stock Gap]]&lt;0, "Understock","Okay")</f>
        <v>Okay</v>
      </c>
      <c r="O2173" s="13" t="str">
        <f>IF(Table2[[#This Row],[Stock Gap]]&lt;0, "Yes", "No")</f>
        <v>No</v>
      </c>
      <c r="P2173" s="13" t="str">
        <f>IF(Table2[[#This Row],[CurrentStock]]&lt;Table2[[#This Row],[ReorderLevel]],"Reorder", "Okay")</f>
        <v>Okay</v>
      </c>
      <c r="Q2173" s="13" t="str">
        <f>IF(Table2[[#This Row],[CurrentStock]]&gt;Table2[[#This Row],[ReorderLevel]]*3, "Overstock", "Okay")</f>
        <v>Overstock</v>
      </c>
    </row>
    <row r="2174" spans="1:17" x14ac:dyDescent="0.35">
      <c r="A2174">
        <v>80679</v>
      </c>
      <c r="B2174" t="s">
        <v>13</v>
      </c>
      <c r="C2174" t="s">
        <v>26</v>
      </c>
      <c r="D2174">
        <v>310</v>
      </c>
      <c r="E2174">
        <v>30</v>
      </c>
      <c r="F2174" s="2">
        <v>52.86</v>
      </c>
      <c r="G2174" t="s">
        <v>34</v>
      </c>
      <c r="H2174" s="1">
        <v>45388</v>
      </c>
      <c r="I2174" s="1">
        <v>45422</v>
      </c>
      <c r="J2174" t="s">
        <v>37</v>
      </c>
      <c r="K2174" s="8">
        <f>Table2[[#This Row],[CurrentStock]]*Table2[[#This Row],[UnitPrice]]</f>
        <v>16386.599999999999</v>
      </c>
      <c r="L2174" t="str">
        <f>IF(Table2[[#This Row],[CurrentStock]]&lt;=Table2[[#This Row],[ReorderLevel]], "Reorder Needed", "Okay")</f>
        <v>Okay</v>
      </c>
      <c r="M2174" t="str">
        <f>IF(Table2[[#This Row],[CurrentStock]]-Table2[[#This Row],[ReorderLevel]]&lt;0,Table2[[#This Row],[CurrentStock]]-Table2[[#This Row],[ReorderLevel]],"")</f>
        <v/>
      </c>
      <c r="N2174" t="str">
        <f>IF(Table2[[#This Row],[Stock Gap]]&lt;0, "Understock","Okay")</f>
        <v>Okay</v>
      </c>
      <c r="O2174" s="13" t="str">
        <f>IF(Table2[[#This Row],[Stock Gap]]&lt;0, "Yes", "No")</f>
        <v>No</v>
      </c>
      <c r="P2174" s="13" t="str">
        <f>IF(Table2[[#This Row],[CurrentStock]]&lt;Table2[[#This Row],[ReorderLevel]],"Reorder", "Okay")</f>
        <v>Okay</v>
      </c>
      <c r="Q2174" s="13" t="str">
        <f>IF(Table2[[#This Row],[CurrentStock]]&gt;Table2[[#This Row],[ReorderLevel]]*3, "Overstock", "Okay")</f>
        <v>Overstock</v>
      </c>
    </row>
    <row r="2175" spans="1:17" x14ac:dyDescent="0.35">
      <c r="A2175">
        <v>36081</v>
      </c>
      <c r="B2175" t="s">
        <v>24</v>
      </c>
      <c r="C2175" t="s">
        <v>30</v>
      </c>
      <c r="D2175">
        <v>149</v>
      </c>
      <c r="E2175">
        <v>100</v>
      </c>
      <c r="F2175" s="2">
        <v>498.4</v>
      </c>
      <c r="G2175" t="s">
        <v>32</v>
      </c>
      <c r="H2175" s="1">
        <v>45341</v>
      </c>
      <c r="I2175" s="1">
        <v>45361</v>
      </c>
      <c r="J2175" t="s">
        <v>37</v>
      </c>
      <c r="K2175" s="8">
        <f>Table2[[#This Row],[CurrentStock]]*Table2[[#This Row],[UnitPrice]]</f>
        <v>74261.599999999991</v>
      </c>
      <c r="L2175" t="str">
        <f>IF(Table2[[#This Row],[CurrentStock]]&lt;=Table2[[#This Row],[ReorderLevel]], "Reorder Needed", "Okay")</f>
        <v>Okay</v>
      </c>
      <c r="M2175" t="str">
        <f>IF(Table2[[#This Row],[CurrentStock]]-Table2[[#This Row],[ReorderLevel]]&lt;0,Table2[[#This Row],[CurrentStock]]-Table2[[#This Row],[ReorderLevel]],"")</f>
        <v/>
      </c>
      <c r="N2175" t="str">
        <f>IF(Table2[[#This Row],[Stock Gap]]&lt;0, "Understock","Okay")</f>
        <v>Okay</v>
      </c>
      <c r="O2175" s="13" t="str">
        <f>IF(Table2[[#This Row],[Stock Gap]]&lt;0, "Yes", "No")</f>
        <v>No</v>
      </c>
      <c r="P2175" s="13" t="str">
        <f>IF(Table2[[#This Row],[CurrentStock]]&lt;Table2[[#This Row],[ReorderLevel]],"Reorder", "Okay")</f>
        <v>Okay</v>
      </c>
      <c r="Q2175" s="13" t="str">
        <f>IF(Table2[[#This Row],[CurrentStock]]&gt;Table2[[#This Row],[ReorderLevel]]*3, "Overstock", "Okay")</f>
        <v>Okay</v>
      </c>
    </row>
    <row r="2176" spans="1:17" x14ac:dyDescent="0.35">
      <c r="A2176">
        <v>25330</v>
      </c>
      <c r="B2176" t="s">
        <v>18</v>
      </c>
      <c r="C2176" t="s">
        <v>27</v>
      </c>
      <c r="D2176">
        <v>334</v>
      </c>
      <c r="E2176">
        <v>50</v>
      </c>
      <c r="F2176" s="2">
        <v>165.79</v>
      </c>
      <c r="G2176" t="s">
        <v>34</v>
      </c>
      <c r="H2176" s="1">
        <v>45627</v>
      </c>
      <c r="I2176" s="1">
        <v>45657</v>
      </c>
      <c r="J2176" t="s">
        <v>37</v>
      </c>
      <c r="K2176" s="8">
        <f>Table2[[#This Row],[CurrentStock]]*Table2[[#This Row],[UnitPrice]]</f>
        <v>55373.86</v>
      </c>
      <c r="L2176" t="str">
        <f>IF(Table2[[#This Row],[CurrentStock]]&lt;=Table2[[#This Row],[ReorderLevel]], "Reorder Needed", "Okay")</f>
        <v>Okay</v>
      </c>
      <c r="M2176" t="str">
        <f>IF(Table2[[#This Row],[CurrentStock]]-Table2[[#This Row],[ReorderLevel]]&lt;0,Table2[[#This Row],[CurrentStock]]-Table2[[#This Row],[ReorderLevel]],"")</f>
        <v/>
      </c>
      <c r="N2176" t="str">
        <f>IF(Table2[[#This Row],[Stock Gap]]&lt;0, "Understock","Okay")</f>
        <v>Okay</v>
      </c>
      <c r="O2176" s="13" t="str">
        <f>IF(Table2[[#This Row],[Stock Gap]]&lt;0, "Yes", "No")</f>
        <v>No</v>
      </c>
      <c r="P2176" s="13" t="str">
        <f>IF(Table2[[#This Row],[CurrentStock]]&lt;Table2[[#This Row],[ReorderLevel]],"Reorder", "Okay")</f>
        <v>Okay</v>
      </c>
      <c r="Q2176" s="13" t="str">
        <f>IF(Table2[[#This Row],[CurrentStock]]&gt;Table2[[#This Row],[ReorderLevel]]*3, "Overstock", "Okay")</f>
        <v>Overstock</v>
      </c>
    </row>
    <row r="2177" spans="1:17" x14ac:dyDescent="0.35">
      <c r="A2177">
        <v>65810</v>
      </c>
      <c r="B2177" t="s">
        <v>24</v>
      </c>
      <c r="C2177" t="s">
        <v>30</v>
      </c>
      <c r="D2177">
        <v>184</v>
      </c>
      <c r="E2177">
        <v>50</v>
      </c>
      <c r="F2177" s="2">
        <v>467.87</v>
      </c>
      <c r="G2177" t="s">
        <v>31</v>
      </c>
      <c r="H2177" s="1">
        <v>45387</v>
      </c>
      <c r="I2177" s="1">
        <v>45420</v>
      </c>
      <c r="J2177" t="s">
        <v>38</v>
      </c>
      <c r="K2177" s="8">
        <f>Table2[[#This Row],[CurrentStock]]*Table2[[#This Row],[UnitPrice]]</f>
        <v>86088.08</v>
      </c>
      <c r="L2177" t="str">
        <f>IF(Table2[[#This Row],[CurrentStock]]&lt;=Table2[[#This Row],[ReorderLevel]], "Reorder Needed", "Okay")</f>
        <v>Okay</v>
      </c>
      <c r="M2177" t="str">
        <f>IF(Table2[[#This Row],[CurrentStock]]-Table2[[#This Row],[ReorderLevel]]&lt;0,Table2[[#This Row],[CurrentStock]]-Table2[[#This Row],[ReorderLevel]],"")</f>
        <v/>
      </c>
      <c r="N2177" t="str">
        <f>IF(Table2[[#This Row],[Stock Gap]]&lt;0, "Understock","Okay")</f>
        <v>Okay</v>
      </c>
      <c r="O2177" s="13" t="str">
        <f>IF(Table2[[#This Row],[Stock Gap]]&lt;0, "Yes", "No")</f>
        <v>No</v>
      </c>
      <c r="P2177" s="13" t="str">
        <f>IF(Table2[[#This Row],[CurrentStock]]&lt;Table2[[#This Row],[ReorderLevel]],"Reorder", "Okay")</f>
        <v>Okay</v>
      </c>
      <c r="Q2177" s="13" t="str">
        <f>IF(Table2[[#This Row],[CurrentStock]]&gt;Table2[[#This Row],[ReorderLevel]]*3, "Overstock", "Okay")</f>
        <v>Overstock</v>
      </c>
    </row>
    <row r="2178" spans="1:17" x14ac:dyDescent="0.35">
      <c r="A2178">
        <v>16405</v>
      </c>
      <c r="B2178" t="s">
        <v>19</v>
      </c>
      <c r="C2178" t="s">
        <v>28</v>
      </c>
      <c r="D2178">
        <v>356</v>
      </c>
      <c r="E2178">
        <v>50</v>
      </c>
      <c r="F2178" s="2">
        <v>249.52</v>
      </c>
      <c r="G2178" t="s">
        <v>31</v>
      </c>
      <c r="H2178" s="1">
        <v>45621</v>
      </c>
      <c r="I2178" s="1">
        <v>45647</v>
      </c>
      <c r="J2178" t="s">
        <v>38</v>
      </c>
      <c r="K2178" s="8">
        <f>Table2[[#This Row],[CurrentStock]]*Table2[[#This Row],[UnitPrice]]</f>
        <v>88829.12000000001</v>
      </c>
      <c r="L2178" t="str">
        <f>IF(Table2[[#This Row],[CurrentStock]]&lt;=Table2[[#This Row],[ReorderLevel]], "Reorder Needed", "Okay")</f>
        <v>Okay</v>
      </c>
      <c r="M2178" t="str">
        <f>IF(Table2[[#This Row],[CurrentStock]]-Table2[[#This Row],[ReorderLevel]]&lt;0,Table2[[#This Row],[CurrentStock]]-Table2[[#This Row],[ReorderLevel]],"")</f>
        <v/>
      </c>
      <c r="N2178" t="str">
        <f>IF(Table2[[#This Row],[Stock Gap]]&lt;0, "Understock","Okay")</f>
        <v>Okay</v>
      </c>
      <c r="O2178" s="13" t="str">
        <f>IF(Table2[[#This Row],[Stock Gap]]&lt;0, "Yes", "No")</f>
        <v>No</v>
      </c>
      <c r="P2178" s="13" t="str">
        <f>IF(Table2[[#This Row],[CurrentStock]]&lt;Table2[[#This Row],[ReorderLevel]],"Reorder", "Okay")</f>
        <v>Okay</v>
      </c>
      <c r="Q2178" s="13" t="str">
        <f>IF(Table2[[#This Row],[CurrentStock]]&gt;Table2[[#This Row],[ReorderLevel]]*3, "Overstock", "Okay")</f>
        <v>Overstock</v>
      </c>
    </row>
    <row r="2179" spans="1:17" x14ac:dyDescent="0.35">
      <c r="A2179">
        <v>25860</v>
      </c>
      <c r="B2179" t="s">
        <v>10</v>
      </c>
      <c r="C2179" t="s">
        <v>26</v>
      </c>
      <c r="D2179">
        <v>190</v>
      </c>
      <c r="E2179">
        <v>20</v>
      </c>
      <c r="F2179" s="2">
        <v>159.09</v>
      </c>
      <c r="G2179" t="s">
        <v>32</v>
      </c>
      <c r="H2179" s="1">
        <v>45379</v>
      </c>
      <c r="I2179" s="1">
        <v>45395</v>
      </c>
      <c r="J2179" t="s">
        <v>36</v>
      </c>
      <c r="K2179" s="8">
        <f>Table2[[#This Row],[CurrentStock]]*Table2[[#This Row],[UnitPrice]]</f>
        <v>30227.100000000002</v>
      </c>
      <c r="L2179" t="str">
        <f>IF(Table2[[#This Row],[CurrentStock]]&lt;=Table2[[#This Row],[ReorderLevel]], "Reorder Needed", "Okay")</f>
        <v>Okay</v>
      </c>
      <c r="M2179" t="str">
        <f>IF(Table2[[#This Row],[CurrentStock]]-Table2[[#This Row],[ReorderLevel]]&lt;0,Table2[[#This Row],[CurrentStock]]-Table2[[#This Row],[ReorderLevel]],"")</f>
        <v/>
      </c>
      <c r="N2179" t="str">
        <f>IF(Table2[[#This Row],[Stock Gap]]&lt;0, "Understock","Okay")</f>
        <v>Okay</v>
      </c>
      <c r="O2179" s="13" t="str">
        <f>IF(Table2[[#This Row],[Stock Gap]]&lt;0, "Yes", "No")</f>
        <v>No</v>
      </c>
      <c r="P2179" s="13" t="str">
        <f>IF(Table2[[#This Row],[CurrentStock]]&lt;Table2[[#This Row],[ReorderLevel]],"Reorder", "Okay")</f>
        <v>Okay</v>
      </c>
      <c r="Q2179" s="13" t="str">
        <f>IF(Table2[[#This Row],[CurrentStock]]&gt;Table2[[#This Row],[ReorderLevel]]*3, "Overstock", "Okay")</f>
        <v>Overstock</v>
      </c>
    </row>
    <row r="2180" spans="1:17" x14ac:dyDescent="0.35">
      <c r="A2180">
        <v>51705</v>
      </c>
      <c r="B2180" t="s">
        <v>10</v>
      </c>
      <c r="C2180" t="s">
        <v>26</v>
      </c>
      <c r="D2180">
        <v>432</v>
      </c>
      <c r="E2180">
        <v>20</v>
      </c>
      <c r="F2180" s="2">
        <v>341.44</v>
      </c>
      <c r="G2180" t="s">
        <v>31</v>
      </c>
      <c r="H2180" s="1">
        <v>45309</v>
      </c>
      <c r="I2180" s="1">
        <v>45346</v>
      </c>
      <c r="J2180" t="s">
        <v>38</v>
      </c>
      <c r="K2180" s="8">
        <f>Table2[[#This Row],[CurrentStock]]*Table2[[#This Row],[UnitPrice]]</f>
        <v>147502.07999999999</v>
      </c>
      <c r="L2180" t="str">
        <f>IF(Table2[[#This Row],[CurrentStock]]&lt;=Table2[[#This Row],[ReorderLevel]], "Reorder Needed", "Okay")</f>
        <v>Okay</v>
      </c>
      <c r="M2180" t="str">
        <f>IF(Table2[[#This Row],[CurrentStock]]-Table2[[#This Row],[ReorderLevel]]&lt;0,Table2[[#This Row],[CurrentStock]]-Table2[[#This Row],[ReorderLevel]],"")</f>
        <v/>
      </c>
      <c r="N2180" t="str">
        <f>IF(Table2[[#This Row],[Stock Gap]]&lt;0, "Understock","Okay")</f>
        <v>Okay</v>
      </c>
      <c r="O2180" s="13" t="str">
        <f>IF(Table2[[#This Row],[Stock Gap]]&lt;0, "Yes", "No")</f>
        <v>No</v>
      </c>
      <c r="P2180" s="13" t="str">
        <f>IF(Table2[[#This Row],[CurrentStock]]&lt;Table2[[#This Row],[ReorderLevel]],"Reorder", "Okay")</f>
        <v>Okay</v>
      </c>
      <c r="Q2180" s="13" t="str">
        <f>IF(Table2[[#This Row],[CurrentStock]]&gt;Table2[[#This Row],[ReorderLevel]]*3, "Overstock", "Okay")</f>
        <v>Overstock</v>
      </c>
    </row>
    <row r="2181" spans="1:17" x14ac:dyDescent="0.35">
      <c r="A2181">
        <v>97787</v>
      </c>
      <c r="B2181" t="s">
        <v>11</v>
      </c>
      <c r="C2181" t="s">
        <v>27</v>
      </c>
      <c r="D2181">
        <v>343</v>
      </c>
      <c r="E2181">
        <v>100</v>
      </c>
      <c r="F2181" s="2">
        <v>431.53</v>
      </c>
      <c r="G2181" t="s">
        <v>31</v>
      </c>
      <c r="H2181" s="1">
        <v>45378</v>
      </c>
      <c r="I2181" s="1">
        <v>45387</v>
      </c>
      <c r="J2181" t="s">
        <v>38</v>
      </c>
      <c r="K2181" s="8">
        <f>Table2[[#This Row],[CurrentStock]]*Table2[[#This Row],[UnitPrice]]</f>
        <v>148014.78999999998</v>
      </c>
      <c r="L2181" t="str">
        <f>IF(Table2[[#This Row],[CurrentStock]]&lt;=Table2[[#This Row],[ReorderLevel]], "Reorder Needed", "Okay")</f>
        <v>Okay</v>
      </c>
      <c r="M2181" t="str">
        <f>IF(Table2[[#This Row],[CurrentStock]]-Table2[[#This Row],[ReorderLevel]]&lt;0,Table2[[#This Row],[CurrentStock]]-Table2[[#This Row],[ReorderLevel]],"")</f>
        <v/>
      </c>
      <c r="N2181" t="str">
        <f>IF(Table2[[#This Row],[Stock Gap]]&lt;0, "Understock","Okay")</f>
        <v>Okay</v>
      </c>
      <c r="O2181" s="13" t="str">
        <f>IF(Table2[[#This Row],[Stock Gap]]&lt;0, "Yes", "No")</f>
        <v>No</v>
      </c>
      <c r="P2181" s="13" t="str">
        <f>IF(Table2[[#This Row],[CurrentStock]]&lt;Table2[[#This Row],[ReorderLevel]],"Reorder", "Okay")</f>
        <v>Okay</v>
      </c>
      <c r="Q2181" s="13" t="str">
        <f>IF(Table2[[#This Row],[CurrentStock]]&gt;Table2[[#This Row],[ReorderLevel]]*3, "Overstock", "Okay")</f>
        <v>Overstock</v>
      </c>
    </row>
    <row r="2182" spans="1:17" x14ac:dyDescent="0.35">
      <c r="A2182">
        <v>44121</v>
      </c>
      <c r="B2182" t="s">
        <v>9</v>
      </c>
      <c r="C2182" t="s">
        <v>26</v>
      </c>
      <c r="D2182">
        <v>38</v>
      </c>
      <c r="E2182">
        <v>100</v>
      </c>
      <c r="F2182" s="2">
        <v>41.12</v>
      </c>
      <c r="G2182" t="s">
        <v>33</v>
      </c>
      <c r="H2182" s="1">
        <v>45528</v>
      </c>
      <c r="I2182" s="1">
        <v>45536</v>
      </c>
      <c r="J2182" t="s">
        <v>36</v>
      </c>
      <c r="K2182" s="8">
        <f>Table2[[#This Row],[CurrentStock]]*Table2[[#This Row],[UnitPrice]]</f>
        <v>1562.56</v>
      </c>
      <c r="L2182" t="str">
        <f>IF(Table2[[#This Row],[CurrentStock]]&lt;=Table2[[#This Row],[ReorderLevel]], "Reorder Needed", "Okay")</f>
        <v>Reorder Needed</v>
      </c>
      <c r="M2182" s="7">
        <f>IF(Table2[[#This Row],[CurrentStock]]-Table2[[#This Row],[ReorderLevel]]&lt;0,Table2[[#This Row],[CurrentStock]]-Table2[[#This Row],[ReorderLevel]],"")</f>
        <v>-62</v>
      </c>
      <c r="N2182" t="str">
        <f>IF(Table2[[#This Row],[Stock Gap]]&lt;0, "Understock","Okay")</f>
        <v>Understock</v>
      </c>
      <c r="O2182" s="13" t="str">
        <f>IF(Table2[[#This Row],[Stock Gap]]&lt;0, "Yes", "No")</f>
        <v>Yes</v>
      </c>
      <c r="P2182" s="13" t="str">
        <f>IF(Table2[[#This Row],[CurrentStock]]&lt;Table2[[#This Row],[ReorderLevel]],"Reorder", "Okay")</f>
        <v>Reorder</v>
      </c>
      <c r="Q2182" s="13" t="str">
        <f>IF(Table2[[#This Row],[CurrentStock]]&gt;Table2[[#This Row],[ReorderLevel]]*3, "Overstock", "Okay")</f>
        <v>Okay</v>
      </c>
    </row>
    <row r="2183" spans="1:17" x14ac:dyDescent="0.35">
      <c r="A2183">
        <v>90252</v>
      </c>
      <c r="B2183" t="s">
        <v>16</v>
      </c>
      <c r="C2183" t="s">
        <v>29</v>
      </c>
      <c r="D2183">
        <v>486</v>
      </c>
      <c r="E2183">
        <v>80</v>
      </c>
      <c r="F2183" s="2">
        <v>446.48</v>
      </c>
      <c r="G2183" t="s">
        <v>35</v>
      </c>
      <c r="H2183" s="1">
        <v>45510</v>
      </c>
      <c r="I2183" s="1">
        <v>45531</v>
      </c>
      <c r="J2183" t="s">
        <v>37</v>
      </c>
      <c r="K2183" s="8">
        <f>Table2[[#This Row],[CurrentStock]]*Table2[[#This Row],[UnitPrice]]</f>
        <v>216989.28</v>
      </c>
      <c r="L2183" t="str">
        <f>IF(Table2[[#This Row],[CurrentStock]]&lt;=Table2[[#This Row],[ReorderLevel]], "Reorder Needed", "Okay")</f>
        <v>Okay</v>
      </c>
      <c r="M2183" t="str">
        <f>IF(Table2[[#This Row],[CurrentStock]]-Table2[[#This Row],[ReorderLevel]]&lt;0,Table2[[#This Row],[CurrentStock]]-Table2[[#This Row],[ReorderLevel]],"")</f>
        <v/>
      </c>
      <c r="N2183" t="str">
        <f>IF(Table2[[#This Row],[Stock Gap]]&lt;0, "Understock","Okay")</f>
        <v>Okay</v>
      </c>
      <c r="O2183" s="13" t="str">
        <f>IF(Table2[[#This Row],[Stock Gap]]&lt;0, "Yes", "No")</f>
        <v>No</v>
      </c>
      <c r="P2183" s="13" t="str">
        <f>IF(Table2[[#This Row],[CurrentStock]]&lt;Table2[[#This Row],[ReorderLevel]],"Reorder", "Okay")</f>
        <v>Okay</v>
      </c>
      <c r="Q2183" s="13" t="str">
        <f>IF(Table2[[#This Row],[CurrentStock]]&gt;Table2[[#This Row],[ReorderLevel]]*3, "Overstock", "Okay")</f>
        <v>Overstock</v>
      </c>
    </row>
    <row r="2184" spans="1:17" x14ac:dyDescent="0.35">
      <c r="A2184">
        <v>39046</v>
      </c>
      <c r="B2184" t="s">
        <v>12</v>
      </c>
      <c r="C2184" t="s">
        <v>28</v>
      </c>
      <c r="D2184">
        <v>403</v>
      </c>
      <c r="E2184">
        <v>100</v>
      </c>
      <c r="F2184" s="2">
        <v>467.28</v>
      </c>
      <c r="G2184" t="s">
        <v>34</v>
      </c>
      <c r="H2184" s="1">
        <v>45591</v>
      </c>
      <c r="I2184" s="1">
        <v>45619</v>
      </c>
      <c r="J2184" t="s">
        <v>37</v>
      </c>
      <c r="K2184" s="8">
        <f>Table2[[#This Row],[CurrentStock]]*Table2[[#This Row],[UnitPrice]]</f>
        <v>188313.84</v>
      </c>
      <c r="L2184" t="str">
        <f>IF(Table2[[#This Row],[CurrentStock]]&lt;=Table2[[#This Row],[ReorderLevel]], "Reorder Needed", "Okay")</f>
        <v>Okay</v>
      </c>
      <c r="M2184" t="str">
        <f>IF(Table2[[#This Row],[CurrentStock]]-Table2[[#This Row],[ReorderLevel]]&lt;0,Table2[[#This Row],[CurrentStock]]-Table2[[#This Row],[ReorderLevel]],"")</f>
        <v/>
      </c>
      <c r="N2184" t="str">
        <f>IF(Table2[[#This Row],[Stock Gap]]&lt;0, "Understock","Okay")</f>
        <v>Okay</v>
      </c>
      <c r="O2184" s="13" t="str">
        <f>IF(Table2[[#This Row],[Stock Gap]]&lt;0, "Yes", "No")</f>
        <v>No</v>
      </c>
      <c r="P2184" s="13" t="str">
        <f>IF(Table2[[#This Row],[CurrentStock]]&lt;Table2[[#This Row],[ReorderLevel]],"Reorder", "Okay")</f>
        <v>Okay</v>
      </c>
      <c r="Q2184" s="13" t="str">
        <f>IF(Table2[[#This Row],[CurrentStock]]&gt;Table2[[#This Row],[ReorderLevel]]*3, "Overstock", "Okay")</f>
        <v>Overstock</v>
      </c>
    </row>
    <row r="2185" spans="1:17" x14ac:dyDescent="0.35">
      <c r="A2185">
        <v>69469</v>
      </c>
      <c r="B2185" t="s">
        <v>14</v>
      </c>
      <c r="C2185" t="s">
        <v>28</v>
      </c>
      <c r="D2185">
        <v>234</v>
      </c>
      <c r="E2185">
        <v>30</v>
      </c>
      <c r="F2185" s="2">
        <v>142.94999999999999</v>
      </c>
      <c r="G2185" t="s">
        <v>34</v>
      </c>
      <c r="H2185" s="1">
        <v>45477</v>
      </c>
      <c r="I2185" s="1">
        <v>45494</v>
      </c>
      <c r="J2185" t="s">
        <v>38</v>
      </c>
      <c r="K2185" s="8">
        <f>Table2[[#This Row],[CurrentStock]]*Table2[[#This Row],[UnitPrice]]</f>
        <v>33450.299999999996</v>
      </c>
      <c r="L2185" t="str">
        <f>IF(Table2[[#This Row],[CurrentStock]]&lt;=Table2[[#This Row],[ReorderLevel]], "Reorder Needed", "Okay")</f>
        <v>Okay</v>
      </c>
      <c r="M2185" t="str">
        <f>IF(Table2[[#This Row],[CurrentStock]]-Table2[[#This Row],[ReorderLevel]]&lt;0,Table2[[#This Row],[CurrentStock]]-Table2[[#This Row],[ReorderLevel]],"")</f>
        <v/>
      </c>
      <c r="N2185" t="str">
        <f>IF(Table2[[#This Row],[Stock Gap]]&lt;0, "Understock","Okay")</f>
        <v>Okay</v>
      </c>
      <c r="O2185" s="13" t="str">
        <f>IF(Table2[[#This Row],[Stock Gap]]&lt;0, "Yes", "No")</f>
        <v>No</v>
      </c>
      <c r="P2185" s="13" t="str">
        <f>IF(Table2[[#This Row],[CurrentStock]]&lt;Table2[[#This Row],[ReorderLevel]],"Reorder", "Okay")</f>
        <v>Okay</v>
      </c>
      <c r="Q2185" s="13" t="str">
        <f>IF(Table2[[#This Row],[CurrentStock]]&gt;Table2[[#This Row],[ReorderLevel]]*3, "Overstock", "Okay")</f>
        <v>Overstock</v>
      </c>
    </row>
    <row r="2186" spans="1:17" x14ac:dyDescent="0.35">
      <c r="A2186">
        <v>18727</v>
      </c>
      <c r="B2186" t="s">
        <v>24</v>
      </c>
      <c r="C2186" t="s">
        <v>30</v>
      </c>
      <c r="D2186">
        <v>104</v>
      </c>
      <c r="E2186">
        <v>150</v>
      </c>
      <c r="F2186" s="2">
        <v>119.16</v>
      </c>
      <c r="G2186" t="s">
        <v>35</v>
      </c>
      <c r="H2186" s="1">
        <v>45502</v>
      </c>
      <c r="I2186" s="1">
        <v>45515</v>
      </c>
      <c r="J2186" t="s">
        <v>38</v>
      </c>
      <c r="K2186" s="8">
        <f>Table2[[#This Row],[CurrentStock]]*Table2[[#This Row],[UnitPrice]]</f>
        <v>12392.64</v>
      </c>
      <c r="L2186" t="str">
        <f>IF(Table2[[#This Row],[CurrentStock]]&lt;=Table2[[#This Row],[ReorderLevel]], "Reorder Needed", "Okay")</f>
        <v>Reorder Needed</v>
      </c>
      <c r="M2186" s="7">
        <f>IF(Table2[[#This Row],[CurrentStock]]-Table2[[#This Row],[ReorderLevel]]&lt;0,Table2[[#This Row],[CurrentStock]]-Table2[[#This Row],[ReorderLevel]],"")</f>
        <v>-46</v>
      </c>
      <c r="N2186" t="str">
        <f>IF(Table2[[#This Row],[Stock Gap]]&lt;0, "Understock","Okay")</f>
        <v>Understock</v>
      </c>
      <c r="O2186" s="13" t="str">
        <f>IF(Table2[[#This Row],[Stock Gap]]&lt;0, "Yes", "No")</f>
        <v>Yes</v>
      </c>
      <c r="P2186" s="13" t="str">
        <f>IF(Table2[[#This Row],[CurrentStock]]&lt;Table2[[#This Row],[ReorderLevel]],"Reorder", "Okay")</f>
        <v>Reorder</v>
      </c>
      <c r="Q2186" s="13" t="str">
        <f>IF(Table2[[#This Row],[CurrentStock]]&gt;Table2[[#This Row],[ReorderLevel]]*3, "Overstock", "Okay")</f>
        <v>Okay</v>
      </c>
    </row>
    <row r="2187" spans="1:17" x14ac:dyDescent="0.35">
      <c r="A2187">
        <v>15635</v>
      </c>
      <c r="B2187" t="s">
        <v>19</v>
      </c>
      <c r="C2187" t="s">
        <v>28</v>
      </c>
      <c r="D2187">
        <v>457</v>
      </c>
      <c r="E2187">
        <v>40</v>
      </c>
      <c r="F2187" s="2">
        <v>492.75</v>
      </c>
      <c r="G2187" t="s">
        <v>33</v>
      </c>
      <c r="H2187" s="1">
        <v>45497</v>
      </c>
      <c r="I2187" s="1">
        <v>45521</v>
      </c>
      <c r="J2187" t="s">
        <v>38</v>
      </c>
      <c r="K2187" s="8">
        <f>Table2[[#This Row],[CurrentStock]]*Table2[[#This Row],[UnitPrice]]</f>
        <v>225186.75</v>
      </c>
      <c r="L2187" t="str">
        <f>IF(Table2[[#This Row],[CurrentStock]]&lt;=Table2[[#This Row],[ReorderLevel]], "Reorder Needed", "Okay")</f>
        <v>Okay</v>
      </c>
      <c r="M2187" t="str">
        <f>IF(Table2[[#This Row],[CurrentStock]]-Table2[[#This Row],[ReorderLevel]]&lt;0,Table2[[#This Row],[CurrentStock]]-Table2[[#This Row],[ReorderLevel]],"")</f>
        <v/>
      </c>
      <c r="N2187" t="str">
        <f>IF(Table2[[#This Row],[Stock Gap]]&lt;0, "Understock","Okay")</f>
        <v>Okay</v>
      </c>
      <c r="O2187" s="13" t="str">
        <f>IF(Table2[[#This Row],[Stock Gap]]&lt;0, "Yes", "No")</f>
        <v>No</v>
      </c>
      <c r="P2187" s="13" t="str">
        <f>IF(Table2[[#This Row],[CurrentStock]]&lt;Table2[[#This Row],[ReorderLevel]],"Reorder", "Okay")</f>
        <v>Okay</v>
      </c>
      <c r="Q2187" s="13" t="str">
        <f>IF(Table2[[#This Row],[CurrentStock]]&gt;Table2[[#This Row],[ReorderLevel]]*3, "Overstock", "Okay")</f>
        <v>Overstock</v>
      </c>
    </row>
    <row r="2188" spans="1:17" x14ac:dyDescent="0.35">
      <c r="A2188">
        <v>21403</v>
      </c>
      <c r="B2188" t="s">
        <v>22</v>
      </c>
      <c r="C2188" t="s">
        <v>29</v>
      </c>
      <c r="D2188">
        <v>223</v>
      </c>
      <c r="E2188">
        <v>100</v>
      </c>
      <c r="F2188" s="2">
        <v>454.08</v>
      </c>
      <c r="G2188" t="s">
        <v>31</v>
      </c>
      <c r="H2188" s="1">
        <v>45489</v>
      </c>
      <c r="I2188" s="1">
        <v>45507</v>
      </c>
      <c r="J2188" t="s">
        <v>38</v>
      </c>
      <c r="K2188" s="8">
        <f>Table2[[#This Row],[CurrentStock]]*Table2[[#This Row],[UnitPrice]]</f>
        <v>101259.84</v>
      </c>
      <c r="L2188" t="str">
        <f>IF(Table2[[#This Row],[CurrentStock]]&lt;=Table2[[#This Row],[ReorderLevel]], "Reorder Needed", "Okay")</f>
        <v>Okay</v>
      </c>
      <c r="M2188" t="str">
        <f>IF(Table2[[#This Row],[CurrentStock]]-Table2[[#This Row],[ReorderLevel]]&lt;0,Table2[[#This Row],[CurrentStock]]-Table2[[#This Row],[ReorderLevel]],"")</f>
        <v/>
      </c>
      <c r="N2188" t="str">
        <f>IF(Table2[[#This Row],[Stock Gap]]&lt;0, "Understock","Okay")</f>
        <v>Okay</v>
      </c>
      <c r="O2188" s="13" t="str">
        <f>IF(Table2[[#This Row],[Stock Gap]]&lt;0, "Yes", "No")</f>
        <v>No</v>
      </c>
      <c r="P2188" s="13" t="str">
        <f>IF(Table2[[#This Row],[CurrentStock]]&lt;Table2[[#This Row],[ReorderLevel]],"Reorder", "Okay")</f>
        <v>Okay</v>
      </c>
      <c r="Q2188" s="13" t="str">
        <f>IF(Table2[[#This Row],[CurrentStock]]&gt;Table2[[#This Row],[ReorderLevel]]*3, "Overstock", "Okay")</f>
        <v>Okay</v>
      </c>
    </row>
    <row r="2189" spans="1:17" x14ac:dyDescent="0.35">
      <c r="A2189">
        <v>52898</v>
      </c>
      <c r="B2189" t="s">
        <v>20</v>
      </c>
      <c r="C2189" t="s">
        <v>30</v>
      </c>
      <c r="D2189">
        <v>143</v>
      </c>
      <c r="E2189">
        <v>50</v>
      </c>
      <c r="F2189" s="2">
        <v>9.7799999999999994</v>
      </c>
      <c r="G2189" t="s">
        <v>34</v>
      </c>
      <c r="H2189" s="1">
        <v>45592</v>
      </c>
      <c r="I2189" s="1">
        <v>45625</v>
      </c>
      <c r="J2189" t="s">
        <v>37</v>
      </c>
      <c r="K2189" s="8">
        <f>Table2[[#This Row],[CurrentStock]]*Table2[[#This Row],[UnitPrice]]</f>
        <v>1398.54</v>
      </c>
      <c r="L2189" t="str">
        <f>IF(Table2[[#This Row],[CurrentStock]]&lt;=Table2[[#This Row],[ReorderLevel]], "Reorder Needed", "Okay")</f>
        <v>Okay</v>
      </c>
      <c r="M2189" t="str">
        <f>IF(Table2[[#This Row],[CurrentStock]]-Table2[[#This Row],[ReorderLevel]]&lt;0,Table2[[#This Row],[CurrentStock]]-Table2[[#This Row],[ReorderLevel]],"")</f>
        <v/>
      </c>
      <c r="N2189" t="str">
        <f>IF(Table2[[#This Row],[Stock Gap]]&lt;0, "Understock","Okay")</f>
        <v>Okay</v>
      </c>
      <c r="O2189" s="13" t="str">
        <f>IF(Table2[[#This Row],[Stock Gap]]&lt;0, "Yes", "No")</f>
        <v>No</v>
      </c>
      <c r="P2189" s="13" t="str">
        <f>IF(Table2[[#This Row],[CurrentStock]]&lt;Table2[[#This Row],[ReorderLevel]],"Reorder", "Okay")</f>
        <v>Okay</v>
      </c>
      <c r="Q2189" s="13" t="str">
        <f>IF(Table2[[#This Row],[CurrentStock]]&gt;Table2[[#This Row],[ReorderLevel]]*3, "Overstock", "Okay")</f>
        <v>Okay</v>
      </c>
    </row>
    <row r="2190" spans="1:17" x14ac:dyDescent="0.35">
      <c r="A2190">
        <v>68204</v>
      </c>
      <c r="B2190" t="s">
        <v>9</v>
      </c>
      <c r="C2190" t="s">
        <v>26</v>
      </c>
      <c r="D2190">
        <v>122</v>
      </c>
      <c r="E2190">
        <v>50</v>
      </c>
      <c r="F2190" s="2">
        <v>376.29</v>
      </c>
      <c r="G2190" t="s">
        <v>32</v>
      </c>
      <c r="H2190" s="1">
        <v>45308</v>
      </c>
      <c r="I2190" s="1">
        <v>45325</v>
      </c>
      <c r="J2190" t="s">
        <v>37</v>
      </c>
      <c r="K2190" s="8">
        <f>Table2[[#This Row],[CurrentStock]]*Table2[[#This Row],[UnitPrice]]</f>
        <v>45907.380000000005</v>
      </c>
      <c r="L2190" t="str">
        <f>IF(Table2[[#This Row],[CurrentStock]]&lt;=Table2[[#This Row],[ReorderLevel]], "Reorder Needed", "Okay")</f>
        <v>Okay</v>
      </c>
      <c r="M2190" t="str">
        <f>IF(Table2[[#This Row],[CurrentStock]]-Table2[[#This Row],[ReorderLevel]]&lt;0,Table2[[#This Row],[CurrentStock]]-Table2[[#This Row],[ReorderLevel]],"")</f>
        <v/>
      </c>
      <c r="N2190" t="str">
        <f>IF(Table2[[#This Row],[Stock Gap]]&lt;0, "Understock","Okay")</f>
        <v>Okay</v>
      </c>
      <c r="O2190" s="13" t="str">
        <f>IF(Table2[[#This Row],[Stock Gap]]&lt;0, "Yes", "No")</f>
        <v>No</v>
      </c>
      <c r="P2190" s="13" t="str">
        <f>IF(Table2[[#This Row],[CurrentStock]]&lt;Table2[[#This Row],[ReorderLevel]],"Reorder", "Okay")</f>
        <v>Okay</v>
      </c>
      <c r="Q2190" s="13" t="str">
        <f>IF(Table2[[#This Row],[CurrentStock]]&gt;Table2[[#This Row],[ReorderLevel]]*3, "Overstock", "Okay")</f>
        <v>Okay</v>
      </c>
    </row>
    <row r="2191" spans="1:17" x14ac:dyDescent="0.35">
      <c r="A2191">
        <v>14334</v>
      </c>
      <c r="B2191" t="s">
        <v>17</v>
      </c>
      <c r="C2191" t="s">
        <v>27</v>
      </c>
      <c r="D2191">
        <v>36</v>
      </c>
      <c r="E2191">
        <v>150</v>
      </c>
      <c r="F2191" s="2">
        <v>283.22000000000003</v>
      </c>
      <c r="G2191" t="s">
        <v>35</v>
      </c>
      <c r="H2191" s="1">
        <v>45571</v>
      </c>
      <c r="I2191" s="1">
        <v>45589</v>
      </c>
      <c r="J2191" t="s">
        <v>36</v>
      </c>
      <c r="K2191" s="8">
        <f>Table2[[#This Row],[CurrentStock]]*Table2[[#This Row],[UnitPrice]]</f>
        <v>10195.920000000002</v>
      </c>
      <c r="L2191" t="str">
        <f>IF(Table2[[#This Row],[CurrentStock]]&lt;=Table2[[#This Row],[ReorderLevel]], "Reorder Needed", "Okay")</f>
        <v>Reorder Needed</v>
      </c>
      <c r="M2191" s="7">
        <f>IF(Table2[[#This Row],[CurrentStock]]-Table2[[#This Row],[ReorderLevel]]&lt;0,Table2[[#This Row],[CurrentStock]]-Table2[[#This Row],[ReorderLevel]],"")</f>
        <v>-114</v>
      </c>
      <c r="N2191" t="str">
        <f>IF(Table2[[#This Row],[Stock Gap]]&lt;0, "Understock","Okay")</f>
        <v>Understock</v>
      </c>
      <c r="O2191" s="13" t="str">
        <f>IF(Table2[[#This Row],[Stock Gap]]&lt;0, "Yes", "No")</f>
        <v>Yes</v>
      </c>
      <c r="P2191" s="13" t="str">
        <f>IF(Table2[[#This Row],[CurrentStock]]&lt;Table2[[#This Row],[ReorderLevel]],"Reorder", "Okay")</f>
        <v>Reorder</v>
      </c>
      <c r="Q2191" s="13" t="str">
        <f>IF(Table2[[#This Row],[CurrentStock]]&gt;Table2[[#This Row],[ReorderLevel]]*3, "Overstock", "Okay")</f>
        <v>Okay</v>
      </c>
    </row>
    <row r="2192" spans="1:17" x14ac:dyDescent="0.35">
      <c r="A2192">
        <v>70378</v>
      </c>
      <c r="B2192" t="s">
        <v>25</v>
      </c>
      <c r="C2192" t="s">
        <v>29</v>
      </c>
      <c r="D2192">
        <v>87</v>
      </c>
      <c r="E2192">
        <v>30</v>
      </c>
      <c r="F2192" s="2">
        <v>341.73</v>
      </c>
      <c r="G2192" t="s">
        <v>33</v>
      </c>
      <c r="H2192" s="1">
        <v>45479</v>
      </c>
      <c r="I2192" s="1">
        <v>45492</v>
      </c>
      <c r="J2192" t="s">
        <v>38</v>
      </c>
      <c r="K2192" s="8">
        <f>Table2[[#This Row],[CurrentStock]]*Table2[[#This Row],[UnitPrice]]</f>
        <v>29730.510000000002</v>
      </c>
      <c r="L2192" t="str">
        <f>IF(Table2[[#This Row],[CurrentStock]]&lt;=Table2[[#This Row],[ReorderLevel]], "Reorder Needed", "Okay")</f>
        <v>Okay</v>
      </c>
      <c r="M2192" t="str">
        <f>IF(Table2[[#This Row],[CurrentStock]]-Table2[[#This Row],[ReorderLevel]]&lt;0,Table2[[#This Row],[CurrentStock]]-Table2[[#This Row],[ReorderLevel]],"")</f>
        <v/>
      </c>
      <c r="N2192" t="str">
        <f>IF(Table2[[#This Row],[Stock Gap]]&lt;0, "Understock","Okay")</f>
        <v>Okay</v>
      </c>
      <c r="O2192" s="13" t="str">
        <f>IF(Table2[[#This Row],[Stock Gap]]&lt;0, "Yes", "No")</f>
        <v>No</v>
      </c>
      <c r="P2192" s="13" t="str">
        <f>IF(Table2[[#This Row],[CurrentStock]]&lt;Table2[[#This Row],[ReorderLevel]],"Reorder", "Okay")</f>
        <v>Okay</v>
      </c>
      <c r="Q2192" s="13" t="str">
        <f>IF(Table2[[#This Row],[CurrentStock]]&gt;Table2[[#This Row],[ReorderLevel]]*3, "Overstock", "Okay")</f>
        <v>Okay</v>
      </c>
    </row>
    <row r="2193" spans="1:17" x14ac:dyDescent="0.35">
      <c r="A2193">
        <v>17004</v>
      </c>
      <c r="B2193" t="s">
        <v>20</v>
      </c>
      <c r="C2193" t="s">
        <v>30</v>
      </c>
      <c r="D2193">
        <v>163</v>
      </c>
      <c r="E2193">
        <v>30</v>
      </c>
      <c r="F2193" s="2">
        <v>247.61</v>
      </c>
      <c r="G2193" t="s">
        <v>34</v>
      </c>
      <c r="H2193" s="1">
        <v>45544</v>
      </c>
      <c r="I2193" s="1">
        <v>45580</v>
      </c>
      <c r="J2193" t="s">
        <v>38</v>
      </c>
      <c r="K2193" s="8">
        <f>Table2[[#This Row],[CurrentStock]]*Table2[[#This Row],[UnitPrice]]</f>
        <v>40360.43</v>
      </c>
      <c r="L2193" t="str">
        <f>IF(Table2[[#This Row],[CurrentStock]]&lt;=Table2[[#This Row],[ReorderLevel]], "Reorder Needed", "Okay")</f>
        <v>Okay</v>
      </c>
      <c r="M2193" t="str">
        <f>IF(Table2[[#This Row],[CurrentStock]]-Table2[[#This Row],[ReorderLevel]]&lt;0,Table2[[#This Row],[CurrentStock]]-Table2[[#This Row],[ReorderLevel]],"")</f>
        <v/>
      </c>
      <c r="N2193" t="str">
        <f>IF(Table2[[#This Row],[Stock Gap]]&lt;0, "Understock","Okay")</f>
        <v>Okay</v>
      </c>
      <c r="O2193" s="13" t="str">
        <f>IF(Table2[[#This Row],[Stock Gap]]&lt;0, "Yes", "No")</f>
        <v>No</v>
      </c>
      <c r="P2193" s="13" t="str">
        <f>IF(Table2[[#This Row],[CurrentStock]]&lt;Table2[[#This Row],[ReorderLevel]],"Reorder", "Okay")</f>
        <v>Okay</v>
      </c>
      <c r="Q2193" s="13" t="str">
        <f>IF(Table2[[#This Row],[CurrentStock]]&gt;Table2[[#This Row],[ReorderLevel]]*3, "Overstock", "Okay")</f>
        <v>Overstock</v>
      </c>
    </row>
    <row r="2194" spans="1:17" x14ac:dyDescent="0.35">
      <c r="A2194">
        <v>36469</v>
      </c>
      <c r="B2194" t="s">
        <v>17</v>
      </c>
      <c r="C2194" t="s">
        <v>27</v>
      </c>
      <c r="D2194">
        <v>49</v>
      </c>
      <c r="E2194">
        <v>50</v>
      </c>
      <c r="F2194" s="2">
        <v>233.58</v>
      </c>
      <c r="G2194" t="s">
        <v>33</v>
      </c>
      <c r="H2194" s="1">
        <v>45455</v>
      </c>
      <c r="I2194" s="1">
        <v>45490</v>
      </c>
      <c r="J2194" t="s">
        <v>37</v>
      </c>
      <c r="K2194" s="8">
        <f>Table2[[#This Row],[CurrentStock]]*Table2[[#This Row],[UnitPrice]]</f>
        <v>11445.42</v>
      </c>
      <c r="L2194" t="str">
        <f>IF(Table2[[#This Row],[CurrentStock]]&lt;=Table2[[#This Row],[ReorderLevel]], "Reorder Needed", "Okay")</f>
        <v>Reorder Needed</v>
      </c>
      <c r="M2194" s="7">
        <f>IF(Table2[[#This Row],[CurrentStock]]-Table2[[#This Row],[ReorderLevel]]&lt;0,Table2[[#This Row],[CurrentStock]]-Table2[[#This Row],[ReorderLevel]],"")</f>
        <v>-1</v>
      </c>
      <c r="N2194" t="str">
        <f>IF(Table2[[#This Row],[Stock Gap]]&lt;0, "Understock","Okay")</f>
        <v>Understock</v>
      </c>
      <c r="O2194" s="13" t="str">
        <f>IF(Table2[[#This Row],[Stock Gap]]&lt;0, "Yes", "No")</f>
        <v>Yes</v>
      </c>
      <c r="P2194" s="13" t="str">
        <f>IF(Table2[[#This Row],[CurrentStock]]&lt;Table2[[#This Row],[ReorderLevel]],"Reorder", "Okay")</f>
        <v>Reorder</v>
      </c>
      <c r="Q2194" s="13" t="str">
        <f>IF(Table2[[#This Row],[CurrentStock]]&gt;Table2[[#This Row],[ReorderLevel]]*3, "Overstock", "Okay")</f>
        <v>Okay</v>
      </c>
    </row>
    <row r="2195" spans="1:17" x14ac:dyDescent="0.35">
      <c r="A2195">
        <v>48180</v>
      </c>
      <c r="B2195" t="s">
        <v>15</v>
      </c>
      <c r="C2195" t="s">
        <v>29</v>
      </c>
      <c r="D2195">
        <v>390</v>
      </c>
      <c r="E2195">
        <v>80</v>
      </c>
      <c r="F2195" s="2">
        <v>311.48</v>
      </c>
      <c r="G2195" t="s">
        <v>35</v>
      </c>
      <c r="H2195" s="1">
        <v>45425</v>
      </c>
      <c r="I2195" s="1">
        <v>45453</v>
      </c>
      <c r="J2195" t="s">
        <v>37</v>
      </c>
      <c r="K2195" s="8">
        <f>Table2[[#This Row],[CurrentStock]]*Table2[[#This Row],[UnitPrice]]</f>
        <v>121477.20000000001</v>
      </c>
      <c r="L2195" t="str">
        <f>IF(Table2[[#This Row],[CurrentStock]]&lt;=Table2[[#This Row],[ReorderLevel]], "Reorder Needed", "Okay")</f>
        <v>Okay</v>
      </c>
      <c r="M2195" t="str">
        <f>IF(Table2[[#This Row],[CurrentStock]]-Table2[[#This Row],[ReorderLevel]]&lt;0,Table2[[#This Row],[CurrentStock]]-Table2[[#This Row],[ReorderLevel]],"")</f>
        <v/>
      </c>
      <c r="N2195" t="str">
        <f>IF(Table2[[#This Row],[Stock Gap]]&lt;0, "Understock","Okay")</f>
        <v>Okay</v>
      </c>
      <c r="O2195" s="13" t="str">
        <f>IF(Table2[[#This Row],[Stock Gap]]&lt;0, "Yes", "No")</f>
        <v>No</v>
      </c>
      <c r="P2195" s="13" t="str">
        <f>IF(Table2[[#This Row],[CurrentStock]]&lt;Table2[[#This Row],[ReorderLevel]],"Reorder", "Okay")</f>
        <v>Okay</v>
      </c>
      <c r="Q2195" s="13" t="str">
        <f>IF(Table2[[#This Row],[CurrentStock]]&gt;Table2[[#This Row],[ReorderLevel]]*3, "Overstock", "Okay")</f>
        <v>Overstock</v>
      </c>
    </row>
    <row r="2196" spans="1:17" x14ac:dyDescent="0.35">
      <c r="A2196">
        <v>67752</v>
      </c>
      <c r="B2196" t="s">
        <v>10</v>
      </c>
      <c r="C2196" t="s">
        <v>26</v>
      </c>
      <c r="D2196">
        <v>357</v>
      </c>
      <c r="E2196">
        <v>80</v>
      </c>
      <c r="F2196" s="2">
        <v>12.24</v>
      </c>
      <c r="G2196" t="s">
        <v>32</v>
      </c>
      <c r="H2196" s="1">
        <v>45648</v>
      </c>
      <c r="I2196" s="1">
        <v>45684</v>
      </c>
      <c r="J2196" t="s">
        <v>37</v>
      </c>
      <c r="K2196" s="8">
        <f>Table2[[#This Row],[CurrentStock]]*Table2[[#This Row],[UnitPrice]]</f>
        <v>4369.68</v>
      </c>
      <c r="L2196" t="str">
        <f>IF(Table2[[#This Row],[CurrentStock]]&lt;=Table2[[#This Row],[ReorderLevel]], "Reorder Needed", "Okay")</f>
        <v>Okay</v>
      </c>
      <c r="M2196" t="str">
        <f>IF(Table2[[#This Row],[CurrentStock]]-Table2[[#This Row],[ReorderLevel]]&lt;0,Table2[[#This Row],[CurrentStock]]-Table2[[#This Row],[ReorderLevel]],"")</f>
        <v/>
      </c>
      <c r="N2196" t="str">
        <f>IF(Table2[[#This Row],[Stock Gap]]&lt;0, "Understock","Okay")</f>
        <v>Okay</v>
      </c>
      <c r="O2196" s="13" t="str">
        <f>IF(Table2[[#This Row],[Stock Gap]]&lt;0, "Yes", "No")</f>
        <v>No</v>
      </c>
      <c r="P2196" s="13" t="str">
        <f>IF(Table2[[#This Row],[CurrentStock]]&lt;Table2[[#This Row],[ReorderLevel]],"Reorder", "Okay")</f>
        <v>Okay</v>
      </c>
      <c r="Q2196" s="13" t="str">
        <f>IF(Table2[[#This Row],[CurrentStock]]&gt;Table2[[#This Row],[ReorderLevel]]*3, "Overstock", "Okay")</f>
        <v>Overstock</v>
      </c>
    </row>
    <row r="2197" spans="1:17" x14ac:dyDescent="0.35">
      <c r="A2197">
        <v>27986</v>
      </c>
      <c r="B2197" t="s">
        <v>18</v>
      </c>
      <c r="C2197" t="s">
        <v>27</v>
      </c>
      <c r="D2197">
        <v>172</v>
      </c>
      <c r="E2197">
        <v>40</v>
      </c>
      <c r="F2197" s="2">
        <v>166.81</v>
      </c>
      <c r="G2197" t="s">
        <v>34</v>
      </c>
      <c r="H2197" s="1">
        <v>45653</v>
      </c>
      <c r="I2197" s="1">
        <v>45683</v>
      </c>
      <c r="J2197" t="s">
        <v>36</v>
      </c>
      <c r="K2197" s="8">
        <f>Table2[[#This Row],[CurrentStock]]*Table2[[#This Row],[UnitPrice]]</f>
        <v>28691.32</v>
      </c>
      <c r="L2197" t="str">
        <f>IF(Table2[[#This Row],[CurrentStock]]&lt;=Table2[[#This Row],[ReorderLevel]], "Reorder Needed", "Okay")</f>
        <v>Okay</v>
      </c>
      <c r="M2197" t="str">
        <f>IF(Table2[[#This Row],[CurrentStock]]-Table2[[#This Row],[ReorderLevel]]&lt;0,Table2[[#This Row],[CurrentStock]]-Table2[[#This Row],[ReorderLevel]],"")</f>
        <v/>
      </c>
      <c r="N2197" t="str">
        <f>IF(Table2[[#This Row],[Stock Gap]]&lt;0, "Understock","Okay")</f>
        <v>Okay</v>
      </c>
      <c r="O2197" s="13" t="str">
        <f>IF(Table2[[#This Row],[Stock Gap]]&lt;0, "Yes", "No")</f>
        <v>No</v>
      </c>
      <c r="P2197" s="13" t="str">
        <f>IF(Table2[[#This Row],[CurrentStock]]&lt;Table2[[#This Row],[ReorderLevel]],"Reorder", "Okay")</f>
        <v>Okay</v>
      </c>
      <c r="Q2197" s="13" t="str">
        <f>IF(Table2[[#This Row],[CurrentStock]]&gt;Table2[[#This Row],[ReorderLevel]]*3, "Overstock", "Okay")</f>
        <v>Overstock</v>
      </c>
    </row>
    <row r="2198" spans="1:17" x14ac:dyDescent="0.35">
      <c r="A2198">
        <v>28802</v>
      </c>
      <c r="B2198" t="s">
        <v>25</v>
      </c>
      <c r="C2198" t="s">
        <v>29</v>
      </c>
      <c r="D2198">
        <v>81</v>
      </c>
      <c r="E2198">
        <v>20</v>
      </c>
      <c r="F2198" s="2">
        <v>193.16</v>
      </c>
      <c r="G2198" t="s">
        <v>33</v>
      </c>
      <c r="H2198" s="1">
        <v>45396</v>
      </c>
      <c r="I2198" s="1">
        <v>45434</v>
      </c>
      <c r="J2198" t="s">
        <v>37</v>
      </c>
      <c r="K2198" s="8">
        <f>Table2[[#This Row],[CurrentStock]]*Table2[[#This Row],[UnitPrice]]</f>
        <v>15645.96</v>
      </c>
      <c r="L2198" t="str">
        <f>IF(Table2[[#This Row],[CurrentStock]]&lt;=Table2[[#This Row],[ReorderLevel]], "Reorder Needed", "Okay")</f>
        <v>Okay</v>
      </c>
      <c r="M2198" t="str">
        <f>IF(Table2[[#This Row],[CurrentStock]]-Table2[[#This Row],[ReorderLevel]]&lt;0,Table2[[#This Row],[CurrentStock]]-Table2[[#This Row],[ReorderLevel]],"")</f>
        <v/>
      </c>
      <c r="N2198" t="str">
        <f>IF(Table2[[#This Row],[Stock Gap]]&lt;0, "Understock","Okay")</f>
        <v>Okay</v>
      </c>
      <c r="O2198" s="13" t="str">
        <f>IF(Table2[[#This Row],[Stock Gap]]&lt;0, "Yes", "No")</f>
        <v>No</v>
      </c>
      <c r="P2198" s="13" t="str">
        <f>IF(Table2[[#This Row],[CurrentStock]]&lt;Table2[[#This Row],[ReorderLevel]],"Reorder", "Okay")</f>
        <v>Okay</v>
      </c>
      <c r="Q2198" s="13" t="str">
        <f>IF(Table2[[#This Row],[CurrentStock]]&gt;Table2[[#This Row],[ReorderLevel]]*3, "Overstock", "Okay")</f>
        <v>Overstock</v>
      </c>
    </row>
    <row r="2199" spans="1:17" x14ac:dyDescent="0.35">
      <c r="A2199">
        <v>30337</v>
      </c>
      <c r="B2199" t="s">
        <v>25</v>
      </c>
      <c r="C2199" t="s">
        <v>29</v>
      </c>
      <c r="D2199">
        <v>482</v>
      </c>
      <c r="E2199">
        <v>30</v>
      </c>
      <c r="F2199" s="2">
        <v>144.44999999999999</v>
      </c>
      <c r="G2199" t="s">
        <v>33</v>
      </c>
      <c r="H2199" s="1">
        <v>45405</v>
      </c>
      <c r="I2199" s="1">
        <v>45415</v>
      </c>
      <c r="J2199" t="s">
        <v>36</v>
      </c>
      <c r="K2199" s="8">
        <f>Table2[[#This Row],[CurrentStock]]*Table2[[#This Row],[UnitPrice]]</f>
        <v>69624.899999999994</v>
      </c>
      <c r="L2199" t="str">
        <f>IF(Table2[[#This Row],[CurrentStock]]&lt;=Table2[[#This Row],[ReorderLevel]], "Reorder Needed", "Okay")</f>
        <v>Okay</v>
      </c>
      <c r="M2199" t="str">
        <f>IF(Table2[[#This Row],[CurrentStock]]-Table2[[#This Row],[ReorderLevel]]&lt;0,Table2[[#This Row],[CurrentStock]]-Table2[[#This Row],[ReorderLevel]],"")</f>
        <v/>
      </c>
      <c r="N2199" t="str">
        <f>IF(Table2[[#This Row],[Stock Gap]]&lt;0, "Understock","Okay")</f>
        <v>Okay</v>
      </c>
      <c r="O2199" s="13" t="str">
        <f>IF(Table2[[#This Row],[Stock Gap]]&lt;0, "Yes", "No")</f>
        <v>No</v>
      </c>
      <c r="P2199" s="13" t="str">
        <f>IF(Table2[[#This Row],[CurrentStock]]&lt;Table2[[#This Row],[ReorderLevel]],"Reorder", "Okay")</f>
        <v>Okay</v>
      </c>
      <c r="Q2199" s="13" t="str">
        <f>IF(Table2[[#This Row],[CurrentStock]]&gt;Table2[[#This Row],[ReorderLevel]]*3, "Overstock", "Okay")</f>
        <v>Overstock</v>
      </c>
    </row>
    <row r="2200" spans="1:17" x14ac:dyDescent="0.35">
      <c r="A2200">
        <v>11745</v>
      </c>
      <c r="B2200" t="s">
        <v>15</v>
      </c>
      <c r="C2200" t="s">
        <v>29</v>
      </c>
      <c r="D2200">
        <v>332</v>
      </c>
      <c r="E2200">
        <v>150</v>
      </c>
      <c r="F2200" s="2">
        <v>74.05</v>
      </c>
      <c r="G2200" t="s">
        <v>32</v>
      </c>
      <c r="H2200" s="1">
        <v>45412</v>
      </c>
      <c r="I2200" s="1">
        <v>45419</v>
      </c>
      <c r="J2200" t="s">
        <v>38</v>
      </c>
      <c r="K2200" s="8">
        <f>Table2[[#This Row],[CurrentStock]]*Table2[[#This Row],[UnitPrice]]</f>
        <v>24584.6</v>
      </c>
      <c r="L2200" t="str">
        <f>IF(Table2[[#This Row],[CurrentStock]]&lt;=Table2[[#This Row],[ReorderLevel]], "Reorder Needed", "Okay")</f>
        <v>Okay</v>
      </c>
      <c r="M2200" t="str">
        <f>IF(Table2[[#This Row],[CurrentStock]]-Table2[[#This Row],[ReorderLevel]]&lt;0,Table2[[#This Row],[CurrentStock]]-Table2[[#This Row],[ReorderLevel]],"")</f>
        <v/>
      </c>
      <c r="N2200" t="str">
        <f>IF(Table2[[#This Row],[Stock Gap]]&lt;0, "Understock","Okay")</f>
        <v>Okay</v>
      </c>
      <c r="O2200" s="13" t="str">
        <f>IF(Table2[[#This Row],[Stock Gap]]&lt;0, "Yes", "No")</f>
        <v>No</v>
      </c>
      <c r="P2200" s="13" t="str">
        <f>IF(Table2[[#This Row],[CurrentStock]]&lt;Table2[[#This Row],[ReorderLevel]],"Reorder", "Okay")</f>
        <v>Okay</v>
      </c>
      <c r="Q2200" s="13" t="str">
        <f>IF(Table2[[#This Row],[CurrentStock]]&gt;Table2[[#This Row],[ReorderLevel]]*3, "Overstock", "Okay")</f>
        <v>Okay</v>
      </c>
    </row>
    <row r="2201" spans="1:17" x14ac:dyDescent="0.35">
      <c r="A2201">
        <v>33849</v>
      </c>
      <c r="B2201" t="s">
        <v>20</v>
      </c>
      <c r="C2201" t="s">
        <v>30</v>
      </c>
      <c r="D2201">
        <v>219</v>
      </c>
      <c r="E2201">
        <v>50</v>
      </c>
      <c r="F2201" s="2">
        <v>459.61</v>
      </c>
      <c r="G2201" t="s">
        <v>32</v>
      </c>
      <c r="H2201" s="1">
        <v>45528</v>
      </c>
      <c r="I2201" s="1">
        <v>45534</v>
      </c>
      <c r="J2201" t="s">
        <v>38</v>
      </c>
      <c r="K2201" s="8">
        <f>Table2[[#This Row],[CurrentStock]]*Table2[[#This Row],[UnitPrice]]</f>
        <v>100654.59</v>
      </c>
      <c r="L2201" t="str">
        <f>IF(Table2[[#This Row],[CurrentStock]]&lt;=Table2[[#This Row],[ReorderLevel]], "Reorder Needed", "Okay")</f>
        <v>Okay</v>
      </c>
      <c r="M2201" t="str">
        <f>IF(Table2[[#This Row],[CurrentStock]]-Table2[[#This Row],[ReorderLevel]]&lt;0,Table2[[#This Row],[CurrentStock]]-Table2[[#This Row],[ReorderLevel]],"")</f>
        <v/>
      </c>
      <c r="N2201" t="str">
        <f>IF(Table2[[#This Row],[Stock Gap]]&lt;0, "Understock","Okay")</f>
        <v>Okay</v>
      </c>
      <c r="O2201" s="13" t="str">
        <f>IF(Table2[[#This Row],[Stock Gap]]&lt;0, "Yes", "No")</f>
        <v>No</v>
      </c>
      <c r="P2201" s="13" t="str">
        <f>IF(Table2[[#This Row],[CurrentStock]]&lt;Table2[[#This Row],[ReorderLevel]],"Reorder", "Okay")</f>
        <v>Okay</v>
      </c>
      <c r="Q2201" s="13" t="str">
        <f>IF(Table2[[#This Row],[CurrentStock]]&gt;Table2[[#This Row],[ReorderLevel]]*3, "Overstock", "Okay")</f>
        <v>Overstock</v>
      </c>
    </row>
    <row r="2202" spans="1:17" x14ac:dyDescent="0.35">
      <c r="A2202">
        <v>35402</v>
      </c>
      <c r="B2202" t="s">
        <v>25</v>
      </c>
      <c r="C2202" t="s">
        <v>29</v>
      </c>
      <c r="D2202">
        <v>491</v>
      </c>
      <c r="E2202">
        <v>80</v>
      </c>
      <c r="F2202" s="2">
        <v>385.27</v>
      </c>
      <c r="G2202" t="s">
        <v>32</v>
      </c>
      <c r="H2202" s="1">
        <v>45549</v>
      </c>
      <c r="I2202" s="1">
        <v>45580</v>
      </c>
      <c r="J2202" t="s">
        <v>38</v>
      </c>
      <c r="K2202" s="8">
        <f>Table2[[#This Row],[CurrentStock]]*Table2[[#This Row],[UnitPrice]]</f>
        <v>189167.56999999998</v>
      </c>
      <c r="L2202" t="str">
        <f>IF(Table2[[#This Row],[CurrentStock]]&lt;=Table2[[#This Row],[ReorderLevel]], "Reorder Needed", "Okay")</f>
        <v>Okay</v>
      </c>
      <c r="M2202" t="str">
        <f>IF(Table2[[#This Row],[CurrentStock]]-Table2[[#This Row],[ReorderLevel]]&lt;0,Table2[[#This Row],[CurrentStock]]-Table2[[#This Row],[ReorderLevel]],"")</f>
        <v/>
      </c>
      <c r="N2202" t="str">
        <f>IF(Table2[[#This Row],[Stock Gap]]&lt;0, "Understock","Okay")</f>
        <v>Okay</v>
      </c>
      <c r="O2202" s="13" t="str">
        <f>IF(Table2[[#This Row],[Stock Gap]]&lt;0, "Yes", "No")</f>
        <v>No</v>
      </c>
      <c r="P2202" s="13" t="str">
        <f>IF(Table2[[#This Row],[CurrentStock]]&lt;Table2[[#This Row],[ReorderLevel]],"Reorder", "Okay")</f>
        <v>Okay</v>
      </c>
      <c r="Q2202" s="13" t="str">
        <f>IF(Table2[[#This Row],[CurrentStock]]&gt;Table2[[#This Row],[ReorderLevel]]*3, "Overstock", "Okay")</f>
        <v>Overstock</v>
      </c>
    </row>
    <row r="2203" spans="1:17" x14ac:dyDescent="0.35">
      <c r="A2203">
        <v>42261</v>
      </c>
      <c r="B2203" t="s">
        <v>16</v>
      </c>
      <c r="C2203" t="s">
        <v>29</v>
      </c>
      <c r="D2203">
        <v>22</v>
      </c>
      <c r="E2203">
        <v>30</v>
      </c>
      <c r="F2203" s="2">
        <v>428.53</v>
      </c>
      <c r="G2203" t="s">
        <v>34</v>
      </c>
      <c r="H2203" s="1">
        <v>45456</v>
      </c>
      <c r="I2203" s="1">
        <v>45482</v>
      </c>
      <c r="J2203" t="s">
        <v>38</v>
      </c>
      <c r="K2203" s="8">
        <f>Table2[[#This Row],[CurrentStock]]*Table2[[#This Row],[UnitPrice]]</f>
        <v>9427.66</v>
      </c>
      <c r="L2203" t="str">
        <f>IF(Table2[[#This Row],[CurrentStock]]&lt;=Table2[[#This Row],[ReorderLevel]], "Reorder Needed", "Okay")</f>
        <v>Reorder Needed</v>
      </c>
      <c r="M2203" s="7">
        <f>IF(Table2[[#This Row],[CurrentStock]]-Table2[[#This Row],[ReorderLevel]]&lt;0,Table2[[#This Row],[CurrentStock]]-Table2[[#This Row],[ReorderLevel]],"")</f>
        <v>-8</v>
      </c>
      <c r="N2203" t="str">
        <f>IF(Table2[[#This Row],[Stock Gap]]&lt;0, "Understock","Okay")</f>
        <v>Understock</v>
      </c>
      <c r="O2203" s="13" t="str">
        <f>IF(Table2[[#This Row],[Stock Gap]]&lt;0, "Yes", "No")</f>
        <v>Yes</v>
      </c>
      <c r="P2203" s="13" t="str">
        <f>IF(Table2[[#This Row],[CurrentStock]]&lt;Table2[[#This Row],[ReorderLevel]],"Reorder", "Okay")</f>
        <v>Reorder</v>
      </c>
      <c r="Q2203" s="13" t="str">
        <f>IF(Table2[[#This Row],[CurrentStock]]&gt;Table2[[#This Row],[ReorderLevel]]*3, "Overstock", "Okay")</f>
        <v>Okay</v>
      </c>
    </row>
    <row r="2204" spans="1:17" x14ac:dyDescent="0.35">
      <c r="A2204">
        <v>21646</v>
      </c>
      <c r="B2204" t="s">
        <v>17</v>
      </c>
      <c r="C2204" t="s">
        <v>27</v>
      </c>
      <c r="D2204">
        <v>406</v>
      </c>
      <c r="E2204">
        <v>20</v>
      </c>
      <c r="F2204" s="2">
        <v>478.52</v>
      </c>
      <c r="G2204" t="s">
        <v>35</v>
      </c>
      <c r="H2204" s="1">
        <v>45352</v>
      </c>
      <c r="I2204" s="1">
        <v>45369</v>
      </c>
      <c r="J2204" t="s">
        <v>38</v>
      </c>
      <c r="K2204" s="8">
        <f>Table2[[#This Row],[CurrentStock]]*Table2[[#This Row],[UnitPrice]]</f>
        <v>194279.12</v>
      </c>
      <c r="L2204" t="str">
        <f>IF(Table2[[#This Row],[CurrentStock]]&lt;=Table2[[#This Row],[ReorderLevel]], "Reorder Needed", "Okay")</f>
        <v>Okay</v>
      </c>
      <c r="M2204" t="str">
        <f>IF(Table2[[#This Row],[CurrentStock]]-Table2[[#This Row],[ReorderLevel]]&lt;0,Table2[[#This Row],[CurrentStock]]-Table2[[#This Row],[ReorderLevel]],"")</f>
        <v/>
      </c>
      <c r="N2204" t="str">
        <f>IF(Table2[[#This Row],[Stock Gap]]&lt;0, "Understock","Okay")</f>
        <v>Okay</v>
      </c>
      <c r="O2204" s="13" t="str">
        <f>IF(Table2[[#This Row],[Stock Gap]]&lt;0, "Yes", "No")</f>
        <v>No</v>
      </c>
      <c r="P2204" s="13" t="str">
        <f>IF(Table2[[#This Row],[CurrentStock]]&lt;Table2[[#This Row],[ReorderLevel]],"Reorder", "Okay")</f>
        <v>Okay</v>
      </c>
      <c r="Q2204" s="13" t="str">
        <f>IF(Table2[[#This Row],[CurrentStock]]&gt;Table2[[#This Row],[ReorderLevel]]*3, "Overstock", "Okay")</f>
        <v>Overstock</v>
      </c>
    </row>
    <row r="2205" spans="1:17" x14ac:dyDescent="0.35">
      <c r="A2205">
        <v>65721</v>
      </c>
      <c r="B2205" t="s">
        <v>22</v>
      </c>
      <c r="C2205" t="s">
        <v>29</v>
      </c>
      <c r="D2205">
        <v>399</v>
      </c>
      <c r="E2205">
        <v>40</v>
      </c>
      <c r="F2205" s="2">
        <v>41.49</v>
      </c>
      <c r="G2205" t="s">
        <v>32</v>
      </c>
      <c r="H2205" s="1">
        <v>45632</v>
      </c>
      <c r="I2205" s="1">
        <v>45666</v>
      </c>
      <c r="J2205" t="s">
        <v>37</v>
      </c>
      <c r="K2205" s="8">
        <f>Table2[[#This Row],[CurrentStock]]*Table2[[#This Row],[UnitPrice]]</f>
        <v>16554.510000000002</v>
      </c>
      <c r="L2205" t="str">
        <f>IF(Table2[[#This Row],[CurrentStock]]&lt;=Table2[[#This Row],[ReorderLevel]], "Reorder Needed", "Okay")</f>
        <v>Okay</v>
      </c>
      <c r="M2205" t="str">
        <f>IF(Table2[[#This Row],[CurrentStock]]-Table2[[#This Row],[ReorderLevel]]&lt;0,Table2[[#This Row],[CurrentStock]]-Table2[[#This Row],[ReorderLevel]],"")</f>
        <v/>
      </c>
      <c r="N2205" t="str">
        <f>IF(Table2[[#This Row],[Stock Gap]]&lt;0, "Understock","Okay")</f>
        <v>Okay</v>
      </c>
      <c r="O2205" s="13" t="str">
        <f>IF(Table2[[#This Row],[Stock Gap]]&lt;0, "Yes", "No")</f>
        <v>No</v>
      </c>
      <c r="P2205" s="13" t="str">
        <f>IF(Table2[[#This Row],[CurrentStock]]&lt;Table2[[#This Row],[ReorderLevel]],"Reorder", "Okay")</f>
        <v>Okay</v>
      </c>
      <c r="Q2205" s="13" t="str">
        <f>IF(Table2[[#This Row],[CurrentStock]]&gt;Table2[[#This Row],[ReorderLevel]]*3, "Overstock", "Okay")</f>
        <v>Overstock</v>
      </c>
    </row>
    <row r="2206" spans="1:17" x14ac:dyDescent="0.35">
      <c r="A2206">
        <v>42643</v>
      </c>
      <c r="B2206" t="s">
        <v>19</v>
      </c>
      <c r="C2206" t="s">
        <v>28</v>
      </c>
      <c r="D2206">
        <v>322</v>
      </c>
      <c r="E2206">
        <v>20</v>
      </c>
      <c r="F2206" s="2">
        <v>373.81</v>
      </c>
      <c r="G2206" t="s">
        <v>32</v>
      </c>
      <c r="H2206" s="1">
        <v>45422</v>
      </c>
      <c r="I2206" s="1">
        <v>45429</v>
      </c>
      <c r="J2206" t="s">
        <v>38</v>
      </c>
      <c r="K2206" s="8">
        <f>Table2[[#This Row],[CurrentStock]]*Table2[[#This Row],[UnitPrice]]</f>
        <v>120366.82</v>
      </c>
      <c r="L2206" t="str">
        <f>IF(Table2[[#This Row],[CurrentStock]]&lt;=Table2[[#This Row],[ReorderLevel]], "Reorder Needed", "Okay")</f>
        <v>Okay</v>
      </c>
      <c r="M2206" t="str">
        <f>IF(Table2[[#This Row],[CurrentStock]]-Table2[[#This Row],[ReorderLevel]]&lt;0,Table2[[#This Row],[CurrentStock]]-Table2[[#This Row],[ReorderLevel]],"")</f>
        <v/>
      </c>
      <c r="N2206" t="str">
        <f>IF(Table2[[#This Row],[Stock Gap]]&lt;0, "Understock","Okay")</f>
        <v>Okay</v>
      </c>
      <c r="O2206" s="13" t="str">
        <f>IF(Table2[[#This Row],[Stock Gap]]&lt;0, "Yes", "No")</f>
        <v>No</v>
      </c>
      <c r="P2206" s="13" t="str">
        <f>IF(Table2[[#This Row],[CurrentStock]]&lt;Table2[[#This Row],[ReorderLevel]],"Reorder", "Okay")</f>
        <v>Okay</v>
      </c>
      <c r="Q2206" s="13" t="str">
        <f>IF(Table2[[#This Row],[CurrentStock]]&gt;Table2[[#This Row],[ReorderLevel]]*3, "Overstock", "Okay")</f>
        <v>Overstock</v>
      </c>
    </row>
    <row r="2207" spans="1:17" x14ac:dyDescent="0.35">
      <c r="A2207">
        <v>58841</v>
      </c>
      <c r="B2207" t="s">
        <v>16</v>
      </c>
      <c r="C2207" t="s">
        <v>29</v>
      </c>
      <c r="D2207">
        <v>30</v>
      </c>
      <c r="E2207">
        <v>80</v>
      </c>
      <c r="F2207" s="2">
        <v>101.46</v>
      </c>
      <c r="G2207" t="s">
        <v>33</v>
      </c>
      <c r="H2207" s="1">
        <v>45594</v>
      </c>
      <c r="I2207" s="1">
        <v>45620</v>
      </c>
      <c r="J2207" t="s">
        <v>38</v>
      </c>
      <c r="K2207" s="8">
        <f>Table2[[#This Row],[CurrentStock]]*Table2[[#This Row],[UnitPrice]]</f>
        <v>3043.7999999999997</v>
      </c>
      <c r="L2207" t="str">
        <f>IF(Table2[[#This Row],[CurrentStock]]&lt;=Table2[[#This Row],[ReorderLevel]], "Reorder Needed", "Okay")</f>
        <v>Reorder Needed</v>
      </c>
      <c r="M2207" s="7">
        <f>IF(Table2[[#This Row],[CurrentStock]]-Table2[[#This Row],[ReorderLevel]]&lt;0,Table2[[#This Row],[CurrentStock]]-Table2[[#This Row],[ReorderLevel]],"")</f>
        <v>-50</v>
      </c>
      <c r="N2207" t="str">
        <f>IF(Table2[[#This Row],[Stock Gap]]&lt;0, "Understock","Okay")</f>
        <v>Understock</v>
      </c>
      <c r="O2207" s="13" t="str">
        <f>IF(Table2[[#This Row],[Stock Gap]]&lt;0, "Yes", "No")</f>
        <v>Yes</v>
      </c>
      <c r="P2207" s="13" t="str">
        <f>IF(Table2[[#This Row],[CurrentStock]]&lt;Table2[[#This Row],[ReorderLevel]],"Reorder", "Okay")</f>
        <v>Reorder</v>
      </c>
      <c r="Q2207" s="13" t="str">
        <f>IF(Table2[[#This Row],[CurrentStock]]&gt;Table2[[#This Row],[ReorderLevel]]*3, "Overstock", "Okay")</f>
        <v>Okay</v>
      </c>
    </row>
    <row r="2208" spans="1:17" x14ac:dyDescent="0.35">
      <c r="A2208">
        <v>54383</v>
      </c>
      <c r="B2208" t="s">
        <v>18</v>
      </c>
      <c r="C2208" t="s">
        <v>27</v>
      </c>
      <c r="D2208">
        <v>45</v>
      </c>
      <c r="E2208">
        <v>20</v>
      </c>
      <c r="F2208" s="2">
        <v>198.76</v>
      </c>
      <c r="G2208" t="s">
        <v>34</v>
      </c>
      <c r="H2208" s="1">
        <v>45480</v>
      </c>
      <c r="I2208" s="1">
        <v>45485</v>
      </c>
      <c r="J2208" t="s">
        <v>36</v>
      </c>
      <c r="K2208" s="8">
        <f>Table2[[#This Row],[CurrentStock]]*Table2[[#This Row],[UnitPrice]]</f>
        <v>8944.1999999999989</v>
      </c>
      <c r="L2208" t="str">
        <f>IF(Table2[[#This Row],[CurrentStock]]&lt;=Table2[[#This Row],[ReorderLevel]], "Reorder Needed", "Okay")</f>
        <v>Okay</v>
      </c>
      <c r="M2208" t="str">
        <f>IF(Table2[[#This Row],[CurrentStock]]-Table2[[#This Row],[ReorderLevel]]&lt;0,Table2[[#This Row],[CurrentStock]]-Table2[[#This Row],[ReorderLevel]],"")</f>
        <v/>
      </c>
      <c r="N2208" t="str">
        <f>IF(Table2[[#This Row],[Stock Gap]]&lt;0, "Understock","Okay")</f>
        <v>Okay</v>
      </c>
      <c r="O2208" s="13" t="str">
        <f>IF(Table2[[#This Row],[Stock Gap]]&lt;0, "Yes", "No")</f>
        <v>No</v>
      </c>
      <c r="P2208" s="13" t="str">
        <f>IF(Table2[[#This Row],[CurrentStock]]&lt;Table2[[#This Row],[ReorderLevel]],"Reorder", "Okay")</f>
        <v>Okay</v>
      </c>
      <c r="Q2208" s="13" t="str">
        <f>IF(Table2[[#This Row],[CurrentStock]]&gt;Table2[[#This Row],[ReorderLevel]]*3, "Overstock", "Okay")</f>
        <v>Okay</v>
      </c>
    </row>
    <row r="2209" spans="1:17" x14ac:dyDescent="0.35">
      <c r="A2209">
        <v>52591</v>
      </c>
      <c r="B2209" t="s">
        <v>17</v>
      </c>
      <c r="C2209" t="s">
        <v>27</v>
      </c>
      <c r="D2209">
        <v>13</v>
      </c>
      <c r="E2209">
        <v>80</v>
      </c>
      <c r="F2209" s="2">
        <v>23.53</v>
      </c>
      <c r="G2209" t="s">
        <v>32</v>
      </c>
      <c r="H2209" s="1">
        <v>45521</v>
      </c>
      <c r="I2209" s="1">
        <v>45527</v>
      </c>
      <c r="J2209" t="s">
        <v>38</v>
      </c>
      <c r="K2209" s="8">
        <f>Table2[[#This Row],[CurrentStock]]*Table2[[#This Row],[UnitPrice]]</f>
        <v>305.89</v>
      </c>
      <c r="L2209" t="str">
        <f>IF(Table2[[#This Row],[CurrentStock]]&lt;=Table2[[#This Row],[ReorderLevel]], "Reorder Needed", "Okay")</f>
        <v>Reorder Needed</v>
      </c>
      <c r="M2209" s="7">
        <f>IF(Table2[[#This Row],[CurrentStock]]-Table2[[#This Row],[ReorderLevel]]&lt;0,Table2[[#This Row],[CurrentStock]]-Table2[[#This Row],[ReorderLevel]],"")</f>
        <v>-67</v>
      </c>
      <c r="N2209" t="str">
        <f>IF(Table2[[#This Row],[Stock Gap]]&lt;0, "Understock","Okay")</f>
        <v>Understock</v>
      </c>
      <c r="O2209" s="13" t="str">
        <f>IF(Table2[[#This Row],[Stock Gap]]&lt;0, "Yes", "No")</f>
        <v>Yes</v>
      </c>
      <c r="P2209" s="13" t="str">
        <f>IF(Table2[[#This Row],[CurrentStock]]&lt;Table2[[#This Row],[ReorderLevel]],"Reorder", "Okay")</f>
        <v>Reorder</v>
      </c>
      <c r="Q2209" s="13" t="str">
        <f>IF(Table2[[#This Row],[CurrentStock]]&gt;Table2[[#This Row],[ReorderLevel]]*3, "Overstock", "Okay")</f>
        <v>Okay</v>
      </c>
    </row>
    <row r="2210" spans="1:17" x14ac:dyDescent="0.35">
      <c r="A2210">
        <v>11431</v>
      </c>
      <c r="B2210" t="s">
        <v>18</v>
      </c>
      <c r="C2210" t="s">
        <v>27</v>
      </c>
      <c r="D2210">
        <v>465</v>
      </c>
      <c r="E2210">
        <v>30</v>
      </c>
      <c r="F2210" s="2">
        <v>352.84</v>
      </c>
      <c r="G2210" t="s">
        <v>32</v>
      </c>
      <c r="H2210" s="1">
        <v>45585</v>
      </c>
      <c r="I2210" s="1">
        <v>45592</v>
      </c>
      <c r="J2210" t="s">
        <v>37</v>
      </c>
      <c r="K2210" s="8">
        <f>Table2[[#This Row],[CurrentStock]]*Table2[[#This Row],[UnitPrice]]</f>
        <v>164070.59999999998</v>
      </c>
      <c r="L2210" t="str">
        <f>IF(Table2[[#This Row],[CurrentStock]]&lt;=Table2[[#This Row],[ReorderLevel]], "Reorder Needed", "Okay")</f>
        <v>Okay</v>
      </c>
      <c r="M2210" t="str">
        <f>IF(Table2[[#This Row],[CurrentStock]]-Table2[[#This Row],[ReorderLevel]]&lt;0,Table2[[#This Row],[CurrentStock]]-Table2[[#This Row],[ReorderLevel]],"")</f>
        <v/>
      </c>
      <c r="N2210" t="str">
        <f>IF(Table2[[#This Row],[Stock Gap]]&lt;0, "Understock","Okay")</f>
        <v>Okay</v>
      </c>
      <c r="O2210" s="13" t="str">
        <f>IF(Table2[[#This Row],[Stock Gap]]&lt;0, "Yes", "No")</f>
        <v>No</v>
      </c>
      <c r="P2210" s="13" t="str">
        <f>IF(Table2[[#This Row],[CurrentStock]]&lt;Table2[[#This Row],[ReorderLevel]],"Reorder", "Okay")</f>
        <v>Okay</v>
      </c>
      <c r="Q2210" s="13" t="str">
        <f>IF(Table2[[#This Row],[CurrentStock]]&gt;Table2[[#This Row],[ReorderLevel]]*3, "Overstock", "Okay")</f>
        <v>Overstock</v>
      </c>
    </row>
    <row r="2211" spans="1:17" x14ac:dyDescent="0.35">
      <c r="A2211">
        <v>95222</v>
      </c>
      <c r="B2211" t="s">
        <v>10</v>
      </c>
      <c r="C2211" t="s">
        <v>26</v>
      </c>
      <c r="D2211">
        <v>303</v>
      </c>
      <c r="E2211">
        <v>20</v>
      </c>
      <c r="F2211" s="2">
        <v>412.11</v>
      </c>
      <c r="G2211" t="s">
        <v>32</v>
      </c>
      <c r="H2211" s="1">
        <v>45647</v>
      </c>
      <c r="I2211" s="1">
        <v>45658</v>
      </c>
      <c r="J2211" t="s">
        <v>37</v>
      </c>
      <c r="K2211" s="8">
        <f>Table2[[#This Row],[CurrentStock]]*Table2[[#This Row],[UnitPrice]]</f>
        <v>124869.33</v>
      </c>
      <c r="L2211" t="str">
        <f>IF(Table2[[#This Row],[CurrentStock]]&lt;=Table2[[#This Row],[ReorderLevel]], "Reorder Needed", "Okay")</f>
        <v>Okay</v>
      </c>
      <c r="M2211" t="str">
        <f>IF(Table2[[#This Row],[CurrentStock]]-Table2[[#This Row],[ReorderLevel]]&lt;0,Table2[[#This Row],[CurrentStock]]-Table2[[#This Row],[ReorderLevel]],"")</f>
        <v/>
      </c>
      <c r="N2211" t="str">
        <f>IF(Table2[[#This Row],[Stock Gap]]&lt;0, "Understock","Okay")</f>
        <v>Okay</v>
      </c>
      <c r="O2211" s="13" t="str">
        <f>IF(Table2[[#This Row],[Stock Gap]]&lt;0, "Yes", "No")</f>
        <v>No</v>
      </c>
      <c r="P2211" s="13" t="str">
        <f>IF(Table2[[#This Row],[CurrentStock]]&lt;Table2[[#This Row],[ReorderLevel]],"Reorder", "Okay")</f>
        <v>Okay</v>
      </c>
      <c r="Q2211" s="13" t="str">
        <f>IF(Table2[[#This Row],[CurrentStock]]&gt;Table2[[#This Row],[ReorderLevel]]*3, "Overstock", "Okay")</f>
        <v>Overstock</v>
      </c>
    </row>
    <row r="2212" spans="1:17" x14ac:dyDescent="0.35">
      <c r="A2212">
        <v>93962</v>
      </c>
      <c r="B2212" t="s">
        <v>17</v>
      </c>
      <c r="C2212" t="s">
        <v>27</v>
      </c>
      <c r="D2212">
        <v>254</v>
      </c>
      <c r="E2212">
        <v>50</v>
      </c>
      <c r="F2212" s="2">
        <v>432.28</v>
      </c>
      <c r="G2212" t="s">
        <v>31</v>
      </c>
      <c r="H2212" s="1">
        <v>45380</v>
      </c>
      <c r="I2212" s="1">
        <v>45392</v>
      </c>
      <c r="J2212" t="s">
        <v>37</v>
      </c>
      <c r="K2212" s="8">
        <f>Table2[[#This Row],[CurrentStock]]*Table2[[#This Row],[UnitPrice]]</f>
        <v>109799.12</v>
      </c>
      <c r="L2212" t="str">
        <f>IF(Table2[[#This Row],[CurrentStock]]&lt;=Table2[[#This Row],[ReorderLevel]], "Reorder Needed", "Okay")</f>
        <v>Okay</v>
      </c>
      <c r="M2212" t="str">
        <f>IF(Table2[[#This Row],[CurrentStock]]-Table2[[#This Row],[ReorderLevel]]&lt;0,Table2[[#This Row],[CurrentStock]]-Table2[[#This Row],[ReorderLevel]],"")</f>
        <v/>
      </c>
      <c r="N2212" t="str">
        <f>IF(Table2[[#This Row],[Stock Gap]]&lt;0, "Understock","Okay")</f>
        <v>Okay</v>
      </c>
      <c r="O2212" s="13" t="str">
        <f>IF(Table2[[#This Row],[Stock Gap]]&lt;0, "Yes", "No")</f>
        <v>No</v>
      </c>
      <c r="P2212" s="13" t="str">
        <f>IF(Table2[[#This Row],[CurrentStock]]&lt;Table2[[#This Row],[ReorderLevel]],"Reorder", "Okay")</f>
        <v>Okay</v>
      </c>
      <c r="Q2212" s="13" t="str">
        <f>IF(Table2[[#This Row],[CurrentStock]]&gt;Table2[[#This Row],[ReorderLevel]]*3, "Overstock", "Okay")</f>
        <v>Overstock</v>
      </c>
    </row>
    <row r="2213" spans="1:17" x14ac:dyDescent="0.35">
      <c r="A2213">
        <v>70623</v>
      </c>
      <c r="B2213" t="s">
        <v>12</v>
      </c>
      <c r="C2213" t="s">
        <v>28</v>
      </c>
      <c r="D2213">
        <v>291</v>
      </c>
      <c r="E2213">
        <v>30</v>
      </c>
      <c r="F2213" s="2">
        <v>380</v>
      </c>
      <c r="G2213" t="s">
        <v>32</v>
      </c>
      <c r="H2213" s="1">
        <v>45329</v>
      </c>
      <c r="I2213" s="1">
        <v>45358</v>
      </c>
      <c r="J2213" t="s">
        <v>36</v>
      </c>
      <c r="K2213" s="8">
        <f>Table2[[#This Row],[CurrentStock]]*Table2[[#This Row],[UnitPrice]]</f>
        <v>110580</v>
      </c>
      <c r="L2213" t="str">
        <f>IF(Table2[[#This Row],[CurrentStock]]&lt;=Table2[[#This Row],[ReorderLevel]], "Reorder Needed", "Okay")</f>
        <v>Okay</v>
      </c>
      <c r="M2213" t="str">
        <f>IF(Table2[[#This Row],[CurrentStock]]-Table2[[#This Row],[ReorderLevel]]&lt;0,Table2[[#This Row],[CurrentStock]]-Table2[[#This Row],[ReorderLevel]],"")</f>
        <v/>
      </c>
      <c r="N2213" t="str">
        <f>IF(Table2[[#This Row],[Stock Gap]]&lt;0, "Understock","Okay")</f>
        <v>Okay</v>
      </c>
      <c r="O2213" s="13" t="str">
        <f>IF(Table2[[#This Row],[Stock Gap]]&lt;0, "Yes", "No")</f>
        <v>No</v>
      </c>
      <c r="P2213" s="13" t="str">
        <f>IF(Table2[[#This Row],[CurrentStock]]&lt;Table2[[#This Row],[ReorderLevel]],"Reorder", "Okay")</f>
        <v>Okay</v>
      </c>
      <c r="Q2213" s="13" t="str">
        <f>IF(Table2[[#This Row],[CurrentStock]]&gt;Table2[[#This Row],[ReorderLevel]]*3, "Overstock", "Okay")</f>
        <v>Overstock</v>
      </c>
    </row>
    <row r="2214" spans="1:17" x14ac:dyDescent="0.35">
      <c r="A2214">
        <v>72513</v>
      </c>
      <c r="B2214" t="s">
        <v>17</v>
      </c>
      <c r="C2214" t="s">
        <v>27</v>
      </c>
      <c r="D2214">
        <v>242</v>
      </c>
      <c r="E2214">
        <v>80</v>
      </c>
      <c r="F2214" s="2">
        <v>180.23</v>
      </c>
      <c r="G2214" t="s">
        <v>33</v>
      </c>
      <c r="H2214" s="1">
        <v>45316</v>
      </c>
      <c r="I2214" s="1">
        <v>45347</v>
      </c>
      <c r="J2214" t="s">
        <v>36</v>
      </c>
      <c r="K2214" s="8">
        <f>Table2[[#This Row],[CurrentStock]]*Table2[[#This Row],[UnitPrice]]</f>
        <v>43615.659999999996</v>
      </c>
      <c r="L2214" t="str">
        <f>IF(Table2[[#This Row],[CurrentStock]]&lt;=Table2[[#This Row],[ReorderLevel]], "Reorder Needed", "Okay")</f>
        <v>Okay</v>
      </c>
      <c r="M2214" t="str">
        <f>IF(Table2[[#This Row],[CurrentStock]]-Table2[[#This Row],[ReorderLevel]]&lt;0,Table2[[#This Row],[CurrentStock]]-Table2[[#This Row],[ReorderLevel]],"")</f>
        <v/>
      </c>
      <c r="N2214" t="str">
        <f>IF(Table2[[#This Row],[Stock Gap]]&lt;0, "Understock","Okay")</f>
        <v>Okay</v>
      </c>
      <c r="O2214" s="13" t="str">
        <f>IF(Table2[[#This Row],[Stock Gap]]&lt;0, "Yes", "No")</f>
        <v>No</v>
      </c>
      <c r="P2214" s="13" t="str">
        <f>IF(Table2[[#This Row],[CurrentStock]]&lt;Table2[[#This Row],[ReorderLevel]],"Reorder", "Okay")</f>
        <v>Okay</v>
      </c>
      <c r="Q2214" s="13" t="str">
        <f>IF(Table2[[#This Row],[CurrentStock]]&gt;Table2[[#This Row],[ReorderLevel]]*3, "Overstock", "Okay")</f>
        <v>Overstock</v>
      </c>
    </row>
    <row r="2215" spans="1:17" x14ac:dyDescent="0.35">
      <c r="A2215">
        <v>71282</v>
      </c>
      <c r="B2215" t="s">
        <v>11</v>
      </c>
      <c r="C2215" t="s">
        <v>27</v>
      </c>
      <c r="D2215">
        <v>25</v>
      </c>
      <c r="E2215">
        <v>30</v>
      </c>
      <c r="F2215" s="2">
        <v>220.59</v>
      </c>
      <c r="G2215" t="s">
        <v>32</v>
      </c>
      <c r="H2215" s="1">
        <v>45332</v>
      </c>
      <c r="I2215" s="1">
        <v>45338</v>
      </c>
      <c r="J2215" t="s">
        <v>38</v>
      </c>
      <c r="K2215" s="8">
        <f>Table2[[#This Row],[CurrentStock]]*Table2[[#This Row],[UnitPrice]]</f>
        <v>5514.75</v>
      </c>
      <c r="L2215" t="str">
        <f>IF(Table2[[#This Row],[CurrentStock]]&lt;=Table2[[#This Row],[ReorderLevel]], "Reorder Needed", "Okay")</f>
        <v>Reorder Needed</v>
      </c>
      <c r="M2215" s="7">
        <f>IF(Table2[[#This Row],[CurrentStock]]-Table2[[#This Row],[ReorderLevel]]&lt;0,Table2[[#This Row],[CurrentStock]]-Table2[[#This Row],[ReorderLevel]],"")</f>
        <v>-5</v>
      </c>
      <c r="N2215" t="str">
        <f>IF(Table2[[#This Row],[Stock Gap]]&lt;0, "Understock","Okay")</f>
        <v>Understock</v>
      </c>
      <c r="O2215" s="13" t="str">
        <f>IF(Table2[[#This Row],[Stock Gap]]&lt;0, "Yes", "No")</f>
        <v>Yes</v>
      </c>
      <c r="P2215" s="13" t="str">
        <f>IF(Table2[[#This Row],[CurrentStock]]&lt;Table2[[#This Row],[ReorderLevel]],"Reorder", "Okay")</f>
        <v>Reorder</v>
      </c>
      <c r="Q2215" s="13" t="str">
        <f>IF(Table2[[#This Row],[CurrentStock]]&gt;Table2[[#This Row],[ReorderLevel]]*3, "Overstock", "Okay")</f>
        <v>Okay</v>
      </c>
    </row>
    <row r="2216" spans="1:17" x14ac:dyDescent="0.35">
      <c r="A2216">
        <v>33178</v>
      </c>
      <c r="B2216" t="s">
        <v>13</v>
      </c>
      <c r="C2216" t="s">
        <v>26</v>
      </c>
      <c r="D2216">
        <v>370</v>
      </c>
      <c r="E2216">
        <v>50</v>
      </c>
      <c r="F2216" s="2">
        <v>112.38</v>
      </c>
      <c r="G2216" t="s">
        <v>33</v>
      </c>
      <c r="H2216" s="1">
        <v>45495</v>
      </c>
      <c r="I2216" s="1">
        <v>45501</v>
      </c>
      <c r="J2216" t="s">
        <v>36</v>
      </c>
      <c r="K2216" s="8">
        <f>Table2[[#This Row],[CurrentStock]]*Table2[[#This Row],[UnitPrice]]</f>
        <v>41580.6</v>
      </c>
      <c r="L2216" t="str">
        <f>IF(Table2[[#This Row],[CurrentStock]]&lt;=Table2[[#This Row],[ReorderLevel]], "Reorder Needed", "Okay")</f>
        <v>Okay</v>
      </c>
      <c r="M2216" t="str">
        <f>IF(Table2[[#This Row],[CurrentStock]]-Table2[[#This Row],[ReorderLevel]]&lt;0,Table2[[#This Row],[CurrentStock]]-Table2[[#This Row],[ReorderLevel]],"")</f>
        <v/>
      </c>
      <c r="N2216" t="str">
        <f>IF(Table2[[#This Row],[Stock Gap]]&lt;0, "Understock","Okay")</f>
        <v>Okay</v>
      </c>
      <c r="O2216" s="13" t="str">
        <f>IF(Table2[[#This Row],[Stock Gap]]&lt;0, "Yes", "No")</f>
        <v>No</v>
      </c>
      <c r="P2216" s="13" t="str">
        <f>IF(Table2[[#This Row],[CurrentStock]]&lt;Table2[[#This Row],[ReorderLevel]],"Reorder", "Okay")</f>
        <v>Okay</v>
      </c>
      <c r="Q2216" s="13" t="str">
        <f>IF(Table2[[#This Row],[CurrentStock]]&gt;Table2[[#This Row],[ReorderLevel]]*3, "Overstock", "Okay")</f>
        <v>Overstock</v>
      </c>
    </row>
    <row r="2217" spans="1:17" x14ac:dyDescent="0.35">
      <c r="A2217">
        <v>56475</v>
      </c>
      <c r="B2217" t="s">
        <v>12</v>
      </c>
      <c r="C2217" t="s">
        <v>28</v>
      </c>
      <c r="D2217">
        <v>375</v>
      </c>
      <c r="E2217">
        <v>100</v>
      </c>
      <c r="F2217" s="2">
        <v>210.25</v>
      </c>
      <c r="G2217" t="s">
        <v>32</v>
      </c>
      <c r="H2217" s="1">
        <v>45312</v>
      </c>
      <c r="I2217" s="1">
        <v>45325</v>
      </c>
      <c r="J2217" t="s">
        <v>37</v>
      </c>
      <c r="K2217" s="8">
        <f>Table2[[#This Row],[CurrentStock]]*Table2[[#This Row],[UnitPrice]]</f>
        <v>78843.75</v>
      </c>
      <c r="L2217" t="str">
        <f>IF(Table2[[#This Row],[CurrentStock]]&lt;=Table2[[#This Row],[ReorderLevel]], "Reorder Needed", "Okay")</f>
        <v>Okay</v>
      </c>
      <c r="M2217" t="str">
        <f>IF(Table2[[#This Row],[CurrentStock]]-Table2[[#This Row],[ReorderLevel]]&lt;0,Table2[[#This Row],[CurrentStock]]-Table2[[#This Row],[ReorderLevel]],"")</f>
        <v/>
      </c>
      <c r="N2217" t="str">
        <f>IF(Table2[[#This Row],[Stock Gap]]&lt;0, "Understock","Okay")</f>
        <v>Okay</v>
      </c>
      <c r="O2217" s="13" t="str">
        <f>IF(Table2[[#This Row],[Stock Gap]]&lt;0, "Yes", "No")</f>
        <v>No</v>
      </c>
      <c r="P2217" s="13" t="str">
        <f>IF(Table2[[#This Row],[CurrentStock]]&lt;Table2[[#This Row],[ReorderLevel]],"Reorder", "Okay")</f>
        <v>Okay</v>
      </c>
      <c r="Q2217" s="13" t="str">
        <f>IF(Table2[[#This Row],[CurrentStock]]&gt;Table2[[#This Row],[ReorderLevel]]*3, "Overstock", "Okay")</f>
        <v>Overstock</v>
      </c>
    </row>
    <row r="2218" spans="1:17" x14ac:dyDescent="0.35">
      <c r="A2218">
        <v>61932</v>
      </c>
      <c r="B2218" t="s">
        <v>25</v>
      </c>
      <c r="C2218" t="s">
        <v>29</v>
      </c>
      <c r="D2218">
        <v>68</v>
      </c>
      <c r="E2218">
        <v>150</v>
      </c>
      <c r="F2218" s="2">
        <v>419.28</v>
      </c>
      <c r="G2218" t="s">
        <v>35</v>
      </c>
      <c r="H2218" s="1">
        <v>45576</v>
      </c>
      <c r="I2218" s="1">
        <v>45598</v>
      </c>
      <c r="J2218" t="s">
        <v>38</v>
      </c>
      <c r="K2218" s="8">
        <f>Table2[[#This Row],[CurrentStock]]*Table2[[#This Row],[UnitPrice]]</f>
        <v>28511.039999999997</v>
      </c>
      <c r="L2218" t="str">
        <f>IF(Table2[[#This Row],[CurrentStock]]&lt;=Table2[[#This Row],[ReorderLevel]], "Reorder Needed", "Okay")</f>
        <v>Reorder Needed</v>
      </c>
      <c r="M2218" s="7">
        <f>IF(Table2[[#This Row],[CurrentStock]]-Table2[[#This Row],[ReorderLevel]]&lt;0,Table2[[#This Row],[CurrentStock]]-Table2[[#This Row],[ReorderLevel]],"")</f>
        <v>-82</v>
      </c>
      <c r="N2218" t="str">
        <f>IF(Table2[[#This Row],[Stock Gap]]&lt;0, "Understock","Okay")</f>
        <v>Understock</v>
      </c>
      <c r="O2218" s="13" t="str">
        <f>IF(Table2[[#This Row],[Stock Gap]]&lt;0, "Yes", "No")</f>
        <v>Yes</v>
      </c>
      <c r="P2218" s="13" t="str">
        <f>IF(Table2[[#This Row],[CurrentStock]]&lt;Table2[[#This Row],[ReorderLevel]],"Reorder", "Okay")</f>
        <v>Reorder</v>
      </c>
      <c r="Q2218" s="13" t="str">
        <f>IF(Table2[[#This Row],[CurrentStock]]&gt;Table2[[#This Row],[ReorderLevel]]*3, "Overstock", "Okay")</f>
        <v>Okay</v>
      </c>
    </row>
    <row r="2219" spans="1:17" x14ac:dyDescent="0.35">
      <c r="A2219">
        <v>30121</v>
      </c>
      <c r="B2219" t="s">
        <v>13</v>
      </c>
      <c r="C2219" t="s">
        <v>26</v>
      </c>
      <c r="D2219">
        <v>46</v>
      </c>
      <c r="E2219">
        <v>150</v>
      </c>
      <c r="F2219" s="2">
        <v>435.14</v>
      </c>
      <c r="G2219" t="s">
        <v>33</v>
      </c>
      <c r="H2219" s="1">
        <v>45537</v>
      </c>
      <c r="I2219" s="1">
        <v>45552</v>
      </c>
      <c r="J2219" t="s">
        <v>37</v>
      </c>
      <c r="K2219" s="8">
        <f>Table2[[#This Row],[CurrentStock]]*Table2[[#This Row],[UnitPrice]]</f>
        <v>20016.439999999999</v>
      </c>
      <c r="L2219" t="str">
        <f>IF(Table2[[#This Row],[CurrentStock]]&lt;=Table2[[#This Row],[ReorderLevel]], "Reorder Needed", "Okay")</f>
        <v>Reorder Needed</v>
      </c>
      <c r="M2219" s="7">
        <f>IF(Table2[[#This Row],[CurrentStock]]-Table2[[#This Row],[ReorderLevel]]&lt;0,Table2[[#This Row],[CurrentStock]]-Table2[[#This Row],[ReorderLevel]],"")</f>
        <v>-104</v>
      </c>
      <c r="N2219" t="str">
        <f>IF(Table2[[#This Row],[Stock Gap]]&lt;0, "Understock","Okay")</f>
        <v>Understock</v>
      </c>
      <c r="O2219" s="13" t="str">
        <f>IF(Table2[[#This Row],[Stock Gap]]&lt;0, "Yes", "No")</f>
        <v>Yes</v>
      </c>
      <c r="P2219" s="13" t="str">
        <f>IF(Table2[[#This Row],[CurrentStock]]&lt;Table2[[#This Row],[ReorderLevel]],"Reorder", "Okay")</f>
        <v>Reorder</v>
      </c>
      <c r="Q2219" s="13" t="str">
        <f>IF(Table2[[#This Row],[CurrentStock]]&gt;Table2[[#This Row],[ReorderLevel]]*3, "Overstock", "Okay")</f>
        <v>Okay</v>
      </c>
    </row>
    <row r="2220" spans="1:17" x14ac:dyDescent="0.35">
      <c r="A2220">
        <v>72607</v>
      </c>
      <c r="B2220" t="s">
        <v>19</v>
      </c>
      <c r="C2220" t="s">
        <v>28</v>
      </c>
      <c r="D2220">
        <v>364</v>
      </c>
      <c r="E2220">
        <v>40</v>
      </c>
      <c r="F2220" s="2">
        <v>198.37</v>
      </c>
      <c r="G2220" t="s">
        <v>33</v>
      </c>
      <c r="H2220" s="1">
        <v>45439</v>
      </c>
      <c r="I2220" s="1">
        <v>45446</v>
      </c>
      <c r="J2220" t="s">
        <v>36</v>
      </c>
      <c r="K2220" s="8">
        <f>Table2[[#This Row],[CurrentStock]]*Table2[[#This Row],[UnitPrice]]</f>
        <v>72206.680000000008</v>
      </c>
      <c r="L2220" t="str">
        <f>IF(Table2[[#This Row],[CurrentStock]]&lt;=Table2[[#This Row],[ReorderLevel]], "Reorder Needed", "Okay")</f>
        <v>Okay</v>
      </c>
      <c r="M2220" t="str">
        <f>IF(Table2[[#This Row],[CurrentStock]]-Table2[[#This Row],[ReorderLevel]]&lt;0,Table2[[#This Row],[CurrentStock]]-Table2[[#This Row],[ReorderLevel]],"")</f>
        <v/>
      </c>
      <c r="N2220" t="str">
        <f>IF(Table2[[#This Row],[Stock Gap]]&lt;0, "Understock","Okay")</f>
        <v>Okay</v>
      </c>
      <c r="O2220" s="13" t="str">
        <f>IF(Table2[[#This Row],[Stock Gap]]&lt;0, "Yes", "No")</f>
        <v>No</v>
      </c>
      <c r="P2220" s="13" t="str">
        <f>IF(Table2[[#This Row],[CurrentStock]]&lt;Table2[[#This Row],[ReorderLevel]],"Reorder", "Okay")</f>
        <v>Okay</v>
      </c>
      <c r="Q2220" s="13" t="str">
        <f>IF(Table2[[#This Row],[CurrentStock]]&gt;Table2[[#This Row],[ReorderLevel]]*3, "Overstock", "Okay")</f>
        <v>Overstock</v>
      </c>
    </row>
    <row r="2221" spans="1:17" x14ac:dyDescent="0.35">
      <c r="A2221">
        <v>37785</v>
      </c>
      <c r="B2221" t="s">
        <v>17</v>
      </c>
      <c r="C2221" t="s">
        <v>27</v>
      </c>
      <c r="D2221">
        <v>28</v>
      </c>
      <c r="E2221">
        <v>80</v>
      </c>
      <c r="F2221" s="2">
        <v>167.51</v>
      </c>
      <c r="G2221" t="s">
        <v>31</v>
      </c>
      <c r="H2221" s="1">
        <v>45651</v>
      </c>
      <c r="I2221" s="1">
        <v>45687</v>
      </c>
      <c r="J2221" t="s">
        <v>37</v>
      </c>
      <c r="K2221" s="8">
        <f>Table2[[#This Row],[CurrentStock]]*Table2[[#This Row],[UnitPrice]]</f>
        <v>4690.28</v>
      </c>
      <c r="L2221" t="str">
        <f>IF(Table2[[#This Row],[CurrentStock]]&lt;=Table2[[#This Row],[ReorderLevel]], "Reorder Needed", "Okay")</f>
        <v>Reorder Needed</v>
      </c>
      <c r="M2221" s="7">
        <f>IF(Table2[[#This Row],[CurrentStock]]-Table2[[#This Row],[ReorderLevel]]&lt;0,Table2[[#This Row],[CurrentStock]]-Table2[[#This Row],[ReorderLevel]],"")</f>
        <v>-52</v>
      </c>
      <c r="N2221" t="str">
        <f>IF(Table2[[#This Row],[Stock Gap]]&lt;0, "Understock","Okay")</f>
        <v>Understock</v>
      </c>
      <c r="O2221" s="13" t="str">
        <f>IF(Table2[[#This Row],[Stock Gap]]&lt;0, "Yes", "No")</f>
        <v>Yes</v>
      </c>
      <c r="P2221" s="13" t="str">
        <f>IF(Table2[[#This Row],[CurrentStock]]&lt;Table2[[#This Row],[ReorderLevel]],"Reorder", "Okay")</f>
        <v>Reorder</v>
      </c>
      <c r="Q2221" s="13" t="str">
        <f>IF(Table2[[#This Row],[CurrentStock]]&gt;Table2[[#This Row],[ReorderLevel]]*3, "Overstock", "Okay")</f>
        <v>Okay</v>
      </c>
    </row>
    <row r="2222" spans="1:17" x14ac:dyDescent="0.35">
      <c r="A2222">
        <v>58339</v>
      </c>
      <c r="B2222" t="s">
        <v>14</v>
      </c>
      <c r="C2222" t="s">
        <v>28</v>
      </c>
      <c r="D2222">
        <v>54</v>
      </c>
      <c r="E2222">
        <v>40</v>
      </c>
      <c r="F2222" s="2">
        <v>172.26</v>
      </c>
      <c r="G2222" t="s">
        <v>35</v>
      </c>
      <c r="H2222" s="1">
        <v>45603</v>
      </c>
      <c r="I2222" s="1">
        <v>45632</v>
      </c>
      <c r="J2222" t="s">
        <v>38</v>
      </c>
      <c r="K2222" s="8">
        <f>Table2[[#This Row],[CurrentStock]]*Table2[[#This Row],[UnitPrice]]</f>
        <v>9302.0399999999991</v>
      </c>
      <c r="L2222" t="str">
        <f>IF(Table2[[#This Row],[CurrentStock]]&lt;=Table2[[#This Row],[ReorderLevel]], "Reorder Needed", "Okay")</f>
        <v>Okay</v>
      </c>
      <c r="M2222" t="str">
        <f>IF(Table2[[#This Row],[CurrentStock]]-Table2[[#This Row],[ReorderLevel]]&lt;0,Table2[[#This Row],[CurrentStock]]-Table2[[#This Row],[ReorderLevel]],"")</f>
        <v/>
      </c>
      <c r="N2222" t="str">
        <f>IF(Table2[[#This Row],[Stock Gap]]&lt;0, "Understock","Okay")</f>
        <v>Okay</v>
      </c>
      <c r="O2222" s="13" t="str">
        <f>IF(Table2[[#This Row],[Stock Gap]]&lt;0, "Yes", "No")</f>
        <v>No</v>
      </c>
      <c r="P2222" s="13" t="str">
        <f>IF(Table2[[#This Row],[CurrentStock]]&lt;Table2[[#This Row],[ReorderLevel]],"Reorder", "Okay")</f>
        <v>Okay</v>
      </c>
      <c r="Q2222" s="13" t="str">
        <f>IF(Table2[[#This Row],[CurrentStock]]&gt;Table2[[#This Row],[ReorderLevel]]*3, "Overstock", "Okay")</f>
        <v>Okay</v>
      </c>
    </row>
    <row r="2223" spans="1:17" x14ac:dyDescent="0.35">
      <c r="A2223">
        <v>53746</v>
      </c>
      <c r="B2223" t="s">
        <v>9</v>
      </c>
      <c r="C2223" t="s">
        <v>26</v>
      </c>
      <c r="D2223">
        <v>244</v>
      </c>
      <c r="E2223">
        <v>20</v>
      </c>
      <c r="F2223" s="2">
        <v>152.05000000000001</v>
      </c>
      <c r="G2223" t="s">
        <v>33</v>
      </c>
      <c r="H2223" s="1">
        <v>45531</v>
      </c>
      <c r="I2223" s="1">
        <v>45566</v>
      </c>
      <c r="J2223" t="s">
        <v>37</v>
      </c>
      <c r="K2223" s="8">
        <f>Table2[[#This Row],[CurrentStock]]*Table2[[#This Row],[UnitPrice]]</f>
        <v>37100.200000000004</v>
      </c>
      <c r="L2223" t="str">
        <f>IF(Table2[[#This Row],[CurrentStock]]&lt;=Table2[[#This Row],[ReorderLevel]], "Reorder Needed", "Okay")</f>
        <v>Okay</v>
      </c>
      <c r="M2223" t="str">
        <f>IF(Table2[[#This Row],[CurrentStock]]-Table2[[#This Row],[ReorderLevel]]&lt;0,Table2[[#This Row],[CurrentStock]]-Table2[[#This Row],[ReorderLevel]],"")</f>
        <v/>
      </c>
      <c r="N2223" t="str">
        <f>IF(Table2[[#This Row],[Stock Gap]]&lt;0, "Understock","Okay")</f>
        <v>Okay</v>
      </c>
      <c r="O2223" s="13" t="str">
        <f>IF(Table2[[#This Row],[Stock Gap]]&lt;0, "Yes", "No")</f>
        <v>No</v>
      </c>
      <c r="P2223" s="13" t="str">
        <f>IF(Table2[[#This Row],[CurrentStock]]&lt;Table2[[#This Row],[ReorderLevel]],"Reorder", "Okay")</f>
        <v>Okay</v>
      </c>
      <c r="Q2223" s="13" t="str">
        <f>IF(Table2[[#This Row],[CurrentStock]]&gt;Table2[[#This Row],[ReorderLevel]]*3, "Overstock", "Okay")</f>
        <v>Overstock</v>
      </c>
    </row>
    <row r="2224" spans="1:17" x14ac:dyDescent="0.35">
      <c r="A2224">
        <v>28313</v>
      </c>
      <c r="B2224" t="s">
        <v>10</v>
      </c>
      <c r="C2224" t="s">
        <v>26</v>
      </c>
      <c r="D2224">
        <v>275</v>
      </c>
      <c r="E2224">
        <v>20</v>
      </c>
      <c r="F2224" s="2">
        <v>193.38</v>
      </c>
      <c r="G2224" t="s">
        <v>31</v>
      </c>
      <c r="H2224" s="1">
        <v>45381</v>
      </c>
      <c r="I2224" s="1">
        <v>45419</v>
      </c>
      <c r="J2224" t="s">
        <v>36</v>
      </c>
      <c r="K2224" s="8">
        <f>Table2[[#This Row],[CurrentStock]]*Table2[[#This Row],[UnitPrice]]</f>
        <v>53179.5</v>
      </c>
      <c r="L2224" t="str">
        <f>IF(Table2[[#This Row],[CurrentStock]]&lt;=Table2[[#This Row],[ReorderLevel]], "Reorder Needed", "Okay")</f>
        <v>Okay</v>
      </c>
      <c r="M2224" t="str">
        <f>IF(Table2[[#This Row],[CurrentStock]]-Table2[[#This Row],[ReorderLevel]]&lt;0,Table2[[#This Row],[CurrentStock]]-Table2[[#This Row],[ReorderLevel]],"")</f>
        <v/>
      </c>
      <c r="N2224" t="str">
        <f>IF(Table2[[#This Row],[Stock Gap]]&lt;0, "Understock","Okay")</f>
        <v>Okay</v>
      </c>
      <c r="O2224" s="13" t="str">
        <f>IF(Table2[[#This Row],[Stock Gap]]&lt;0, "Yes", "No")</f>
        <v>No</v>
      </c>
      <c r="P2224" s="13" t="str">
        <f>IF(Table2[[#This Row],[CurrentStock]]&lt;Table2[[#This Row],[ReorderLevel]],"Reorder", "Okay")</f>
        <v>Okay</v>
      </c>
      <c r="Q2224" s="13" t="str">
        <f>IF(Table2[[#This Row],[CurrentStock]]&gt;Table2[[#This Row],[ReorderLevel]]*3, "Overstock", "Okay")</f>
        <v>Overstock</v>
      </c>
    </row>
    <row r="2225" spans="1:17" x14ac:dyDescent="0.35">
      <c r="A2225">
        <v>39854</v>
      </c>
      <c r="B2225" t="s">
        <v>25</v>
      </c>
      <c r="C2225" t="s">
        <v>29</v>
      </c>
      <c r="D2225">
        <v>441</v>
      </c>
      <c r="E2225">
        <v>100</v>
      </c>
      <c r="F2225" s="2">
        <v>60.24</v>
      </c>
      <c r="G2225" t="s">
        <v>32</v>
      </c>
      <c r="H2225" s="1">
        <v>45590</v>
      </c>
      <c r="I2225" s="1">
        <v>45604</v>
      </c>
      <c r="J2225" t="s">
        <v>36</v>
      </c>
      <c r="K2225" s="8">
        <f>Table2[[#This Row],[CurrentStock]]*Table2[[#This Row],[UnitPrice]]</f>
        <v>26565.84</v>
      </c>
      <c r="L2225" t="str">
        <f>IF(Table2[[#This Row],[CurrentStock]]&lt;=Table2[[#This Row],[ReorderLevel]], "Reorder Needed", "Okay")</f>
        <v>Okay</v>
      </c>
      <c r="M2225" t="str">
        <f>IF(Table2[[#This Row],[CurrentStock]]-Table2[[#This Row],[ReorderLevel]]&lt;0,Table2[[#This Row],[CurrentStock]]-Table2[[#This Row],[ReorderLevel]],"")</f>
        <v/>
      </c>
      <c r="N2225" t="str">
        <f>IF(Table2[[#This Row],[Stock Gap]]&lt;0, "Understock","Okay")</f>
        <v>Okay</v>
      </c>
      <c r="O2225" s="13" t="str">
        <f>IF(Table2[[#This Row],[Stock Gap]]&lt;0, "Yes", "No")</f>
        <v>No</v>
      </c>
      <c r="P2225" s="13" t="str">
        <f>IF(Table2[[#This Row],[CurrentStock]]&lt;Table2[[#This Row],[ReorderLevel]],"Reorder", "Okay")</f>
        <v>Okay</v>
      </c>
      <c r="Q2225" s="13" t="str">
        <f>IF(Table2[[#This Row],[CurrentStock]]&gt;Table2[[#This Row],[ReorderLevel]]*3, "Overstock", "Okay")</f>
        <v>Overstock</v>
      </c>
    </row>
    <row r="2226" spans="1:17" x14ac:dyDescent="0.35">
      <c r="A2226">
        <v>22679</v>
      </c>
      <c r="B2226" t="s">
        <v>19</v>
      </c>
      <c r="C2226" t="s">
        <v>28</v>
      </c>
      <c r="D2226">
        <v>417</v>
      </c>
      <c r="E2226">
        <v>20</v>
      </c>
      <c r="F2226" s="2">
        <v>176.93</v>
      </c>
      <c r="G2226" t="s">
        <v>32</v>
      </c>
      <c r="H2226" s="1">
        <v>45486</v>
      </c>
      <c r="I2226" s="1">
        <v>45505</v>
      </c>
      <c r="J2226" t="s">
        <v>38</v>
      </c>
      <c r="K2226" s="8">
        <f>Table2[[#This Row],[CurrentStock]]*Table2[[#This Row],[UnitPrice]]</f>
        <v>73779.81</v>
      </c>
      <c r="L2226" t="str">
        <f>IF(Table2[[#This Row],[CurrentStock]]&lt;=Table2[[#This Row],[ReorderLevel]], "Reorder Needed", "Okay")</f>
        <v>Okay</v>
      </c>
      <c r="M2226" t="str">
        <f>IF(Table2[[#This Row],[CurrentStock]]-Table2[[#This Row],[ReorderLevel]]&lt;0,Table2[[#This Row],[CurrentStock]]-Table2[[#This Row],[ReorderLevel]],"")</f>
        <v/>
      </c>
      <c r="N2226" t="str">
        <f>IF(Table2[[#This Row],[Stock Gap]]&lt;0, "Understock","Okay")</f>
        <v>Okay</v>
      </c>
      <c r="O2226" s="13" t="str">
        <f>IF(Table2[[#This Row],[Stock Gap]]&lt;0, "Yes", "No")</f>
        <v>No</v>
      </c>
      <c r="P2226" s="13" t="str">
        <f>IF(Table2[[#This Row],[CurrentStock]]&lt;Table2[[#This Row],[ReorderLevel]],"Reorder", "Okay")</f>
        <v>Okay</v>
      </c>
      <c r="Q2226" s="13" t="str">
        <f>IF(Table2[[#This Row],[CurrentStock]]&gt;Table2[[#This Row],[ReorderLevel]]*3, "Overstock", "Okay")</f>
        <v>Overstock</v>
      </c>
    </row>
    <row r="2227" spans="1:17" x14ac:dyDescent="0.35">
      <c r="A2227">
        <v>22291</v>
      </c>
      <c r="B2227" t="s">
        <v>17</v>
      </c>
      <c r="C2227" t="s">
        <v>27</v>
      </c>
      <c r="D2227">
        <v>287</v>
      </c>
      <c r="E2227">
        <v>40</v>
      </c>
      <c r="F2227" s="2">
        <v>444.27</v>
      </c>
      <c r="G2227" t="s">
        <v>31</v>
      </c>
      <c r="H2227" s="1">
        <v>45396</v>
      </c>
      <c r="I2227" s="1">
        <v>45418</v>
      </c>
      <c r="J2227" t="s">
        <v>37</v>
      </c>
      <c r="K2227" s="8">
        <f>Table2[[#This Row],[CurrentStock]]*Table2[[#This Row],[UnitPrice]]</f>
        <v>127505.48999999999</v>
      </c>
      <c r="L2227" t="str">
        <f>IF(Table2[[#This Row],[CurrentStock]]&lt;=Table2[[#This Row],[ReorderLevel]], "Reorder Needed", "Okay")</f>
        <v>Okay</v>
      </c>
      <c r="M2227" t="str">
        <f>IF(Table2[[#This Row],[CurrentStock]]-Table2[[#This Row],[ReorderLevel]]&lt;0,Table2[[#This Row],[CurrentStock]]-Table2[[#This Row],[ReorderLevel]],"")</f>
        <v/>
      </c>
      <c r="N2227" t="str">
        <f>IF(Table2[[#This Row],[Stock Gap]]&lt;0, "Understock","Okay")</f>
        <v>Okay</v>
      </c>
      <c r="O2227" s="13" t="str">
        <f>IF(Table2[[#This Row],[Stock Gap]]&lt;0, "Yes", "No")</f>
        <v>No</v>
      </c>
      <c r="P2227" s="13" t="str">
        <f>IF(Table2[[#This Row],[CurrentStock]]&lt;Table2[[#This Row],[ReorderLevel]],"Reorder", "Okay")</f>
        <v>Okay</v>
      </c>
      <c r="Q2227" s="13" t="str">
        <f>IF(Table2[[#This Row],[CurrentStock]]&gt;Table2[[#This Row],[ReorderLevel]]*3, "Overstock", "Okay")</f>
        <v>Overstock</v>
      </c>
    </row>
    <row r="2228" spans="1:17" x14ac:dyDescent="0.35">
      <c r="A2228">
        <v>92797</v>
      </c>
      <c r="B2228" t="s">
        <v>19</v>
      </c>
      <c r="C2228" t="s">
        <v>28</v>
      </c>
      <c r="D2228">
        <v>133</v>
      </c>
      <c r="E2228">
        <v>80</v>
      </c>
      <c r="F2228" s="2">
        <v>130.09</v>
      </c>
      <c r="G2228" t="s">
        <v>33</v>
      </c>
      <c r="H2228" s="1">
        <v>45347</v>
      </c>
      <c r="I2228" s="1">
        <v>45376</v>
      </c>
      <c r="J2228" t="s">
        <v>37</v>
      </c>
      <c r="K2228" s="8">
        <f>Table2[[#This Row],[CurrentStock]]*Table2[[#This Row],[UnitPrice]]</f>
        <v>17301.97</v>
      </c>
      <c r="L2228" t="str">
        <f>IF(Table2[[#This Row],[CurrentStock]]&lt;=Table2[[#This Row],[ReorderLevel]], "Reorder Needed", "Okay")</f>
        <v>Okay</v>
      </c>
      <c r="M2228" t="str">
        <f>IF(Table2[[#This Row],[CurrentStock]]-Table2[[#This Row],[ReorderLevel]]&lt;0,Table2[[#This Row],[CurrentStock]]-Table2[[#This Row],[ReorderLevel]],"")</f>
        <v/>
      </c>
      <c r="N2228" t="str">
        <f>IF(Table2[[#This Row],[Stock Gap]]&lt;0, "Understock","Okay")</f>
        <v>Okay</v>
      </c>
      <c r="O2228" s="13" t="str">
        <f>IF(Table2[[#This Row],[Stock Gap]]&lt;0, "Yes", "No")</f>
        <v>No</v>
      </c>
      <c r="P2228" s="13" t="str">
        <f>IF(Table2[[#This Row],[CurrentStock]]&lt;Table2[[#This Row],[ReorderLevel]],"Reorder", "Okay")</f>
        <v>Okay</v>
      </c>
      <c r="Q2228" s="13" t="str">
        <f>IF(Table2[[#This Row],[CurrentStock]]&gt;Table2[[#This Row],[ReorderLevel]]*3, "Overstock", "Okay")</f>
        <v>Okay</v>
      </c>
    </row>
    <row r="2229" spans="1:17" x14ac:dyDescent="0.35">
      <c r="A2229">
        <v>62204</v>
      </c>
      <c r="B2229" t="s">
        <v>21</v>
      </c>
      <c r="C2229" t="s">
        <v>26</v>
      </c>
      <c r="D2229">
        <v>345</v>
      </c>
      <c r="E2229">
        <v>30</v>
      </c>
      <c r="F2229" s="2">
        <v>411.55</v>
      </c>
      <c r="G2229" t="s">
        <v>31</v>
      </c>
      <c r="H2229" s="1">
        <v>45558</v>
      </c>
      <c r="I2229" s="1">
        <v>45564</v>
      </c>
      <c r="J2229" t="s">
        <v>38</v>
      </c>
      <c r="K2229" s="8">
        <f>Table2[[#This Row],[CurrentStock]]*Table2[[#This Row],[UnitPrice]]</f>
        <v>141984.75</v>
      </c>
      <c r="L2229" t="str">
        <f>IF(Table2[[#This Row],[CurrentStock]]&lt;=Table2[[#This Row],[ReorderLevel]], "Reorder Needed", "Okay")</f>
        <v>Okay</v>
      </c>
      <c r="M2229" t="str">
        <f>IF(Table2[[#This Row],[CurrentStock]]-Table2[[#This Row],[ReorderLevel]]&lt;0,Table2[[#This Row],[CurrentStock]]-Table2[[#This Row],[ReorderLevel]],"")</f>
        <v/>
      </c>
      <c r="N2229" t="str">
        <f>IF(Table2[[#This Row],[Stock Gap]]&lt;0, "Understock","Okay")</f>
        <v>Okay</v>
      </c>
      <c r="O2229" s="13" t="str">
        <f>IF(Table2[[#This Row],[Stock Gap]]&lt;0, "Yes", "No")</f>
        <v>No</v>
      </c>
      <c r="P2229" s="13" t="str">
        <f>IF(Table2[[#This Row],[CurrentStock]]&lt;Table2[[#This Row],[ReorderLevel]],"Reorder", "Okay")</f>
        <v>Okay</v>
      </c>
      <c r="Q2229" s="13" t="str">
        <f>IF(Table2[[#This Row],[CurrentStock]]&gt;Table2[[#This Row],[ReorderLevel]]*3, "Overstock", "Okay")</f>
        <v>Overstock</v>
      </c>
    </row>
    <row r="2230" spans="1:17" x14ac:dyDescent="0.35">
      <c r="A2230">
        <v>70089</v>
      </c>
      <c r="B2230" t="s">
        <v>20</v>
      </c>
      <c r="C2230" t="s">
        <v>30</v>
      </c>
      <c r="D2230">
        <v>455</v>
      </c>
      <c r="E2230">
        <v>80</v>
      </c>
      <c r="F2230" s="2">
        <v>153.58000000000001</v>
      </c>
      <c r="G2230" t="s">
        <v>35</v>
      </c>
      <c r="H2230" s="1">
        <v>45363</v>
      </c>
      <c r="I2230" s="1">
        <v>45368</v>
      </c>
      <c r="J2230" t="s">
        <v>36</v>
      </c>
      <c r="K2230" s="8">
        <f>Table2[[#This Row],[CurrentStock]]*Table2[[#This Row],[UnitPrice]]</f>
        <v>69878.900000000009</v>
      </c>
      <c r="L2230" t="str">
        <f>IF(Table2[[#This Row],[CurrentStock]]&lt;=Table2[[#This Row],[ReorderLevel]], "Reorder Needed", "Okay")</f>
        <v>Okay</v>
      </c>
      <c r="M2230" t="str">
        <f>IF(Table2[[#This Row],[CurrentStock]]-Table2[[#This Row],[ReorderLevel]]&lt;0,Table2[[#This Row],[CurrentStock]]-Table2[[#This Row],[ReorderLevel]],"")</f>
        <v/>
      </c>
      <c r="N2230" t="str">
        <f>IF(Table2[[#This Row],[Stock Gap]]&lt;0, "Understock","Okay")</f>
        <v>Okay</v>
      </c>
      <c r="O2230" s="13" t="str">
        <f>IF(Table2[[#This Row],[Stock Gap]]&lt;0, "Yes", "No")</f>
        <v>No</v>
      </c>
      <c r="P2230" s="13" t="str">
        <f>IF(Table2[[#This Row],[CurrentStock]]&lt;Table2[[#This Row],[ReorderLevel]],"Reorder", "Okay")</f>
        <v>Okay</v>
      </c>
      <c r="Q2230" s="13" t="str">
        <f>IF(Table2[[#This Row],[CurrentStock]]&gt;Table2[[#This Row],[ReorderLevel]]*3, "Overstock", "Okay")</f>
        <v>Overstock</v>
      </c>
    </row>
    <row r="2231" spans="1:17" x14ac:dyDescent="0.35">
      <c r="A2231">
        <v>50533</v>
      </c>
      <c r="B2231" t="s">
        <v>13</v>
      </c>
      <c r="C2231" t="s">
        <v>26</v>
      </c>
      <c r="D2231">
        <v>238</v>
      </c>
      <c r="E2231">
        <v>150</v>
      </c>
      <c r="F2231" s="2">
        <v>430.76</v>
      </c>
      <c r="G2231" t="s">
        <v>31</v>
      </c>
      <c r="H2231" s="1">
        <v>45308</v>
      </c>
      <c r="I2231" s="1">
        <v>45321</v>
      </c>
      <c r="J2231" t="s">
        <v>38</v>
      </c>
      <c r="K2231" s="8">
        <f>Table2[[#This Row],[CurrentStock]]*Table2[[#This Row],[UnitPrice]]</f>
        <v>102520.88</v>
      </c>
      <c r="L2231" t="str">
        <f>IF(Table2[[#This Row],[CurrentStock]]&lt;=Table2[[#This Row],[ReorderLevel]], "Reorder Needed", "Okay")</f>
        <v>Okay</v>
      </c>
      <c r="M2231" t="str">
        <f>IF(Table2[[#This Row],[CurrentStock]]-Table2[[#This Row],[ReorderLevel]]&lt;0,Table2[[#This Row],[CurrentStock]]-Table2[[#This Row],[ReorderLevel]],"")</f>
        <v/>
      </c>
      <c r="N2231" t="str">
        <f>IF(Table2[[#This Row],[Stock Gap]]&lt;0, "Understock","Okay")</f>
        <v>Okay</v>
      </c>
      <c r="O2231" s="13" t="str">
        <f>IF(Table2[[#This Row],[Stock Gap]]&lt;0, "Yes", "No")</f>
        <v>No</v>
      </c>
      <c r="P2231" s="13" t="str">
        <f>IF(Table2[[#This Row],[CurrentStock]]&lt;Table2[[#This Row],[ReorderLevel]],"Reorder", "Okay")</f>
        <v>Okay</v>
      </c>
      <c r="Q2231" s="13" t="str">
        <f>IF(Table2[[#This Row],[CurrentStock]]&gt;Table2[[#This Row],[ReorderLevel]]*3, "Overstock", "Okay")</f>
        <v>Okay</v>
      </c>
    </row>
    <row r="2232" spans="1:17" x14ac:dyDescent="0.35">
      <c r="A2232">
        <v>83185</v>
      </c>
      <c r="B2232" t="s">
        <v>13</v>
      </c>
      <c r="C2232" t="s">
        <v>26</v>
      </c>
      <c r="D2232">
        <v>69</v>
      </c>
      <c r="E2232">
        <v>50</v>
      </c>
      <c r="F2232" s="2">
        <v>74.709999999999994</v>
      </c>
      <c r="G2232" t="s">
        <v>32</v>
      </c>
      <c r="H2232" s="1">
        <v>45328</v>
      </c>
      <c r="I2232" s="1">
        <v>45335</v>
      </c>
      <c r="J2232" t="s">
        <v>37</v>
      </c>
      <c r="K2232" s="8">
        <f>Table2[[#This Row],[CurrentStock]]*Table2[[#This Row],[UnitPrice]]</f>
        <v>5154.99</v>
      </c>
      <c r="L2232" t="str">
        <f>IF(Table2[[#This Row],[CurrentStock]]&lt;=Table2[[#This Row],[ReorderLevel]], "Reorder Needed", "Okay")</f>
        <v>Okay</v>
      </c>
      <c r="M2232" t="str">
        <f>IF(Table2[[#This Row],[CurrentStock]]-Table2[[#This Row],[ReorderLevel]]&lt;0,Table2[[#This Row],[CurrentStock]]-Table2[[#This Row],[ReorderLevel]],"")</f>
        <v/>
      </c>
      <c r="N2232" t="str">
        <f>IF(Table2[[#This Row],[Stock Gap]]&lt;0, "Understock","Okay")</f>
        <v>Okay</v>
      </c>
      <c r="O2232" s="13" t="str">
        <f>IF(Table2[[#This Row],[Stock Gap]]&lt;0, "Yes", "No")</f>
        <v>No</v>
      </c>
      <c r="P2232" s="13" t="str">
        <f>IF(Table2[[#This Row],[CurrentStock]]&lt;Table2[[#This Row],[ReorderLevel]],"Reorder", "Okay")</f>
        <v>Okay</v>
      </c>
      <c r="Q2232" s="13" t="str">
        <f>IF(Table2[[#This Row],[CurrentStock]]&gt;Table2[[#This Row],[ReorderLevel]]*3, "Overstock", "Okay")</f>
        <v>Okay</v>
      </c>
    </row>
    <row r="2233" spans="1:17" x14ac:dyDescent="0.35">
      <c r="A2233">
        <v>65427</v>
      </c>
      <c r="B2233" t="s">
        <v>11</v>
      </c>
      <c r="C2233" t="s">
        <v>27</v>
      </c>
      <c r="D2233">
        <v>42</v>
      </c>
      <c r="E2233">
        <v>80</v>
      </c>
      <c r="F2233" s="2">
        <v>27.66</v>
      </c>
      <c r="G2233" t="s">
        <v>32</v>
      </c>
      <c r="H2233" s="1">
        <v>45638</v>
      </c>
      <c r="I2233" s="1">
        <v>45674</v>
      </c>
      <c r="J2233" t="s">
        <v>37</v>
      </c>
      <c r="K2233" s="8">
        <f>Table2[[#This Row],[CurrentStock]]*Table2[[#This Row],[UnitPrice]]</f>
        <v>1161.72</v>
      </c>
      <c r="L2233" t="str">
        <f>IF(Table2[[#This Row],[CurrentStock]]&lt;=Table2[[#This Row],[ReorderLevel]], "Reorder Needed", "Okay")</f>
        <v>Reorder Needed</v>
      </c>
      <c r="M2233" s="7">
        <f>IF(Table2[[#This Row],[CurrentStock]]-Table2[[#This Row],[ReorderLevel]]&lt;0,Table2[[#This Row],[CurrentStock]]-Table2[[#This Row],[ReorderLevel]],"")</f>
        <v>-38</v>
      </c>
      <c r="N2233" t="str">
        <f>IF(Table2[[#This Row],[Stock Gap]]&lt;0, "Understock","Okay")</f>
        <v>Understock</v>
      </c>
      <c r="O2233" s="13" t="str">
        <f>IF(Table2[[#This Row],[Stock Gap]]&lt;0, "Yes", "No")</f>
        <v>Yes</v>
      </c>
      <c r="P2233" s="13" t="str">
        <f>IF(Table2[[#This Row],[CurrentStock]]&lt;Table2[[#This Row],[ReorderLevel]],"Reorder", "Okay")</f>
        <v>Reorder</v>
      </c>
      <c r="Q2233" s="13" t="str">
        <f>IF(Table2[[#This Row],[CurrentStock]]&gt;Table2[[#This Row],[ReorderLevel]]*3, "Overstock", "Okay")</f>
        <v>Okay</v>
      </c>
    </row>
    <row r="2234" spans="1:17" x14ac:dyDescent="0.35">
      <c r="A2234">
        <v>57431</v>
      </c>
      <c r="B2234" t="s">
        <v>17</v>
      </c>
      <c r="C2234" t="s">
        <v>27</v>
      </c>
      <c r="D2234">
        <v>0</v>
      </c>
      <c r="E2234">
        <v>50</v>
      </c>
      <c r="F2234" s="2">
        <v>78.599999999999994</v>
      </c>
      <c r="G2234" t="s">
        <v>33</v>
      </c>
      <c r="H2234" s="1">
        <v>45416</v>
      </c>
      <c r="I2234" s="1">
        <v>45427</v>
      </c>
      <c r="J2234" t="s">
        <v>36</v>
      </c>
      <c r="K2234" s="8">
        <f>Table2[[#This Row],[CurrentStock]]*Table2[[#This Row],[UnitPrice]]</f>
        <v>0</v>
      </c>
      <c r="L2234" t="str">
        <f>IF(Table2[[#This Row],[CurrentStock]]&lt;=Table2[[#This Row],[ReorderLevel]], "Reorder Needed", "Okay")</f>
        <v>Reorder Needed</v>
      </c>
      <c r="M2234" s="7">
        <f>IF(Table2[[#This Row],[CurrentStock]]-Table2[[#This Row],[ReorderLevel]]&lt;0,Table2[[#This Row],[CurrentStock]]-Table2[[#This Row],[ReorderLevel]],"")</f>
        <v>-50</v>
      </c>
      <c r="N2234" t="str">
        <f>IF(Table2[[#This Row],[Stock Gap]]&lt;0, "Understock","Okay")</f>
        <v>Understock</v>
      </c>
      <c r="O2234" s="13" t="str">
        <f>IF(Table2[[#This Row],[Stock Gap]]&lt;0, "Yes", "No")</f>
        <v>Yes</v>
      </c>
      <c r="P2234" s="13" t="str">
        <f>IF(Table2[[#This Row],[CurrentStock]]&lt;Table2[[#This Row],[ReorderLevel]],"Reorder", "Okay")</f>
        <v>Reorder</v>
      </c>
      <c r="Q2234" s="13" t="str">
        <f>IF(Table2[[#This Row],[CurrentStock]]&gt;Table2[[#This Row],[ReorderLevel]]*3, "Overstock", "Okay")</f>
        <v>Okay</v>
      </c>
    </row>
    <row r="2235" spans="1:17" x14ac:dyDescent="0.35">
      <c r="A2235">
        <v>20296</v>
      </c>
      <c r="B2235" t="s">
        <v>23</v>
      </c>
      <c r="C2235" t="s">
        <v>30</v>
      </c>
      <c r="D2235">
        <v>41</v>
      </c>
      <c r="E2235">
        <v>40</v>
      </c>
      <c r="F2235" s="2">
        <v>119.33</v>
      </c>
      <c r="G2235" t="s">
        <v>31</v>
      </c>
      <c r="H2235" s="1">
        <v>45332</v>
      </c>
      <c r="I2235" s="1">
        <v>45357</v>
      </c>
      <c r="J2235" t="s">
        <v>38</v>
      </c>
      <c r="K2235" s="8">
        <f>Table2[[#This Row],[CurrentStock]]*Table2[[#This Row],[UnitPrice]]</f>
        <v>4892.53</v>
      </c>
      <c r="L2235" t="str">
        <f>IF(Table2[[#This Row],[CurrentStock]]&lt;=Table2[[#This Row],[ReorderLevel]], "Reorder Needed", "Okay")</f>
        <v>Okay</v>
      </c>
      <c r="M2235" t="str">
        <f>IF(Table2[[#This Row],[CurrentStock]]-Table2[[#This Row],[ReorderLevel]]&lt;0,Table2[[#This Row],[CurrentStock]]-Table2[[#This Row],[ReorderLevel]],"")</f>
        <v/>
      </c>
      <c r="N2235" t="str">
        <f>IF(Table2[[#This Row],[Stock Gap]]&lt;0, "Understock","Okay")</f>
        <v>Okay</v>
      </c>
      <c r="O2235" s="13" t="str">
        <f>IF(Table2[[#This Row],[Stock Gap]]&lt;0, "Yes", "No")</f>
        <v>No</v>
      </c>
      <c r="P2235" s="13" t="str">
        <f>IF(Table2[[#This Row],[CurrentStock]]&lt;Table2[[#This Row],[ReorderLevel]],"Reorder", "Okay")</f>
        <v>Okay</v>
      </c>
      <c r="Q2235" s="13" t="str">
        <f>IF(Table2[[#This Row],[CurrentStock]]&gt;Table2[[#This Row],[ReorderLevel]]*3, "Overstock", "Okay")</f>
        <v>Okay</v>
      </c>
    </row>
    <row r="2236" spans="1:17" x14ac:dyDescent="0.35">
      <c r="A2236">
        <v>13796</v>
      </c>
      <c r="B2236" t="s">
        <v>10</v>
      </c>
      <c r="C2236" t="s">
        <v>26</v>
      </c>
      <c r="D2236">
        <v>51</v>
      </c>
      <c r="E2236">
        <v>100</v>
      </c>
      <c r="F2236" s="2">
        <v>490.39</v>
      </c>
      <c r="G2236" t="s">
        <v>34</v>
      </c>
      <c r="H2236" s="1">
        <v>45634</v>
      </c>
      <c r="I2236" s="1">
        <v>45643</v>
      </c>
      <c r="J2236" t="s">
        <v>36</v>
      </c>
      <c r="K2236" s="8">
        <f>Table2[[#This Row],[CurrentStock]]*Table2[[#This Row],[UnitPrice]]</f>
        <v>25009.89</v>
      </c>
      <c r="L2236" t="str">
        <f>IF(Table2[[#This Row],[CurrentStock]]&lt;=Table2[[#This Row],[ReorderLevel]], "Reorder Needed", "Okay")</f>
        <v>Reorder Needed</v>
      </c>
      <c r="M2236" s="7">
        <f>IF(Table2[[#This Row],[CurrentStock]]-Table2[[#This Row],[ReorderLevel]]&lt;0,Table2[[#This Row],[CurrentStock]]-Table2[[#This Row],[ReorderLevel]],"")</f>
        <v>-49</v>
      </c>
      <c r="N2236" t="str">
        <f>IF(Table2[[#This Row],[Stock Gap]]&lt;0, "Understock","Okay")</f>
        <v>Understock</v>
      </c>
      <c r="O2236" s="13" t="str">
        <f>IF(Table2[[#This Row],[Stock Gap]]&lt;0, "Yes", "No")</f>
        <v>Yes</v>
      </c>
      <c r="P2236" s="13" t="str">
        <f>IF(Table2[[#This Row],[CurrentStock]]&lt;Table2[[#This Row],[ReorderLevel]],"Reorder", "Okay")</f>
        <v>Reorder</v>
      </c>
      <c r="Q2236" s="13" t="str">
        <f>IF(Table2[[#This Row],[CurrentStock]]&gt;Table2[[#This Row],[ReorderLevel]]*3, "Overstock", "Okay")</f>
        <v>Okay</v>
      </c>
    </row>
    <row r="2237" spans="1:17" x14ac:dyDescent="0.35">
      <c r="A2237">
        <v>95017</v>
      </c>
      <c r="B2237" t="s">
        <v>11</v>
      </c>
      <c r="C2237" t="s">
        <v>27</v>
      </c>
      <c r="D2237">
        <v>204</v>
      </c>
      <c r="E2237">
        <v>20</v>
      </c>
      <c r="F2237" s="2">
        <v>476.77</v>
      </c>
      <c r="G2237" t="s">
        <v>33</v>
      </c>
      <c r="H2237" s="1">
        <v>45509</v>
      </c>
      <c r="I2237" s="1">
        <v>45532</v>
      </c>
      <c r="J2237" t="s">
        <v>37</v>
      </c>
      <c r="K2237" s="8">
        <f>Table2[[#This Row],[CurrentStock]]*Table2[[#This Row],[UnitPrice]]</f>
        <v>97261.08</v>
      </c>
      <c r="L2237" t="str">
        <f>IF(Table2[[#This Row],[CurrentStock]]&lt;=Table2[[#This Row],[ReorderLevel]], "Reorder Needed", "Okay")</f>
        <v>Okay</v>
      </c>
      <c r="M2237" t="str">
        <f>IF(Table2[[#This Row],[CurrentStock]]-Table2[[#This Row],[ReorderLevel]]&lt;0,Table2[[#This Row],[CurrentStock]]-Table2[[#This Row],[ReorderLevel]],"")</f>
        <v/>
      </c>
      <c r="N2237" t="str">
        <f>IF(Table2[[#This Row],[Stock Gap]]&lt;0, "Understock","Okay")</f>
        <v>Okay</v>
      </c>
      <c r="O2237" s="13" t="str">
        <f>IF(Table2[[#This Row],[Stock Gap]]&lt;0, "Yes", "No")</f>
        <v>No</v>
      </c>
      <c r="P2237" s="13" t="str">
        <f>IF(Table2[[#This Row],[CurrentStock]]&lt;Table2[[#This Row],[ReorderLevel]],"Reorder", "Okay")</f>
        <v>Okay</v>
      </c>
      <c r="Q2237" s="13" t="str">
        <f>IF(Table2[[#This Row],[CurrentStock]]&gt;Table2[[#This Row],[ReorderLevel]]*3, "Overstock", "Okay")</f>
        <v>Overstock</v>
      </c>
    </row>
    <row r="2238" spans="1:17" x14ac:dyDescent="0.35">
      <c r="A2238">
        <v>89941</v>
      </c>
      <c r="B2238" t="s">
        <v>20</v>
      </c>
      <c r="C2238" t="s">
        <v>30</v>
      </c>
      <c r="D2238">
        <v>149</v>
      </c>
      <c r="E2238">
        <v>150</v>
      </c>
      <c r="F2238" s="2">
        <v>306.12</v>
      </c>
      <c r="G2238" t="s">
        <v>34</v>
      </c>
      <c r="H2238" s="1">
        <v>45329</v>
      </c>
      <c r="I2238" s="1">
        <v>45353</v>
      </c>
      <c r="J2238" t="s">
        <v>37</v>
      </c>
      <c r="K2238" s="8">
        <f>Table2[[#This Row],[CurrentStock]]*Table2[[#This Row],[UnitPrice]]</f>
        <v>45611.88</v>
      </c>
      <c r="L2238" t="str">
        <f>IF(Table2[[#This Row],[CurrentStock]]&lt;=Table2[[#This Row],[ReorderLevel]], "Reorder Needed", "Okay")</f>
        <v>Reorder Needed</v>
      </c>
      <c r="M2238" s="7">
        <f>IF(Table2[[#This Row],[CurrentStock]]-Table2[[#This Row],[ReorderLevel]]&lt;0,Table2[[#This Row],[CurrentStock]]-Table2[[#This Row],[ReorderLevel]],"")</f>
        <v>-1</v>
      </c>
      <c r="N2238" t="str">
        <f>IF(Table2[[#This Row],[Stock Gap]]&lt;0, "Understock","Okay")</f>
        <v>Understock</v>
      </c>
      <c r="O2238" s="13" t="str">
        <f>IF(Table2[[#This Row],[Stock Gap]]&lt;0, "Yes", "No")</f>
        <v>Yes</v>
      </c>
      <c r="P2238" s="13" t="str">
        <f>IF(Table2[[#This Row],[CurrentStock]]&lt;Table2[[#This Row],[ReorderLevel]],"Reorder", "Okay")</f>
        <v>Reorder</v>
      </c>
      <c r="Q2238" s="13" t="str">
        <f>IF(Table2[[#This Row],[CurrentStock]]&gt;Table2[[#This Row],[ReorderLevel]]*3, "Overstock", "Okay")</f>
        <v>Okay</v>
      </c>
    </row>
    <row r="2239" spans="1:17" x14ac:dyDescent="0.35">
      <c r="A2239">
        <v>47372</v>
      </c>
      <c r="B2239" t="s">
        <v>20</v>
      </c>
      <c r="C2239" t="s">
        <v>30</v>
      </c>
      <c r="D2239">
        <v>411</v>
      </c>
      <c r="E2239">
        <v>80</v>
      </c>
      <c r="F2239" s="2">
        <v>481.15</v>
      </c>
      <c r="G2239" t="s">
        <v>34</v>
      </c>
      <c r="H2239" s="1">
        <v>45565</v>
      </c>
      <c r="I2239" s="1">
        <v>45584</v>
      </c>
      <c r="J2239" t="s">
        <v>36</v>
      </c>
      <c r="K2239" s="8">
        <f>Table2[[#This Row],[CurrentStock]]*Table2[[#This Row],[UnitPrice]]</f>
        <v>197752.65</v>
      </c>
      <c r="L2239" t="str">
        <f>IF(Table2[[#This Row],[CurrentStock]]&lt;=Table2[[#This Row],[ReorderLevel]], "Reorder Needed", "Okay")</f>
        <v>Okay</v>
      </c>
      <c r="M2239" t="str">
        <f>IF(Table2[[#This Row],[CurrentStock]]-Table2[[#This Row],[ReorderLevel]]&lt;0,Table2[[#This Row],[CurrentStock]]-Table2[[#This Row],[ReorderLevel]],"")</f>
        <v/>
      </c>
      <c r="N2239" t="str">
        <f>IF(Table2[[#This Row],[Stock Gap]]&lt;0, "Understock","Okay")</f>
        <v>Okay</v>
      </c>
      <c r="O2239" s="13" t="str">
        <f>IF(Table2[[#This Row],[Stock Gap]]&lt;0, "Yes", "No")</f>
        <v>No</v>
      </c>
      <c r="P2239" s="13" t="str">
        <f>IF(Table2[[#This Row],[CurrentStock]]&lt;Table2[[#This Row],[ReorderLevel]],"Reorder", "Okay")</f>
        <v>Okay</v>
      </c>
      <c r="Q2239" s="13" t="str">
        <f>IF(Table2[[#This Row],[CurrentStock]]&gt;Table2[[#This Row],[ReorderLevel]]*3, "Overstock", "Okay")</f>
        <v>Overstock</v>
      </c>
    </row>
    <row r="2240" spans="1:17" x14ac:dyDescent="0.35">
      <c r="A2240">
        <v>78348</v>
      </c>
      <c r="B2240" t="s">
        <v>16</v>
      </c>
      <c r="C2240" t="s">
        <v>29</v>
      </c>
      <c r="D2240">
        <v>85</v>
      </c>
      <c r="E2240">
        <v>100</v>
      </c>
      <c r="F2240" s="2">
        <v>190.46</v>
      </c>
      <c r="G2240" t="s">
        <v>35</v>
      </c>
      <c r="H2240" s="1">
        <v>45306</v>
      </c>
      <c r="I2240" s="1">
        <v>45327</v>
      </c>
      <c r="J2240" t="s">
        <v>37</v>
      </c>
      <c r="K2240" s="8">
        <f>Table2[[#This Row],[CurrentStock]]*Table2[[#This Row],[UnitPrice]]</f>
        <v>16189.1</v>
      </c>
      <c r="L2240" t="str">
        <f>IF(Table2[[#This Row],[CurrentStock]]&lt;=Table2[[#This Row],[ReorderLevel]], "Reorder Needed", "Okay")</f>
        <v>Reorder Needed</v>
      </c>
      <c r="M2240" s="7">
        <f>IF(Table2[[#This Row],[CurrentStock]]-Table2[[#This Row],[ReorderLevel]]&lt;0,Table2[[#This Row],[CurrentStock]]-Table2[[#This Row],[ReorderLevel]],"")</f>
        <v>-15</v>
      </c>
      <c r="N2240" t="str">
        <f>IF(Table2[[#This Row],[Stock Gap]]&lt;0, "Understock","Okay")</f>
        <v>Understock</v>
      </c>
      <c r="O2240" s="13" t="str">
        <f>IF(Table2[[#This Row],[Stock Gap]]&lt;0, "Yes", "No")</f>
        <v>Yes</v>
      </c>
      <c r="P2240" s="13" t="str">
        <f>IF(Table2[[#This Row],[CurrentStock]]&lt;Table2[[#This Row],[ReorderLevel]],"Reorder", "Okay")</f>
        <v>Reorder</v>
      </c>
      <c r="Q2240" s="13" t="str">
        <f>IF(Table2[[#This Row],[CurrentStock]]&gt;Table2[[#This Row],[ReorderLevel]]*3, "Overstock", "Okay")</f>
        <v>Okay</v>
      </c>
    </row>
    <row r="2241" spans="1:17" x14ac:dyDescent="0.35">
      <c r="A2241">
        <v>99795</v>
      </c>
      <c r="B2241" t="s">
        <v>24</v>
      </c>
      <c r="C2241" t="s">
        <v>30</v>
      </c>
      <c r="D2241">
        <v>213</v>
      </c>
      <c r="E2241">
        <v>80</v>
      </c>
      <c r="F2241" s="2">
        <v>52.96</v>
      </c>
      <c r="G2241" t="s">
        <v>34</v>
      </c>
      <c r="H2241" s="1">
        <v>45373</v>
      </c>
      <c r="I2241" s="1">
        <v>45394</v>
      </c>
      <c r="J2241" t="s">
        <v>36</v>
      </c>
      <c r="K2241" s="8">
        <f>Table2[[#This Row],[CurrentStock]]*Table2[[#This Row],[UnitPrice]]</f>
        <v>11280.48</v>
      </c>
      <c r="L2241" t="str">
        <f>IF(Table2[[#This Row],[CurrentStock]]&lt;=Table2[[#This Row],[ReorderLevel]], "Reorder Needed", "Okay")</f>
        <v>Okay</v>
      </c>
      <c r="M2241" t="str">
        <f>IF(Table2[[#This Row],[CurrentStock]]-Table2[[#This Row],[ReorderLevel]]&lt;0,Table2[[#This Row],[CurrentStock]]-Table2[[#This Row],[ReorderLevel]],"")</f>
        <v/>
      </c>
      <c r="N2241" t="str">
        <f>IF(Table2[[#This Row],[Stock Gap]]&lt;0, "Understock","Okay")</f>
        <v>Okay</v>
      </c>
      <c r="O2241" s="13" t="str">
        <f>IF(Table2[[#This Row],[Stock Gap]]&lt;0, "Yes", "No")</f>
        <v>No</v>
      </c>
      <c r="P2241" s="13" t="str">
        <f>IF(Table2[[#This Row],[CurrentStock]]&lt;Table2[[#This Row],[ReorderLevel]],"Reorder", "Okay")</f>
        <v>Okay</v>
      </c>
      <c r="Q2241" s="13" t="str">
        <f>IF(Table2[[#This Row],[CurrentStock]]&gt;Table2[[#This Row],[ReorderLevel]]*3, "Overstock", "Okay")</f>
        <v>Okay</v>
      </c>
    </row>
    <row r="2242" spans="1:17" x14ac:dyDescent="0.35">
      <c r="A2242">
        <v>70659</v>
      </c>
      <c r="B2242" t="s">
        <v>19</v>
      </c>
      <c r="C2242" t="s">
        <v>28</v>
      </c>
      <c r="D2242">
        <v>210</v>
      </c>
      <c r="E2242">
        <v>40</v>
      </c>
      <c r="F2242" s="2">
        <v>222.4</v>
      </c>
      <c r="G2242" t="s">
        <v>34</v>
      </c>
      <c r="H2242" s="1">
        <v>45386</v>
      </c>
      <c r="I2242" s="1">
        <v>45422</v>
      </c>
      <c r="J2242" t="s">
        <v>37</v>
      </c>
      <c r="K2242" s="8">
        <f>Table2[[#This Row],[CurrentStock]]*Table2[[#This Row],[UnitPrice]]</f>
        <v>46704</v>
      </c>
      <c r="L2242" t="str">
        <f>IF(Table2[[#This Row],[CurrentStock]]&lt;=Table2[[#This Row],[ReorderLevel]], "Reorder Needed", "Okay")</f>
        <v>Okay</v>
      </c>
      <c r="M2242" t="str">
        <f>IF(Table2[[#This Row],[CurrentStock]]-Table2[[#This Row],[ReorderLevel]]&lt;0,Table2[[#This Row],[CurrentStock]]-Table2[[#This Row],[ReorderLevel]],"")</f>
        <v/>
      </c>
      <c r="N2242" t="str">
        <f>IF(Table2[[#This Row],[Stock Gap]]&lt;0, "Understock","Okay")</f>
        <v>Okay</v>
      </c>
      <c r="O2242" s="13" t="str">
        <f>IF(Table2[[#This Row],[Stock Gap]]&lt;0, "Yes", "No")</f>
        <v>No</v>
      </c>
      <c r="P2242" s="13" t="str">
        <f>IF(Table2[[#This Row],[CurrentStock]]&lt;Table2[[#This Row],[ReorderLevel]],"Reorder", "Okay")</f>
        <v>Okay</v>
      </c>
      <c r="Q2242" s="13" t="str">
        <f>IF(Table2[[#This Row],[CurrentStock]]&gt;Table2[[#This Row],[ReorderLevel]]*3, "Overstock", "Okay")</f>
        <v>Overstock</v>
      </c>
    </row>
    <row r="2243" spans="1:17" x14ac:dyDescent="0.35">
      <c r="A2243">
        <v>53809</v>
      </c>
      <c r="B2243" t="s">
        <v>20</v>
      </c>
      <c r="C2243" t="s">
        <v>30</v>
      </c>
      <c r="D2243">
        <v>34</v>
      </c>
      <c r="E2243">
        <v>100</v>
      </c>
      <c r="F2243" s="2">
        <v>284.47000000000003</v>
      </c>
      <c r="G2243" t="s">
        <v>34</v>
      </c>
      <c r="H2243" s="1">
        <v>45470</v>
      </c>
      <c r="I2243" s="1">
        <v>45500</v>
      </c>
      <c r="J2243" t="s">
        <v>37</v>
      </c>
      <c r="K2243" s="8">
        <f>Table2[[#This Row],[CurrentStock]]*Table2[[#This Row],[UnitPrice]]</f>
        <v>9671.9800000000014</v>
      </c>
      <c r="L2243" t="str">
        <f>IF(Table2[[#This Row],[CurrentStock]]&lt;=Table2[[#This Row],[ReorderLevel]], "Reorder Needed", "Okay")</f>
        <v>Reorder Needed</v>
      </c>
      <c r="M2243" s="7">
        <f>IF(Table2[[#This Row],[CurrentStock]]-Table2[[#This Row],[ReorderLevel]]&lt;0,Table2[[#This Row],[CurrentStock]]-Table2[[#This Row],[ReorderLevel]],"")</f>
        <v>-66</v>
      </c>
      <c r="N2243" t="str">
        <f>IF(Table2[[#This Row],[Stock Gap]]&lt;0, "Understock","Okay")</f>
        <v>Understock</v>
      </c>
      <c r="O2243" s="13" t="str">
        <f>IF(Table2[[#This Row],[Stock Gap]]&lt;0, "Yes", "No")</f>
        <v>Yes</v>
      </c>
      <c r="P2243" s="13" t="str">
        <f>IF(Table2[[#This Row],[CurrentStock]]&lt;Table2[[#This Row],[ReorderLevel]],"Reorder", "Okay")</f>
        <v>Reorder</v>
      </c>
      <c r="Q2243" s="13" t="str">
        <f>IF(Table2[[#This Row],[CurrentStock]]&gt;Table2[[#This Row],[ReorderLevel]]*3, "Overstock", "Okay")</f>
        <v>Okay</v>
      </c>
    </row>
    <row r="2244" spans="1:17" x14ac:dyDescent="0.35">
      <c r="A2244">
        <v>52967</v>
      </c>
      <c r="B2244" t="s">
        <v>15</v>
      </c>
      <c r="C2244" t="s">
        <v>29</v>
      </c>
      <c r="D2244">
        <v>229</v>
      </c>
      <c r="E2244">
        <v>100</v>
      </c>
      <c r="F2244" s="2">
        <v>89.96</v>
      </c>
      <c r="G2244" t="s">
        <v>35</v>
      </c>
      <c r="H2244" s="1">
        <v>45494</v>
      </c>
      <c r="I2244" s="1">
        <v>45509</v>
      </c>
      <c r="J2244" t="s">
        <v>38</v>
      </c>
      <c r="K2244" s="8">
        <f>Table2[[#This Row],[CurrentStock]]*Table2[[#This Row],[UnitPrice]]</f>
        <v>20600.84</v>
      </c>
      <c r="L2244" t="str">
        <f>IF(Table2[[#This Row],[CurrentStock]]&lt;=Table2[[#This Row],[ReorderLevel]], "Reorder Needed", "Okay")</f>
        <v>Okay</v>
      </c>
      <c r="M2244" t="str">
        <f>IF(Table2[[#This Row],[CurrentStock]]-Table2[[#This Row],[ReorderLevel]]&lt;0,Table2[[#This Row],[CurrentStock]]-Table2[[#This Row],[ReorderLevel]],"")</f>
        <v/>
      </c>
      <c r="N2244" t="str">
        <f>IF(Table2[[#This Row],[Stock Gap]]&lt;0, "Understock","Okay")</f>
        <v>Okay</v>
      </c>
      <c r="O2244" s="13" t="str">
        <f>IF(Table2[[#This Row],[Stock Gap]]&lt;0, "Yes", "No")</f>
        <v>No</v>
      </c>
      <c r="P2244" s="13" t="str">
        <f>IF(Table2[[#This Row],[CurrentStock]]&lt;Table2[[#This Row],[ReorderLevel]],"Reorder", "Okay")</f>
        <v>Okay</v>
      </c>
      <c r="Q2244" s="13" t="str">
        <f>IF(Table2[[#This Row],[CurrentStock]]&gt;Table2[[#This Row],[ReorderLevel]]*3, "Overstock", "Okay")</f>
        <v>Okay</v>
      </c>
    </row>
    <row r="2245" spans="1:17" x14ac:dyDescent="0.35">
      <c r="A2245">
        <v>39002</v>
      </c>
      <c r="B2245" t="s">
        <v>21</v>
      </c>
      <c r="C2245" t="s">
        <v>26</v>
      </c>
      <c r="D2245">
        <v>468</v>
      </c>
      <c r="E2245">
        <v>150</v>
      </c>
      <c r="F2245" s="2">
        <v>234.57</v>
      </c>
      <c r="G2245" t="s">
        <v>33</v>
      </c>
      <c r="H2245" s="1">
        <v>45549</v>
      </c>
      <c r="I2245" s="1">
        <v>45587</v>
      </c>
      <c r="J2245" t="s">
        <v>37</v>
      </c>
      <c r="K2245" s="8">
        <f>Table2[[#This Row],[CurrentStock]]*Table2[[#This Row],[UnitPrice]]</f>
        <v>109778.76</v>
      </c>
      <c r="L2245" t="str">
        <f>IF(Table2[[#This Row],[CurrentStock]]&lt;=Table2[[#This Row],[ReorderLevel]], "Reorder Needed", "Okay")</f>
        <v>Okay</v>
      </c>
      <c r="M2245" t="str">
        <f>IF(Table2[[#This Row],[CurrentStock]]-Table2[[#This Row],[ReorderLevel]]&lt;0,Table2[[#This Row],[CurrentStock]]-Table2[[#This Row],[ReorderLevel]],"")</f>
        <v/>
      </c>
      <c r="N2245" t="str">
        <f>IF(Table2[[#This Row],[Stock Gap]]&lt;0, "Understock","Okay")</f>
        <v>Okay</v>
      </c>
      <c r="O2245" s="13" t="str">
        <f>IF(Table2[[#This Row],[Stock Gap]]&lt;0, "Yes", "No")</f>
        <v>No</v>
      </c>
      <c r="P2245" s="13" t="str">
        <f>IF(Table2[[#This Row],[CurrentStock]]&lt;Table2[[#This Row],[ReorderLevel]],"Reorder", "Okay")</f>
        <v>Okay</v>
      </c>
      <c r="Q2245" s="13" t="str">
        <f>IF(Table2[[#This Row],[CurrentStock]]&gt;Table2[[#This Row],[ReorderLevel]]*3, "Overstock", "Okay")</f>
        <v>Overstock</v>
      </c>
    </row>
    <row r="2246" spans="1:17" x14ac:dyDescent="0.35">
      <c r="A2246">
        <v>65020</v>
      </c>
      <c r="B2246" t="s">
        <v>11</v>
      </c>
      <c r="C2246" t="s">
        <v>27</v>
      </c>
      <c r="D2246">
        <v>33</v>
      </c>
      <c r="E2246">
        <v>30</v>
      </c>
      <c r="F2246" s="2">
        <v>369.32</v>
      </c>
      <c r="G2246" t="s">
        <v>34</v>
      </c>
      <c r="H2246" s="1">
        <v>45643</v>
      </c>
      <c r="I2246" s="1">
        <v>45659</v>
      </c>
      <c r="J2246" t="s">
        <v>38</v>
      </c>
      <c r="K2246" s="8">
        <f>Table2[[#This Row],[CurrentStock]]*Table2[[#This Row],[UnitPrice]]</f>
        <v>12187.56</v>
      </c>
      <c r="L2246" t="str">
        <f>IF(Table2[[#This Row],[CurrentStock]]&lt;=Table2[[#This Row],[ReorderLevel]], "Reorder Needed", "Okay")</f>
        <v>Okay</v>
      </c>
      <c r="M2246" t="str">
        <f>IF(Table2[[#This Row],[CurrentStock]]-Table2[[#This Row],[ReorderLevel]]&lt;0,Table2[[#This Row],[CurrentStock]]-Table2[[#This Row],[ReorderLevel]],"")</f>
        <v/>
      </c>
      <c r="N2246" t="str">
        <f>IF(Table2[[#This Row],[Stock Gap]]&lt;0, "Understock","Okay")</f>
        <v>Okay</v>
      </c>
      <c r="O2246" s="13" t="str">
        <f>IF(Table2[[#This Row],[Stock Gap]]&lt;0, "Yes", "No")</f>
        <v>No</v>
      </c>
      <c r="P2246" s="13" t="str">
        <f>IF(Table2[[#This Row],[CurrentStock]]&lt;Table2[[#This Row],[ReorderLevel]],"Reorder", "Okay")</f>
        <v>Okay</v>
      </c>
      <c r="Q2246" s="13" t="str">
        <f>IF(Table2[[#This Row],[CurrentStock]]&gt;Table2[[#This Row],[ReorderLevel]]*3, "Overstock", "Okay")</f>
        <v>Okay</v>
      </c>
    </row>
    <row r="2247" spans="1:17" x14ac:dyDescent="0.35">
      <c r="A2247">
        <v>19585</v>
      </c>
      <c r="B2247" t="s">
        <v>18</v>
      </c>
      <c r="C2247" t="s">
        <v>27</v>
      </c>
      <c r="D2247">
        <v>367</v>
      </c>
      <c r="E2247">
        <v>40</v>
      </c>
      <c r="F2247" s="2">
        <v>338.49</v>
      </c>
      <c r="G2247" t="s">
        <v>35</v>
      </c>
      <c r="H2247" s="1">
        <v>45470</v>
      </c>
      <c r="I2247" s="1">
        <v>45504</v>
      </c>
      <c r="J2247" t="s">
        <v>37</v>
      </c>
      <c r="K2247" s="8">
        <f>Table2[[#This Row],[CurrentStock]]*Table2[[#This Row],[UnitPrice]]</f>
        <v>124225.83</v>
      </c>
      <c r="L2247" t="str">
        <f>IF(Table2[[#This Row],[CurrentStock]]&lt;=Table2[[#This Row],[ReorderLevel]], "Reorder Needed", "Okay")</f>
        <v>Okay</v>
      </c>
      <c r="M2247" t="str">
        <f>IF(Table2[[#This Row],[CurrentStock]]-Table2[[#This Row],[ReorderLevel]]&lt;0,Table2[[#This Row],[CurrentStock]]-Table2[[#This Row],[ReorderLevel]],"")</f>
        <v/>
      </c>
      <c r="N2247" t="str">
        <f>IF(Table2[[#This Row],[Stock Gap]]&lt;0, "Understock","Okay")</f>
        <v>Okay</v>
      </c>
      <c r="O2247" s="13" t="str">
        <f>IF(Table2[[#This Row],[Stock Gap]]&lt;0, "Yes", "No")</f>
        <v>No</v>
      </c>
      <c r="P2247" s="13" t="str">
        <f>IF(Table2[[#This Row],[CurrentStock]]&lt;Table2[[#This Row],[ReorderLevel]],"Reorder", "Okay")</f>
        <v>Okay</v>
      </c>
      <c r="Q2247" s="13" t="str">
        <f>IF(Table2[[#This Row],[CurrentStock]]&gt;Table2[[#This Row],[ReorderLevel]]*3, "Overstock", "Okay")</f>
        <v>Overstock</v>
      </c>
    </row>
    <row r="2248" spans="1:17" x14ac:dyDescent="0.35">
      <c r="A2248">
        <v>19017</v>
      </c>
      <c r="B2248" t="s">
        <v>17</v>
      </c>
      <c r="C2248" t="s">
        <v>27</v>
      </c>
      <c r="D2248">
        <v>34</v>
      </c>
      <c r="E2248">
        <v>150</v>
      </c>
      <c r="F2248" s="2">
        <v>150.30000000000001</v>
      </c>
      <c r="G2248" t="s">
        <v>35</v>
      </c>
      <c r="H2248" s="1">
        <v>45595</v>
      </c>
      <c r="I2248" s="1">
        <v>45622</v>
      </c>
      <c r="J2248" t="s">
        <v>36</v>
      </c>
      <c r="K2248" s="8">
        <f>Table2[[#This Row],[CurrentStock]]*Table2[[#This Row],[UnitPrice]]</f>
        <v>5110.2000000000007</v>
      </c>
      <c r="L2248" t="str">
        <f>IF(Table2[[#This Row],[CurrentStock]]&lt;=Table2[[#This Row],[ReorderLevel]], "Reorder Needed", "Okay")</f>
        <v>Reorder Needed</v>
      </c>
      <c r="M2248" s="7">
        <f>IF(Table2[[#This Row],[CurrentStock]]-Table2[[#This Row],[ReorderLevel]]&lt;0,Table2[[#This Row],[CurrentStock]]-Table2[[#This Row],[ReorderLevel]],"")</f>
        <v>-116</v>
      </c>
      <c r="N2248" t="str">
        <f>IF(Table2[[#This Row],[Stock Gap]]&lt;0, "Understock","Okay")</f>
        <v>Understock</v>
      </c>
      <c r="O2248" s="13" t="str">
        <f>IF(Table2[[#This Row],[Stock Gap]]&lt;0, "Yes", "No")</f>
        <v>Yes</v>
      </c>
      <c r="P2248" s="13" t="str">
        <f>IF(Table2[[#This Row],[CurrentStock]]&lt;Table2[[#This Row],[ReorderLevel]],"Reorder", "Okay")</f>
        <v>Reorder</v>
      </c>
      <c r="Q2248" s="13" t="str">
        <f>IF(Table2[[#This Row],[CurrentStock]]&gt;Table2[[#This Row],[ReorderLevel]]*3, "Overstock", "Okay")</f>
        <v>Okay</v>
      </c>
    </row>
    <row r="2249" spans="1:17" x14ac:dyDescent="0.35">
      <c r="A2249">
        <v>34020</v>
      </c>
      <c r="B2249" t="s">
        <v>10</v>
      </c>
      <c r="C2249" t="s">
        <v>26</v>
      </c>
      <c r="D2249">
        <v>61</v>
      </c>
      <c r="E2249">
        <v>40</v>
      </c>
      <c r="F2249" s="2">
        <v>125.61</v>
      </c>
      <c r="G2249" t="s">
        <v>35</v>
      </c>
      <c r="H2249" s="1">
        <v>45353</v>
      </c>
      <c r="I2249" s="1">
        <v>45387</v>
      </c>
      <c r="J2249" t="s">
        <v>38</v>
      </c>
      <c r="K2249" s="8">
        <f>Table2[[#This Row],[CurrentStock]]*Table2[[#This Row],[UnitPrice]]</f>
        <v>7662.21</v>
      </c>
      <c r="L2249" t="str">
        <f>IF(Table2[[#This Row],[CurrentStock]]&lt;=Table2[[#This Row],[ReorderLevel]], "Reorder Needed", "Okay")</f>
        <v>Okay</v>
      </c>
      <c r="M2249" t="str">
        <f>IF(Table2[[#This Row],[CurrentStock]]-Table2[[#This Row],[ReorderLevel]]&lt;0,Table2[[#This Row],[CurrentStock]]-Table2[[#This Row],[ReorderLevel]],"")</f>
        <v/>
      </c>
      <c r="N2249" t="str">
        <f>IF(Table2[[#This Row],[Stock Gap]]&lt;0, "Understock","Okay")</f>
        <v>Okay</v>
      </c>
      <c r="O2249" s="13" t="str">
        <f>IF(Table2[[#This Row],[Stock Gap]]&lt;0, "Yes", "No")</f>
        <v>No</v>
      </c>
      <c r="P2249" s="13" t="str">
        <f>IF(Table2[[#This Row],[CurrentStock]]&lt;Table2[[#This Row],[ReorderLevel]],"Reorder", "Okay")</f>
        <v>Okay</v>
      </c>
      <c r="Q2249" s="13" t="str">
        <f>IF(Table2[[#This Row],[CurrentStock]]&gt;Table2[[#This Row],[ReorderLevel]]*3, "Overstock", "Okay")</f>
        <v>Okay</v>
      </c>
    </row>
    <row r="2250" spans="1:17" x14ac:dyDescent="0.35">
      <c r="A2250">
        <v>21552</v>
      </c>
      <c r="B2250" t="s">
        <v>19</v>
      </c>
      <c r="C2250" t="s">
        <v>28</v>
      </c>
      <c r="D2250">
        <v>49</v>
      </c>
      <c r="E2250">
        <v>150</v>
      </c>
      <c r="F2250" s="2">
        <v>299.27999999999997</v>
      </c>
      <c r="G2250" t="s">
        <v>31</v>
      </c>
      <c r="H2250" s="1">
        <v>45327</v>
      </c>
      <c r="I2250" s="1">
        <v>45357</v>
      </c>
      <c r="J2250" t="s">
        <v>36</v>
      </c>
      <c r="K2250" s="8">
        <f>Table2[[#This Row],[CurrentStock]]*Table2[[#This Row],[UnitPrice]]</f>
        <v>14664.72</v>
      </c>
      <c r="L2250" t="str">
        <f>IF(Table2[[#This Row],[CurrentStock]]&lt;=Table2[[#This Row],[ReorderLevel]], "Reorder Needed", "Okay")</f>
        <v>Reorder Needed</v>
      </c>
      <c r="M2250" s="7">
        <f>IF(Table2[[#This Row],[CurrentStock]]-Table2[[#This Row],[ReorderLevel]]&lt;0,Table2[[#This Row],[CurrentStock]]-Table2[[#This Row],[ReorderLevel]],"")</f>
        <v>-101</v>
      </c>
      <c r="N2250" t="str">
        <f>IF(Table2[[#This Row],[Stock Gap]]&lt;0, "Understock","Okay")</f>
        <v>Understock</v>
      </c>
      <c r="O2250" s="13" t="str">
        <f>IF(Table2[[#This Row],[Stock Gap]]&lt;0, "Yes", "No")</f>
        <v>Yes</v>
      </c>
      <c r="P2250" s="13" t="str">
        <f>IF(Table2[[#This Row],[CurrentStock]]&lt;Table2[[#This Row],[ReorderLevel]],"Reorder", "Okay")</f>
        <v>Reorder</v>
      </c>
      <c r="Q2250" s="13" t="str">
        <f>IF(Table2[[#This Row],[CurrentStock]]&gt;Table2[[#This Row],[ReorderLevel]]*3, "Overstock", "Okay")</f>
        <v>Okay</v>
      </c>
    </row>
    <row r="2251" spans="1:17" x14ac:dyDescent="0.35">
      <c r="A2251">
        <v>75185</v>
      </c>
      <c r="B2251" t="s">
        <v>23</v>
      </c>
      <c r="C2251" t="s">
        <v>30</v>
      </c>
      <c r="D2251">
        <v>278</v>
      </c>
      <c r="E2251">
        <v>100</v>
      </c>
      <c r="F2251" s="2">
        <v>102.8</v>
      </c>
      <c r="G2251" t="s">
        <v>31</v>
      </c>
      <c r="H2251" s="1">
        <v>45401</v>
      </c>
      <c r="I2251" s="1">
        <v>45426</v>
      </c>
      <c r="J2251" t="s">
        <v>36</v>
      </c>
      <c r="K2251" s="8">
        <f>Table2[[#This Row],[CurrentStock]]*Table2[[#This Row],[UnitPrice]]</f>
        <v>28578.399999999998</v>
      </c>
      <c r="L2251" t="str">
        <f>IF(Table2[[#This Row],[CurrentStock]]&lt;=Table2[[#This Row],[ReorderLevel]], "Reorder Needed", "Okay")</f>
        <v>Okay</v>
      </c>
      <c r="M2251" t="str">
        <f>IF(Table2[[#This Row],[CurrentStock]]-Table2[[#This Row],[ReorderLevel]]&lt;0,Table2[[#This Row],[CurrentStock]]-Table2[[#This Row],[ReorderLevel]],"")</f>
        <v/>
      </c>
      <c r="N2251" t="str">
        <f>IF(Table2[[#This Row],[Stock Gap]]&lt;0, "Understock","Okay")</f>
        <v>Okay</v>
      </c>
      <c r="O2251" s="13" t="str">
        <f>IF(Table2[[#This Row],[Stock Gap]]&lt;0, "Yes", "No")</f>
        <v>No</v>
      </c>
      <c r="P2251" s="13" t="str">
        <f>IF(Table2[[#This Row],[CurrentStock]]&lt;Table2[[#This Row],[ReorderLevel]],"Reorder", "Okay")</f>
        <v>Okay</v>
      </c>
      <c r="Q2251" s="13" t="str">
        <f>IF(Table2[[#This Row],[CurrentStock]]&gt;Table2[[#This Row],[ReorderLevel]]*3, "Overstock", "Okay")</f>
        <v>Okay</v>
      </c>
    </row>
    <row r="2252" spans="1:17" x14ac:dyDescent="0.35">
      <c r="A2252">
        <v>70047</v>
      </c>
      <c r="B2252" t="s">
        <v>23</v>
      </c>
      <c r="C2252" t="s">
        <v>30</v>
      </c>
      <c r="D2252">
        <v>483</v>
      </c>
      <c r="E2252">
        <v>50</v>
      </c>
      <c r="F2252" s="2">
        <v>55.5</v>
      </c>
      <c r="G2252" t="s">
        <v>35</v>
      </c>
      <c r="H2252" s="1">
        <v>45359</v>
      </c>
      <c r="I2252" s="1">
        <v>45365</v>
      </c>
      <c r="J2252" t="s">
        <v>38</v>
      </c>
      <c r="K2252" s="8">
        <f>Table2[[#This Row],[CurrentStock]]*Table2[[#This Row],[UnitPrice]]</f>
        <v>26806.5</v>
      </c>
      <c r="L2252" t="str">
        <f>IF(Table2[[#This Row],[CurrentStock]]&lt;=Table2[[#This Row],[ReorderLevel]], "Reorder Needed", "Okay")</f>
        <v>Okay</v>
      </c>
      <c r="M2252" t="str">
        <f>IF(Table2[[#This Row],[CurrentStock]]-Table2[[#This Row],[ReorderLevel]]&lt;0,Table2[[#This Row],[CurrentStock]]-Table2[[#This Row],[ReorderLevel]],"")</f>
        <v/>
      </c>
      <c r="N2252" t="str">
        <f>IF(Table2[[#This Row],[Stock Gap]]&lt;0, "Understock","Okay")</f>
        <v>Okay</v>
      </c>
      <c r="O2252" s="13" t="str">
        <f>IF(Table2[[#This Row],[Stock Gap]]&lt;0, "Yes", "No")</f>
        <v>No</v>
      </c>
      <c r="P2252" s="13" t="str">
        <f>IF(Table2[[#This Row],[CurrentStock]]&lt;Table2[[#This Row],[ReorderLevel]],"Reorder", "Okay")</f>
        <v>Okay</v>
      </c>
      <c r="Q2252" s="13" t="str">
        <f>IF(Table2[[#This Row],[CurrentStock]]&gt;Table2[[#This Row],[ReorderLevel]]*3, "Overstock", "Okay")</f>
        <v>Overstock</v>
      </c>
    </row>
    <row r="2253" spans="1:17" x14ac:dyDescent="0.35">
      <c r="A2253">
        <v>81494</v>
      </c>
      <c r="B2253" t="s">
        <v>19</v>
      </c>
      <c r="C2253" t="s">
        <v>28</v>
      </c>
      <c r="D2253">
        <v>206</v>
      </c>
      <c r="E2253">
        <v>50</v>
      </c>
      <c r="F2253" s="2">
        <v>160.80000000000001</v>
      </c>
      <c r="G2253" t="s">
        <v>32</v>
      </c>
      <c r="H2253" s="1">
        <v>45501</v>
      </c>
      <c r="I2253" s="1">
        <v>45522</v>
      </c>
      <c r="J2253" t="s">
        <v>36</v>
      </c>
      <c r="K2253" s="8">
        <f>Table2[[#This Row],[CurrentStock]]*Table2[[#This Row],[UnitPrice]]</f>
        <v>33124.800000000003</v>
      </c>
      <c r="L2253" t="str">
        <f>IF(Table2[[#This Row],[CurrentStock]]&lt;=Table2[[#This Row],[ReorderLevel]], "Reorder Needed", "Okay")</f>
        <v>Okay</v>
      </c>
      <c r="M2253" t="str">
        <f>IF(Table2[[#This Row],[CurrentStock]]-Table2[[#This Row],[ReorderLevel]]&lt;0,Table2[[#This Row],[CurrentStock]]-Table2[[#This Row],[ReorderLevel]],"")</f>
        <v/>
      </c>
      <c r="N2253" t="str">
        <f>IF(Table2[[#This Row],[Stock Gap]]&lt;0, "Understock","Okay")</f>
        <v>Okay</v>
      </c>
      <c r="O2253" s="13" t="str">
        <f>IF(Table2[[#This Row],[Stock Gap]]&lt;0, "Yes", "No")</f>
        <v>No</v>
      </c>
      <c r="P2253" s="13" t="str">
        <f>IF(Table2[[#This Row],[CurrentStock]]&lt;Table2[[#This Row],[ReorderLevel]],"Reorder", "Okay")</f>
        <v>Okay</v>
      </c>
      <c r="Q2253" s="13" t="str">
        <f>IF(Table2[[#This Row],[CurrentStock]]&gt;Table2[[#This Row],[ReorderLevel]]*3, "Overstock", "Okay")</f>
        <v>Overstock</v>
      </c>
    </row>
    <row r="2254" spans="1:17" x14ac:dyDescent="0.35">
      <c r="A2254">
        <v>39663</v>
      </c>
      <c r="B2254" t="s">
        <v>10</v>
      </c>
      <c r="C2254" t="s">
        <v>26</v>
      </c>
      <c r="D2254">
        <v>380</v>
      </c>
      <c r="E2254">
        <v>30</v>
      </c>
      <c r="F2254" s="2">
        <v>66.260000000000005</v>
      </c>
      <c r="G2254" t="s">
        <v>35</v>
      </c>
      <c r="H2254" s="1">
        <v>45421</v>
      </c>
      <c r="I2254" s="1">
        <v>45447</v>
      </c>
      <c r="J2254" t="s">
        <v>37</v>
      </c>
      <c r="K2254" s="8">
        <f>Table2[[#This Row],[CurrentStock]]*Table2[[#This Row],[UnitPrice]]</f>
        <v>25178.800000000003</v>
      </c>
      <c r="L2254" t="str">
        <f>IF(Table2[[#This Row],[CurrentStock]]&lt;=Table2[[#This Row],[ReorderLevel]], "Reorder Needed", "Okay")</f>
        <v>Okay</v>
      </c>
      <c r="M2254" t="str">
        <f>IF(Table2[[#This Row],[CurrentStock]]-Table2[[#This Row],[ReorderLevel]]&lt;0,Table2[[#This Row],[CurrentStock]]-Table2[[#This Row],[ReorderLevel]],"")</f>
        <v/>
      </c>
      <c r="N2254" t="str">
        <f>IF(Table2[[#This Row],[Stock Gap]]&lt;0, "Understock","Okay")</f>
        <v>Okay</v>
      </c>
      <c r="O2254" s="13" t="str">
        <f>IF(Table2[[#This Row],[Stock Gap]]&lt;0, "Yes", "No")</f>
        <v>No</v>
      </c>
      <c r="P2254" s="13" t="str">
        <f>IF(Table2[[#This Row],[CurrentStock]]&lt;Table2[[#This Row],[ReorderLevel]],"Reorder", "Okay")</f>
        <v>Okay</v>
      </c>
      <c r="Q2254" s="13" t="str">
        <f>IF(Table2[[#This Row],[CurrentStock]]&gt;Table2[[#This Row],[ReorderLevel]]*3, "Overstock", "Okay")</f>
        <v>Overstock</v>
      </c>
    </row>
    <row r="2255" spans="1:17" x14ac:dyDescent="0.35">
      <c r="A2255">
        <v>88267</v>
      </c>
      <c r="B2255" t="s">
        <v>11</v>
      </c>
      <c r="C2255" t="s">
        <v>27</v>
      </c>
      <c r="D2255">
        <v>235</v>
      </c>
      <c r="E2255">
        <v>100</v>
      </c>
      <c r="F2255" s="2">
        <v>33.71</v>
      </c>
      <c r="G2255" t="s">
        <v>34</v>
      </c>
      <c r="H2255" s="1">
        <v>45618</v>
      </c>
      <c r="I2255" s="1">
        <v>45629</v>
      </c>
      <c r="J2255" t="s">
        <v>38</v>
      </c>
      <c r="K2255" s="8">
        <f>Table2[[#This Row],[CurrentStock]]*Table2[[#This Row],[UnitPrice]]</f>
        <v>7921.85</v>
      </c>
      <c r="L2255" t="str">
        <f>IF(Table2[[#This Row],[CurrentStock]]&lt;=Table2[[#This Row],[ReorderLevel]], "Reorder Needed", "Okay")</f>
        <v>Okay</v>
      </c>
      <c r="M2255" t="str">
        <f>IF(Table2[[#This Row],[CurrentStock]]-Table2[[#This Row],[ReorderLevel]]&lt;0,Table2[[#This Row],[CurrentStock]]-Table2[[#This Row],[ReorderLevel]],"")</f>
        <v/>
      </c>
      <c r="N2255" t="str">
        <f>IF(Table2[[#This Row],[Stock Gap]]&lt;0, "Understock","Okay")</f>
        <v>Okay</v>
      </c>
      <c r="O2255" s="13" t="str">
        <f>IF(Table2[[#This Row],[Stock Gap]]&lt;0, "Yes", "No")</f>
        <v>No</v>
      </c>
      <c r="P2255" s="13" t="str">
        <f>IF(Table2[[#This Row],[CurrentStock]]&lt;Table2[[#This Row],[ReorderLevel]],"Reorder", "Okay")</f>
        <v>Okay</v>
      </c>
      <c r="Q2255" s="13" t="str">
        <f>IF(Table2[[#This Row],[CurrentStock]]&gt;Table2[[#This Row],[ReorderLevel]]*3, "Overstock", "Okay")</f>
        <v>Okay</v>
      </c>
    </row>
    <row r="2256" spans="1:17" x14ac:dyDescent="0.35">
      <c r="A2256">
        <v>68570</v>
      </c>
      <c r="B2256" t="s">
        <v>9</v>
      </c>
      <c r="C2256" t="s">
        <v>26</v>
      </c>
      <c r="D2256">
        <v>478</v>
      </c>
      <c r="E2256">
        <v>30</v>
      </c>
      <c r="F2256" s="2">
        <v>13.33</v>
      </c>
      <c r="G2256" t="s">
        <v>32</v>
      </c>
      <c r="H2256" s="1">
        <v>45421</v>
      </c>
      <c r="I2256" s="1">
        <v>45458</v>
      </c>
      <c r="J2256" t="s">
        <v>38</v>
      </c>
      <c r="K2256" s="8">
        <f>Table2[[#This Row],[CurrentStock]]*Table2[[#This Row],[UnitPrice]]</f>
        <v>6371.74</v>
      </c>
      <c r="L2256" t="str">
        <f>IF(Table2[[#This Row],[CurrentStock]]&lt;=Table2[[#This Row],[ReorderLevel]], "Reorder Needed", "Okay")</f>
        <v>Okay</v>
      </c>
      <c r="M2256" t="str">
        <f>IF(Table2[[#This Row],[CurrentStock]]-Table2[[#This Row],[ReorderLevel]]&lt;0,Table2[[#This Row],[CurrentStock]]-Table2[[#This Row],[ReorderLevel]],"")</f>
        <v/>
      </c>
      <c r="N2256" t="str">
        <f>IF(Table2[[#This Row],[Stock Gap]]&lt;0, "Understock","Okay")</f>
        <v>Okay</v>
      </c>
      <c r="O2256" s="13" t="str">
        <f>IF(Table2[[#This Row],[Stock Gap]]&lt;0, "Yes", "No")</f>
        <v>No</v>
      </c>
      <c r="P2256" s="13" t="str">
        <f>IF(Table2[[#This Row],[CurrentStock]]&lt;Table2[[#This Row],[ReorderLevel]],"Reorder", "Okay")</f>
        <v>Okay</v>
      </c>
      <c r="Q2256" s="13" t="str">
        <f>IF(Table2[[#This Row],[CurrentStock]]&gt;Table2[[#This Row],[ReorderLevel]]*3, "Overstock", "Okay")</f>
        <v>Overstock</v>
      </c>
    </row>
    <row r="2257" spans="1:17" x14ac:dyDescent="0.35">
      <c r="A2257">
        <v>33997</v>
      </c>
      <c r="B2257" t="s">
        <v>19</v>
      </c>
      <c r="C2257" t="s">
        <v>28</v>
      </c>
      <c r="D2257">
        <v>468</v>
      </c>
      <c r="E2257">
        <v>50</v>
      </c>
      <c r="F2257" s="2">
        <v>379.37</v>
      </c>
      <c r="G2257" t="s">
        <v>35</v>
      </c>
      <c r="H2257" s="1">
        <v>45317</v>
      </c>
      <c r="I2257" s="1">
        <v>45354</v>
      </c>
      <c r="J2257" t="s">
        <v>38</v>
      </c>
      <c r="K2257" s="8">
        <f>Table2[[#This Row],[CurrentStock]]*Table2[[#This Row],[UnitPrice]]</f>
        <v>177545.16</v>
      </c>
      <c r="L2257" t="str">
        <f>IF(Table2[[#This Row],[CurrentStock]]&lt;=Table2[[#This Row],[ReorderLevel]], "Reorder Needed", "Okay")</f>
        <v>Okay</v>
      </c>
      <c r="M2257" t="str">
        <f>IF(Table2[[#This Row],[CurrentStock]]-Table2[[#This Row],[ReorderLevel]]&lt;0,Table2[[#This Row],[CurrentStock]]-Table2[[#This Row],[ReorderLevel]],"")</f>
        <v/>
      </c>
      <c r="N2257" t="str">
        <f>IF(Table2[[#This Row],[Stock Gap]]&lt;0, "Understock","Okay")</f>
        <v>Okay</v>
      </c>
      <c r="O2257" s="13" t="str">
        <f>IF(Table2[[#This Row],[Stock Gap]]&lt;0, "Yes", "No")</f>
        <v>No</v>
      </c>
      <c r="P2257" s="13" t="str">
        <f>IF(Table2[[#This Row],[CurrentStock]]&lt;Table2[[#This Row],[ReorderLevel]],"Reorder", "Okay")</f>
        <v>Okay</v>
      </c>
      <c r="Q2257" s="13" t="str">
        <f>IF(Table2[[#This Row],[CurrentStock]]&gt;Table2[[#This Row],[ReorderLevel]]*3, "Overstock", "Okay")</f>
        <v>Overstock</v>
      </c>
    </row>
    <row r="2258" spans="1:17" x14ac:dyDescent="0.35">
      <c r="A2258">
        <v>50894</v>
      </c>
      <c r="B2258" t="s">
        <v>22</v>
      </c>
      <c r="C2258" t="s">
        <v>29</v>
      </c>
      <c r="D2258">
        <v>94</v>
      </c>
      <c r="E2258">
        <v>20</v>
      </c>
      <c r="F2258" s="2">
        <v>382.95</v>
      </c>
      <c r="G2258" t="s">
        <v>32</v>
      </c>
      <c r="H2258" s="1">
        <v>45332</v>
      </c>
      <c r="I2258" s="1">
        <v>45341</v>
      </c>
      <c r="J2258" t="s">
        <v>38</v>
      </c>
      <c r="K2258" s="8">
        <f>Table2[[#This Row],[CurrentStock]]*Table2[[#This Row],[UnitPrice]]</f>
        <v>35997.299999999996</v>
      </c>
      <c r="L2258" t="str">
        <f>IF(Table2[[#This Row],[CurrentStock]]&lt;=Table2[[#This Row],[ReorderLevel]], "Reorder Needed", "Okay")</f>
        <v>Okay</v>
      </c>
      <c r="M2258" t="str">
        <f>IF(Table2[[#This Row],[CurrentStock]]-Table2[[#This Row],[ReorderLevel]]&lt;0,Table2[[#This Row],[CurrentStock]]-Table2[[#This Row],[ReorderLevel]],"")</f>
        <v/>
      </c>
      <c r="N2258" t="str">
        <f>IF(Table2[[#This Row],[Stock Gap]]&lt;0, "Understock","Okay")</f>
        <v>Okay</v>
      </c>
      <c r="O2258" s="13" t="str">
        <f>IF(Table2[[#This Row],[Stock Gap]]&lt;0, "Yes", "No")</f>
        <v>No</v>
      </c>
      <c r="P2258" s="13" t="str">
        <f>IF(Table2[[#This Row],[CurrentStock]]&lt;Table2[[#This Row],[ReorderLevel]],"Reorder", "Okay")</f>
        <v>Okay</v>
      </c>
      <c r="Q2258" s="13" t="str">
        <f>IF(Table2[[#This Row],[CurrentStock]]&gt;Table2[[#This Row],[ReorderLevel]]*3, "Overstock", "Okay")</f>
        <v>Overstock</v>
      </c>
    </row>
    <row r="2259" spans="1:17" x14ac:dyDescent="0.35">
      <c r="A2259">
        <v>17691</v>
      </c>
      <c r="B2259" t="s">
        <v>11</v>
      </c>
      <c r="C2259" t="s">
        <v>27</v>
      </c>
      <c r="D2259">
        <v>324</v>
      </c>
      <c r="E2259">
        <v>40</v>
      </c>
      <c r="F2259" s="2">
        <v>264.06</v>
      </c>
      <c r="G2259" t="s">
        <v>31</v>
      </c>
      <c r="H2259" s="1">
        <v>45471</v>
      </c>
      <c r="I2259" s="1">
        <v>45477</v>
      </c>
      <c r="J2259" t="s">
        <v>37</v>
      </c>
      <c r="K2259" s="8">
        <f>Table2[[#This Row],[CurrentStock]]*Table2[[#This Row],[UnitPrice]]</f>
        <v>85555.44</v>
      </c>
      <c r="L2259" t="str">
        <f>IF(Table2[[#This Row],[CurrentStock]]&lt;=Table2[[#This Row],[ReorderLevel]], "Reorder Needed", "Okay")</f>
        <v>Okay</v>
      </c>
      <c r="M2259" t="str">
        <f>IF(Table2[[#This Row],[CurrentStock]]-Table2[[#This Row],[ReorderLevel]]&lt;0,Table2[[#This Row],[CurrentStock]]-Table2[[#This Row],[ReorderLevel]],"")</f>
        <v/>
      </c>
      <c r="N2259" t="str">
        <f>IF(Table2[[#This Row],[Stock Gap]]&lt;0, "Understock","Okay")</f>
        <v>Okay</v>
      </c>
      <c r="O2259" s="13" t="str">
        <f>IF(Table2[[#This Row],[Stock Gap]]&lt;0, "Yes", "No")</f>
        <v>No</v>
      </c>
      <c r="P2259" s="13" t="str">
        <f>IF(Table2[[#This Row],[CurrentStock]]&lt;Table2[[#This Row],[ReorderLevel]],"Reorder", "Okay")</f>
        <v>Okay</v>
      </c>
      <c r="Q2259" s="13" t="str">
        <f>IF(Table2[[#This Row],[CurrentStock]]&gt;Table2[[#This Row],[ReorderLevel]]*3, "Overstock", "Okay")</f>
        <v>Overstock</v>
      </c>
    </row>
    <row r="2260" spans="1:17" x14ac:dyDescent="0.35">
      <c r="A2260">
        <v>83396</v>
      </c>
      <c r="B2260" t="s">
        <v>11</v>
      </c>
      <c r="C2260" t="s">
        <v>27</v>
      </c>
      <c r="D2260">
        <v>474</v>
      </c>
      <c r="E2260">
        <v>100</v>
      </c>
      <c r="F2260" s="2">
        <v>129.43</v>
      </c>
      <c r="G2260" t="s">
        <v>34</v>
      </c>
      <c r="H2260" s="1">
        <v>45322</v>
      </c>
      <c r="I2260" s="1">
        <v>45348</v>
      </c>
      <c r="J2260" t="s">
        <v>36</v>
      </c>
      <c r="K2260" s="8">
        <f>Table2[[#This Row],[CurrentStock]]*Table2[[#This Row],[UnitPrice]]</f>
        <v>61349.82</v>
      </c>
      <c r="L2260" t="str">
        <f>IF(Table2[[#This Row],[CurrentStock]]&lt;=Table2[[#This Row],[ReorderLevel]], "Reorder Needed", "Okay")</f>
        <v>Okay</v>
      </c>
      <c r="M2260" t="str">
        <f>IF(Table2[[#This Row],[CurrentStock]]-Table2[[#This Row],[ReorderLevel]]&lt;0,Table2[[#This Row],[CurrentStock]]-Table2[[#This Row],[ReorderLevel]],"")</f>
        <v/>
      </c>
      <c r="N2260" t="str">
        <f>IF(Table2[[#This Row],[Stock Gap]]&lt;0, "Understock","Okay")</f>
        <v>Okay</v>
      </c>
      <c r="O2260" s="13" t="str">
        <f>IF(Table2[[#This Row],[Stock Gap]]&lt;0, "Yes", "No")</f>
        <v>No</v>
      </c>
      <c r="P2260" s="13" t="str">
        <f>IF(Table2[[#This Row],[CurrentStock]]&lt;Table2[[#This Row],[ReorderLevel]],"Reorder", "Okay")</f>
        <v>Okay</v>
      </c>
      <c r="Q2260" s="13" t="str">
        <f>IF(Table2[[#This Row],[CurrentStock]]&gt;Table2[[#This Row],[ReorderLevel]]*3, "Overstock", "Okay")</f>
        <v>Overstock</v>
      </c>
    </row>
    <row r="2261" spans="1:17" x14ac:dyDescent="0.35">
      <c r="A2261">
        <v>15293</v>
      </c>
      <c r="B2261" t="s">
        <v>16</v>
      </c>
      <c r="C2261" t="s">
        <v>29</v>
      </c>
      <c r="D2261">
        <v>181</v>
      </c>
      <c r="E2261">
        <v>50</v>
      </c>
      <c r="F2261" s="2">
        <v>144.36000000000001</v>
      </c>
      <c r="G2261" t="s">
        <v>33</v>
      </c>
      <c r="H2261" s="1">
        <v>45547</v>
      </c>
      <c r="I2261" s="1">
        <v>45573</v>
      </c>
      <c r="J2261" t="s">
        <v>38</v>
      </c>
      <c r="K2261" s="8">
        <f>Table2[[#This Row],[CurrentStock]]*Table2[[#This Row],[UnitPrice]]</f>
        <v>26129.160000000003</v>
      </c>
      <c r="L2261" t="str">
        <f>IF(Table2[[#This Row],[CurrentStock]]&lt;=Table2[[#This Row],[ReorderLevel]], "Reorder Needed", "Okay")</f>
        <v>Okay</v>
      </c>
      <c r="M2261" t="str">
        <f>IF(Table2[[#This Row],[CurrentStock]]-Table2[[#This Row],[ReorderLevel]]&lt;0,Table2[[#This Row],[CurrentStock]]-Table2[[#This Row],[ReorderLevel]],"")</f>
        <v/>
      </c>
      <c r="N2261" t="str">
        <f>IF(Table2[[#This Row],[Stock Gap]]&lt;0, "Understock","Okay")</f>
        <v>Okay</v>
      </c>
      <c r="O2261" s="13" t="str">
        <f>IF(Table2[[#This Row],[Stock Gap]]&lt;0, "Yes", "No")</f>
        <v>No</v>
      </c>
      <c r="P2261" s="13" t="str">
        <f>IF(Table2[[#This Row],[CurrentStock]]&lt;Table2[[#This Row],[ReorderLevel]],"Reorder", "Okay")</f>
        <v>Okay</v>
      </c>
      <c r="Q2261" s="13" t="str">
        <f>IF(Table2[[#This Row],[CurrentStock]]&gt;Table2[[#This Row],[ReorderLevel]]*3, "Overstock", "Okay")</f>
        <v>Overstock</v>
      </c>
    </row>
    <row r="2262" spans="1:17" x14ac:dyDescent="0.35">
      <c r="A2262">
        <v>93127</v>
      </c>
      <c r="B2262" t="s">
        <v>16</v>
      </c>
      <c r="C2262" t="s">
        <v>29</v>
      </c>
      <c r="D2262">
        <v>59</v>
      </c>
      <c r="E2262">
        <v>40</v>
      </c>
      <c r="F2262" s="2">
        <v>434.71</v>
      </c>
      <c r="G2262" t="s">
        <v>34</v>
      </c>
      <c r="H2262" s="1">
        <v>45523</v>
      </c>
      <c r="I2262" s="1">
        <v>45540</v>
      </c>
      <c r="J2262" t="s">
        <v>38</v>
      </c>
      <c r="K2262" s="8">
        <f>Table2[[#This Row],[CurrentStock]]*Table2[[#This Row],[UnitPrice]]</f>
        <v>25647.89</v>
      </c>
      <c r="L2262" t="str">
        <f>IF(Table2[[#This Row],[CurrentStock]]&lt;=Table2[[#This Row],[ReorderLevel]], "Reorder Needed", "Okay")</f>
        <v>Okay</v>
      </c>
      <c r="M2262" t="str">
        <f>IF(Table2[[#This Row],[CurrentStock]]-Table2[[#This Row],[ReorderLevel]]&lt;0,Table2[[#This Row],[CurrentStock]]-Table2[[#This Row],[ReorderLevel]],"")</f>
        <v/>
      </c>
      <c r="N2262" t="str">
        <f>IF(Table2[[#This Row],[Stock Gap]]&lt;0, "Understock","Okay")</f>
        <v>Okay</v>
      </c>
      <c r="O2262" s="13" t="str">
        <f>IF(Table2[[#This Row],[Stock Gap]]&lt;0, "Yes", "No")</f>
        <v>No</v>
      </c>
      <c r="P2262" s="13" t="str">
        <f>IF(Table2[[#This Row],[CurrentStock]]&lt;Table2[[#This Row],[ReorderLevel]],"Reorder", "Okay")</f>
        <v>Okay</v>
      </c>
      <c r="Q2262" s="13" t="str">
        <f>IF(Table2[[#This Row],[CurrentStock]]&gt;Table2[[#This Row],[ReorderLevel]]*3, "Overstock", "Okay")</f>
        <v>Okay</v>
      </c>
    </row>
    <row r="2263" spans="1:17" x14ac:dyDescent="0.35">
      <c r="A2263">
        <v>98672</v>
      </c>
      <c r="B2263" t="s">
        <v>18</v>
      </c>
      <c r="C2263" t="s">
        <v>27</v>
      </c>
      <c r="D2263">
        <v>12</v>
      </c>
      <c r="E2263">
        <v>30</v>
      </c>
      <c r="F2263" s="2">
        <v>355.54</v>
      </c>
      <c r="G2263" t="s">
        <v>32</v>
      </c>
      <c r="H2263" s="1">
        <v>45558</v>
      </c>
      <c r="I2263" s="1">
        <v>45575</v>
      </c>
      <c r="J2263" t="s">
        <v>36</v>
      </c>
      <c r="K2263" s="8">
        <f>Table2[[#This Row],[CurrentStock]]*Table2[[#This Row],[UnitPrice]]</f>
        <v>4266.4800000000005</v>
      </c>
      <c r="L2263" t="str">
        <f>IF(Table2[[#This Row],[CurrentStock]]&lt;=Table2[[#This Row],[ReorderLevel]], "Reorder Needed", "Okay")</f>
        <v>Reorder Needed</v>
      </c>
      <c r="M2263" s="7">
        <f>IF(Table2[[#This Row],[CurrentStock]]-Table2[[#This Row],[ReorderLevel]]&lt;0,Table2[[#This Row],[CurrentStock]]-Table2[[#This Row],[ReorderLevel]],"")</f>
        <v>-18</v>
      </c>
      <c r="N2263" t="str">
        <f>IF(Table2[[#This Row],[Stock Gap]]&lt;0, "Understock","Okay")</f>
        <v>Understock</v>
      </c>
      <c r="O2263" s="13" t="str">
        <f>IF(Table2[[#This Row],[Stock Gap]]&lt;0, "Yes", "No")</f>
        <v>Yes</v>
      </c>
      <c r="P2263" s="13" t="str">
        <f>IF(Table2[[#This Row],[CurrentStock]]&lt;Table2[[#This Row],[ReorderLevel]],"Reorder", "Okay")</f>
        <v>Reorder</v>
      </c>
      <c r="Q2263" s="13" t="str">
        <f>IF(Table2[[#This Row],[CurrentStock]]&gt;Table2[[#This Row],[ReorderLevel]]*3, "Overstock", "Okay")</f>
        <v>Okay</v>
      </c>
    </row>
    <row r="2264" spans="1:17" x14ac:dyDescent="0.35">
      <c r="A2264">
        <v>54016</v>
      </c>
      <c r="B2264" t="s">
        <v>18</v>
      </c>
      <c r="C2264" t="s">
        <v>27</v>
      </c>
      <c r="D2264">
        <v>26</v>
      </c>
      <c r="E2264">
        <v>50</v>
      </c>
      <c r="F2264" s="2">
        <v>365.64</v>
      </c>
      <c r="G2264" t="s">
        <v>33</v>
      </c>
      <c r="H2264" s="1">
        <v>45322</v>
      </c>
      <c r="I2264" s="1">
        <v>45332</v>
      </c>
      <c r="J2264" t="s">
        <v>38</v>
      </c>
      <c r="K2264" s="8">
        <f>Table2[[#This Row],[CurrentStock]]*Table2[[#This Row],[UnitPrice]]</f>
        <v>9506.64</v>
      </c>
      <c r="L2264" t="str">
        <f>IF(Table2[[#This Row],[CurrentStock]]&lt;=Table2[[#This Row],[ReorderLevel]], "Reorder Needed", "Okay")</f>
        <v>Reorder Needed</v>
      </c>
      <c r="M2264" s="7">
        <f>IF(Table2[[#This Row],[CurrentStock]]-Table2[[#This Row],[ReorderLevel]]&lt;0,Table2[[#This Row],[CurrentStock]]-Table2[[#This Row],[ReorderLevel]],"")</f>
        <v>-24</v>
      </c>
      <c r="N2264" t="str">
        <f>IF(Table2[[#This Row],[Stock Gap]]&lt;0, "Understock","Okay")</f>
        <v>Understock</v>
      </c>
      <c r="O2264" s="13" t="str">
        <f>IF(Table2[[#This Row],[Stock Gap]]&lt;0, "Yes", "No")</f>
        <v>Yes</v>
      </c>
      <c r="P2264" s="13" t="str">
        <f>IF(Table2[[#This Row],[CurrentStock]]&lt;Table2[[#This Row],[ReorderLevel]],"Reorder", "Okay")</f>
        <v>Reorder</v>
      </c>
      <c r="Q2264" s="13" t="str">
        <f>IF(Table2[[#This Row],[CurrentStock]]&gt;Table2[[#This Row],[ReorderLevel]]*3, "Overstock", "Okay")</f>
        <v>Okay</v>
      </c>
    </row>
    <row r="2265" spans="1:17" x14ac:dyDescent="0.35">
      <c r="A2265">
        <v>35515</v>
      </c>
      <c r="B2265" t="s">
        <v>9</v>
      </c>
      <c r="C2265" t="s">
        <v>26</v>
      </c>
      <c r="D2265">
        <v>301</v>
      </c>
      <c r="E2265">
        <v>40</v>
      </c>
      <c r="F2265" s="2">
        <v>36.659999999999997</v>
      </c>
      <c r="G2265" t="s">
        <v>34</v>
      </c>
      <c r="H2265" s="1">
        <v>45544</v>
      </c>
      <c r="I2265" s="1">
        <v>45549</v>
      </c>
      <c r="J2265" t="s">
        <v>36</v>
      </c>
      <c r="K2265" s="8">
        <f>Table2[[#This Row],[CurrentStock]]*Table2[[#This Row],[UnitPrice]]</f>
        <v>11034.66</v>
      </c>
      <c r="L2265" t="str">
        <f>IF(Table2[[#This Row],[CurrentStock]]&lt;=Table2[[#This Row],[ReorderLevel]], "Reorder Needed", "Okay")</f>
        <v>Okay</v>
      </c>
      <c r="M2265" t="str">
        <f>IF(Table2[[#This Row],[CurrentStock]]-Table2[[#This Row],[ReorderLevel]]&lt;0,Table2[[#This Row],[CurrentStock]]-Table2[[#This Row],[ReorderLevel]],"")</f>
        <v/>
      </c>
      <c r="N2265" t="str">
        <f>IF(Table2[[#This Row],[Stock Gap]]&lt;0, "Understock","Okay")</f>
        <v>Okay</v>
      </c>
      <c r="O2265" s="13" t="str">
        <f>IF(Table2[[#This Row],[Stock Gap]]&lt;0, "Yes", "No")</f>
        <v>No</v>
      </c>
      <c r="P2265" s="13" t="str">
        <f>IF(Table2[[#This Row],[CurrentStock]]&lt;Table2[[#This Row],[ReorderLevel]],"Reorder", "Okay")</f>
        <v>Okay</v>
      </c>
      <c r="Q2265" s="13" t="str">
        <f>IF(Table2[[#This Row],[CurrentStock]]&gt;Table2[[#This Row],[ReorderLevel]]*3, "Overstock", "Okay")</f>
        <v>Overstock</v>
      </c>
    </row>
    <row r="2266" spans="1:17" x14ac:dyDescent="0.35">
      <c r="A2266">
        <v>41212</v>
      </c>
      <c r="B2266" t="s">
        <v>15</v>
      </c>
      <c r="C2266" t="s">
        <v>29</v>
      </c>
      <c r="D2266">
        <v>113</v>
      </c>
      <c r="E2266">
        <v>20</v>
      </c>
      <c r="F2266" s="2">
        <v>229.93</v>
      </c>
      <c r="G2266" t="s">
        <v>31</v>
      </c>
      <c r="H2266" s="1">
        <v>45496</v>
      </c>
      <c r="I2266" s="1">
        <v>45524</v>
      </c>
      <c r="J2266" t="s">
        <v>38</v>
      </c>
      <c r="K2266" s="8">
        <f>Table2[[#This Row],[CurrentStock]]*Table2[[#This Row],[UnitPrice]]</f>
        <v>25982.09</v>
      </c>
      <c r="L2266" t="str">
        <f>IF(Table2[[#This Row],[CurrentStock]]&lt;=Table2[[#This Row],[ReorderLevel]], "Reorder Needed", "Okay")</f>
        <v>Okay</v>
      </c>
      <c r="M2266" t="str">
        <f>IF(Table2[[#This Row],[CurrentStock]]-Table2[[#This Row],[ReorderLevel]]&lt;0,Table2[[#This Row],[CurrentStock]]-Table2[[#This Row],[ReorderLevel]],"")</f>
        <v/>
      </c>
      <c r="N2266" t="str">
        <f>IF(Table2[[#This Row],[Stock Gap]]&lt;0, "Understock","Okay")</f>
        <v>Okay</v>
      </c>
      <c r="O2266" s="13" t="str">
        <f>IF(Table2[[#This Row],[Stock Gap]]&lt;0, "Yes", "No")</f>
        <v>No</v>
      </c>
      <c r="P2266" s="13" t="str">
        <f>IF(Table2[[#This Row],[CurrentStock]]&lt;Table2[[#This Row],[ReorderLevel]],"Reorder", "Okay")</f>
        <v>Okay</v>
      </c>
      <c r="Q2266" s="13" t="str">
        <f>IF(Table2[[#This Row],[CurrentStock]]&gt;Table2[[#This Row],[ReorderLevel]]*3, "Overstock", "Okay")</f>
        <v>Overstock</v>
      </c>
    </row>
    <row r="2267" spans="1:17" x14ac:dyDescent="0.35">
      <c r="A2267">
        <v>26585</v>
      </c>
      <c r="B2267" t="s">
        <v>20</v>
      </c>
      <c r="C2267" t="s">
        <v>30</v>
      </c>
      <c r="D2267">
        <v>102</v>
      </c>
      <c r="E2267">
        <v>50</v>
      </c>
      <c r="F2267" s="2">
        <v>342.94</v>
      </c>
      <c r="G2267" t="s">
        <v>32</v>
      </c>
      <c r="H2267" s="1">
        <v>45456</v>
      </c>
      <c r="I2267" s="1">
        <v>45480</v>
      </c>
      <c r="J2267" t="s">
        <v>36</v>
      </c>
      <c r="K2267" s="8">
        <f>Table2[[#This Row],[CurrentStock]]*Table2[[#This Row],[UnitPrice]]</f>
        <v>34979.879999999997</v>
      </c>
      <c r="L2267" t="str">
        <f>IF(Table2[[#This Row],[CurrentStock]]&lt;=Table2[[#This Row],[ReorderLevel]], "Reorder Needed", "Okay")</f>
        <v>Okay</v>
      </c>
      <c r="M2267" t="str">
        <f>IF(Table2[[#This Row],[CurrentStock]]-Table2[[#This Row],[ReorderLevel]]&lt;0,Table2[[#This Row],[CurrentStock]]-Table2[[#This Row],[ReorderLevel]],"")</f>
        <v/>
      </c>
      <c r="N2267" t="str">
        <f>IF(Table2[[#This Row],[Stock Gap]]&lt;0, "Understock","Okay")</f>
        <v>Okay</v>
      </c>
      <c r="O2267" s="13" t="str">
        <f>IF(Table2[[#This Row],[Stock Gap]]&lt;0, "Yes", "No")</f>
        <v>No</v>
      </c>
      <c r="P2267" s="13" t="str">
        <f>IF(Table2[[#This Row],[CurrentStock]]&lt;Table2[[#This Row],[ReorderLevel]],"Reorder", "Okay")</f>
        <v>Okay</v>
      </c>
      <c r="Q2267" s="13" t="str">
        <f>IF(Table2[[#This Row],[CurrentStock]]&gt;Table2[[#This Row],[ReorderLevel]]*3, "Overstock", "Okay")</f>
        <v>Okay</v>
      </c>
    </row>
    <row r="2268" spans="1:17" x14ac:dyDescent="0.35">
      <c r="A2268">
        <v>97091</v>
      </c>
      <c r="B2268" t="s">
        <v>16</v>
      </c>
      <c r="C2268" t="s">
        <v>29</v>
      </c>
      <c r="D2268">
        <v>155</v>
      </c>
      <c r="E2268">
        <v>80</v>
      </c>
      <c r="F2268" s="2">
        <v>38.880000000000003</v>
      </c>
      <c r="G2268" t="s">
        <v>33</v>
      </c>
      <c r="H2268" s="1">
        <v>45479</v>
      </c>
      <c r="I2268" s="1">
        <v>45489</v>
      </c>
      <c r="J2268" t="s">
        <v>37</v>
      </c>
      <c r="K2268" s="8">
        <f>Table2[[#This Row],[CurrentStock]]*Table2[[#This Row],[UnitPrice]]</f>
        <v>6026.4000000000005</v>
      </c>
      <c r="L2268" t="str">
        <f>IF(Table2[[#This Row],[CurrentStock]]&lt;=Table2[[#This Row],[ReorderLevel]], "Reorder Needed", "Okay")</f>
        <v>Okay</v>
      </c>
      <c r="M2268" t="str">
        <f>IF(Table2[[#This Row],[CurrentStock]]-Table2[[#This Row],[ReorderLevel]]&lt;0,Table2[[#This Row],[CurrentStock]]-Table2[[#This Row],[ReorderLevel]],"")</f>
        <v/>
      </c>
      <c r="N2268" t="str">
        <f>IF(Table2[[#This Row],[Stock Gap]]&lt;0, "Understock","Okay")</f>
        <v>Okay</v>
      </c>
      <c r="O2268" s="13" t="str">
        <f>IF(Table2[[#This Row],[Stock Gap]]&lt;0, "Yes", "No")</f>
        <v>No</v>
      </c>
      <c r="P2268" s="13" t="str">
        <f>IF(Table2[[#This Row],[CurrentStock]]&lt;Table2[[#This Row],[ReorderLevel]],"Reorder", "Okay")</f>
        <v>Okay</v>
      </c>
      <c r="Q2268" s="13" t="str">
        <f>IF(Table2[[#This Row],[CurrentStock]]&gt;Table2[[#This Row],[ReorderLevel]]*3, "Overstock", "Okay")</f>
        <v>Okay</v>
      </c>
    </row>
    <row r="2269" spans="1:17" x14ac:dyDescent="0.35">
      <c r="A2269">
        <v>37946</v>
      </c>
      <c r="B2269" t="s">
        <v>14</v>
      </c>
      <c r="C2269" t="s">
        <v>28</v>
      </c>
      <c r="D2269">
        <v>480</v>
      </c>
      <c r="E2269">
        <v>30</v>
      </c>
      <c r="F2269" s="2">
        <v>306.89</v>
      </c>
      <c r="G2269" t="s">
        <v>32</v>
      </c>
      <c r="H2269" s="1">
        <v>45391</v>
      </c>
      <c r="I2269" s="1">
        <v>45400</v>
      </c>
      <c r="J2269" t="s">
        <v>36</v>
      </c>
      <c r="K2269" s="8">
        <f>Table2[[#This Row],[CurrentStock]]*Table2[[#This Row],[UnitPrice]]</f>
        <v>147307.19999999998</v>
      </c>
      <c r="L2269" t="str">
        <f>IF(Table2[[#This Row],[CurrentStock]]&lt;=Table2[[#This Row],[ReorderLevel]], "Reorder Needed", "Okay")</f>
        <v>Okay</v>
      </c>
      <c r="M2269" t="str">
        <f>IF(Table2[[#This Row],[CurrentStock]]-Table2[[#This Row],[ReorderLevel]]&lt;0,Table2[[#This Row],[CurrentStock]]-Table2[[#This Row],[ReorderLevel]],"")</f>
        <v/>
      </c>
      <c r="N2269" t="str">
        <f>IF(Table2[[#This Row],[Stock Gap]]&lt;0, "Understock","Okay")</f>
        <v>Okay</v>
      </c>
      <c r="O2269" s="13" t="str">
        <f>IF(Table2[[#This Row],[Stock Gap]]&lt;0, "Yes", "No")</f>
        <v>No</v>
      </c>
      <c r="P2269" s="13" t="str">
        <f>IF(Table2[[#This Row],[CurrentStock]]&lt;Table2[[#This Row],[ReorderLevel]],"Reorder", "Okay")</f>
        <v>Okay</v>
      </c>
      <c r="Q2269" s="13" t="str">
        <f>IF(Table2[[#This Row],[CurrentStock]]&gt;Table2[[#This Row],[ReorderLevel]]*3, "Overstock", "Okay")</f>
        <v>Overstock</v>
      </c>
    </row>
    <row r="2270" spans="1:17" x14ac:dyDescent="0.35">
      <c r="A2270">
        <v>34935</v>
      </c>
      <c r="B2270" t="s">
        <v>20</v>
      </c>
      <c r="C2270" t="s">
        <v>30</v>
      </c>
      <c r="D2270">
        <v>115</v>
      </c>
      <c r="E2270">
        <v>100</v>
      </c>
      <c r="F2270" s="2">
        <v>338.56</v>
      </c>
      <c r="G2270" t="s">
        <v>35</v>
      </c>
      <c r="H2270" s="1">
        <v>45351</v>
      </c>
      <c r="I2270" s="1">
        <v>45358</v>
      </c>
      <c r="J2270" t="s">
        <v>38</v>
      </c>
      <c r="K2270" s="8">
        <f>Table2[[#This Row],[CurrentStock]]*Table2[[#This Row],[UnitPrice]]</f>
        <v>38934.400000000001</v>
      </c>
      <c r="L2270" t="str">
        <f>IF(Table2[[#This Row],[CurrentStock]]&lt;=Table2[[#This Row],[ReorderLevel]], "Reorder Needed", "Okay")</f>
        <v>Okay</v>
      </c>
      <c r="M2270" t="str">
        <f>IF(Table2[[#This Row],[CurrentStock]]-Table2[[#This Row],[ReorderLevel]]&lt;0,Table2[[#This Row],[CurrentStock]]-Table2[[#This Row],[ReorderLevel]],"")</f>
        <v/>
      </c>
      <c r="N2270" t="str">
        <f>IF(Table2[[#This Row],[Stock Gap]]&lt;0, "Understock","Okay")</f>
        <v>Okay</v>
      </c>
      <c r="O2270" s="13" t="str">
        <f>IF(Table2[[#This Row],[Stock Gap]]&lt;0, "Yes", "No")</f>
        <v>No</v>
      </c>
      <c r="P2270" s="13" t="str">
        <f>IF(Table2[[#This Row],[CurrentStock]]&lt;Table2[[#This Row],[ReorderLevel]],"Reorder", "Okay")</f>
        <v>Okay</v>
      </c>
      <c r="Q2270" s="13" t="str">
        <f>IF(Table2[[#This Row],[CurrentStock]]&gt;Table2[[#This Row],[ReorderLevel]]*3, "Overstock", "Okay")</f>
        <v>Okay</v>
      </c>
    </row>
    <row r="2271" spans="1:17" x14ac:dyDescent="0.35">
      <c r="A2271">
        <v>44062</v>
      </c>
      <c r="B2271" t="s">
        <v>13</v>
      </c>
      <c r="C2271" t="s">
        <v>26</v>
      </c>
      <c r="D2271">
        <v>230</v>
      </c>
      <c r="E2271">
        <v>40</v>
      </c>
      <c r="F2271" s="2">
        <v>438.01</v>
      </c>
      <c r="G2271" t="s">
        <v>31</v>
      </c>
      <c r="H2271" s="1">
        <v>45491</v>
      </c>
      <c r="I2271" s="1">
        <v>45507</v>
      </c>
      <c r="J2271" t="s">
        <v>37</v>
      </c>
      <c r="K2271" s="8">
        <f>Table2[[#This Row],[CurrentStock]]*Table2[[#This Row],[UnitPrice]]</f>
        <v>100742.3</v>
      </c>
      <c r="L2271" t="str">
        <f>IF(Table2[[#This Row],[CurrentStock]]&lt;=Table2[[#This Row],[ReorderLevel]], "Reorder Needed", "Okay")</f>
        <v>Okay</v>
      </c>
      <c r="M2271" t="str">
        <f>IF(Table2[[#This Row],[CurrentStock]]-Table2[[#This Row],[ReorderLevel]]&lt;0,Table2[[#This Row],[CurrentStock]]-Table2[[#This Row],[ReorderLevel]],"")</f>
        <v/>
      </c>
      <c r="N2271" t="str">
        <f>IF(Table2[[#This Row],[Stock Gap]]&lt;0, "Understock","Okay")</f>
        <v>Okay</v>
      </c>
      <c r="O2271" s="13" t="str">
        <f>IF(Table2[[#This Row],[Stock Gap]]&lt;0, "Yes", "No")</f>
        <v>No</v>
      </c>
      <c r="P2271" s="13" t="str">
        <f>IF(Table2[[#This Row],[CurrentStock]]&lt;Table2[[#This Row],[ReorderLevel]],"Reorder", "Okay")</f>
        <v>Okay</v>
      </c>
      <c r="Q2271" s="13" t="str">
        <f>IF(Table2[[#This Row],[CurrentStock]]&gt;Table2[[#This Row],[ReorderLevel]]*3, "Overstock", "Okay")</f>
        <v>Overstock</v>
      </c>
    </row>
    <row r="2272" spans="1:17" x14ac:dyDescent="0.35">
      <c r="A2272">
        <v>48585</v>
      </c>
      <c r="B2272" t="s">
        <v>21</v>
      </c>
      <c r="C2272" t="s">
        <v>26</v>
      </c>
      <c r="D2272">
        <v>231</v>
      </c>
      <c r="E2272">
        <v>150</v>
      </c>
      <c r="F2272" s="2">
        <v>146.06</v>
      </c>
      <c r="G2272" t="s">
        <v>31</v>
      </c>
      <c r="H2272" s="1">
        <v>45379</v>
      </c>
      <c r="I2272" s="1">
        <v>45389</v>
      </c>
      <c r="J2272" t="s">
        <v>37</v>
      </c>
      <c r="K2272" s="8">
        <f>Table2[[#This Row],[CurrentStock]]*Table2[[#This Row],[UnitPrice]]</f>
        <v>33739.86</v>
      </c>
      <c r="L2272" t="str">
        <f>IF(Table2[[#This Row],[CurrentStock]]&lt;=Table2[[#This Row],[ReorderLevel]], "Reorder Needed", "Okay")</f>
        <v>Okay</v>
      </c>
      <c r="M2272" t="str">
        <f>IF(Table2[[#This Row],[CurrentStock]]-Table2[[#This Row],[ReorderLevel]]&lt;0,Table2[[#This Row],[CurrentStock]]-Table2[[#This Row],[ReorderLevel]],"")</f>
        <v/>
      </c>
      <c r="N2272" t="str">
        <f>IF(Table2[[#This Row],[Stock Gap]]&lt;0, "Understock","Okay")</f>
        <v>Okay</v>
      </c>
      <c r="O2272" s="13" t="str">
        <f>IF(Table2[[#This Row],[Stock Gap]]&lt;0, "Yes", "No")</f>
        <v>No</v>
      </c>
      <c r="P2272" s="13" t="str">
        <f>IF(Table2[[#This Row],[CurrentStock]]&lt;Table2[[#This Row],[ReorderLevel]],"Reorder", "Okay")</f>
        <v>Okay</v>
      </c>
      <c r="Q2272" s="13" t="str">
        <f>IF(Table2[[#This Row],[CurrentStock]]&gt;Table2[[#This Row],[ReorderLevel]]*3, "Overstock", "Okay")</f>
        <v>Okay</v>
      </c>
    </row>
    <row r="2273" spans="1:17" x14ac:dyDescent="0.35">
      <c r="A2273">
        <v>30828</v>
      </c>
      <c r="B2273" t="s">
        <v>19</v>
      </c>
      <c r="C2273" t="s">
        <v>28</v>
      </c>
      <c r="D2273">
        <v>373</v>
      </c>
      <c r="E2273">
        <v>40</v>
      </c>
      <c r="F2273" s="2">
        <v>215.07</v>
      </c>
      <c r="G2273" t="s">
        <v>33</v>
      </c>
      <c r="H2273" s="1">
        <v>45509</v>
      </c>
      <c r="I2273" s="1">
        <v>45524</v>
      </c>
      <c r="J2273" t="s">
        <v>38</v>
      </c>
      <c r="K2273" s="8">
        <f>Table2[[#This Row],[CurrentStock]]*Table2[[#This Row],[UnitPrice]]</f>
        <v>80221.11</v>
      </c>
      <c r="L2273" t="str">
        <f>IF(Table2[[#This Row],[CurrentStock]]&lt;=Table2[[#This Row],[ReorderLevel]], "Reorder Needed", "Okay")</f>
        <v>Okay</v>
      </c>
      <c r="M2273" t="str">
        <f>IF(Table2[[#This Row],[CurrentStock]]-Table2[[#This Row],[ReorderLevel]]&lt;0,Table2[[#This Row],[CurrentStock]]-Table2[[#This Row],[ReorderLevel]],"")</f>
        <v/>
      </c>
      <c r="N2273" t="str">
        <f>IF(Table2[[#This Row],[Stock Gap]]&lt;0, "Understock","Okay")</f>
        <v>Okay</v>
      </c>
      <c r="O2273" s="13" t="str">
        <f>IF(Table2[[#This Row],[Stock Gap]]&lt;0, "Yes", "No")</f>
        <v>No</v>
      </c>
      <c r="P2273" s="13" t="str">
        <f>IF(Table2[[#This Row],[CurrentStock]]&lt;Table2[[#This Row],[ReorderLevel]],"Reorder", "Okay")</f>
        <v>Okay</v>
      </c>
      <c r="Q2273" s="13" t="str">
        <f>IF(Table2[[#This Row],[CurrentStock]]&gt;Table2[[#This Row],[ReorderLevel]]*3, "Overstock", "Okay")</f>
        <v>Overstock</v>
      </c>
    </row>
    <row r="2274" spans="1:17" x14ac:dyDescent="0.35">
      <c r="A2274">
        <v>73828</v>
      </c>
      <c r="B2274" t="s">
        <v>24</v>
      </c>
      <c r="C2274" t="s">
        <v>30</v>
      </c>
      <c r="D2274">
        <v>369</v>
      </c>
      <c r="E2274">
        <v>100</v>
      </c>
      <c r="F2274" s="2">
        <v>257.64</v>
      </c>
      <c r="G2274" t="s">
        <v>32</v>
      </c>
      <c r="H2274" s="1">
        <v>45303</v>
      </c>
      <c r="I2274" s="1">
        <v>45330</v>
      </c>
      <c r="J2274" t="s">
        <v>36</v>
      </c>
      <c r="K2274" s="8">
        <f>Table2[[#This Row],[CurrentStock]]*Table2[[#This Row],[UnitPrice]]</f>
        <v>95069.159999999989</v>
      </c>
      <c r="L2274" t="str">
        <f>IF(Table2[[#This Row],[CurrentStock]]&lt;=Table2[[#This Row],[ReorderLevel]], "Reorder Needed", "Okay")</f>
        <v>Okay</v>
      </c>
      <c r="M2274" t="str">
        <f>IF(Table2[[#This Row],[CurrentStock]]-Table2[[#This Row],[ReorderLevel]]&lt;0,Table2[[#This Row],[CurrentStock]]-Table2[[#This Row],[ReorderLevel]],"")</f>
        <v/>
      </c>
      <c r="N2274" t="str">
        <f>IF(Table2[[#This Row],[Stock Gap]]&lt;0, "Understock","Okay")</f>
        <v>Okay</v>
      </c>
      <c r="O2274" s="13" t="str">
        <f>IF(Table2[[#This Row],[Stock Gap]]&lt;0, "Yes", "No")</f>
        <v>No</v>
      </c>
      <c r="P2274" s="13" t="str">
        <f>IF(Table2[[#This Row],[CurrentStock]]&lt;Table2[[#This Row],[ReorderLevel]],"Reorder", "Okay")</f>
        <v>Okay</v>
      </c>
      <c r="Q2274" s="13" t="str">
        <f>IF(Table2[[#This Row],[CurrentStock]]&gt;Table2[[#This Row],[ReorderLevel]]*3, "Overstock", "Okay")</f>
        <v>Overstock</v>
      </c>
    </row>
    <row r="2275" spans="1:17" x14ac:dyDescent="0.35">
      <c r="A2275">
        <v>31773</v>
      </c>
      <c r="B2275" t="s">
        <v>17</v>
      </c>
      <c r="C2275" t="s">
        <v>27</v>
      </c>
      <c r="D2275">
        <v>425</v>
      </c>
      <c r="E2275">
        <v>80</v>
      </c>
      <c r="F2275" s="2">
        <v>326.99</v>
      </c>
      <c r="G2275" t="s">
        <v>32</v>
      </c>
      <c r="H2275" s="1">
        <v>45632</v>
      </c>
      <c r="I2275" s="1">
        <v>45644</v>
      </c>
      <c r="J2275" t="s">
        <v>37</v>
      </c>
      <c r="K2275" s="8">
        <f>Table2[[#This Row],[CurrentStock]]*Table2[[#This Row],[UnitPrice]]</f>
        <v>138970.75</v>
      </c>
      <c r="L2275" t="str">
        <f>IF(Table2[[#This Row],[CurrentStock]]&lt;=Table2[[#This Row],[ReorderLevel]], "Reorder Needed", "Okay")</f>
        <v>Okay</v>
      </c>
      <c r="M2275" t="str">
        <f>IF(Table2[[#This Row],[CurrentStock]]-Table2[[#This Row],[ReorderLevel]]&lt;0,Table2[[#This Row],[CurrentStock]]-Table2[[#This Row],[ReorderLevel]],"")</f>
        <v/>
      </c>
      <c r="N2275" t="str">
        <f>IF(Table2[[#This Row],[Stock Gap]]&lt;0, "Understock","Okay")</f>
        <v>Okay</v>
      </c>
      <c r="O2275" s="13" t="str">
        <f>IF(Table2[[#This Row],[Stock Gap]]&lt;0, "Yes", "No")</f>
        <v>No</v>
      </c>
      <c r="P2275" s="13" t="str">
        <f>IF(Table2[[#This Row],[CurrentStock]]&lt;Table2[[#This Row],[ReorderLevel]],"Reorder", "Okay")</f>
        <v>Okay</v>
      </c>
      <c r="Q2275" s="13" t="str">
        <f>IF(Table2[[#This Row],[CurrentStock]]&gt;Table2[[#This Row],[ReorderLevel]]*3, "Overstock", "Okay")</f>
        <v>Overstock</v>
      </c>
    </row>
    <row r="2276" spans="1:17" x14ac:dyDescent="0.35">
      <c r="A2276">
        <v>79086</v>
      </c>
      <c r="B2276" t="s">
        <v>24</v>
      </c>
      <c r="C2276" t="s">
        <v>30</v>
      </c>
      <c r="D2276">
        <v>74</v>
      </c>
      <c r="E2276">
        <v>100</v>
      </c>
      <c r="F2276" s="2">
        <v>307.95999999999998</v>
      </c>
      <c r="G2276" t="s">
        <v>33</v>
      </c>
      <c r="H2276" s="1">
        <v>45465</v>
      </c>
      <c r="I2276" s="1">
        <v>45473</v>
      </c>
      <c r="J2276" t="s">
        <v>37</v>
      </c>
      <c r="K2276" s="8">
        <f>Table2[[#This Row],[CurrentStock]]*Table2[[#This Row],[UnitPrice]]</f>
        <v>22789.039999999997</v>
      </c>
      <c r="L2276" t="str">
        <f>IF(Table2[[#This Row],[CurrentStock]]&lt;=Table2[[#This Row],[ReorderLevel]], "Reorder Needed", "Okay")</f>
        <v>Reorder Needed</v>
      </c>
      <c r="M2276" s="7">
        <f>IF(Table2[[#This Row],[CurrentStock]]-Table2[[#This Row],[ReorderLevel]]&lt;0,Table2[[#This Row],[CurrentStock]]-Table2[[#This Row],[ReorderLevel]],"")</f>
        <v>-26</v>
      </c>
      <c r="N2276" t="str">
        <f>IF(Table2[[#This Row],[Stock Gap]]&lt;0, "Understock","Okay")</f>
        <v>Understock</v>
      </c>
      <c r="O2276" s="13" t="str">
        <f>IF(Table2[[#This Row],[Stock Gap]]&lt;0, "Yes", "No")</f>
        <v>Yes</v>
      </c>
      <c r="P2276" s="13" t="str">
        <f>IF(Table2[[#This Row],[CurrentStock]]&lt;Table2[[#This Row],[ReorderLevel]],"Reorder", "Okay")</f>
        <v>Reorder</v>
      </c>
      <c r="Q2276" s="13" t="str">
        <f>IF(Table2[[#This Row],[CurrentStock]]&gt;Table2[[#This Row],[ReorderLevel]]*3, "Overstock", "Okay")</f>
        <v>Okay</v>
      </c>
    </row>
    <row r="2277" spans="1:17" x14ac:dyDescent="0.35">
      <c r="A2277">
        <v>99262</v>
      </c>
      <c r="B2277" t="s">
        <v>23</v>
      </c>
      <c r="C2277" t="s">
        <v>30</v>
      </c>
      <c r="D2277">
        <v>491</v>
      </c>
      <c r="E2277">
        <v>30</v>
      </c>
      <c r="F2277" s="2">
        <v>62.65</v>
      </c>
      <c r="G2277" t="s">
        <v>31</v>
      </c>
      <c r="H2277" s="1">
        <v>45409</v>
      </c>
      <c r="I2277" s="1">
        <v>45431</v>
      </c>
      <c r="J2277" t="s">
        <v>37</v>
      </c>
      <c r="K2277" s="8">
        <f>Table2[[#This Row],[CurrentStock]]*Table2[[#This Row],[UnitPrice]]</f>
        <v>30761.149999999998</v>
      </c>
      <c r="L2277" t="str">
        <f>IF(Table2[[#This Row],[CurrentStock]]&lt;=Table2[[#This Row],[ReorderLevel]], "Reorder Needed", "Okay")</f>
        <v>Okay</v>
      </c>
      <c r="M2277" t="str">
        <f>IF(Table2[[#This Row],[CurrentStock]]-Table2[[#This Row],[ReorderLevel]]&lt;0,Table2[[#This Row],[CurrentStock]]-Table2[[#This Row],[ReorderLevel]],"")</f>
        <v/>
      </c>
      <c r="N2277" t="str">
        <f>IF(Table2[[#This Row],[Stock Gap]]&lt;0, "Understock","Okay")</f>
        <v>Okay</v>
      </c>
      <c r="O2277" s="13" t="str">
        <f>IF(Table2[[#This Row],[Stock Gap]]&lt;0, "Yes", "No")</f>
        <v>No</v>
      </c>
      <c r="P2277" s="13" t="str">
        <f>IF(Table2[[#This Row],[CurrentStock]]&lt;Table2[[#This Row],[ReorderLevel]],"Reorder", "Okay")</f>
        <v>Okay</v>
      </c>
      <c r="Q2277" s="13" t="str">
        <f>IF(Table2[[#This Row],[CurrentStock]]&gt;Table2[[#This Row],[ReorderLevel]]*3, "Overstock", "Okay")</f>
        <v>Overstock</v>
      </c>
    </row>
    <row r="2278" spans="1:17" x14ac:dyDescent="0.35">
      <c r="A2278">
        <v>72395</v>
      </c>
      <c r="B2278" t="s">
        <v>11</v>
      </c>
      <c r="C2278" t="s">
        <v>27</v>
      </c>
      <c r="D2278">
        <v>12</v>
      </c>
      <c r="E2278">
        <v>150</v>
      </c>
      <c r="F2278" s="2">
        <v>23.46</v>
      </c>
      <c r="G2278" t="s">
        <v>33</v>
      </c>
      <c r="H2278" s="1">
        <v>45400</v>
      </c>
      <c r="I2278" s="1">
        <v>45408</v>
      </c>
      <c r="J2278" t="s">
        <v>37</v>
      </c>
      <c r="K2278" s="8">
        <f>Table2[[#This Row],[CurrentStock]]*Table2[[#This Row],[UnitPrice]]</f>
        <v>281.52</v>
      </c>
      <c r="L2278" t="str">
        <f>IF(Table2[[#This Row],[CurrentStock]]&lt;=Table2[[#This Row],[ReorderLevel]], "Reorder Needed", "Okay")</f>
        <v>Reorder Needed</v>
      </c>
      <c r="M2278" s="7">
        <f>IF(Table2[[#This Row],[CurrentStock]]-Table2[[#This Row],[ReorderLevel]]&lt;0,Table2[[#This Row],[CurrentStock]]-Table2[[#This Row],[ReorderLevel]],"")</f>
        <v>-138</v>
      </c>
      <c r="N2278" t="str">
        <f>IF(Table2[[#This Row],[Stock Gap]]&lt;0, "Understock","Okay")</f>
        <v>Understock</v>
      </c>
      <c r="O2278" s="13" t="str">
        <f>IF(Table2[[#This Row],[Stock Gap]]&lt;0, "Yes", "No")</f>
        <v>Yes</v>
      </c>
      <c r="P2278" s="13" t="str">
        <f>IF(Table2[[#This Row],[CurrentStock]]&lt;Table2[[#This Row],[ReorderLevel]],"Reorder", "Okay")</f>
        <v>Reorder</v>
      </c>
      <c r="Q2278" s="13" t="str">
        <f>IF(Table2[[#This Row],[CurrentStock]]&gt;Table2[[#This Row],[ReorderLevel]]*3, "Overstock", "Okay")</f>
        <v>Okay</v>
      </c>
    </row>
    <row r="2279" spans="1:17" x14ac:dyDescent="0.35">
      <c r="A2279">
        <v>22003</v>
      </c>
      <c r="B2279" t="s">
        <v>22</v>
      </c>
      <c r="C2279" t="s">
        <v>29</v>
      </c>
      <c r="D2279">
        <v>43</v>
      </c>
      <c r="E2279">
        <v>100</v>
      </c>
      <c r="F2279" s="2">
        <v>471.09</v>
      </c>
      <c r="G2279" t="s">
        <v>35</v>
      </c>
      <c r="H2279" s="1">
        <v>45403</v>
      </c>
      <c r="I2279" s="1">
        <v>45438</v>
      </c>
      <c r="J2279" t="s">
        <v>36</v>
      </c>
      <c r="K2279" s="8">
        <f>Table2[[#This Row],[CurrentStock]]*Table2[[#This Row],[UnitPrice]]</f>
        <v>20256.87</v>
      </c>
      <c r="L2279" t="str">
        <f>IF(Table2[[#This Row],[CurrentStock]]&lt;=Table2[[#This Row],[ReorderLevel]], "Reorder Needed", "Okay")</f>
        <v>Reorder Needed</v>
      </c>
      <c r="M2279" s="7">
        <f>IF(Table2[[#This Row],[CurrentStock]]-Table2[[#This Row],[ReorderLevel]]&lt;0,Table2[[#This Row],[CurrentStock]]-Table2[[#This Row],[ReorderLevel]],"")</f>
        <v>-57</v>
      </c>
      <c r="N2279" t="str">
        <f>IF(Table2[[#This Row],[Stock Gap]]&lt;0, "Understock","Okay")</f>
        <v>Understock</v>
      </c>
      <c r="O2279" s="13" t="str">
        <f>IF(Table2[[#This Row],[Stock Gap]]&lt;0, "Yes", "No")</f>
        <v>Yes</v>
      </c>
      <c r="P2279" s="13" t="str">
        <f>IF(Table2[[#This Row],[CurrentStock]]&lt;Table2[[#This Row],[ReorderLevel]],"Reorder", "Okay")</f>
        <v>Reorder</v>
      </c>
      <c r="Q2279" s="13" t="str">
        <f>IF(Table2[[#This Row],[CurrentStock]]&gt;Table2[[#This Row],[ReorderLevel]]*3, "Overstock", "Okay")</f>
        <v>Okay</v>
      </c>
    </row>
    <row r="2280" spans="1:17" x14ac:dyDescent="0.35">
      <c r="A2280">
        <v>32098</v>
      </c>
      <c r="B2280" t="s">
        <v>14</v>
      </c>
      <c r="C2280" t="s">
        <v>28</v>
      </c>
      <c r="D2280">
        <v>265</v>
      </c>
      <c r="E2280">
        <v>20</v>
      </c>
      <c r="F2280" s="2">
        <v>291.06</v>
      </c>
      <c r="G2280" t="s">
        <v>33</v>
      </c>
      <c r="H2280" s="1">
        <v>45449</v>
      </c>
      <c r="I2280" s="1">
        <v>45460</v>
      </c>
      <c r="J2280" t="s">
        <v>38</v>
      </c>
      <c r="K2280" s="8">
        <f>Table2[[#This Row],[CurrentStock]]*Table2[[#This Row],[UnitPrice]]</f>
        <v>77130.899999999994</v>
      </c>
      <c r="L2280" t="str">
        <f>IF(Table2[[#This Row],[CurrentStock]]&lt;=Table2[[#This Row],[ReorderLevel]], "Reorder Needed", "Okay")</f>
        <v>Okay</v>
      </c>
      <c r="M2280" t="str">
        <f>IF(Table2[[#This Row],[CurrentStock]]-Table2[[#This Row],[ReorderLevel]]&lt;0,Table2[[#This Row],[CurrentStock]]-Table2[[#This Row],[ReorderLevel]],"")</f>
        <v/>
      </c>
      <c r="N2280" t="str">
        <f>IF(Table2[[#This Row],[Stock Gap]]&lt;0, "Understock","Okay")</f>
        <v>Okay</v>
      </c>
      <c r="O2280" s="13" t="str">
        <f>IF(Table2[[#This Row],[Stock Gap]]&lt;0, "Yes", "No")</f>
        <v>No</v>
      </c>
      <c r="P2280" s="13" t="str">
        <f>IF(Table2[[#This Row],[CurrentStock]]&lt;Table2[[#This Row],[ReorderLevel]],"Reorder", "Okay")</f>
        <v>Okay</v>
      </c>
      <c r="Q2280" s="13" t="str">
        <f>IF(Table2[[#This Row],[CurrentStock]]&gt;Table2[[#This Row],[ReorderLevel]]*3, "Overstock", "Okay")</f>
        <v>Overstock</v>
      </c>
    </row>
    <row r="2281" spans="1:17" x14ac:dyDescent="0.35">
      <c r="A2281">
        <v>69261</v>
      </c>
      <c r="B2281" t="s">
        <v>15</v>
      </c>
      <c r="C2281" t="s">
        <v>29</v>
      </c>
      <c r="D2281">
        <v>41</v>
      </c>
      <c r="E2281">
        <v>20</v>
      </c>
      <c r="F2281" s="2">
        <v>167.03</v>
      </c>
      <c r="G2281" t="s">
        <v>35</v>
      </c>
      <c r="H2281" s="1">
        <v>45577</v>
      </c>
      <c r="I2281" s="1">
        <v>45601</v>
      </c>
      <c r="J2281" t="s">
        <v>38</v>
      </c>
      <c r="K2281" s="8">
        <f>Table2[[#This Row],[CurrentStock]]*Table2[[#This Row],[UnitPrice]]</f>
        <v>6848.2300000000005</v>
      </c>
      <c r="L2281" t="str">
        <f>IF(Table2[[#This Row],[CurrentStock]]&lt;=Table2[[#This Row],[ReorderLevel]], "Reorder Needed", "Okay")</f>
        <v>Okay</v>
      </c>
      <c r="M2281" t="str">
        <f>IF(Table2[[#This Row],[CurrentStock]]-Table2[[#This Row],[ReorderLevel]]&lt;0,Table2[[#This Row],[CurrentStock]]-Table2[[#This Row],[ReorderLevel]],"")</f>
        <v/>
      </c>
      <c r="N2281" t="str">
        <f>IF(Table2[[#This Row],[Stock Gap]]&lt;0, "Understock","Okay")</f>
        <v>Okay</v>
      </c>
      <c r="O2281" s="13" t="str">
        <f>IF(Table2[[#This Row],[Stock Gap]]&lt;0, "Yes", "No")</f>
        <v>No</v>
      </c>
      <c r="P2281" s="13" t="str">
        <f>IF(Table2[[#This Row],[CurrentStock]]&lt;Table2[[#This Row],[ReorderLevel]],"Reorder", "Okay")</f>
        <v>Okay</v>
      </c>
      <c r="Q2281" s="13" t="str">
        <f>IF(Table2[[#This Row],[CurrentStock]]&gt;Table2[[#This Row],[ReorderLevel]]*3, "Overstock", "Okay")</f>
        <v>Okay</v>
      </c>
    </row>
    <row r="2282" spans="1:17" x14ac:dyDescent="0.35">
      <c r="A2282">
        <v>77561</v>
      </c>
      <c r="B2282" t="s">
        <v>18</v>
      </c>
      <c r="C2282" t="s">
        <v>27</v>
      </c>
      <c r="D2282">
        <v>260</v>
      </c>
      <c r="E2282">
        <v>30</v>
      </c>
      <c r="F2282" s="2">
        <v>50.25</v>
      </c>
      <c r="G2282" t="s">
        <v>35</v>
      </c>
      <c r="H2282" s="1">
        <v>45531</v>
      </c>
      <c r="I2282" s="1">
        <v>45562</v>
      </c>
      <c r="J2282" t="s">
        <v>37</v>
      </c>
      <c r="K2282" s="8">
        <f>Table2[[#This Row],[CurrentStock]]*Table2[[#This Row],[UnitPrice]]</f>
        <v>13065</v>
      </c>
      <c r="L2282" t="str">
        <f>IF(Table2[[#This Row],[CurrentStock]]&lt;=Table2[[#This Row],[ReorderLevel]], "Reorder Needed", "Okay")</f>
        <v>Okay</v>
      </c>
      <c r="M2282" t="str">
        <f>IF(Table2[[#This Row],[CurrentStock]]-Table2[[#This Row],[ReorderLevel]]&lt;0,Table2[[#This Row],[CurrentStock]]-Table2[[#This Row],[ReorderLevel]],"")</f>
        <v/>
      </c>
      <c r="N2282" t="str">
        <f>IF(Table2[[#This Row],[Stock Gap]]&lt;0, "Understock","Okay")</f>
        <v>Okay</v>
      </c>
      <c r="O2282" s="13" t="str">
        <f>IF(Table2[[#This Row],[Stock Gap]]&lt;0, "Yes", "No")</f>
        <v>No</v>
      </c>
      <c r="P2282" s="13" t="str">
        <f>IF(Table2[[#This Row],[CurrentStock]]&lt;Table2[[#This Row],[ReorderLevel]],"Reorder", "Okay")</f>
        <v>Okay</v>
      </c>
      <c r="Q2282" s="13" t="str">
        <f>IF(Table2[[#This Row],[CurrentStock]]&gt;Table2[[#This Row],[ReorderLevel]]*3, "Overstock", "Okay")</f>
        <v>Overstock</v>
      </c>
    </row>
    <row r="2283" spans="1:17" x14ac:dyDescent="0.35">
      <c r="A2283">
        <v>30221</v>
      </c>
      <c r="B2283" t="s">
        <v>15</v>
      </c>
      <c r="C2283" t="s">
        <v>29</v>
      </c>
      <c r="D2283">
        <v>50</v>
      </c>
      <c r="E2283">
        <v>30</v>
      </c>
      <c r="F2283" s="2">
        <v>321.68</v>
      </c>
      <c r="G2283" t="s">
        <v>33</v>
      </c>
      <c r="H2283" s="1">
        <v>45492</v>
      </c>
      <c r="I2283" s="1">
        <v>45507</v>
      </c>
      <c r="J2283" t="s">
        <v>38</v>
      </c>
      <c r="K2283" s="8">
        <f>Table2[[#This Row],[CurrentStock]]*Table2[[#This Row],[UnitPrice]]</f>
        <v>16084</v>
      </c>
      <c r="L2283" t="str">
        <f>IF(Table2[[#This Row],[CurrentStock]]&lt;=Table2[[#This Row],[ReorderLevel]], "Reorder Needed", "Okay")</f>
        <v>Okay</v>
      </c>
      <c r="M2283" t="str">
        <f>IF(Table2[[#This Row],[CurrentStock]]-Table2[[#This Row],[ReorderLevel]]&lt;0,Table2[[#This Row],[CurrentStock]]-Table2[[#This Row],[ReorderLevel]],"")</f>
        <v/>
      </c>
      <c r="N2283" t="str">
        <f>IF(Table2[[#This Row],[Stock Gap]]&lt;0, "Understock","Okay")</f>
        <v>Okay</v>
      </c>
      <c r="O2283" s="13" t="str">
        <f>IF(Table2[[#This Row],[Stock Gap]]&lt;0, "Yes", "No")</f>
        <v>No</v>
      </c>
      <c r="P2283" s="13" t="str">
        <f>IF(Table2[[#This Row],[CurrentStock]]&lt;Table2[[#This Row],[ReorderLevel]],"Reorder", "Okay")</f>
        <v>Okay</v>
      </c>
      <c r="Q2283" s="13" t="str">
        <f>IF(Table2[[#This Row],[CurrentStock]]&gt;Table2[[#This Row],[ReorderLevel]]*3, "Overstock", "Okay")</f>
        <v>Okay</v>
      </c>
    </row>
    <row r="2284" spans="1:17" x14ac:dyDescent="0.35">
      <c r="A2284">
        <v>41232</v>
      </c>
      <c r="B2284" t="s">
        <v>24</v>
      </c>
      <c r="C2284" t="s">
        <v>30</v>
      </c>
      <c r="D2284">
        <v>460</v>
      </c>
      <c r="E2284">
        <v>40</v>
      </c>
      <c r="F2284" s="2">
        <v>56.65</v>
      </c>
      <c r="G2284" t="s">
        <v>32</v>
      </c>
      <c r="H2284" s="1">
        <v>45397</v>
      </c>
      <c r="I2284" s="1">
        <v>45416</v>
      </c>
      <c r="J2284" t="s">
        <v>37</v>
      </c>
      <c r="K2284" s="8">
        <f>Table2[[#This Row],[CurrentStock]]*Table2[[#This Row],[UnitPrice]]</f>
        <v>26059</v>
      </c>
      <c r="L2284" t="str">
        <f>IF(Table2[[#This Row],[CurrentStock]]&lt;=Table2[[#This Row],[ReorderLevel]], "Reorder Needed", "Okay")</f>
        <v>Okay</v>
      </c>
      <c r="M2284" t="str">
        <f>IF(Table2[[#This Row],[CurrentStock]]-Table2[[#This Row],[ReorderLevel]]&lt;0,Table2[[#This Row],[CurrentStock]]-Table2[[#This Row],[ReorderLevel]],"")</f>
        <v/>
      </c>
      <c r="N2284" t="str">
        <f>IF(Table2[[#This Row],[Stock Gap]]&lt;0, "Understock","Okay")</f>
        <v>Okay</v>
      </c>
      <c r="O2284" s="13" t="str">
        <f>IF(Table2[[#This Row],[Stock Gap]]&lt;0, "Yes", "No")</f>
        <v>No</v>
      </c>
      <c r="P2284" s="13" t="str">
        <f>IF(Table2[[#This Row],[CurrentStock]]&lt;Table2[[#This Row],[ReorderLevel]],"Reorder", "Okay")</f>
        <v>Okay</v>
      </c>
      <c r="Q2284" s="13" t="str">
        <f>IF(Table2[[#This Row],[CurrentStock]]&gt;Table2[[#This Row],[ReorderLevel]]*3, "Overstock", "Okay")</f>
        <v>Overstock</v>
      </c>
    </row>
    <row r="2285" spans="1:17" x14ac:dyDescent="0.35">
      <c r="A2285">
        <v>99257</v>
      </c>
      <c r="B2285" t="s">
        <v>14</v>
      </c>
      <c r="C2285" t="s">
        <v>28</v>
      </c>
      <c r="D2285">
        <v>385</v>
      </c>
      <c r="E2285">
        <v>80</v>
      </c>
      <c r="F2285" s="2">
        <v>165.69</v>
      </c>
      <c r="G2285" t="s">
        <v>34</v>
      </c>
      <c r="H2285" s="1">
        <v>45585</v>
      </c>
      <c r="I2285" s="1">
        <v>45622</v>
      </c>
      <c r="J2285" t="s">
        <v>37</v>
      </c>
      <c r="K2285" s="8">
        <f>Table2[[#This Row],[CurrentStock]]*Table2[[#This Row],[UnitPrice]]</f>
        <v>63790.65</v>
      </c>
      <c r="L2285" t="str">
        <f>IF(Table2[[#This Row],[CurrentStock]]&lt;=Table2[[#This Row],[ReorderLevel]], "Reorder Needed", "Okay")</f>
        <v>Okay</v>
      </c>
      <c r="M2285" t="str">
        <f>IF(Table2[[#This Row],[CurrentStock]]-Table2[[#This Row],[ReorderLevel]]&lt;0,Table2[[#This Row],[CurrentStock]]-Table2[[#This Row],[ReorderLevel]],"")</f>
        <v/>
      </c>
      <c r="N2285" t="str">
        <f>IF(Table2[[#This Row],[Stock Gap]]&lt;0, "Understock","Okay")</f>
        <v>Okay</v>
      </c>
      <c r="O2285" s="13" t="str">
        <f>IF(Table2[[#This Row],[Stock Gap]]&lt;0, "Yes", "No")</f>
        <v>No</v>
      </c>
      <c r="P2285" s="13" t="str">
        <f>IF(Table2[[#This Row],[CurrentStock]]&lt;Table2[[#This Row],[ReorderLevel]],"Reorder", "Okay")</f>
        <v>Okay</v>
      </c>
      <c r="Q2285" s="13" t="str">
        <f>IF(Table2[[#This Row],[CurrentStock]]&gt;Table2[[#This Row],[ReorderLevel]]*3, "Overstock", "Okay")</f>
        <v>Overstock</v>
      </c>
    </row>
    <row r="2286" spans="1:17" x14ac:dyDescent="0.35">
      <c r="A2286">
        <v>21439</v>
      </c>
      <c r="B2286" t="s">
        <v>11</v>
      </c>
      <c r="C2286" t="s">
        <v>27</v>
      </c>
      <c r="D2286">
        <v>138</v>
      </c>
      <c r="E2286">
        <v>100</v>
      </c>
      <c r="F2286" s="2">
        <v>363.57</v>
      </c>
      <c r="G2286" t="s">
        <v>32</v>
      </c>
      <c r="H2286" s="1">
        <v>45348</v>
      </c>
      <c r="I2286" s="1">
        <v>45374</v>
      </c>
      <c r="J2286" t="s">
        <v>36</v>
      </c>
      <c r="K2286" s="8">
        <f>Table2[[#This Row],[CurrentStock]]*Table2[[#This Row],[UnitPrice]]</f>
        <v>50172.659999999996</v>
      </c>
      <c r="L2286" t="str">
        <f>IF(Table2[[#This Row],[CurrentStock]]&lt;=Table2[[#This Row],[ReorderLevel]], "Reorder Needed", "Okay")</f>
        <v>Okay</v>
      </c>
      <c r="M2286" t="str">
        <f>IF(Table2[[#This Row],[CurrentStock]]-Table2[[#This Row],[ReorderLevel]]&lt;0,Table2[[#This Row],[CurrentStock]]-Table2[[#This Row],[ReorderLevel]],"")</f>
        <v/>
      </c>
      <c r="N2286" t="str">
        <f>IF(Table2[[#This Row],[Stock Gap]]&lt;0, "Understock","Okay")</f>
        <v>Okay</v>
      </c>
      <c r="O2286" s="13" t="str">
        <f>IF(Table2[[#This Row],[Stock Gap]]&lt;0, "Yes", "No")</f>
        <v>No</v>
      </c>
      <c r="P2286" s="13" t="str">
        <f>IF(Table2[[#This Row],[CurrentStock]]&lt;Table2[[#This Row],[ReorderLevel]],"Reorder", "Okay")</f>
        <v>Okay</v>
      </c>
      <c r="Q2286" s="13" t="str">
        <f>IF(Table2[[#This Row],[CurrentStock]]&gt;Table2[[#This Row],[ReorderLevel]]*3, "Overstock", "Okay")</f>
        <v>Okay</v>
      </c>
    </row>
    <row r="2287" spans="1:17" x14ac:dyDescent="0.35">
      <c r="A2287">
        <v>72134</v>
      </c>
      <c r="B2287" t="s">
        <v>17</v>
      </c>
      <c r="C2287" t="s">
        <v>27</v>
      </c>
      <c r="D2287">
        <v>225</v>
      </c>
      <c r="E2287">
        <v>40</v>
      </c>
      <c r="F2287" s="2">
        <v>235.82</v>
      </c>
      <c r="G2287" t="s">
        <v>34</v>
      </c>
      <c r="H2287" s="1">
        <v>45318</v>
      </c>
      <c r="I2287" s="1">
        <v>45331</v>
      </c>
      <c r="J2287" t="s">
        <v>36</v>
      </c>
      <c r="K2287" s="8">
        <f>Table2[[#This Row],[CurrentStock]]*Table2[[#This Row],[UnitPrice]]</f>
        <v>53059.5</v>
      </c>
      <c r="L2287" t="str">
        <f>IF(Table2[[#This Row],[CurrentStock]]&lt;=Table2[[#This Row],[ReorderLevel]], "Reorder Needed", "Okay")</f>
        <v>Okay</v>
      </c>
      <c r="M2287" t="str">
        <f>IF(Table2[[#This Row],[CurrentStock]]-Table2[[#This Row],[ReorderLevel]]&lt;0,Table2[[#This Row],[CurrentStock]]-Table2[[#This Row],[ReorderLevel]],"")</f>
        <v/>
      </c>
      <c r="N2287" t="str">
        <f>IF(Table2[[#This Row],[Stock Gap]]&lt;0, "Understock","Okay")</f>
        <v>Okay</v>
      </c>
      <c r="O2287" s="13" t="str">
        <f>IF(Table2[[#This Row],[Stock Gap]]&lt;0, "Yes", "No")</f>
        <v>No</v>
      </c>
      <c r="P2287" s="13" t="str">
        <f>IF(Table2[[#This Row],[CurrentStock]]&lt;Table2[[#This Row],[ReorderLevel]],"Reorder", "Okay")</f>
        <v>Okay</v>
      </c>
      <c r="Q2287" s="13" t="str">
        <f>IF(Table2[[#This Row],[CurrentStock]]&gt;Table2[[#This Row],[ReorderLevel]]*3, "Overstock", "Okay")</f>
        <v>Overstock</v>
      </c>
    </row>
    <row r="2288" spans="1:17" x14ac:dyDescent="0.35">
      <c r="A2288">
        <v>52530</v>
      </c>
      <c r="B2288" t="s">
        <v>19</v>
      </c>
      <c r="C2288" t="s">
        <v>28</v>
      </c>
      <c r="D2288">
        <v>35</v>
      </c>
      <c r="E2288">
        <v>80</v>
      </c>
      <c r="F2288" s="2">
        <v>328.43</v>
      </c>
      <c r="G2288" t="s">
        <v>33</v>
      </c>
      <c r="H2288" s="1">
        <v>45575</v>
      </c>
      <c r="I2288" s="1">
        <v>45595</v>
      </c>
      <c r="J2288" t="s">
        <v>37</v>
      </c>
      <c r="K2288" s="8">
        <f>Table2[[#This Row],[CurrentStock]]*Table2[[#This Row],[UnitPrice]]</f>
        <v>11495.050000000001</v>
      </c>
      <c r="L2288" t="str">
        <f>IF(Table2[[#This Row],[CurrentStock]]&lt;=Table2[[#This Row],[ReorderLevel]], "Reorder Needed", "Okay")</f>
        <v>Reorder Needed</v>
      </c>
      <c r="M2288" s="7">
        <f>IF(Table2[[#This Row],[CurrentStock]]-Table2[[#This Row],[ReorderLevel]]&lt;0,Table2[[#This Row],[CurrentStock]]-Table2[[#This Row],[ReorderLevel]],"")</f>
        <v>-45</v>
      </c>
      <c r="N2288" t="str">
        <f>IF(Table2[[#This Row],[Stock Gap]]&lt;0, "Understock","Okay")</f>
        <v>Understock</v>
      </c>
      <c r="O2288" s="13" t="str">
        <f>IF(Table2[[#This Row],[Stock Gap]]&lt;0, "Yes", "No")</f>
        <v>Yes</v>
      </c>
      <c r="P2288" s="13" t="str">
        <f>IF(Table2[[#This Row],[CurrentStock]]&lt;Table2[[#This Row],[ReorderLevel]],"Reorder", "Okay")</f>
        <v>Reorder</v>
      </c>
      <c r="Q2288" s="13" t="str">
        <f>IF(Table2[[#This Row],[CurrentStock]]&gt;Table2[[#This Row],[ReorderLevel]]*3, "Overstock", "Okay")</f>
        <v>Okay</v>
      </c>
    </row>
    <row r="2289" spans="1:17" x14ac:dyDescent="0.35">
      <c r="A2289">
        <v>97519</v>
      </c>
      <c r="B2289" t="s">
        <v>15</v>
      </c>
      <c r="C2289" t="s">
        <v>29</v>
      </c>
      <c r="D2289">
        <v>440</v>
      </c>
      <c r="E2289">
        <v>80</v>
      </c>
      <c r="F2289" s="2">
        <v>388.2</v>
      </c>
      <c r="G2289" t="s">
        <v>31</v>
      </c>
      <c r="H2289" s="1">
        <v>45314</v>
      </c>
      <c r="I2289" s="1">
        <v>45324</v>
      </c>
      <c r="J2289" t="s">
        <v>37</v>
      </c>
      <c r="K2289" s="8">
        <f>Table2[[#This Row],[CurrentStock]]*Table2[[#This Row],[UnitPrice]]</f>
        <v>170808</v>
      </c>
      <c r="L2289" t="str">
        <f>IF(Table2[[#This Row],[CurrentStock]]&lt;=Table2[[#This Row],[ReorderLevel]], "Reorder Needed", "Okay")</f>
        <v>Okay</v>
      </c>
      <c r="M2289" t="str">
        <f>IF(Table2[[#This Row],[CurrentStock]]-Table2[[#This Row],[ReorderLevel]]&lt;0,Table2[[#This Row],[CurrentStock]]-Table2[[#This Row],[ReorderLevel]],"")</f>
        <v/>
      </c>
      <c r="N2289" t="str">
        <f>IF(Table2[[#This Row],[Stock Gap]]&lt;0, "Understock","Okay")</f>
        <v>Okay</v>
      </c>
      <c r="O2289" s="13" t="str">
        <f>IF(Table2[[#This Row],[Stock Gap]]&lt;0, "Yes", "No")</f>
        <v>No</v>
      </c>
      <c r="P2289" s="13" t="str">
        <f>IF(Table2[[#This Row],[CurrentStock]]&lt;Table2[[#This Row],[ReorderLevel]],"Reorder", "Okay")</f>
        <v>Okay</v>
      </c>
      <c r="Q2289" s="13" t="str">
        <f>IF(Table2[[#This Row],[CurrentStock]]&gt;Table2[[#This Row],[ReorderLevel]]*3, "Overstock", "Okay")</f>
        <v>Overstock</v>
      </c>
    </row>
    <row r="2290" spans="1:17" x14ac:dyDescent="0.35">
      <c r="A2290">
        <v>74713</v>
      </c>
      <c r="B2290" t="s">
        <v>24</v>
      </c>
      <c r="C2290" t="s">
        <v>30</v>
      </c>
      <c r="D2290">
        <v>152</v>
      </c>
      <c r="E2290">
        <v>20</v>
      </c>
      <c r="F2290" s="2">
        <v>109.57</v>
      </c>
      <c r="G2290" t="s">
        <v>34</v>
      </c>
      <c r="H2290" s="1">
        <v>45639</v>
      </c>
      <c r="I2290" s="1">
        <v>45654</v>
      </c>
      <c r="J2290" t="s">
        <v>36</v>
      </c>
      <c r="K2290" s="8">
        <f>Table2[[#This Row],[CurrentStock]]*Table2[[#This Row],[UnitPrice]]</f>
        <v>16654.64</v>
      </c>
      <c r="L2290" t="str">
        <f>IF(Table2[[#This Row],[CurrentStock]]&lt;=Table2[[#This Row],[ReorderLevel]], "Reorder Needed", "Okay")</f>
        <v>Okay</v>
      </c>
      <c r="M2290" t="str">
        <f>IF(Table2[[#This Row],[CurrentStock]]-Table2[[#This Row],[ReorderLevel]]&lt;0,Table2[[#This Row],[CurrentStock]]-Table2[[#This Row],[ReorderLevel]],"")</f>
        <v/>
      </c>
      <c r="N2290" t="str">
        <f>IF(Table2[[#This Row],[Stock Gap]]&lt;0, "Understock","Okay")</f>
        <v>Okay</v>
      </c>
      <c r="O2290" s="13" t="str">
        <f>IF(Table2[[#This Row],[Stock Gap]]&lt;0, "Yes", "No")</f>
        <v>No</v>
      </c>
      <c r="P2290" s="13" t="str">
        <f>IF(Table2[[#This Row],[CurrentStock]]&lt;Table2[[#This Row],[ReorderLevel]],"Reorder", "Okay")</f>
        <v>Okay</v>
      </c>
      <c r="Q2290" s="13" t="str">
        <f>IF(Table2[[#This Row],[CurrentStock]]&gt;Table2[[#This Row],[ReorderLevel]]*3, "Overstock", "Okay")</f>
        <v>Overstock</v>
      </c>
    </row>
    <row r="2291" spans="1:17" x14ac:dyDescent="0.35">
      <c r="A2291">
        <v>21955</v>
      </c>
      <c r="B2291" t="s">
        <v>18</v>
      </c>
      <c r="C2291" t="s">
        <v>27</v>
      </c>
      <c r="D2291">
        <v>69</v>
      </c>
      <c r="E2291">
        <v>30</v>
      </c>
      <c r="F2291" s="2">
        <v>171.25</v>
      </c>
      <c r="G2291" t="s">
        <v>34</v>
      </c>
      <c r="H2291" s="1">
        <v>45336</v>
      </c>
      <c r="I2291" s="1">
        <v>45368</v>
      </c>
      <c r="J2291" t="s">
        <v>37</v>
      </c>
      <c r="K2291" s="8">
        <f>Table2[[#This Row],[CurrentStock]]*Table2[[#This Row],[UnitPrice]]</f>
        <v>11816.25</v>
      </c>
      <c r="L2291" t="str">
        <f>IF(Table2[[#This Row],[CurrentStock]]&lt;=Table2[[#This Row],[ReorderLevel]], "Reorder Needed", "Okay")</f>
        <v>Okay</v>
      </c>
      <c r="M2291" t="str">
        <f>IF(Table2[[#This Row],[CurrentStock]]-Table2[[#This Row],[ReorderLevel]]&lt;0,Table2[[#This Row],[CurrentStock]]-Table2[[#This Row],[ReorderLevel]],"")</f>
        <v/>
      </c>
      <c r="N2291" t="str">
        <f>IF(Table2[[#This Row],[Stock Gap]]&lt;0, "Understock","Okay")</f>
        <v>Okay</v>
      </c>
      <c r="O2291" s="13" t="str">
        <f>IF(Table2[[#This Row],[Stock Gap]]&lt;0, "Yes", "No")</f>
        <v>No</v>
      </c>
      <c r="P2291" s="13" t="str">
        <f>IF(Table2[[#This Row],[CurrentStock]]&lt;Table2[[#This Row],[ReorderLevel]],"Reorder", "Okay")</f>
        <v>Okay</v>
      </c>
      <c r="Q2291" s="13" t="str">
        <f>IF(Table2[[#This Row],[CurrentStock]]&gt;Table2[[#This Row],[ReorderLevel]]*3, "Overstock", "Okay")</f>
        <v>Okay</v>
      </c>
    </row>
    <row r="2292" spans="1:17" x14ac:dyDescent="0.35">
      <c r="A2292">
        <v>77959</v>
      </c>
      <c r="B2292" t="s">
        <v>25</v>
      </c>
      <c r="C2292" t="s">
        <v>29</v>
      </c>
      <c r="D2292">
        <v>370</v>
      </c>
      <c r="E2292">
        <v>40</v>
      </c>
      <c r="F2292" s="2">
        <v>452.14</v>
      </c>
      <c r="G2292" t="s">
        <v>34</v>
      </c>
      <c r="H2292" s="1">
        <v>45331</v>
      </c>
      <c r="I2292" s="1">
        <v>45360</v>
      </c>
      <c r="J2292" t="s">
        <v>38</v>
      </c>
      <c r="K2292" s="8">
        <f>Table2[[#This Row],[CurrentStock]]*Table2[[#This Row],[UnitPrice]]</f>
        <v>167291.79999999999</v>
      </c>
      <c r="L2292" t="str">
        <f>IF(Table2[[#This Row],[CurrentStock]]&lt;=Table2[[#This Row],[ReorderLevel]], "Reorder Needed", "Okay")</f>
        <v>Okay</v>
      </c>
      <c r="M2292" t="str">
        <f>IF(Table2[[#This Row],[CurrentStock]]-Table2[[#This Row],[ReorderLevel]]&lt;0,Table2[[#This Row],[CurrentStock]]-Table2[[#This Row],[ReorderLevel]],"")</f>
        <v/>
      </c>
      <c r="N2292" t="str">
        <f>IF(Table2[[#This Row],[Stock Gap]]&lt;0, "Understock","Okay")</f>
        <v>Okay</v>
      </c>
      <c r="O2292" s="13" t="str">
        <f>IF(Table2[[#This Row],[Stock Gap]]&lt;0, "Yes", "No")</f>
        <v>No</v>
      </c>
      <c r="P2292" s="13" t="str">
        <f>IF(Table2[[#This Row],[CurrentStock]]&lt;Table2[[#This Row],[ReorderLevel]],"Reorder", "Okay")</f>
        <v>Okay</v>
      </c>
      <c r="Q2292" s="13" t="str">
        <f>IF(Table2[[#This Row],[CurrentStock]]&gt;Table2[[#This Row],[ReorderLevel]]*3, "Overstock", "Okay")</f>
        <v>Overstock</v>
      </c>
    </row>
    <row r="2293" spans="1:17" x14ac:dyDescent="0.35">
      <c r="A2293">
        <v>25164</v>
      </c>
      <c r="B2293" t="s">
        <v>10</v>
      </c>
      <c r="C2293" t="s">
        <v>26</v>
      </c>
      <c r="D2293">
        <v>466</v>
      </c>
      <c r="E2293">
        <v>50</v>
      </c>
      <c r="F2293" s="2">
        <v>77.040000000000006</v>
      </c>
      <c r="G2293" t="s">
        <v>33</v>
      </c>
      <c r="H2293" s="1">
        <v>45321</v>
      </c>
      <c r="I2293" s="1">
        <v>45335</v>
      </c>
      <c r="J2293" t="s">
        <v>38</v>
      </c>
      <c r="K2293" s="8">
        <f>Table2[[#This Row],[CurrentStock]]*Table2[[#This Row],[UnitPrice]]</f>
        <v>35900.639999999999</v>
      </c>
      <c r="L2293" t="str">
        <f>IF(Table2[[#This Row],[CurrentStock]]&lt;=Table2[[#This Row],[ReorderLevel]], "Reorder Needed", "Okay")</f>
        <v>Okay</v>
      </c>
      <c r="M2293" t="str">
        <f>IF(Table2[[#This Row],[CurrentStock]]-Table2[[#This Row],[ReorderLevel]]&lt;0,Table2[[#This Row],[CurrentStock]]-Table2[[#This Row],[ReorderLevel]],"")</f>
        <v/>
      </c>
      <c r="N2293" t="str">
        <f>IF(Table2[[#This Row],[Stock Gap]]&lt;0, "Understock","Okay")</f>
        <v>Okay</v>
      </c>
      <c r="O2293" s="13" t="str">
        <f>IF(Table2[[#This Row],[Stock Gap]]&lt;0, "Yes", "No")</f>
        <v>No</v>
      </c>
      <c r="P2293" s="13" t="str">
        <f>IF(Table2[[#This Row],[CurrentStock]]&lt;Table2[[#This Row],[ReorderLevel]],"Reorder", "Okay")</f>
        <v>Okay</v>
      </c>
      <c r="Q2293" s="13" t="str">
        <f>IF(Table2[[#This Row],[CurrentStock]]&gt;Table2[[#This Row],[ReorderLevel]]*3, "Overstock", "Okay")</f>
        <v>Overstock</v>
      </c>
    </row>
    <row r="2294" spans="1:17" x14ac:dyDescent="0.35">
      <c r="A2294">
        <v>53327</v>
      </c>
      <c r="B2294" t="s">
        <v>17</v>
      </c>
      <c r="C2294" t="s">
        <v>27</v>
      </c>
      <c r="D2294">
        <v>465</v>
      </c>
      <c r="E2294">
        <v>50</v>
      </c>
      <c r="F2294" s="2">
        <v>177.51</v>
      </c>
      <c r="G2294" t="s">
        <v>33</v>
      </c>
      <c r="H2294" s="1">
        <v>45382</v>
      </c>
      <c r="I2294" s="1">
        <v>45411</v>
      </c>
      <c r="J2294" t="s">
        <v>36</v>
      </c>
      <c r="K2294" s="8">
        <f>Table2[[#This Row],[CurrentStock]]*Table2[[#This Row],[UnitPrice]]</f>
        <v>82542.149999999994</v>
      </c>
      <c r="L2294" t="str">
        <f>IF(Table2[[#This Row],[CurrentStock]]&lt;=Table2[[#This Row],[ReorderLevel]], "Reorder Needed", "Okay")</f>
        <v>Okay</v>
      </c>
      <c r="M2294" t="str">
        <f>IF(Table2[[#This Row],[CurrentStock]]-Table2[[#This Row],[ReorderLevel]]&lt;0,Table2[[#This Row],[CurrentStock]]-Table2[[#This Row],[ReorderLevel]],"")</f>
        <v/>
      </c>
      <c r="N2294" t="str">
        <f>IF(Table2[[#This Row],[Stock Gap]]&lt;0, "Understock","Okay")</f>
        <v>Okay</v>
      </c>
      <c r="O2294" s="13" t="str">
        <f>IF(Table2[[#This Row],[Stock Gap]]&lt;0, "Yes", "No")</f>
        <v>No</v>
      </c>
      <c r="P2294" s="13" t="str">
        <f>IF(Table2[[#This Row],[CurrentStock]]&lt;Table2[[#This Row],[ReorderLevel]],"Reorder", "Okay")</f>
        <v>Okay</v>
      </c>
      <c r="Q2294" s="13" t="str">
        <f>IF(Table2[[#This Row],[CurrentStock]]&gt;Table2[[#This Row],[ReorderLevel]]*3, "Overstock", "Okay")</f>
        <v>Overstock</v>
      </c>
    </row>
    <row r="2295" spans="1:17" x14ac:dyDescent="0.35">
      <c r="A2295">
        <v>75167</v>
      </c>
      <c r="B2295" t="s">
        <v>23</v>
      </c>
      <c r="C2295" t="s">
        <v>30</v>
      </c>
      <c r="D2295">
        <v>336</v>
      </c>
      <c r="E2295">
        <v>40</v>
      </c>
      <c r="F2295" s="2">
        <v>488.41</v>
      </c>
      <c r="G2295" t="s">
        <v>35</v>
      </c>
      <c r="H2295" s="1">
        <v>45335</v>
      </c>
      <c r="I2295" s="1">
        <v>45351</v>
      </c>
      <c r="J2295" t="s">
        <v>36</v>
      </c>
      <c r="K2295" s="8">
        <f>Table2[[#This Row],[CurrentStock]]*Table2[[#This Row],[UnitPrice]]</f>
        <v>164105.76</v>
      </c>
      <c r="L2295" t="str">
        <f>IF(Table2[[#This Row],[CurrentStock]]&lt;=Table2[[#This Row],[ReorderLevel]], "Reorder Needed", "Okay")</f>
        <v>Okay</v>
      </c>
      <c r="M2295" t="str">
        <f>IF(Table2[[#This Row],[CurrentStock]]-Table2[[#This Row],[ReorderLevel]]&lt;0,Table2[[#This Row],[CurrentStock]]-Table2[[#This Row],[ReorderLevel]],"")</f>
        <v/>
      </c>
      <c r="N2295" t="str">
        <f>IF(Table2[[#This Row],[Stock Gap]]&lt;0, "Understock","Okay")</f>
        <v>Okay</v>
      </c>
      <c r="O2295" s="13" t="str">
        <f>IF(Table2[[#This Row],[Stock Gap]]&lt;0, "Yes", "No")</f>
        <v>No</v>
      </c>
      <c r="P2295" s="13" t="str">
        <f>IF(Table2[[#This Row],[CurrentStock]]&lt;Table2[[#This Row],[ReorderLevel]],"Reorder", "Okay")</f>
        <v>Okay</v>
      </c>
      <c r="Q2295" s="13" t="str">
        <f>IF(Table2[[#This Row],[CurrentStock]]&gt;Table2[[#This Row],[ReorderLevel]]*3, "Overstock", "Okay")</f>
        <v>Overstock</v>
      </c>
    </row>
    <row r="2296" spans="1:17" x14ac:dyDescent="0.35">
      <c r="A2296">
        <v>46116</v>
      </c>
      <c r="B2296" t="s">
        <v>18</v>
      </c>
      <c r="C2296" t="s">
        <v>27</v>
      </c>
      <c r="D2296">
        <v>188</v>
      </c>
      <c r="E2296">
        <v>150</v>
      </c>
      <c r="F2296" s="2">
        <v>286.97000000000003</v>
      </c>
      <c r="G2296" t="s">
        <v>32</v>
      </c>
      <c r="H2296" s="1">
        <v>45587</v>
      </c>
      <c r="I2296" s="1">
        <v>45618</v>
      </c>
      <c r="J2296" t="s">
        <v>38</v>
      </c>
      <c r="K2296" s="8">
        <f>Table2[[#This Row],[CurrentStock]]*Table2[[#This Row],[UnitPrice]]</f>
        <v>53950.360000000008</v>
      </c>
      <c r="L2296" t="str">
        <f>IF(Table2[[#This Row],[CurrentStock]]&lt;=Table2[[#This Row],[ReorderLevel]], "Reorder Needed", "Okay")</f>
        <v>Okay</v>
      </c>
      <c r="M2296" t="str">
        <f>IF(Table2[[#This Row],[CurrentStock]]-Table2[[#This Row],[ReorderLevel]]&lt;0,Table2[[#This Row],[CurrentStock]]-Table2[[#This Row],[ReorderLevel]],"")</f>
        <v/>
      </c>
      <c r="N2296" t="str">
        <f>IF(Table2[[#This Row],[Stock Gap]]&lt;0, "Understock","Okay")</f>
        <v>Okay</v>
      </c>
      <c r="O2296" s="13" t="str">
        <f>IF(Table2[[#This Row],[Stock Gap]]&lt;0, "Yes", "No")</f>
        <v>No</v>
      </c>
      <c r="P2296" s="13" t="str">
        <f>IF(Table2[[#This Row],[CurrentStock]]&lt;Table2[[#This Row],[ReorderLevel]],"Reorder", "Okay")</f>
        <v>Okay</v>
      </c>
      <c r="Q2296" s="13" t="str">
        <f>IF(Table2[[#This Row],[CurrentStock]]&gt;Table2[[#This Row],[ReorderLevel]]*3, "Overstock", "Okay")</f>
        <v>Okay</v>
      </c>
    </row>
    <row r="2297" spans="1:17" x14ac:dyDescent="0.35">
      <c r="A2297">
        <v>78345</v>
      </c>
      <c r="B2297" t="s">
        <v>23</v>
      </c>
      <c r="C2297" t="s">
        <v>30</v>
      </c>
      <c r="D2297">
        <v>387</v>
      </c>
      <c r="E2297">
        <v>40</v>
      </c>
      <c r="F2297" s="2">
        <v>111.67</v>
      </c>
      <c r="G2297" t="s">
        <v>32</v>
      </c>
      <c r="H2297" s="1">
        <v>45518</v>
      </c>
      <c r="I2297" s="1">
        <v>45525</v>
      </c>
      <c r="J2297" t="s">
        <v>38</v>
      </c>
      <c r="K2297" s="8">
        <f>Table2[[#This Row],[CurrentStock]]*Table2[[#This Row],[UnitPrice]]</f>
        <v>43216.29</v>
      </c>
      <c r="L2297" t="str">
        <f>IF(Table2[[#This Row],[CurrentStock]]&lt;=Table2[[#This Row],[ReorderLevel]], "Reorder Needed", "Okay")</f>
        <v>Okay</v>
      </c>
      <c r="M2297" t="str">
        <f>IF(Table2[[#This Row],[CurrentStock]]-Table2[[#This Row],[ReorderLevel]]&lt;0,Table2[[#This Row],[CurrentStock]]-Table2[[#This Row],[ReorderLevel]],"")</f>
        <v/>
      </c>
      <c r="N2297" t="str">
        <f>IF(Table2[[#This Row],[Stock Gap]]&lt;0, "Understock","Okay")</f>
        <v>Okay</v>
      </c>
      <c r="O2297" s="13" t="str">
        <f>IF(Table2[[#This Row],[Stock Gap]]&lt;0, "Yes", "No")</f>
        <v>No</v>
      </c>
      <c r="P2297" s="13" t="str">
        <f>IF(Table2[[#This Row],[CurrentStock]]&lt;Table2[[#This Row],[ReorderLevel]],"Reorder", "Okay")</f>
        <v>Okay</v>
      </c>
      <c r="Q2297" s="13" t="str">
        <f>IF(Table2[[#This Row],[CurrentStock]]&gt;Table2[[#This Row],[ReorderLevel]]*3, "Overstock", "Okay")</f>
        <v>Overstock</v>
      </c>
    </row>
    <row r="2298" spans="1:17" x14ac:dyDescent="0.35">
      <c r="A2298">
        <v>92049</v>
      </c>
      <c r="B2298" t="s">
        <v>14</v>
      </c>
      <c r="C2298" t="s">
        <v>28</v>
      </c>
      <c r="D2298">
        <v>55</v>
      </c>
      <c r="E2298">
        <v>40</v>
      </c>
      <c r="F2298" s="2">
        <v>263.74</v>
      </c>
      <c r="G2298" t="s">
        <v>32</v>
      </c>
      <c r="H2298" s="1">
        <v>45325</v>
      </c>
      <c r="I2298" s="1">
        <v>45331</v>
      </c>
      <c r="J2298" t="s">
        <v>37</v>
      </c>
      <c r="K2298" s="8">
        <f>Table2[[#This Row],[CurrentStock]]*Table2[[#This Row],[UnitPrice]]</f>
        <v>14505.7</v>
      </c>
      <c r="L2298" t="str">
        <f>IF(Table2[[#This Row],[CurrentStock]]&lt;=Table2[[#This Row],[ReorderLevel]], "Reorder Needed", "Okay")</f>
        <v>Okay</v>
      </c>
      <c r="M2298" t="str">
        <f>IF(Table2[[#This Row],[CurrentStock]]-Table2[[#This Row],[ReorderLevel]]&lt;0,Table2[[#This Row],[CurrentStock]]-Table2[[#This Row],[ReorderLevel]],"")</f>
        <v/>
      </c>
      <c r="N2298" t="str">
        <f>IF(Table2[[#This Row],[Stock Gap]]&lt;0, "Understock","Okay")</f>
        <v>Okay</v>
      </c>
      <c r="O2298" s="13" t="str">
        <f>IF(Table2[[#This Row],[Stock Gap]]&lt;0, "Yes", "No")</f>
        <v>No</v>
      </c>
      <c r="P2298" s="13" t="str">
        <f>IF(Table2[[#This Row],[CurrentStock]]&lt;Table2[[#This Row],[ReorderLevel]],"Reorder", "Okay")</f>
        <v>Okay</v>
      </c>
      <c r="Q2298" s="13" t="str">
        <f>IF(Table2[[#This Row],[CurrentStock]]&gt;Table2[[#This Row],[ReorderLevel]]*3, "Overstock", "Okay")</f>
        <v>Okay</v>
      </c>
    </row>
    <row r="2299" spans="1:17" x14ac:dyDescent="0.35">
      <c r="A2299">
        <v>88027</v>
      </c>
      <c r="B2299" t="s">
        <v>10</v>
      </c>
      <c r="C2299" t="s">
        <v>26</v>
      </c>
      <c r="D2299">
        <v>234</v>
      </c>
      <c r="E2299">
        <v>20</v>
      </c>
      <c r="F2299" s="2">
        <v>352.65</v>
      </c>
      <c r="G2299" t="s">
        <v>31</v>
      </c>
      <c r="H2299" s="1">
        <v>45372</v>
      </c>
      <c r="I2299" s="1">
        <v>45391</v>
      </c>
      <c r="J2299" t="s">
        <v>37</v>
      </c>
      <c r="K2299" s="8">
        <f>Table2[[#This Row],[CurrentStock]]*Table2[[#This Row],[UnitPrice]]</f>
        <v>82520.099999999991</v>
      </c>
      <c r="L2299" t="str">
        <f>IF(Table2[[#This Row],[CurrentStock]]&lt;=Table2[[#This Row],[ReorderLevel]], "Reorder Needed", "Okay")</f>
        <v>Okay</v>
      </c>
      <c r="M2299" t="str">
        <f>IF(Table2[[#This Row],[CurrentStock]]-Table2[[#This Row],[ReorderLevel]]&lt;0,Table2[[#This Row],[CurrentStock]]-Table2[[#This Row],[ReorderLevel]],"")</f>
        <v/>
      </c>
      <c r="N2299" t="str">
        <f>IF(Table2[[#This Row],[Stock Gap]]&lt;0, "Understock","Okay")</f>
        <v>Okay</v>
      </c>
      <c r="O2299" s="13" t="str">
        <f>IF(Table2[[#This Row],[Stock Gap]]&lt;0, "Yes", "No")</f>
        <v>No</v>
      </c>
      <c r="P2299" s="13" t="str">
        <f>IF(Table2[[#This Row],[CurrentStock]]&lt;Table2[[#This Row],[ReorderLevel]],"Reorder", "Okay")</f>
        <v>Okay</v>
      </c>
      <c r="Q2299" s="13" t="str">
        <f>IF(Table2[[#This Row],[CurrentStock]]&gt;Table2[[#This Row],[ReorderLevel]]*3, "Overstock", "Okay")</f>
        <v>Overstock</v>
      </c>
    </row>
    <row r="2300" spans="1:17" x14ac:dyDescent="0.35">
      <c r="A2300">
        <v>71713</v>
      </c>
      <c r="B2300" t="s">
        <v>20</v>
      </c>
      <c r="C2300" t="s">
        <v>30</v>
      </c>
      <c r="D2300">
        <v>143</v>
      </c>
      <c r="E2300">
        <v>30</v>
      </c>
      <c r="F2300" s="2">
        <v>89.72</v>
      </c>
      <c r="G2300" t="s">
        <v>33</v>
      </c>
      <c r="H2300" s="1">
        <v>45615</v>
      </c>
      <c r="I2300" s="1">
        <v>45626</v>
      </c>
      <c r="J2300" t="s">
        <v>36</v>
      </c>
      <c r="K2300" s="8">
        <f>Table2[[#This Row],[CurrentStock]]*Table2[[#This Row],[UnitPrice]]</f>
        <v>12829.96</v>
      </c>
      <c r="L2300" t="str">
        <f>IF(Table2[[#This Row],[CurrentStock]]&lt;=Table2[[#This Row],[ReorderLevel]], "Reorder Needed", "Okay")</f>
        <v>Okay</v>
      </c>
      <c r="M2300" t="str">
        <f>IF(Table2[[#This Row],[CurrentStock]]-Table2[[#This Row],[ReorderLevel]]&lt;0,Table2[[#This Row],[CurrentStock]]-Table2[[#This Row],[ReorderLevel]],"")</f>
        <v/>
      </c>
      <c r="N2300" t="str">
        <f>IF(Table2[[#This Row],[Stock Gap]]&lt;0, "Understock","Okay")</f>
        <v>Okay</v>
      </c>
      <c r="O2300" s="13" t="str">
        <f>IF(Table2[[#This Row],[Stock Gap]]&lt;0, "Yes", "No")</f>
        <v>No</v>
      </c>
      <c r="P2300" s="13" t="str">
        <f>IF(Table2[[#This Row],[CurrentStock]]&lt;Table2[[#This Row],[ReorderLevel]],"Reorder", "Okay")</f>
        <v>Okay</v>
      </c>
      <c r="Q2300" s="13" t="str">
        <f>IF(Table2[[#This Row],[CurrentStock]]&gt;Table2[[#This Row],[ReorderLevel]]*3, "Overstock", "Okay")</f>
        <v>Overstock</v>
      </c>
    </row>
    <row r="2301" spans="1:17" x14ac:dyDescent="0.35">
      <c r="A2301">
        <v>42481</v>
      </c>
      <c r="B2301" t="s">
        <v>15</v>
      </c>
      <c r="C2301" t="s">
        <v>29</v>
      </c>
      <c r="D2301">
        <v>316</v>
      </c>
      <c r="E2301">
        <v>40</v>
      </c>
      <c r="F2301" s="2">
        <v>420.31</v>
      </c>
      <c r="G2301" t="s">
        <v>32</v>
      </c>
      <c r="H2301" s="1">
        <v>45483</v>
      </c>
      <c r="I2301" s="1">
        <v>45504</v>
      </c>
      <c r="J2301" t="s">
        <v>38</v>
      </c>
      <c r="K2301" s="8">
        <f>Table2[[#This Row],[CurrentStock]]*Table2[[#This Row],[UnitPrice]]</f>
        <v>132817.96</v>
      </c>
      <c r="L2301" t="str">
        <f>IF(Table2[[#This Row],[CurrentStock]]&lt;=Table2[[#This Row],[ReorderLevel]], "Reorder Needed", "Okay")</f>
        <v>Okay</v>
      </c>
      <c r="M2301" t="str">
        <f>IF(Table2[[#This Row],[CurrentStock]]-Table2[[#This Row],[ReorderLevel]]&lt;0,Table2[[#This Row],[CurrentStock]]-Table2[[#This Row],[ReorderLevel]],"")</f>
        <v/>
      </c>
      <c r="N2301" t="str">
        <f>IF(Table2[[#This Row],[Stock Gap]]&lt;0, "Understock","Okay")</f>
        <v>Okay</v>
      </c>
      <c r="O2301" s="13" t="str">
        <f>IF(Table2[[#This Row],[Stock Gap]]&lt;0, "Yes", "No")</f>
        <v>No</v>
      </c>
      <c r="P2301" s="13" t="str">
        <f>IF(Table2[[#This Row],[CurrentStock]]&lt;Table2[[#This Row],[ReorderLevel]],"Reorder", "Okay")</f>
        <v>Okay</v>
      </c>
      <c r="Q2301" s="13" t="str">
        <f>IF(Table2[[#This Row],[CurrentStock]]&gt;Table2[[#This Row],[ReorderLevel]]*3, "Overstock", "Okay")</f>
        <v>Overstock</v>
      </c>
    </row>
    <row r="2302" spans="1:17" x14ac:dyDescent="0.35">
      <c r="A2302">
        <v>50149</v>
      </c>
      <c r="B2302" t="s">
        <v>10</v>
      </c>
      <c r="C2302" t="s">
        <v>26</v>
      </c>
      <c r="D2302">
        <v>162</v>
      </c>
      <c r="E2302">
        <v>40</v>
      </c>
      <c r="F2302" s="2">
        <v>333.59</v>
      </c>
      <c r="G2302" t="s">
        <v>34</v>
      </c>
      <c r="H2302" s="1">
        <v>45443</v>
      </c>
      <c r="I2302" s="1">
        <v>45449</v>
      </c>
      <c r="J2302" t="s">
        <v>36</v>
      </c>
      <c r="K2302" s="8">
        <f>Table2[[#This Row],[CurrentStock]]*Table2[[#This Row],[UnitPrice]]</f>
        <v>54041.579999999994</v>
      </c>
      <c r="L2302" t="str">
        <f>IF(Table2[[#This Row],[CurrentStock]]&lt;=Table2[[#This Row],[ReorderLevel]], "Reorder Needed", "Okay")</f>
        <v>Okay</v>
      </c>
      <c r="M2302" t="str">
        <f>IF(Table2[[#This Row],[CurrentStock]]-Table2[[#This Row],[ReorderLevel]]&lt;0,Table2[[#This Row],[CurrentStock]]-Table2[[#This Row],[ReorderLevel]],"")</f>
        <v/>
      </c>
      <c r="N2302" t="str">
        <f>IF(Table2[[#This Row],[Stock Gap]]&lt;0, "Understock","Okay")</f>
        <v>Okay</v>
      </c>
      <c r="O2302" s="13" t="str">
        <f>IF(Table2[[#This Row],[Stock Gap]]&lt;0, "Yes", "No")</f>
        <v>No</v>
      </c>
      <c r="P2302" s="13" t="str">
        <f>IF(Table2[[#This Row],[CurrentStock]]&lt;Table2[[#This Row],[ReorderLevel]],"Reorder", "Okay")</f>
        <v>Okay</v>
      </c>
      <c r="Q2302" s="13" t="str">
        <f>IF(Table2[[#This Row],[CurrentStock]]&gt;Table2[[#This Row],[ReorderLevel]]*3, "Overstock", "Okay")</f>
        <v>Overstock</v>
      </c>
    </row>
    <row r="2303" spans="1:17" x14ac:dyDescent="0.35">
      <c r="A2303">
        <v>44409</v>
      </c>
      <c r="B2303" t="s">
        <v>17</v>
      </c>
      <c r="C2303" t="s">
        <v>27</v>
      </c>
      <c r="D2303">
        <v>130</v>
      </c>
      <c r="E2303">
        <v>80</v>
      </c>
      <c r="F2303" s="2">
        <v>108.1</v>
      </c>
      <c r="G2303" t="s">
        <v>33</v>
      </c>
      <c r="H2303" s="1">
        <v>45310</v>
      </c>
      <c r="I2303" s="1">
        <v>45347</v>
      </c>
      <c r="J2303" t="s">
        <v>38</v>
      </c>
      <c r="K2303" s="8">
        <f>Table2[[#This Row],[CurrentStock]]*Table2[[#This Row],[UnitPrice]]</f>
        <v>14053</v>
      </c>
      <c r="L2303" t="str">
        <f>IF(Table2[[#This Row],[CurrentStock]]&lt;=Table2[[#This Row],[ReorderLevel]], "Reorder Needed", "Okay")</f>
        <v>Okay</v>
      </c>
      <c r="M2303" t="str">
        <f>IF(Table2[[#This Row],[CurrentStock]]-Table2[[#This Row],[ReorderLevel]]&lt;0,Table2[[#This Row],[CurrentStock]]-Table2[[#This Row],[ReorderLevel]],"")</f>
        <v/>
      </c>
      <c r="N2303" t="str">
        <f>IF(Table2[[#This Row],[Stock Gap]]&lt;0, "Understock","Okay")</f>
        <v>Okay</v>
      </c>
      <c r="O2303" s="13" t="str">
        <f>IF(Table2[[#This Row],[Stock Gap]]&lt;0, "Yes", "No")</f>
        <v>No</v>
      </c>
      <c r="P2303" s="13" t="str">
        <f>IF(Table2[[#This Row],[CurrentStock]]&lt;Table2[[#This Row],[ReorderLevel]],"Reorder", "Okay")</f>
        <v>Okay</v>
      </c>
      <c r="Q2303" s="13" t="str">
        <f>IF(Table2[[#This Row],[CurrentStock]]&gt;Table2[[#This Row],[ReorderLevel]]*3, "Overstock", "Okay")</f>
        <v>Okay</v>
      </c>
    </row>
    <row r="2304" spans="1:17" x14ac:dyDescent="0.35">
      <c r="A2304">
        <v>27864</v>
      </c>
      <c r="B2304" t="s">
        <v>20</v>
      </c>
      <c r="C2304" t="s">
        <v>30</v>
      </c>
      <c r="D2304">
        <v>412</v>
      </c>
      <c r="E2304">
        <v>150</v>
      </c>
      <c r="F2304" s="2">
        <v>167.54</v>
      </c>
      <c r="G2304" t="s">
        <v>32</v>
      </c>
      <c r="H2304" s="1">
        <v>45325</v>
      </c>
      <c r="I2304" s="1">
        <v>45359</v>
      </c>
      <c r="J2304" t="s">
        <v>37</v>
      </c>
      <c r="K2304" s="8">
        <f>Table2[[#This Row],[CurrentStock]]*Table2[[#This Row],[UnitPrice]]</f>
        <v>69026.48</v>
      </c>
      <c r="L2304" t="str">
        <f>IF(Table2[[#This Row],[CurrentStock]]&lt;=Table2[[#This Row],[ReorderLevel]], "Reorder Needed", "Okay")</f>
        <v>Okay</v>
      </c>
      <c r="M2304" t="str">
        <f>IF(Table2[[#This Row],[CurrentStock]]-Table2[[#This Row],[ReorderLevel]]&lt;0,Table2[[#This Row],[CurrentStock]]-Table2[[#This Row],[ReorderLevel]],"")</f>
        <v/>
      </c>
      <c r="N2304" t="str">
        <f>IF(Table2[[#This Row],[Stock Gap]]&lt;0, "Understock","Okay")</f>
        <v>Okay</v>
      </c>
      <c r="O2304" s="13" t="str">
        <f>IF(Table2[[#This Row],[Stock Gap]]&lt;0, "Yes", "No")</f>
        <v>No</v>
      </c>
      <c r="P2304" s="13" t="str">
        <f>IF(Table2[[#This Row],[CurrentStock]]&lt;Table2[[#This Row],[ReorderLevel]],"Reorder", "Okay")</f>
        <v>Okay</v>
      </c>
      <c r="Q2304" s="13" t="str">
        <f>IF(Table2[[#This Row],[CurrentStock]]&gt;Table2[[#This Row],[ReorderLevel]]*3, "Overstock", "Okay")</f>
        <v>Okay</v>
      </c>
    </row>
    <row r="2305" spans="1:17" x14ac:dyDescent="0.35">
      <c r="A2305">
        <v>44851</v>
      </c>
      <c r="B2305" t="s">
        <v>13</v>
      </c>
      <c r="C2305" t="s">
        <v>26</v>
      </c>
      <c r="D2305">
        <v>114</v>
      </c>
      <c r="E2305">
        <v>20</v>
      </c>
      <c r="F2305" s="2">
        <v>347.58</v>
      </c>
      <c r="G2305" t="s">
        <v>32</v>
      </c>
      <c r="H2305" s="1">
        <v>45366</v>
      </c>
      <c r="I2305" s="1">
        <v>45392</v>
      </c>
      <c r="J2305" t="s">
        <v>37</v>
      </c>
      <c r="K2305" s="8">
        <f>Table2[[#This Row],[CurrentStock]]*Table2[[#This Row],[UnitPrice]]</f>
        <v>39624.119999999995</v>
      </c>
      <c r="L2305" t="str">
        <f>IF(Table2[[#This Row],[CurrentStock]]&lt;=Table2[[#This Row],[ReorderLevel]], "Reorder Needed", "Okay")</f>
        <v>Okay</v>
      </c>
      <c r="M2305" t="str">
        <f>IF(Table2[[#This Row],[CurrentStock]]-Table2[[#This Row],[ReorderLevel]]&lt;0,Table2[[#This Row],[CurrentStock]]-Table2[[#This Row],[ReorderLevel]],"")</f>
        <v/>
      </c>
      <c r="N2305" t="str">
        <f>IF(Table2[[#This Row],[Stock Gap]]&lt;0, "Understock","Okay")</f>
        <v>Okay</v>
      </c>
      <c r="O2305" s="13" t="str">
        <f>IF(Table2[[#This Row],[Stock Gap]]&lt;0, "Yes", "No")</f>
        <v>No</v>
      </c>
      <c r="P2305" s="13" t="str">
        <f>IF(Table2[[#This Row],[CurrentStock]]&lt;Table2[[#This Row],[ReorderLevel]],"Reorder", "Okay")</f>
        <v>Okay</v>
      </c>
      <c r="Q2305" s="13" t="str">
        <f>IF(Table2[[#This Row],[CurrentStock]]&gt;Table2[[#This Row],[ReorderLevel]]*3, "Overstock", "Okay")</f>
        <v>Overstock</v>
      </c>
    </row>
    <row r="2306" spans="1:17" x14ac:dyDescent="0.35">
      <c r="A2306">
        <v>65803</v>
      </c>
      <c r="B2306" t="s">
        <v>23</v>
      </c>
      <c r="C2306" t="s">
        <v>30</v>
      </c>
      <c r="D2306">
        <v>187</v>
      </c>
      <c r="E2306">
        <v>150</v>
      </c>
      <c r="F2306" s="2">
        <v>95.73</v>
      </c>
      <c r="G2306" t="s">
        <v>32</v>
      </c>
      <c r="H2306" s="1">
        <v>45457</v>
      </c>
      <c r="I2306" s="1">
        <v>45486</v>
      </c>
      <c r="J2306" t="s">
        <v>38</v>
      </c>
      <c r="K2306" s="8">
        <f>Table2[[#This Row],[CurrentStock]]*Table2[[#This Row],[UnitPrice]]</f>
        <v>17901.510000000002</v>
      </c>
      <c r="L2306" t="str">
        <f>IF(Table2[[#This Row],[CurrentStock]]&lt;=Table2[[#This Row],[ReorderLevel]], "Reorder Needed", "Okay")</f>
        <v>Okay</v>
      </c>
      <c r="M2306" t="str">
        <f>IF(Table2[[#This Row],[CurrentStock]]-Table2[[#This Row],[ReorderLevel]]&lt;0,Table2[[#This Row],[CurrentStock]]-Table2[[#This Row],[ReorderLevel]],"")</f>
        <v/>
      </c>
      <c r="N2306" t="str">
        <f>IF(Table2[[#This Row],[Stock Gap]]&lt;0, "Understock","Okay")</f>
        <v>Okay</v>
      </c>
      <c r="O2306" s="13" t="str">
        <f>IF(Table2[[#This Row],[Stock Gap]]&lt;0, "Yes", "No")</f>
        <v>No</v>
      </c>
      <c r="P2306" s="13" t="str">
        <f>IF(Table2[[#This Row],[CurrentStock]]&lt;Table2[[#This Row],[ReorderLevel]],"Reorder", "Okay")</f>
        <v>Okay</v>
      </c>
      <c r="Q2306" s="13" t="str">
        <f>IF(Table2[[#This Row],[CurrentStock]]&gt;Table2[[#This Row],[ReorderLevel]]*3, "Overstock", "Okay")</f>
        <v>Okay</v>
      </c>
    </row>
    <row r="2307" spans="1:17" x14ac:dyDescent="0.35">
      <c r="A2307">
        <v>23068</v>
      </c>
      <c r="B2307" t="s">
        <v>17</v>
      </c>
      <c r="C2307" t="s">
        <v>27</v>
      </c>
      <c r="D2307">
        <v>171</v>
      </c>
      <c r="E2307">
        <v>80</v>
      </c>
      <c r="F2307" s="2">
        <v>163.52000000000001</v>
      </c>
      <c r="G2307" t="s">
        <v>32</v>
      </c>
      <c r="H2307" s="1">
        <v>45537</v>
      </c>
      <c r="I2307" s="1">
        <v>45558</v>
      </c>
      <c r="J2307" t="s">
        <v>37</v>
      </c>
      <c r="K2307" s="8">
        <f>Table2[[#This Row],[CurrentStock]]*Table2[[#This Row],[UnitPrice]]</f>
        <v>27961.920000000002</v>
      </c>
      <c r="L2307" t="str">
        <f>IF(Table2[[#This Row],[CurrentStock]]&lt;=Table2[[#This Row],[ReorderLevel]], "Reorder Needed", "Okay")</f>
        <v>Okay</v>
      </c>
      <c r="M2307" t="str">
        <f>IF(Table2[[#This Row],[CurrentStock]]-Table2[[#This Row],[ReorderLevel]]&lt;0,Table2[[#This Row],[CurrentStock]]-Table2[[#This Row],[ReorderLevel]],"")</f>
        <v/>
      </c>
      <c r="N2307" t="str">
        <f>IF(Table2[[#This Row],[Stock Gap]]&lt;0, "Understock","Okay")</f>
        <v>Okay</v>
      </c>
      <c r="O2307" s="13" t="str">
        <f>IF(Table2[[#This Row],[Stock Gap]]&lt;0, "Yes", "No")</f>
        <v>No</v>
      </c>
      <c r="P2307" s="13" t="str">
        <f>IF(Table2[[#This Row],[CurrentStock]]&lt;Table2[[#This Row],[ReorderLevel]],"Reorder", "Okay")</f>
        <v>Okay</v>
      </c>
      <c r="Q2307" s="13" t="str">
        <f>IF(Table2[[#This Row],[CurrentStock]]&gt;Table2[[#This Row],[ReorderLevel]]*3, "Overstock", "Okay")</f>
        <v>Okay</v>
      </c>
    </row>
    <row r="2308" spans="1:17" x14ac:dyDescent="0.35">
      <c r="A2308">
        <v>17089</v>
      </c>
      <c r="B2308" t="s">
        <v>20</v>
      </c>
      <c r="C2308" t="s">
        <v>30</v>
      </c>
      <c r="D2308">
        <v>257</v>
      </c>
      <c r="E2308">
        <v>150</v>
      </c>
      <c r="F2308" s="2">
        <v>453.02</v>
      </c>
      <c r="G2308" t="s">
        <v>32</v>
      </c>
      <c r="H2308" s="1">
        <v>45338</v>
      </c>
      <c r="I2308" s="1">
        <v>45367</v>
      </c>
      <c r="J2308" t="s">
        <v>36</v>
      </c>
      <c r="K2308" s="8">
        <f>Table2[[#This Row],[CurrentStock]]*Table2[[#This Row],[UnitPrice]]</f>
        <v>116426.14</v>
      </c>
      <c r="L2308" t="str">
        <f>IF(Table2[[#This Row],[CurrentStock]]&lt;=Table2[[#This Row],[ReorderLevel]], "Reorder Needed", "Okay")</f>
        <v>Okay</v>
      </c>
      <c r="M2308" t="str">
        <f>IF(Table2[[#This Row],[CurrentStock]]-Table2[[#This Row],[ReorderLevel]]&lt;0,Table2[[#This Row],[CurrentStock]]-Table2[[#This Row],[ReorderLevel]],"")</f>
        <v/>
      </c>
      <c r="N2308" t="str">
        <f>IF(Table2[[#This Row],[Stock Gap]]&lt;0, "Understock","Okay")</f>
        <v>Okay</v>
      </c>
      <c r="O2308" s="13" t="str">
        <f>IF(Table2[[#This Row],[Stock Gap]]&lt;0, "Yes", "No")</f>
        <v>No</v>
      </c>
      <c r="P2308" s="13" t="str">
        <f>IF(Table2[[#This Row],[CurrentStock]]&lt;Table2[[#This Row],[ReorderLevel]],"Reorder", "Okay")</f>
        <v>Okay</v>
      </c>
      <c r="Q2308" s="13" t="str">
        <f>IF(Table2[[#This Row],[CurrentStock]]&gt;Table2[[#This Row],[ReorderLevel]]*3, "Overstock", "Okay")</f>
        <v>Okay</v>
      </c>
    </row>
    <row r="2309" spans="1:17" x14ac:dyDescent="0.35">
      <c r="A2309">
        <v>26150</v>
      </c>
      <c r="B2309" t="s">
        <v>18</v>
      </c>
      <c r="C2309" t="s">
        <v>27</v>
      </c>
      <c r="D2309">
        <v>172</v>
      </c>
      <c r="E2309">
        <v>100</v>
      </c>
      <c r="F2309" s="2">
        <v>127.92</v>
      </c>
      <c r="G2309" t="s">
        <v>35</v>
      </c>
      <c r="H2309" s="1">
        <v>45534</v>
      </c>
      <c r="I2309" s="1">
        <v>45548</v>
      </c>
      <c r="J2309" t="s">
        <v>37</v>
      </c>
      <c r="K2309" s="8">
        <f>Table2[[#This Row],[CurrentStock]]*Table2[[#This Row],[UnitPrice]]</f>
        <v>22002.240000000002</v>
      </c>
      <c r="L2309" t="str">
        <f>IF(Table2[[#This Row],[CurrentStock]]&lt;=Table2[[#This Row],[ReorderLevel]], "Reorder Needed", "Okay")</f>
        <v>Okay</v>
      </c>
      <c r="M2309" t="str">
        <f>IF(Table2[[#This Row],[CurrentStock]]-Table2[[#This Row],[ReorderLevel]]&lt;0,Table2[[#This Row],[CurrentStock]]-Table2[[#This Row],[ReorderLevel]],"")</f>
        <v/>
      </c>
      <c r="N2309" t="str">
        <f>IF(Table2[[#This Row],[Stock Gap]]&lt;0, "Understock","Okay")</f>
        <v>Okay</v>
      </c>
      <c r="O2309" s="13" t="str">
        <f>IF(Table2[[#This Row],[Stock Gap]]&lt;0, "Yes", "No")</f>
        <v>No</v>
      </c>
      <c r="P2309" s="13" t="str">
        <f>IF(Table2[[#This Row],[CurrentStock]]&lt;Table2[[#This Row],[ReorderLevel]],"Reorder", "Okay")</f>
        <v>Okay</v>
      </c>
      <c r="Q2309" s="13" t="str">
        <f>IF(Table2[[#This Row],[CurrentStock]]&gt;Table2[[#This Row],[ReorderLevel]]*3, "Overstock", "Okay")</f>
        <v>Okay</v>
      </c>
    </row>
    <row r="2310" spans="1:17" x14ac:dyDescent="0.35">
      <c r="A2310">
        <v>33461</v>
      </c>
      <c r="B2310" t="s">
        <v>22</v>
      </c>
      <c r="C2310" t="s">
        <v>29</v>
      </c>
      <c r="D2310">
        <v>143</v>
      </c>
      <c r="E2310">
        <v>150</v>
      </c>
      <c r="F2310" s="2">
        <v>262.04000000000002</v>
      </c>
      <c r="G2310" t="s">
        <v>35</v>
      </c>
      <c r="H2310" s="1">
        <v>45524</v>
      </c>
      <c r="I2310" s="1">
        <v>45560</v>
      </c>
      <c r="J2310" t="s">
        <v>36</v>
      </c>
      <c r="K2310" s="8">
        <f>Table2[[#This Row],[CurrentStock]]*Table2[[#This Row],[UnitPrice]]</f>
        <v>37471.72</v>
      </c>
      <c r="L2310" t="str">
        <f>IF(Table2[[#This Row],[CurrentStock]]&lt;=Table2[[#This Row],[ReorderLevel]], "Reorder Needed", "Okay")</f>
        <v>Reorder Needed</v>
      </c>
      <c r="M2310" s="7">
        <f>IF(Table2[[#This Row],[CurrentStock]]-Table2[[#This Row],[ReorderLevel]]&lt;0,Table2[[#This Row],[CurrentStock]]-Table2[[#This Row],[ReorderLevel]],"")</f>
        <v>-7</v>
      </c>
      <c r="N2310" t="str">
        <f>IF(Table2[[#This Row],[Stock Gap]]&lt;0, "Understock","Okay")</f>
        <v>Understock</v>
      </c>
      <c r="O2310" s="13" t="str">
        <f>IF(Table2[[#This Row],[Stock Gap]]&lt;0, "Yes", "No")</f>
        <v>Yes</v>
      </c>
      <c r="P2310" s="13" t="str">
        <f>IF(Table2[[#This Row],[CurrentStock]]&lt;Table2[[#This Row],[ReorderLevel]],"Reorder", "Okay")</f>
        <v>Reorder</v>
      </c>
      <c r="Q2310" s="13" t="str">
        <f>IF(Table2[[#This Row],[CurrentStock]]&gt;Table2[[#This Row],[ReorderLevel]]*3, "Overstock", "Okay")</f>
        <v>Okay</v>
      </c>
    </row>
    <row r="2311" spans="1:17" x14ac:dyDescent="0.35">
      <c r="A2311">
        <v>90865</v>
      </c>
      <c r="B2311" t="s">
        <v>11</v>
      </c>
      <c r="C2311" t="s">
        <v>27</v>
      </c>
      <c r="D2311">
        <v>411</v>
      </c>
      <c r="E2311">
        <v>80</v>
      </c>
      <c r="F2311" s="2">
        <v>124.14</v>
      </c>
      <c r="G2311" t="s">
        <v>31</v>
      </c>
      <c r="H2311" s="1">
        <v>45548</v>
      </c>
      <c r="I2311" s="1">
        <v>45571</v>
      </c>
      <c r="J2311" t="s">
        <v>37</v>
      </c>
      <c r="K2311" s="8">
        <f>Table2[[#This Row],[CurrentStock]]*Table2[[#This Row],[UnitPrice]]</f>
        <v>51021.54</v>
      </c>
      <c r="L2311" t="str">
        <f>IF(Table2[[#This Row],[CurrentStock]]&lt;=Table2[[#This Row],[ReorderLevel]], "Reorder Needed", "Okay")</f>
        <v>Okay</v>
      </c>
      <c r="M2311" t="str">
        <f>IF(Table2[[#This Row],[CurrentStock]]-Table2[[#This Row],[ReorderLevel]]&lt;0,Table2[[#This Row],[CurrentStock]]-Table2[[#This Row],[ReorderLevel]],"")</f>
        <v/>
      </c>
      <c r="N2311" t="str">
        <f>IF(Table2[[#This Row],[Stock Gap]]&lt;0, "Understock","Okay")</f>
        <v>Okay</v>
      </c>
      <c r="O2311" s="13" t="str">
        <f>IF(Table2[[#This Row],[Stock Gap]]&lt;0, "Yes", "No")</f>
        <v>No</v>
      </c>
      <c r="P2311" s="13" t="str">
        <f>IF(Table2[[#This Row],[CurrentStock]]&lt;Table2[[#This Row],[ReorderLevel]],"Reorder", "Okay")</f>
        <v>Okay</v>
      </c>
      <c r="Q2311" s="13" t="str">
        <f>IF(Table2[[#This Row],[CurrentStock]]&gt;Table2[[#This Row],[ReorderLevel]]*3, "Overstock", "Okay")</f>
        <v>Overstock</v>
      </c>
    </row>
    <row r="2312" spans="1:17" x14ac:dyDescent="0.35">
      <c r="A2312">
        <v>87027</v>
      </c>
      <c r="B2312" t="s">
        <v>19</v>
      </c>
      <c r="C2312" t="s">
        <v>28</v>
      </c>
      <c r="D2312">
        <v>393</v>
      </c>
      <c r="E2312">
        <v>50</v>
      </c>
      <c r="F2312" s="2">
        <v>276.86</v>
      </c>
      <c r="G2312" t="s">
        <v>34</v>
      </c>
      <c r="H2312" s="1">
        <v>45542</v>
      </c>
      <c r="I2312" s="1">
        <v>45565</v>
      </c>
      <c r="J2312" t="s">
        <v>37</v>
      </c>
      <c r="K2312" s="8">
        <f>Table2[[#This Row],[CurrentStock]]*Table2[[#This Row],[UnitPrice]]</f>
        <v>108805.98000000001</v>
      </c>
      <c r="L2312" t="str">
        <f>IF(Table2[[#This Row],[CurrentStock]]&lt;=Table2[[#This Row],[ReorderLevel]], "Reorder Needed", "Okay")</f>
        <v>Okay</v>
      </c>
      <c r="M2312" t="str">
        <f>IF(Table2[[#This Row],[CurrentStock]]-Table2[[#This Row],[ReorderLevel]]&lt;0,Table2[[#This Row],[CurrentStock]]-Table2[[#This Row],[ReorderLevel]],"")</f>
        <v/>
      </c>
      <c r="N2312" t="str">
        <f>IF(Table2[[#This Row],[Stock Gap]]&lt;0, "Understock","Okay")</f>
        <v>Okay</v>
      </c>
      <c r="O2312" s="13" t="str">
        <f>IF(Table2[[#This Row],[Stock Gap]]&lt;0, "Yes", "No")</f>
        <v>No</v>
      </c>
      <c r="P2312" s="13" t="str">
        <f>IF(Table2[[#This Row],[CurrentStock]]&lt;Table2[[#This Row],[ReorderLevel]],"Reorder", "Okay")</f>
        <v>Okay</v>
      </c>
      <c r="Q2312" s="13" t="str">
        <f>IF(Table2[[#This Row],[CurrentStock]]&gt;Table2[[#This Row],[ReorderLevel]]*3, "Overstock", "Okay")</f>
        <v>Overstock</v>
      </c>
    </row>
    <row r="2313" spans="1:17" x14ac:dyDescent="0.35">
      <c r="A2313">
        <v>21356</v>
      </c>
      <c r="B2313" t="s">
        <v>12</v>
      </c>
      <c r="C2313" t="s">
        <v>28</v>
      </c>
      <c r="D2313">
        <v>144</v>
      </c>
      <c r="E2313">
        <v>150</v>
      </c>
      <c r="F2313" s="2">
        <v>93.47</v>
      </c>
      <c r="G2313" t="s">
        <v>34</v>
      </c>
      <c r="H2313" s="1">
        <v>45437</v>
      </c>
      <c r="I2313" s="1">
        <v>45447</v>
      </c>
      <c r="J2313" t="s">
        <v>38</v>
      </c>
      <c r="K2313" s="8">
        <f>Table2[[#This Row],[CurrentStock]]*Table2[[#This Row],[UnitPrice]]</f>
        <v>13459.68</v>
      </c>
      <c r="L2313" t="str">
        <f>IF(Table2[[#This Row],[CurrentStock]]&lt;=Table2[[#This Row],[ReorderLevel]], "Reorder Needed", "Okay")</f>
        <v>Reorder Needed</v>
      </c>
      <c r="M2313" s="7">
        <f>IF(Table2[[#This Row],[CurrentStock]]-Table2[[#This Row],[ReorderLevel]]&lt;0,Table2[[#This Row],[CurrentStock]]-Table2[[#This Row],[ReorderLevel]],"")</f>
        <v>-6</v>
      </c>
      <c r="N2313" t="str">
        <f>IF(Table2[[#This Row],[Stock Gap]]&lt;0, "Understock","Okay")</f>
        <v>Understock</v>
      </c>
      <c r="O2313" s="13" t="str">
        <f>IF(Table2[[#This Row],[Stock Gap]]&lt;0, "Yes", "No")</f>
        <v>Yes</v>
      </c>
      <c r="P2313" s="13" t="str">
        <f>IF(Table2[[#This Row],[CurrentStock]]&lt;Table2[[#This Row],[ReorderLevel]],"Reorder", "Okay")</f>
        <v>Reorder</v>
      </c>
      <c r="Q2313" s="13" t="str">
        <f>IF(Table2[[#This Row],[CurrentStock]]&gt;Table2[[#This Row],[ReorderLevel]]*3, "Overstock", "Okay")</f>
        <v>Okay</v>
      </c>
    </row>
    <row r="2314" spans="1:17" x14ac:dyDescent="0.35">
      <c r="A2314">
        <v>70217</v>
      </c>
      <c r="B2314" t="s">
        <v>19</v>
      </c>
      <c r="C2314" t="s">
        <v>28</v>
      </c>
      <c r="D2314">
        <v>315</v>
      </c>
      <c r="E2314">
        <v>50</v>
      </c>
      <c r="F2314" s="2">
        <v>293.89</v>
      </c>
      <c r="G2314" t="s">
        <v>35</v>
      </c>
      <c r="H2314" s="1">
        <v>45339</v>
      </c>
      <c r="I2314" s="1">
        <v>45367</v>
      </c>
      <c r="J2314" t="s">
        <v>37</v>
      </c>
      <c r="K2314" s="8">
        <f>Table2[[#This Row],[CurrentStock]]*Table2[[#This Row],[UnitPrice]]</f>
        <v>92575.349999999991</v>
      </c>
      <c r="L2314" t="str">
        <f>IF(Table2[[#This Row],[CurrentStock]]&lt;=Table2[[#This Row],[ReorderLevel]], "Reorder Needed", "Okay")</f>
        <v>Okay</v>
      </c>
      <c r="M2314" t="str">
        <f>IF(Table2[[#This Row],[CurrentStock]]-Table2[[#This Row],[ReorderLevel]]&lt;0,Table2[[#This Row],[CurrentStock]]-Table2[[#This Row],[ReorderLevel]],"")</f>
        <v/>
      </c>
      <c r="N2314" t="str">
        <f>IF(Table2[[#This Row],[Stock Gap]]&lt;0, "Understock","Okay")</f>
        <v>Okay</v>
      </c>
      <c r="O2314" s="13" t="str">
        <f>IF(Table2[[#This Row],[Stock Gap]]&lt;0, "Yes", "No")</f>
        <v>No</v>
      </c>
      <c r="P2314" s="13" t="str">
        <f>IF(Table2[[#This Row],[CurrentStock]]&lt;Table2[[#This Row],[ReorderLevel]],"Reorder", "Okay")</f>
        <v>Okay</v>
      </c>
      <c r="Q2314" s="13" t="str">
        <f>IF(Table2[[#This Row],[CurrentStock]]&gt;Table2[[#This Row],[ReorderLevel]]*3, "Overstock", "Okay")</f>
        <v>Overstock</v>
      </c>
    </row>
    <row r="2315" spans="1:17" x14ac:dyDescent="0.35">
      <c r="A2315">
        <v>45402</v>
      </c>
      <c r="B2315" t="s">
        <v>24</v>
      </c>
      <c r="C2315" t="s">
        <v>30</v>
      </c>
      <c r="D2315">
        <v>54</v>
      </c>
      <c r="E2315">
        <v>50</v>
      </c>
      <c r="F2315" s="2">
        <v>158.57</v>
      </c>
      <c r="G2315" t="s">
        <v>34</v>
      </c>
      <c r="H2315" s="1">
        <v>45409</v>
      </c>
      <c r="I2315" s="1">
        <v>45430</v>
      </c>
      <c r="J2315" t="s">
        <v>36</v>
      </c>
      <c r="K2315" s="8">
        <f>Table2[[#This Row],[CurrentStock]]*Table2[[#This Row],[UnitPrice]]</f>
        <v>8562.7799999999988</v>
      </c>
      <c r="L2315" t="str">
        <f>IF(Table2[[#This Row],[CurrentStock]]&lt;=Table2[[#This Row],[ReorderLevel]], "Reorder Needed", "Okay")</f>
        <v>Okay</v>
      </c>
      <c r="M2315" t="str">
        <f>IF(Table2[[#This Row],[CurrentStock]]-Table2[[#This Row],[ReorderLevel]]&lt;0,Table2[[#This Row],[CurrentStock]]-Table2[[#This Row],[ReorderLevel]],"")</f>
        <v/>
      </c>
      <c r="N2315" t="str">
        <f>IF(Table2[[#This Row],[Stock Gap]]&lt;0, "Understock","Okay")</f>
        <v>Okay</v>
      </c>
      <c r="O2315" s="13" t="str">
        <f>IF(Table2[[#This Row],[Stock Gap]]&lt;0, "Yes", "No")</f>
        <v>No</v>
      </c>
      <c r="P2315" s="13" t="str">
        <f>IF(Table2[[#This Row],[CurrentStock]]&lt;Table2[[#This Row],[ReorderLevel]],"Reorder", "Okay")</f>
        <v>Okay</v>
      </c>
      <c r="Q2315" s="13" t="str">
        <f>IF(Table2[[#This Row],[CurrentStock]]&gt;Table2[[#This Row],[ReorderLevel]]*3, "Overstock", "Okay")</f>
        <v>Okay</v>
      </c>
    </row>
    <row r="2316" spans="1:17" x14ac:dyDescent="0.35">
      <c r="A2316">
        <v>50194</v>
      </c>
      <c r="B2316" t="s">
        <v>10</v>
      </c>
      <c r="C2316" t="s">
        <v>26</v>
      </c>
      <c r="D2316">
        <v>45</v>
      </c>
      <c r="E2316">
        <v>50</v>
      </c>
      <c r="F2316" s="2">
        <v>270.77</v>
      </c>
      <c r="G2316" t="s">
        <v>31</v>
      </c>
      <c r="H2316" s="1">
        <v>45447</v>
      </c>
      <c r="I2316" s="1">
        <v>45484</v>
      </c>
      <c r="J2316" t="s">
        <v>38</v>
      </c>
      <c r="K2316" s="8">
        <f>Table2[[#This Row],[CurrentStock]]*Table2[[#This Row],[UnitPrice]]</f>
        <v>12184.65</v>
      </c>
      <c r="L2316" t="str">
        <f>IF(Table2[[#This Row],[CurrentStock]]&lt;=Table2[[#This Row],[ReorderLevel]], "Reorder Needed", "Okay")</f>
        <v>Reorder Needed</v>
      </c>
      <c r="M2316" s="7">
        <f>IF(Table2[[#This Row],[CurrentStock]]-Table2[[#This Row],[ReorderLevel]]&lt;0,Table2[[#This Row],[CurrentStock]]-Table2[[#This Row],[ReorderLevel]],"")</f>
        <v>-5</v>
      </c>
      <c r="N2316" t="str">
        <f>IF(Table2[[#This Row],[Stock Gap]]&lt;0, "Understock","Okay")</f>
        <v>Understock</v>
      </c>
      <c r="O2316" s="13" t="str">
        <f>IF(Table2[[#This Row],[Stock Gap]]&lt;0, "Yes", "No")</f>
        <v>Yes</v>
      </c>
      <c r="P2316" s="13" t="str">
        <f>IF(Table2[[#This Row],[CurrentStock]]&lt;Table2[[#This Row],[ReorderLevel]],"Reorder", "Okay")</f>
        <v>Reorder</v>
      </c>
      <c r="Q2316" s="13" t="str">
        <f>IF(Table2[[#This Row],[CurrentStock]]&gt;Table2[[#This Row],[ReorderLevel]]*3, "Overstock", "Okay")</f>
        <v>Okay</v>
      </c>
    </row>
    <row r="2317" spans="1:17" x14ac:dyDescent="0.35">
      <c r="A2317">
        <v>67872</v>
      </c>
      <c r="B2317" t="s">
        <v>19</v>
      </c>
      <c r="C2317" t="s">
        <v>28</v>
      </c>
      <c r="D2317">
        <v>57</v>
      </c>
      <c r="E2317">
        <v>100</v>
      </c>
      <c r="F2317" s="2">
        <v>379.73</v>
      </c>
      <c r="G2317" t="s">
        <v>33</v>
      </c>
      <c r="H2317" s="1">
        <v>45428</v>
      </c>
      <c r="I2317" s="1">
        <v>45451</v>
      </c>
      <c r="J2317" t="s">
        <v>37</v>
      </c>
      <c r="K2317" s="8">
        <f>Table2[[#This Row],[CurrentStock]]*Table2[[#This Row],[UnitPrice]]</f>
        <v>21644.61</v>
      </c>
      <c r="L2317" t="str">
        <f>IF(Table2[[#This Row],[CurrentStock]]&lt;=Table2[[#This Row],[ReorderLevel]], "Reorder Needed", "Okay")</f>
        <v>Reorder Needed</v>
      </c>
      <c r="M2317" s="7">
        <f>IF(Table2[[#This Row],[CurrentStock]]-Table2[[#This Row],[ReorderLevel]]&lt;0,Table2[[#This Row],[CurrentStock]]-Table2[[#This Row],[ReorderLevel]],"")</f>
        <v>-43</v>
      </c>
      <c r="N2317" t="str">
        <f>IF(Table2[[#This Row],[Stock Gap]]&lt;0, "Understock","Okay")</f>
        <v>Understock</v>
      </c>
      <c r="O2317" s="13" t="str">
        <f>IF(Table2[[#This Row],[Stock Gap]]&lt;0, "Yes", "No")</f>
        <v>Yes</v>
      </c>
      <c r="P2317" s="13" t="str">
        <f>IF(Table2[[#This Row],[CurrentStock]]&lt;Table2[[#This Row],[ReorderLevel]],"Reorder", "Okay")</f>
        <v>Reorder</v>
      </c>
      <c r="Q2317" s="13" t="str">
        <f>IF(Table2[[#This Row],[CurrentStock]]&gt;Table2[[#This Row],[ReorderLevel]]*3, "Overstock", "Okay")</f>
        <v>Okay</v>
      </c>
    </row>
    <row r="2318" spans="1:17" x14ac:dyDescent="0.35">
      <c r="A2318">
        <v>54935</v>
      </c>
      <c r="B2318" t="s">
        <v>11</v>
      </c>
      <c r="C2318" t="s">
        <v>27</v>
      </c>
      <c r="D2318">
        <v>143</v>
      </c>
      <c r="E2318">
        <v>80</v>
      </c>
      <c r="F2318" s="2">
        <v>395.41</v>
      </c>
      <c r="G2318" t="s">
        <v>33</v>
      </c>
      <c r="H2318" s="1">
        <v>45507</v>
      </c>
      <c r="I2318" s="1">
        <v>45545</v>
      </c>
      <c r="J2318" t="s">
        <v>36</v>
      </c>
      <c r="K2318" s="8">
        <f>Table2[[#This Row],[CurrentStock]]*Table2[[#This Row],[UnitPrice]]</f>
        <v>56543.630000000005</v>
      </c>
      <c r="L2318" t="str">
        <f>IF(Table2[[#This Row],[CurrentStock]]&lt;=Table2[[#This Row],[ReorderLevel]], "Reorder Needed", "Okay")</f>
        <v>Okay</v>
      </c>
      <c r="M2318" t="str">
        <f>IF(Table2[[#This Row],[CurrentStock]]-Table2[[#This Row],[ReorderLevel]]&lt;0,Table2[[#This Row],[CurrentStock]]-Table2[[#This Row],[ReorderLevel]],"")</f>
        <v/>
      </c>
      <c r="N2318" t="str">
        <f>IF(Table2[[#This Row],[Stock Gap]]&lt;0, "Understock","Okay")</f>
        <v>Okay</v>
      </c>
      <c r="O2318" s="13" t="str">
        <f>IF(Table2[[#This Row],[Stock Gap]]&lt;0, "Yes", "No")</f>
        <v>No</v>
      </c>
      <c r="P2318" s="13" t="str">
        <f>IF(Table2[[#This Row],[CurrentStock]]&lt;Table2[[#This Row],[ReorderLevel]],"Reorder", "Okay")</f>
        <v>Okay</v>
      </c>
      <c r="Q2318" s="13" t="str">
        <f>IF(Table2[[#This Row],[CurrentStock]]&gt;Table2[[#This Row],[ReorderLevel]]*3, "Overstock", "Okay")</f>
        <v>Okay</v>
      </c>
    </row>
    <row r="2319" spans="1:17" x14ac:dyDescent="0.35">
      <c r="A2319">
        <v>71407</v>
      </c>
      <c r="B2319" t="s">
        <v>10</v>
      </c>
      <c r="C2319" t="s">
        <v>26</v>
      </c>
      <c r="D2319">
        <v>265</v>
      </c>
      <c r="E2319">
        <v>50</v>
      </c>
      <c r="F2319" s="2">
        <v>38.54</v>
      </c>
      <c r="G2319" t="s">
        <v>31</v>
      </c>
      <c r="H2319" s="1">
        <v>45637</v>
      </c>
      <c r="I2319" s="1">
        <v>45656</v>
      </c>
      <c r="J2319" t="s">
        <v>37</v>
      </c>
      <c r="K2319" s="8">
        <f>Table2[[#This Row],[CurrentStock]]*Table2[[#This Row],[UnitPrice]]</f>
        <v>10213.1</v>
      </c>
      <c r="L2319" t="str">
        <f>IF(Table2[[#This Row],[CurrentStock]]&lt;=Table2[[#This Row],[ReorderLevel]], "Reorder Needed", "Okay")</f>
        <v>Okay</v>
      </c>
      <c r="M2319" t="str">
        <f>IF(Table2[[#This Row],[CurrentStock]]-Table2[[#This Row],[ReorderLevel]]&lt;0,Table2[[#This Row],[CurrentStock]]-Table2[[#This Row],[ReorderLevel]],"")</f>
        <v/>
      </c>
      <c r="N2319" t="str">
        <f>IF(Table2[[#This Row],[Stock Gap]]&lt;0, "Understock","Okay")</f>
        <v>Okay</v>
      </c>
      <c r="O2319" s="13" t="str">
        <f>IF(Table2[[#This Row],[Stock Gap]]&lt;0, "Yes", "No")</f>
        <v>No</v>
      </c>
      <c r="P2319" s="13" t="str">
        <f>IF(Table2[[#This Row],[CurrentStock]]&lt;Table2[[#This Row],[ReorderLevel]],"Reorder", "Okay")</f>
        <v>Okay</v>
      </c>
      <c r="Q2319" s="13" t="str">
        <f>IF(Table2[[#This Row],[CurrentStock]]&gt;Table2[[#This Row],[ReorderLevel]]*3, "Overstock", "Okay")</f>
        <v>Overstock</v>
      </c>
    </row>
    <row r="2320" spans="1:17" x14ac:dyDescent="0.35">
      <c r="A2320">
        <v>14225</v>
      </c>
      <c r="B2320" t="s">
        <v>9</v>
      </c>
      <c r="C2320" t="s">
        <v>26</v>
      </c>
      <c r="D2320">
        <v>200</v>
      </c>
      <c r="E2320">
        <v>40</v>
      </c>
      <c r="F2320" s="2">
        <v>298.27</v>
      </c>
      <c r="G2320" t="s">
        <v>31</v>
      </c>
      <c r="H2320" s="1">
        <v>45648</v>
      </c>
      <c r="I2320" s="1">
        <v>45661</v>
      </c>
      <c r="J2320" t="s">
        <v>38</v>
      </c>
      <c r="K2320" s="8">
        <f>Table2[[#This Row],[CurrentStock]]*Table2[[#This Row],[UnitPrice]]</f>
        <v>59654</v>
      </c>
      <c r="L2320" t="str">
        <f>IF(Table2[[#This Row],[CurrentStock]]&lt;=Table2[[#This Row],[ReorderLevel]], "Reorder Needed", "Okay")</f>
        <v>Okay</v>
      </c>
      <c r="M2320" t="str">
        <f>IF(Table2[[#This Row],[CurrentStock]]-Table2[[#This Row],[ReorderLevel]]&lt;0,Table2[[#This Row],[CurrentStock]]-Table2[[#This Row],[ReorderLevel]],"")</f>
        <v/>
      </c>
      <c r="N2320" t="str">
        <f>IF(Table2[[#This Row],[Stock Gap]]&lt;0, "Understock","Okay")</f>
        <v>Okay</v>
      </c>
      <c r="O2320" s="13" t="str">
        <f>IF(Table2[[#This Row],[Stock Gap]]&lt;0, "Yes", "No")</f>
        <v>No</v>
      </c>
      <c r="P2320" s="13" t="str">
        <f>IF(Table2[[#This Row],[CurrentStock]]&lt;Table2[[#This Row],[ReorderLevel]],"Reorder", "Okay")</f>
        <v>Okay</v>
      </c>
      <c r="Q2320" s="13" t="str">
        <f>IF(Table2[[#This Row],[CurrentStock]]&gt;Table2[[#This Row],[ReorderLevel]]*3, "Overstock", "Okay")</f>
        <v>Overstock</v>
      </c>
    </row>
    <row r="2321" spans="1:17" x14ac:dyDescent="0.35">
      <c r="A2321">
        <v>28989</v>
      </c>
      <c r="B2321" t="s">
        <v>16</v>
      </c>
      <c r="C2321" t="s">
        <v>29</v>
      </c>
      <c r="D2321">
        <v>431</v>
      </c>
      <c r="E2321">
        <v>80</v>
      </c>
      <c r="F2321" s="2">
        <v>40.049999999999997</v>
      </c>
      <c r="G2321" t="s">
        <v>35</v>
      </c>
      <c r="H2321" s="1">
        <v>45626</v>
      </c>
      <c r="I2321" s="1">
        <v>45644</v>
      </c>
      <c r="J2321" t="s">
        <v>38</v>
      </c>
      <c r="K2321" s="8">
        <f>Table2[[#This Row],[CurrentStock]]*Table2[[#This Row],[UnitPrice]]</f>
        <v>17261.55</v>
      </c>
      <c r="L2321" t="str">
        <f>IF(Table2[[#This Row],[CurrentStock]]&lt;=Table2[[#This Row],[ReorderLevel]], "Reorder Needed", "Okay")</f>
        <v>Okay</v>
      </c>
      <c r="M2321" t="str">
        <f>IF(Table2[[#This Row],[CurrentStock]]-Table2[[#This Row],[ReorderLevel]]&lt;0,Table2[[#This Row],[CurrentStock]]-Table2[[#This Row],[ReorderLevel]],"")</f>
        <v/>
      </c>
      <c r="N2321" t="str">
        <f>IF(Table2[[#This Row],[Stock Gap]]&lt;0, "Understock","Okay")</f>
        <v>Okay</v>
      </c>
      <c r="O2321" s="13" t="str">
        <f>IF(Table2[[#This Row],[Stock Gap]]&lt;0, "Yes", "No")</f>
        <v>No</v>
      </c>
      <c r="P2321" s="13" t="str">
        <f>IF(Table2[[#This Row],[CurrentStock]]&lt;Table2[[#This Row],[ReorderLevel]],"Reorder", "Okay")</f>
        <v>Okay</v>
      </c>
      <c r="Q2321" s="13" t="str">
        <f>IF(Table2[[#This Row],[CurrentStock]]&gt;Table2[[#This Row],[ReorderLevel]]*3, "Overstock", "Okay")</f>
        <v>Overstock</v>
      </c>
    </row>
    <row r="2322" spans="1:17" x14ac:dyDescent="0.35">
      <c r="A2322">
        <v>21055</v>
      </c>
      <c r="B2322" t="s">
        <v>11</v>
      </c>
      <c r="C2322" t="s">
        <v>27</v>
      </c>
      <c r="D2322">
        <v>336</v>
      </c>
      <c r="E2322">
        <v>40</v>
      </c>
      <c r="F2322" s="2">
        <v>148.72999999999999</v>
      </c>
      <c r="G2322" t="s">
        <v>34</v>
      </c>
      <c r="H2322" s="1">
        <v>45349</v>
      </c>
      <c r="I2322" s="1">
        <v>45377</v>
      </c>
      <c r="J2322" t="s">
        <v>36</v>
      </c>
      <c r="K2322" s="8">
        <f>Table2[[#This Row],[CurrentStock]]*Table2[[#This Row],[UnitPrice]]</f>
        <v>49973.279999999999</v>
      </c>
      <c r="L2322" t="str">
        <f>IF(Table2[[#This Row],[CurrentStock]]&lt;=Table2[[#This Row],[ReorderLevel]], "Reorder Needed", "Okay")</f>
        <v>Okay</v>
      </c>
      <c r="M2322" t="str">
        <f>IF(Table2[[#This Row],[CurrentStock]]-Table2[[#This Row],[ReorderLevel]]&lt;0,Table2[[#This Row],[CurrentStock]]-Table2[[#This Row],[ReorderLevel]],"")</f>
        <v/>
      </c>
      <c r="N2322" t="str">
        <f>IF(Table2[[#This Row],[Stock Gap]]&lt;0, "Understock","Okay")</f>
        <v>Okay</v>
      </c>
      <c r="O2322" s="13" t="str">
        <f>IF(Table2[[#This Row],[Stock Gap]]&lt;0, "Yes", "No")</f>
        <v>No</v>
      </c>
      <c r="P2322" s="13" t="str">
        <f>IF(Table2[[#This Row],[CurrentStock]]&lt;Table2[[#This Row],[ReorderLevel]],"Reorder", "Okay")</f>
        <v>Okay</v>
      </c>
      <c r="Q2322" s="13" t="str">
        <f>IF(Table2[[#This Row],[CurrentStock]]&gt;Table2[[#This Row],[ReorderLevel]]*3, "Overstock", "Okay")</f>
        <v>Overstock</v>
      </c>
    </row>
    <row r="2323" spans="1:17" x14ac:dyDescent="0.35">
      <c r="A2323">
        <v>83541</v>
      </c>
      <c r="B2323" t="s">
        <v>23</v>
      </c>
      <c r="C2323" t="s">
        <v>30</v>
      </c>
      <c r="D2323">
        <v>13</v>
      </c>
      <c r="E2323">
        <v>150</v>
      </c>
      <c r="F2323" s="2">
        <v>345.33</v>
      </c>
      <c r="G2323" t="s">
        <v>34</v>
      </c>
      <c r="H2323" s="1">
        <v>45436</v>
      </c>
      <c r="I2323" s="1">
        <v>45471</v>
      </c>
      <c r="J2323" t="s">
        <v>38</v>
      </c>
      <c r="K2323" s="8">
        <f>Table2[[#This Row],[CurrentStock]]*Table2[[#This Row],[UnitPrice]]</f>
        <v>4489.29</v>
      </c>
      <c r="L2323" t="str">
        <f>IF(Table2[[#This Row],[CurrentStock]]&lt;=Table2[[#This Row],[ReorderLevel]], "Reorder Needed", "Okay")</f>
        <v>Reorder Needed</v>
      </c>
      <c r="M2323" s="7">
        <f>IF(Table2[[#This Row],[CurrentStock]]-Table2[[#This Row],[ReorderLevel]]&lt;0,Table2[[#This Row],[CurrentStock]]-Table2[[#This Row],[ReorderLevel]],"")</f>
        <v>-137</v>
      </c>
      <c r="N2323" t="str">
        <f>IF(Table2[[#This Row],[Stock Gap]]&lt;0, "Understock","Okay")</f>
        <v>Understock</v>
      </c>
      <c r="O2323" s="13" t="str">
        <f>IF(Table2[[#This Row],[Stock Gap]]&lt;0, "Yes", "No")</f>
        <v>Yes</v>
      </c>
      <c r="P2323" s="13" t="str">
        <f>IF(Table2[[#This Row],[CurrentStock]]&lt;Table2[[#This Row],[ReorderLevel]],"Reorder", "Okay")</f>
        <v>Reorder</v>
      </c>
      <c r="Q2323" s="13" t="str">
        <f>IF(Table2[[#This Row],[CurrentStock]]&gt;Table2[[#This Row],[ReorderLevel]]*3, "Overstock", "Okay")</f>
        <v>Okay</v>
      </c>
    </row>
    <row r="2324" spans="1:17" x14ac:dyDescent="0.35">
      <c r="A2324">
        <v>29513</v>
      </c>
      <c r="B2324" t="s">
        <v>16</v>
      </c>
      <c r="C2324" t="s">
        <v>29</v>
      </c>
      <c r="D2324">
        <v>157</v>
      </c>
      <c r="E2324">
        <v>30</v>
      </c>
      <c r="F2324" s="2">
        <v>199.44</v>
      </c>
      <c r="G2324" t="s">
        <v>31</v>
      </c>
      <c r="H2324" s="1">
        <v>45610</v>
      </c>
      <c r="I2324" s="1">
        <v>45641</v>
      </c>
      <c r="J2324" t="s">
        <v>37</v>
      </c>
      <c r="K2324" s="8">
        <f>Table2[[#This Row],[CurrentStock]]*Table2[[#This Row],[UnitPrice]]</f>
        <v>31312.079999999998</v>
      </c>
      <c r="L2324" t="str">
        <f>IF(Table2[[#This Row],[CurrentStock]]&lt;=Table2[[#This Row],[ReorderLevel]], "Reorder Needed", "Okay")</f>
        <v>Okay</v>
      </c>
      <c r="M2324" t="str">
        <f>IF(Table2[[#This Row],[CurrentStock]]-Table2[[#This Row],[ReorderLevel]]&lt;0,Table2[[#This Row],[CurrentStock]]-Table2[[#This Row],[ReorderLevel]],"")</f>
        <v/>
      </c>
      <c r="N2324" t="str">
        <f>IF(Table2[[#This Row],[Stock Gap]]&lt;0, "Understock","Okay")</f>
        <v>Okay</v>
      </c>
      <c r="O2324" s="13" t="str">
        <f>IF(Table2[[#This Row],[Stock Gap]]&lt;0, "Yes", "No")</f>
        <v>No</v>
      </c>
      <c r="P2324" s="13" t="str">
        <f>IF(Table2[[#This Row],[CurrentStock]]&lt;Table2[[#This Row],[ReorderLevel]],"Reorder", "Okay")</f>
        <v>Okay</v>
      </c>
      <c r="Q2324" s="13" t="str">
        <f>IF(Table2[[#This Row],[CurrentStock]]&gt;Table2[[#This Row],[ReorderLevel]]*3, "Overstock", "Okay")</f>
        <v>Overstock</v>
      </c>
    </row>
    <row r="2325" spans="1:17" x14ac:dyDescent="0.35">
      <c r="A2325">
        <v>67194</v>
      </c>
      <c r="B2325" t="s">
        <v>15</v>
      </c>
      <c r="C2325" t="s">
        <v>29</v>
      </c>
      <c r="D2325">
        <v>486</v>
      </c>
      <c r="E2325">
        <v>150</v>
      </c>
      <c r="F2325" s="2">
        <v>137.97</v>
      </c>
      <c r="G2325" t="s">
        <v>32</v>
      </c>
      <c r="H2325" s="1">
        <v>45399</v>
      </c>
      <c r="I2325" s="1">
        <v>45418</v>
      </c>
      <c r="J2325" t="s">
        <v>37</v>
      </c>
      <c r="K2325" s="8">
        <f>Table2[[#This Row],[CurrentStock]]*Table2[[#This Row],[UnitPrice]]</f>
        <v>67053.42</v>
      </c>
      <c r="L2325" t="str">
        <f>IF(Table2[[#This Row],[CurrentStock]]&lt;=Table2[[#This Row],[ReorderLevel]], "Reorder Needed", "Okay")</f>
        <v>Okay</v>
      </c>
      <c r="M2325" t="str">
        <f>IF(Table2[[#This Row],[CurrentStock]]-Table2[[#This Row],[ReorderLevel]]&lt;0,Table2[[#This Row],[CurrentStock]]-Table2[[#This Row],[ReorderLevel]],"")</f>
        <v/>
      </c>
      <c r="N2325" t="str">
        <f>IF(Table2[[#This Row],[Stock Gap]]&lt;0, "Understock","Okay")</f>
        <v>Okay</v>
      </c>
      <c r="O2325" s="13" t="str">
        <f>IF(Table2[[#This Row],[Stock Gap]]&lt;0, "Yes", "No")</f>
        <v>No</v>
      </c>
      <c r="P2325" s="13" t="str">
        <f>IF(Table2[[#This Row],[CurrentStock]]&lt;Table2[[#This Row],[ReorderLevel]],"Reorder", "Okay")</f>
        <v>Okay</v>
      </c>
      <c r="Q2325" s="13" t="str">
        <f>IF(Table2[[#This Row],[CurrentStock]]&gt;Table2[[#This Row],[ReorderLevel]]*3, "Overstock", "Okay")</f>
        <v>Overstock</v>
      </c>
    </row>
    <row r="2326" spans="1:17" x14ac:dyDescent="0.35">
      <c r="A2326">
        <v>72054</v>
      </c>
      <c r="B2326" t="s">
        <v>19</v>
      </c>
      <c r="C2326" t="s">
        <v>28</v>
      </c>
      <c r="D2326">
        <v>57</v>
      </c>
      <c r="E2326">
        <v>150</v>
      </c>
      <c r="F2326" s="2">
        <v>117.51</v>
      </c>
      <c r="G2326" t="s">
        <v>31</v>
      </c>
      <c r="H2326" s="1">
        <v>45338</v>
      </c>
      <c r="I2326" s="1">
        <v>45354</v>
      </c>
      <c r="J2326" t="s">
        <v>36</v>
      </c>
      <c r="K2326" s="8">
        <f>Table2[[#This Row],[CurrentStock]]*Table2[[#This Row],[UnitPrice]]</f>
        <v>6698.0700000000006</v>
      </c>
      <c r="L2326" t="str">
        <f>IF(Table2[[#This Row],[CurrentStock]]&lt;=Table2[[#This Row],[ReorderLevel]], "Reorder Needed", "Okay")</f>
        <v>Reorder Needed</v>
      </c>
      <c r="M2326" s="7">
        <f>IF(Table2[[#This Row],[CurrentStock]]-Table2[[#This Row],[ReorderLevel]]&lt;0,Table2[[#This Row],[CurrentStock]]-Table2[[#This Row],[ReorderLevel]],"")</f>
        <v>-93</v>
      </c>
      <c r="N2326" t="str">
        <f>IF(Table2[[#This Row],[Stock Gap]]&lt;0, "Understock","Okay")</f>
        <v>Understock</v>
      </c>
      <c r="O2326" s="13" t="str">
        <f>IF(Table2[[#This Row],[Stock Gap]]&lt;0, "Yes", "No")</f>
        <v>Yes</v>
      </c>
      <c r="P2326" s="13" t="str">
        <f>IF(Table2[[#This Row],[CurrentStock]]&lt;Table2[[#This Row],[ReorderLevel]],"Reorder", "Okay")</f>
        <v>Reorder</v>
      </c>
      <c r="Q2326" s="13" t="str">
        <f>IF(Table2[[#This Row],[CurrentStock]]&gt;Table2[[#This Row],[ReorderLevel]]*3, "Overstock", "Okay")</f>
        <v>Okay</v>
      </c>
    </row>
    <row r="2327" spans="1:17" x14ac:dyDescent="0.35">
      <c r="A2327">
        <v>90635</v>
      </c>
      <c r="B2327" t="s">
        <v>19</v>
      </c>
      <c r="C2327" t="s">
        <v>28</v>
      </c>
      <c r="D2327">
        <v>386</v>
      </c>
      <c r="E2327">
        <v>80</v>
      </c>
      <c r="F2327" s="2">
        <v>145.38</v>
      </c>
      <c r="G2327" t="s">
        <v>32</v>
      </c>
      <c r="H2327" s="1">
        <v>45378</v>
      </c>
      <c r="I2327" s="1">
        <v>45408</v>
      </c>
      <c r="J2327" t="s">
        <v>36</v>
      </c>
      <c r="K2327" s="8">
        <f>Table2[[#This Row],[CurrentStock]]*Table2[[#This Row],[UnitPrice]]</f>
        <v>56116.68</v>
      </c>
      <c r="L2327" t="str">
        <f>IF(Table2[[#This Row],[CurrentStock]]&lt;=Table2[[#This Row],[ReorderLevel]], "Reorder Needed", "Okay")</f>
        <v>Okay</v>
      </c>
      <c r="M2327" t="str">
        <f>IF(Table2[[#This Row],[CurrentStock]]-Table2[[#This Row],[ReorderLevel]]&lt;0,Table2[[#This Row],[CurrentStock]]-Table2[[#This Row],[ReorderLevel]],"")</f>
        <v/>
      </c>
      <c r="N2327" t="str">
        <f>IF(Table2[[#This Row],[Stock Gap]]&lt;0, "Understock","Okay")</f>
        <v>Okay</v>
      </c>
      <c r="O2327" s="13" t="str">
        <f>IF(Table2[[#This Row],[Stock Gap]]&lt;0, "Yes", "No")</f>
        <v>No</v>
      </c>
      <c r="P2327" s="13" t="str">
        <f>IF(Table2[[#This Row],[CurrentStock]]&lt;Table2[[#This Row],[ReorderLevel]],"Reorder", "Okay")</f>
        <v>Okay</v>
      </c>
      <c r="Q2327" s="13" t="str">
        <f>IF(Table2[[#This Row],[CurrentStock]]&gt;Table2[[#This Row],[ReorderLevel]]*3, "Overstock", "Okay")</f>
        <v>Overstock</v>
      </c>
    </row>
    <row r="2328" spans="1:17" x14ac:dyDescent="0.35">
      <c r="A2328">
        <v>39063</v>
      </c>
      <c r="B2328" t="s">
        <v>10</v>
      </c>
      <c r="C2328" t="s">
        <v>26</v>
      </c>
      <c r="D2328">
        <v>425</v>
      </c>
      <c r="E2328">
        <v>150</v>
      </c>
      <c r="F2328" s="2">
        <v>415.88</v>
      </c>
      <c r="G2328" t="s">
        <v>32</v>
      </c>
      <c r="H2328" s="1">
        <v>45503</v>
      </c>
      <c r="I2328" s="1">
        <v>45527</v>
      </c>
      <c r="J2328" t="s">
        <v>36</v>
      </c>
      <c r="K2328" s="8">
        <f>Table2[[#This Row],[CurrentStock]]*Table2[[#This Row],[UnitPrice]]</f>
        <v>176749</v>
      </c>
      <c r="L2328" t="str">
        <f>IF(Table2[[#This Row],[CurrentStock]]&lt;=Table2[[#This Row],[ReorderLevel]], "Reorder Needed", "Okay")</f>
        <v>Okay</v>
      </c>
      <c r="M2328" t="str">
        <f>IF(Table2[[#This Row],[CurrentStock]]-Table2[[#This Row],[ReorderLevel]]&lt;0,Table2[[#This Row],[CurrentStock]]-Table2[[#This Row],[ReorderLevel]],"")</f>
        <v/>
      </c>
      <c r="N2328" t="str">
        <f>IF(Table2[[#This Row],[Stock Gap]]&lt;0, "Understock","Okay")</f>
        <v>Okay</v>
      </c>
      <c r="O2328" s="13" t="str">
        <f>IF(Table2[[#This Row],[Stock Gap]]&lt;0, "Yes", "No")</f>
        <v>No</v>
      </c>
      <c r="P2328" s="13" t="str">
        <f>IF(Table2[[#This Row],[CurrentStock]]&lt;Table2[[#This Row],[ReorderLevel]],"Reorder", "Okay")</f>
        <v>Okay</v>
      </c>
      <c r="Q2328" s="13" t="str">
        <f>IF(Table2[[#This Row],[CurrentStock]]&gt;Table2[[#This Row],[ReorderLevel]]*3, "Overstock", "Okay")</f>
        <v>Okay</v>
      </c>
    </row>
    <row r="2329" spans="1:17" x14ac:dyDescent="0.35">
      <c r="A2329">
        <v>25921</v>
      </c>
      <c r="B2329" t="s">
        <v>16</v>
      </c>
      <c r="C2329" t="s">
        <v>29</v>
      </c>
      <c r="D2329">
        <v>76</v>
      </c>
      <c r="E2329">
        <v>80</v>
      </c>
      <c r="F2329" s="2">
        <v>186.81</v>
      </c>
      <c r="G2329" t="s">
        <v>34</v>
      </c>
      <c r="H2329" s="1">
        <v>45464</v>
      </c>
      <c r="I2329" s="1">
        <v>45486</v>
      </c>
      <c r="J2329" t="s">
        <v>36</v>
      </c>
      <c r="K2329" s="8">
        <f>Table2[[#This Row],[CurrentStock]]*Table2[[#This Row],[UnitPrice]]</f>
        <v>14197.56</v>
      </c>
      <c r="L2329" t="str">
        <f>IF(Table2[[#This Row],[CurrentStock]]&lt;=Table2[[#This Row],[ReorderLevel]], "Reorder Needed", "Okay")</f>
        <v>Reorder Needed</v>
      </c>
      <c r="M2329" s="7">
        <f>IF(Table2[[#This Row],[CurrentStock]]-Table2[[#This Row],[ReorderLevel]]&lt;0,Table2[[#This Row],[CurrentStock]]-Table2[[#This Row],[ReorderLevel]],"")</f>
        <v>-4</v>
      </c>
      <c r="N2329" t="str">
        <f>IF(Table2[[#This Row],[Stock Gap]]&lt;0, "Understock","Okay")</f>
        <v>Understock</v>
      </c>
      <c r="O2329" s="13" t="str">
        <f>IF(Table2[[#This Row],[Stock Gap]]&lt;0, "Yes", "No")</f>
        <v>Yes</v>
      </c>
      <c r="P2329" s="13" t="str">
        <f>IF(Table2[[#This Row],[CurrentStock]]&lt;Table2[[#This Row],[ReorderLevel]],"Reorder", "Okay")</f>
        <v>Reorder</v>
      </c>
      <c r="Q2329" s="13" t="str">
        <f>IF(Table2[[#This Row],[CurrentStock]]&gt;Table2[[#This Row],[ReorderLevel]]*3, "Overstock", "Okay")</f>
        <v>Okay</v>
      </c>
    </row>
    <row r="2330" spans="1:17" x14ac:dyDescent="0.35">
      <c r="A2330">
        <v>21683</v>
      </c>
      <c r="B2330" t="s">
        <v>25</v>
      </c>
      <c r="C2330" t="s">
        <v>29</v>
      </c>
      <c r="D2330">
        <v>226</v>
      </c>
      <c r="E2330">
        <v>150</v>
      </c>
      <c r="F2330" s="2">
        <v>44.63</v>
      </c>
      <c r="G2330" t="s">
        <v>31</v>
      </c>
      <c r="H2330" s="1">
        <v>45490</v>
      </c>
      <c r="I2330" s="1">
        <v>45506</v>
      </c>
      <c r="J2330" t="s">
        <v>37</v>
      </c>
      <c r="K2330" s="8">
        <f>Table2[[#This Row],[CurrentStock]]*Table2[[#This Row],[UnitPrice]]</f>
        <v>10086.380000000001</v>
      </c>
      <c r="L2330" t="str">
        <f>IF(Table2[[#This Row],[CurrentStock]]&lt;=Table2[[#This Row],[ReorderLevel]], "Reorder Needed", "Okay")</f>
        <v>Okay</v>
      </c>
      <c r="M2330" t="str">
        <f>IF(Table2[[#This Row],[CurrentStock]]-Table2[[#This Row],[ReorderLevel]]&lt;0,Table2[[#This Row],[CurrentStock]]-Table2[[#This Row],[ReorderLevel]],"")</f>
        <v/>
      </c>
      <c r="N2330" t="str">
        <f>IF(Table2[[#This Row],[Stock Gap]]&lt;0, "Understock","Okay")</f>
        <v>Okay</v>
      </c>
      <c r="O2330" s="13" t="str">
        <f>IF(Table2[[#This Row],[Stock Gap]]&lt;0, "Yes", "No")</f>
        <v>No</v>
      </c>
      <c r="P2330" s="13" t="str">
        <f>IF(Table2[[#This Row],[CurrentStock]]&lt;Table2[[#This Row],[ReorderLevel]],"Reorder", "Okay")</f>
        <v>Okay</v>
      </c>
      <c r="Q2330" s="13" t="str">
        <f>IF(Table2[[#This Row],[CurrentStock]]&gt;Table2[[#This Row],[ReorderLevel]]*3, "Overstock", "Okay")</f>
        <v>Okay</v>
      </c>
    </row>
    <row r="2331" spans="1:17" x14ac:dyDescent="0.35">
      <c r="A2331">
        <v>58266</v>
      </c>
      <c r="B2331" t="s">
        <v>24</v>
      </c>
      <c r="C2331" t="s">
        <v>30</v>
      </c>
      <c r="D2331">
        <v>365</v>
      </c>
      <c r="E2331">
        <v>30</v>
      </c>
      <c r="F2331" s="2">
        <v>444.17</v>
      </c>
      <c r="G2331" t="s">
        <v>31</v>
      </c>
      <c r="H2331" s="1">
        <v>45424</v>
      </c>
      <c r="I2331" s="1">
        <v>45444</v>
      </c>
      <c r="J2331" t="s">
        <v>37</v>
      </c>
      <c r="K2331" s="8">
        <f>Table2[[#This Row],[CurrentStock]]*Table2[[#This Row],[UnitPrice]]</f>
        <v>162122.05000000002</v>
      </c>
      <c r="L2331" t="str">
        <f>IF(Table2[[#This Row],[CurrentStock]]&lt;=Table2[[#This Row],[ReorderLevel]], "Reorder Needed", "Okay")</f>
        <v>Okay</v>
      </c>
      <c r="M2331" t="str">
        <f>IF(Table2[[#This Row],[CurrentStock]]-Table2[[#This Row],[ReorderLevel]]&lt;0,Table2[[#This Row],[CurrentStock]]-Table2[[#This Row],[ReorderLevel]],"")</f>
        <v/>
      </c>
      <c r="N2331" t="str">
        <f>IF(Table2[[#This Row],[Stock Gap]]&lt;0, "Understock","Okay")</f>
        <v>Okay</v>
      </c>
      <c r="O2331" s="13" t="str">
        <f>IF(Table2[[#This Row],[Stock Gap]]&lt;0, "Yes", "No")</f>
        <v>No</v>
      </c>
      <c r="P2331" s="13" t="str">
        <f>IF(Table2[[#This Row],[CurrentStock]]&lt;Table2[[#This Row],[ReorderLevel]],"Reorder", "Okay")</f>
        <v>Okay</v>
      </c>
      <c r="Q2331" s="13" t="str">
        <f>IF(Table2[[#This Row],[CurrentStock]]&gt;Table2[[#This Row],[ReorderLevel]]*3, "Overstock", "Okay")</f>
        <v>Overstock</v>
      </c>
    </row>
    <row r="2332" spans="1:17" x14ac:dyDescent="0.35">
      <c r="A2332">
        <v>60411</v>
      </c>
      <c r="B2332" t="s">
        <v>24</v>
      </c>
      <c r="C2332" t="s">
        <v>30</v>
      </c>
      <c r="D2332">
        <v>118</v>
      </c>
      <c r="E2332">
        <v>30</v>
      </c>
      <c r="F2332" s="2">
        <v>364.87</v>
      </c>
      <c r="G2332" t="s">
        <v>31</v>
      </c>
      <c r="H2332" s="1">
        <v>45429</v>
      </c>
      <c r="I2332" s="1">
        <v>45451</v>
      </c>
      <c r="J2332" t="s">
        <v>38</v>
      </c>
      <c r="K2332" s="8">
        <f>Table2[[#This Row],[CurrentStock]]*Table2[[#This Row],[UnitPrice]]</f>
        <v>43054.66</v>
      </c>
      <c r="L2332" t="str">
        <f>IF(Table2[[#This Row],[CurrentStock]]&lt;=Table2[[#This Row],[ReorderLevel]], "Reorder Needed", "Okay")</f>
        <v>Okay</v>
      </c>
      <c r="M2332" t="str">
        <f>IF(Table2[[#This Row],[CurrentStock]]-Table2[[#This Row],[ReorderLevel]]&lt;0,Table2[[#This Row],[CurrentStock]]-Table2[[#This Row],[ReorderLevel]],"")</f>
        <v/>
      </c>
      <c r="N2332" t="str">
        <f>IF(Table2[[#This Row],[Stock Gap]]&lt;0, "Understock","Okay")</f>
        <v>Okay</v>
      </c>
      <c r="O2332" s="13" t="str">
        <f>IF(Table2[[#This Row],[Stock Gap]]&lt;0, "Yes", "No")</f>
        <v>No</v>
      </c>
      <c r="P2332" s="13" t="str">
        <f>IF(Table2[[#This Row],[CurrentStock]]&lt;Table2[[#This Row],[ReorderLevel]],"Reorder", "Okay")</f>
        <v>Okay</v>
      </c>
      <c r="Q2332" s="13" t="str">
        <f>IF(Table2[[#This Row],[CurrentStock]]&gt;Table2[[#This Row],[ReorderLevel]]*3, "Overstock", "Okay")</f>
        <v>Overstock</v>
      </c>
    </row>
    <row r="2333" spans="1:17" x14ac:dyDescent="0.35">
      <c r="A2333">
        <v>83694</v>
      </c>
      <c r="B2333" t="s">
        <v>12</v>
      </c>
      <c r="C2333" t="s">
        <v>28</v>
      </c>
      <c r="D2333">
        <v>115</v>
      </c>
      <c r="E2333">
        <v>40</v>
      </c>
      <c r="F2333" s="2">
        <v>174.3</v>
      </c>
      <c r="G2333" t="s">
        <v>32</v>
      </c>
      <c r="H2333" s="1">
        <v>45492</v>
      </c>
      <c r="I2333" s="1">
        <v>45518</v>
      </c>
      <c r="J2333" t="s">
        <v>36</v>
      </c>
      <c r="K2333" s="8">
        <f>Table2[[#This Row],[CurrentStock]]*Table2[[#This Row],[UnitPrice]]</f>
        <v>20044.5</v>
      </c>
      <c r="L2333" t="str">
        <f>IF(Table2[[#This Row],[CurrentStock]]&lt;=Table2[[#This Row],[ReorderLevel]], "Reorder Needed", "Okay")</f>
        <v>Okay</v>
      </c>
      <c r="M2333" t="str">
        <f>IF(Table2[[#This Row],[CurrentStock]]-Table2[[#This Row],[ReorderLevel]]&lt;0,Table2[[#This Row],[CurrentStock]]-Table2[[#This Row],[ReorderLevel]],"")</f>
        <v/>
      </c>
      <c r="N2333" t="str">
        <f>IF(Table2[[#This Row],[Stock Gap]]&lt;0, "Understock","Okay")</f>
        <v>Okay</v>
      </c>
      <c r="O2333" s="13" t="str">
        <f>IF(Table2[[#This Row],[Stock Gap]]&lt;0, "Yes", "No")</f>
        <v>No</v>
      </c>
      <c r="P2333" s="13" t="str">
        <f>IF(Table2[[#This Row],[CurrentStock]]&lt;Table2[[#This Row],[ReorderLevel]],"Reorder", "Okay")</f>
        <v>Okay</v>
      </c>
      <c r="Q2333" s="13" t="str">
        <f>IF(Table2[[#This Row],[CurrentStock]]&gt;Table2[[#This Row],[ReorderLevel]]*3, "Overstock", "Okay")</f>
        <v>Okay</v>
      </c>
    </row>
    <row r="2334" spans="1:17" x14ac:dyDescent="0.35">
      <c r="A2334">
        <v>27301</v>
      </c>
      <c r="B2334" t="s">
        <v>24</v>
      </c>
      <c r="C2334" t="s">
        <v>30</v>
      </c>
      <c r="D2334">
        <v>129</v>
      </c>
      <c r="E2334">
        <v>80</v>
      </c>
      <c r="F2334" s="2">
        <v>314.19</v>
      </c>
      <c r="G2334" t="s">
        <v>33</v>
      </c>
      <c r="H2334" s="1">
        <v>45456</v>
      </c>
      <c r="I2334" s="1">
        <v>45467</v>
      </c>
      <c r="J2334" t="s">
        <v>38</v>
      </c>
      <c r="K2334" s="8">
        <f>Table2[[#This Row],[CurrentStock]]*Table2[[#This Row],[UnitPrice]]</f>
        <v>40530.51</v>
      </c>
      <c r="L2334" t="str">
        <f>IF(Table2[[#This Row],[CurrentStock]]&lt;=Table2[[#This Row],[ReorderLevel]], "Reorder Needed", "Okay")</f>
        <v>Okay</v>
      </c>
      <c r="M2334" t="str">
        <f>IF(Table2[[#This Row],[CurrentStock]]-Table2[[#This Row],[ReorderLevel]]&lt;0,Table2[[#This Row],[CurrentStock]]-Table2[[#This Row],[ReorderLevel]],"")</f>
        <v/>
      </c>
      <c r="N2334" t="str">
        <f>IF(Table2[[#This Row],[Stock Gap]]&lt;0, "Understock","Okay")</f>
        <v>Okay</v>
      </c>
      <c r="O2334" s="13" t="str">
        <f>IF(Table2[[#This Row],[Stock Gap]]&lt;0, "Yes", "No")</f>
        <v>No</v>
      </c>
      <c r="P2334" s="13" t="str">
        <f>IF(Table2[[#This Row],[CurrentStock]]&lt;Table2[[#This Row],[ReorderLevel]],"Reorder", "Okay")</f>
        <v>Okay</v>
      </c>
      <c r="Q2334" s="13" t="str">
        <f>IF(Table2[[#This Row],[CurrentStock]]&gt;Table2[[#This Row],[ReorderLevel]]*3, "Overstock", "Okay")</f>
        <v>Okay</v>
      </c>
    </row>
    <row r="2335" spans="1:17" x14ac:dyDescent="0.35">
      <c r="A2335">
        <v>48751</v>
      </c>
      <c r="B2335" t="s">
        <v>24</v>
      </c>
      <c r="C2335" t="s">
        <v>30</v>
      </c>
      <c r="D2335">
        <v>427</v>
      </c>
      <c r="E2335">
        <v>30</v>
      </c>
      <c r="F2335" s="2">
        <v>97.28</v>
      </c>
      <c r="G2335" t="s">
        <v>34</v>
      </c>
      <c r="H2335" s="1">
        <v>45538</v>
      </c>
      <c r="I2335" s="1">
        <v>45557</v>
      </c>
      <c r="J2335" t="s">
        <v>36</v>
      </c>
      <c r="K2335" s="8">
        <f>Table2[[#This Row],[CurrentStock]]*Table2[[#This Row],[UnitPrice]]</f>
        <v>41538.559999999998</v>
      </c>
      <c r="L2335" t="str">
        <f>IF(Table2[[#This Row],[CurrentStock]]&lt;=Table2[[#This Row],[ReorderLevel]], "Reorder Needed", "Okay")</f>
        <v>Okay</v>
      </c>
      <c r="M2335" t="str">
        <f>IF(Table2[[#This Row],[CurrentStock]]-Table2[[#This Row],[ReorderLevel]]&lt;0,Table2[[#This Row],[CurrentStock]]-Table2[[#This Row],[ReorderLevel]],"")</f>
        <v/>
      </c>
      <c r="N2335" t="str">
        <f>IF(Table2[[#This Row],[Stock Gap]]&lt;0, "Understock","Okay")</f>
        <v>Okay</v>
      </c>
      <c r="O2335" s="13" t="str">
        <f>IF(Table2[[#This Row],[Stock Gap]]&lt;0, "Yes", "No")</f>
        <v>No</v>
      </c>
      <c r="P2335" s="13" t="str">
        <f>IF(Table2[[#This Row],[CurrentStock]]&lt;Table2[[#This Row],[ReorderLevel]],"Reorder", "Okay")</f>
        <v>Okay</v>
      </c>
      <c r="Q2335" s="13" t="str">
        <f>IF(Table2[[#This Row],[CurrentStock]]&gt;Table2[[#This Row],[ReorderLevel]]*3, "Overstock", "Okay")</f>
        <v>Overstock</v>
      </c>
    </row>
    <row r="2336" spans="1:17" x14ac:dyDescent="0.35">
      <c r="A2336">
        <v>66782</v>
      </c>
      <c r="B2336" t="s">
        <v>15</v>
      </c>
      <c r="C2336" t="s">
        <v>29</v>
      </c>
      <c r="D2336">
        <v>238</v>
      </c>
      <c r="E2336">
        <v>30</v>
      </c>
      <c r="F2336" s="2">
        <v>46.17</v>
      </c>
      <c r="G2336" t="s">
        <v>34</v>
      </c>
      <c r="H2336" s="1">
        <v>45376</v>
      </c>
      <c r="I2336" s="1">
        <v>45392</v>
      </c>
      <c r="J2336" t="s">
        <v>38</v>
      </c>
      <c r="K2336" s="8">
        <f>Table2[[#This Row],[CurrentStock]]*Table2[[#This Row],[UnitPrice]]</f>
        <v>10988.460000000001</v>
      </c>
      <c r="L2336" t="str">
        <f>IF(Table2[[#This Row],[CurrentStock]]&lt;=Table2[[#This Row],[ReorderLevel]], "Reorder Needed", "Okay")</f>
        <v>Okay</v>
      </c>
      <c r="M2336" t="str">
        <f>IF(Table2[[#This Row],[CurrentStock]]-Table2[[#This Row],[ReorderLevel]]&lt;0,Table2[[#This Row],[CurrentStock]]-Table2[[#This Row],[ReorderLevel]],"")</f>
        <v/>
      </c>
      <c r="N2336" t="str">
        <f>IF(Table2[[#This Row],[Stock Gap]]&lt;0, "Understock","Okay")</f>
        <v>Okay</v>
      </c>
      <c r="O2336" s="13" t="str">
        <f>IF(Table2[[#This Row],[Stock Gap]]&lt;0, "Yes", "No")</f>
        <v>No</v>
      </c>
      <c r="P2336" s="13" t="str">
        <f>IF(Table2[[#This Row],[CurrentStock]]&lt;Table2[[#This Row],[ReorderLevel]],"Reorder", "Okay")</f>
        <v>Okay</v>
      </c>
      <c r="Q2336" s="13" t="str">
        <f>IF(Table2[[#This Row],[CurrentStock]]&gt;Table2[[#This Row],[ReorderLevel]]*3, "Overstock", "Okay")</f>
        <v>Overstock</v>
      </c>
    </row>
    <row r="2337" spans="1:17" x14ac:dyDescent="0.35">
      <c r="A2337">
        <v>10029</v>
      </c>
      <c r="B2337" t="s">
        <v>21</v>
      </c>
      <c r="C2337" t="s">
        <v>26</v>
      </c>
      <c r="D2337">
        <v>38</v>
      </c>
      <c r="E2337">
        <v>100</v>
      </c>
      <c r="F2337" s="2">
        <v>445.35</v>
      </c>
      <c r="G2337" t="s">
        <v>33</v>
      </c>
      <c r="H2337" s="1">
        <v>45478</v>
      </c>
      <c r="I2337" s="1">
        <v>45487</v>
      </c>
      <c r="J2337" t="s">
        <v>37</v>
      </c>
      <c r="K2337" s="8">
        <f>Table2[[#This Row],[CurrentStock]]*Table2[[#This Row],[UnitPrice]]</f>
        <v>16923.3</v>
      </c>
      <c r="L2337" t="str">
        <f>IF(Table2[[#This Row],[CurrentStock]]&lt;=Table2[[#This Row],[ReorderLevel]], "Reorder Needed", "Okay")</f>
        <v>Reorder Needed</v>
      </c>
      <c r="M2337" s="7">
        <f>IF(Table2[[#This Row],[CurrentStock]]-Table2[[#This Row],[ReorderLevel]]&lt;0,Table2[[#This Row],[CurrentStock]]-Table2[[#This Row],[ReorderLevel]],"")</f>
        <v>-62</v>
      </c>
      <c r="N2337" t="str">
        <f>IF(Table2[[#This Row],[Stock Gap]]&lt;0, "Understock","Okay")</f>
        <v>Understock</v>
      </c>
      <c r="O2337" s="13" t="str">
        <f>IF(Table2[[#This Row],[Stock Gap]]&lt;0, "Yes", "No")</f>
        <v>Yes</v>
      </c>
      <c r="P2337" s="13" t="str">
        <f>IF(Table2[[#This Row],[CurrentStock]]&lt;Table2[[#This Row],[ReorderLevel]],"Reorder", "Okay")</f>
        <v>Reorder</v>
      </c>
      <c r="Q2337" s="13" t="str">
        <f>IF(Table2[[#This Row],[CurrentStock]]&gt;Table2[[#This Row],[ReorderLevel]]*3, "Overstock", "Okay")</f>
        <v>Okay</v>
      </c>
    </row>
    <row r="2338" spans="1:17" x14ac:dyDescent="0.35">
      <c r="A2338">
        <v>46827</v>
      </c>
      <c r="B2338" t="s">
        <v>19</v>
      </c>
      <c r="C2338" t="s">
        <v>28</v>
      </c>
      <c r="D2338">
        <v>73</v>
      </c>
      <c r="E2338">
        <v>150</v>
      </c>
      <c r="F2338" s="2">
        <v>158.29</v>
      </c>
      <c r="G2338" t="s">
        <v>33</v>
      </c>
      <c r="H2338" s="1">
        <v>45351</v>
      </c>
      <c r="I2338" s="1">
        <v>45379</v>
      </c>
      <c r="J2338" t="s">
        <v>37</v>
      </c>
      <c r="K2338" s="8">
        <f>Table2[[#This Row],[CurrentStock]]*Table2[[#This Row],[UnitPrice]]</f>
        <v>11555.17</v>
      </c>
      <c r="L2338" t="str">
        <f>IF(Table2[[#This Row],[CurrentStock]]&lt;=Table2[[#This Row],[ReorderLevel]], "Reorder Needed", "Okay")</f>
        <v>Reorder Needed</v>
      </c>
      <c r="M2338" s="7">
        <f>IF(Table2[[#This Row],[CurrentStock]]-Table2[[#This Row],[ReorderLevel]]&lt;0,Table2[[#This Row],[CurrentStock]]-Table2[[#This Row],[ReorderLevel]],"")</f>
        <v>-77</v>
      </c>
      <c r="N2338" t="str">
        <f>IF(Table2[[#This Row],[Stock Gap]]&lt;0, "Understock","Okay")</f>
        <v>Understock</v>
      </c>
      <c r="O2338" s="13" t="str">
        <f>IF(Table2[[#This Row],[Stock Gap]]&lt;0, "Yes", "No")</f>
        <v>Yes</v>
      </c>
      <c r="P2338" s="13" t="str">
        <f>IF(Table2[[#This Row],[CurrentStock]]&lt;Table2[[#This Row],[ReorderLevel]],"Reorder", "Okay")</f>
        <v>Reorder</v>
      </c>
      <c r="Q2338" s="13" t="str">
        <f>IF(Table2[[#This Row],[CurrentStock]]&gt;Table2[[#This Row],[ReorderLevel]]*3, "Overstock", "Okay")</f>
        <v>Okay</v>
      </c>
    </row>
    <row r="2339" spans="1:17" x14ac:dyDescent="0.35">
      <c r="A2339">
        <v>53884</v>
      </c>
      <c r="B2339" t="s">
        <v>12</v>
      </c>
      <c r="C2339" t="s">
        <v>28</v>
      </c>
      <c r="D2339">
        <v>468</v>
      </c>
      <c r="E2339">
        <v>40</v>
      </c>
      <c r="F2339" s="2">
        <v>401.96</v>
      </c>
      <c r="G2339" t="s">
        <v>31</v>
      </c>
      <c r="H2339" s="1">
        <v>45451</v>
      </c>
      <c r="I2339" s="1">
        <v>45457</v>
      </c>
      <c r="J2339" t="s">
        <v>37</v>
      </c>
      <c r="K2339" s="8">
        <f>Table2[[#This Row],[CurrentStock]]*Table2[[#This Row],[UnitPrice]]</f>
        <v>188117.28</v>
      </c>
      <c r="L2339" t="str">
        <f>IF(Table2[[#This Row],[CurrentStock]]&lt;=Table2[[#This Row],[ReorderLevel]], "Reorder Needed", "Okay")</f>
        <v>Okay</v>
      </c>
      <c r="M2339" t="str">
        <f>IF(Table2[[#This Row],[CurrentStock]]-Table2[[#This Row],[ReorderLevel]]&lt;0,Table2[[#This Row],[CurrentStock]]-Table2[[#This Row],[ReorderLevel]],"")</f>
        <v/>
      </c>
      <c r="N2339" t="str">
        <f>IF(Table2[[#This Row],[Stock Gap]]&lt;0, "Understock","Okay")</f>
        <v>Okay</v>
      </c>
      <c r="O2339" s="13" t="str">
        <f>IF(Table2[[#This Row],[Stock Gap]]&lt;0, "Yes", "No")</f>
        <v>No</v>
      </c>
      <c r="P2339" s="13" t="str">
        <f>IF(Table2[[#This Row],[CurrentStock]]&lt;Table2[[#This Row],[ReorderLevel]],"Reorder", "Okay")</f>
        <v>Okay</v>
      </c>
      <c r="Q2339" s="13" t="str">
        <f>IF(Table2[[#This Row],[CurrentStock]]&gt;Table2[[#This Row],[ReorderLevel]]*3, "Overstock", "Okay")</f>
        <v>Overstock</v>
      </c>
    </row>
    <row r="2340" spans="1:17" x14ac:dyDescent="0.35">
      <c r="A2340">
        <v>87391</v>
      </c>
      <c r="B2340" t="s">
        <v>17</v>
      </c>
      <c r="C2340" t="s">
        <v>27</v>
      </c>
      <c r="D2340">
        <v>254</v>
      </c>
      <c r="E2340">
        <v>150</v>
      </c>
      <c r="F2340" s="2">
        <v>176.59</v>
      </c>
      <c r="G2340" t="s">
        <v>32</v>
      </c>
      <c r="H2340" s="1">
        <v>45430</v>
      </c>
      <c r="I2340" s="1">
        <v>45448</v>
      </c>
      <c r="J2340" t="s">
        <v>38</v>
      </c>
      <c r="K2340" s="8">
        <f>Table2[[#This Row],[CurrentStock]]*Table2[[#This Row],[UnitPrice]]</f>
        <v>44853.86</v>
      </c>
      <c r="L2340" t="str">
        <f>IF(Table2[[#This Row],[CurrentStock]]&lt;=Table2[[#This Row],[ReorderLevel]], "Reorder Needed", "Okay")</f>
        <v>Okay</v>
      </c>
      <c r="M2340" t="str">
        <f>IF(Table2[[#This Row],[CurrentStock]]-Table2[[#This Row],[ReorderLevel]]&lt;0,Table2[[#This Row],[CurrentStock]]-Table2[[#This Row],[ReorderLevel]],"")</f>
        <v/>
      </c>
      <c r="N2340" t="str">
        <f>IF(Table2[[#This Row],[Stock Gap]]&lt;0, "Understock","Okay")</f>
        <v>Okay</v>
      </c>
      <c r="O2340" s="13" t="str">
        <f>IF(Table2[[#This Row],[Stock Gap]]&lt;0, "Yes", "No")</f>
        <v>No</v>
      </c>
      <c r="P2340" s="13" t="str">
        <f>IF(Table2[[#This Row],[CurrentStock]]&lt;Table2[[#This Row],[ReorderLevel]],"Reorder", "Okay")</f>
        <v>Okay</v>
      </c>
      <c r="Q2340" s="13" t="str">
        <f>IF(Table2[[#This Row],[CurrentStock]]&gt;Table2[[#This Row],[ReorderLevel]]*3, "Overstock", "Okay")</f>
        <v>Okay</v>
      </c>
    </row>
    <row r="2341" spans="1:17" x14ac:dyDescent="0.35">
      <c r="A2341">
        <v>10357</v>
      </c>
      <c r="B2341" t="s">
        <v>23</v>
      </c>
      <c r="C2341" t="s">
        <v>30</v>
      </c>
      <c r="D2341">
        <v>79</v>
      </c>
      <c r="E2341">
        <v>100</v>
      </c>
      <c r="F2341" s="2">
        <v>406.41</v>
      </c>
      <c r="G2341" t="s">
        <v>35</v>
      </c>
      <c r="H2341" s="1">
        <v>45565</v>
      </c>
      <c r="I2341" s="1">
        <v>45595</v>
      </c>
      <c r="J2341" t="s">
        <v>38</v>
      </c>
      <c r="K2341" s="8">
        <f>Table2[[#This Row],[CurrentStock]]*Table2[[#This Row],[UnitPrice]]</f>
        <v>32106.390000000003</v>
      </c>
      <c r="L2341" t="str">
        <f>IF(Table2[[#This Row],[CurrentStock]]&lt;=Table2[[#This Row],[ReorderLevel]], "Reorder Needed", "Okay")</f>
        <v>Reorder Needed</v>
      </c>
      <c r="M2341" s="7">
        <f>IF(Table2[[#This Row],[CurrentStock]]-Table2[[#This Row],[ReorderLevel]]&lt;0,Table2[[#This Row],[CurrentStock]]-Table2[[#This Row],[ReorderLevel]],"")</f>
        <v>-21</v>
      </c>
      <c r="N2341" t="str">
        <f>IF(Table2[[#This Row],[Stock Gap]]&lt;0, "Understock","Okay")</f>
        <v>Understock</v>
      </c>
      <c r="O2341" s="13" t="str">
        <f>IF(Table2[[#This Row],[Stock Gap]]&lt;0, "Yes", "No")</f>
        <v>Yes</v>
      </c>
      <c r="P2341" s="13" t="str">
        <f>IF(Table2[[#This Row],[CurrentStock]]&lt;Table2[[#This Row],[ReorderLevel]],"Reorder", "Okay")</f>
        <v>Reorder</v>
      </c>
      <c r="Q2341" s="13" t="str">
        <f>IF(Table2[[#This Row],[CurrentStock]]&gt;Table2[[#This Row],[ReorderLevel]]*3, "Overstock", "Okay")</f>
        <v>Okay</v>
      </c>
    </row>
    <row r="2342" spans="1:17" x14ac:dyDescent="0.35">
      <c r="A2342">
        <v>14447</v>
      </c>
      <c r="B2342" t="s">
        <v>17</v>
      </c>
      <c r="C2342" t="s">
        <v>27</v>
      </c>
      <c r="D2342">
        <v>198</v>
      </c>
      <c r="E2342">
        <v>20</v>
      </c>
      <c r="F2342" s="2">
        <v>238.29</v>
      </c>
      <c r="G2342" t="s">
        <v>33</v>
      </c>
      <c r="H2342" s="1">
        <v>45405</v>
      </c>
      <c r="I2342" s="1">
        <v>45430</v>
      </c>
      <c r="J2342" t="s">
        <v>38</v>
      </c>
      <c r="K2342" s="8">
        <f>Table2[[#This Row],[CurrentStock]]*Table2[[#This Row],[UnitPrice]]</f>
        <v>47181.42</v>
      </c>
      <c r="L2342" t="str">
        <f>IF(Table2[[#This Row],[CurrentStock]]&lt;=Table2[[#This Row],[ReorderLevel]], "Reorder Needed", "Okay")</f>
        <v>Okay</v>
      </c>
      <c r="M2342" t="str">
        <f>IF(Table2[[#This Row],[CurrentStock]]-Table2[[#This Row],[ReorderLevel]]&lt;0,Table2[[#This Row],[CurrentStock]]-Table2[[#This Row],[ReorderLevel]],"")</f>
        <v/>
      </c>
      <c r="N2342" t="str">
        <f>IF(Table2[[#This Row],[Stock Gap]]&lt;0, "Understock","Okay")</f>
        <v>Okay</v>
      </c>
      <c r="O2342" s="13" t="str">
        <f>IF(Table2[[#This Row],[Stock Gap]]&lt;0, "Yes", "No")</f>
        <v>No</v>
      </c>
      <c r="P2342" s="13" t="str">
        <f>IF(Table2[[#This Row],[CurrentStock]]&lt;Table2[[#This Row],[ReorderLevel]],"Reorder", "Okay")</f>
        <v>Okay</v>
      </c>
      <c r="Q2342" s="13" t="str">
        <f>IF(Table2[[#This Row],[CurrentStock]]&gt;Table2[[#This Row],[ReorderLevel]]*3, "Overstock", "Okay")</f>
        <v>Overstock</v>
      </c>
    </row>
    <row r="2343" spans="1:17" x14ac:dyDescent="0.35">
      <c r="A2343">
        <v>40262</v>
      </c>
      <c r="B2343" t="s">
        <v>13</v>
      </c>
      <c r="C2343" t="s">
        <v>26</v>
      </c>
      <c r="D2343">
        <v>142</v>
      </c>
      <c r="E2343">
        <v>150</v>
      </c>
      <c r="F2343" s="2">
        <v>271.22000000000003</v>
      </c>
      <c r="G2343" t="s">
        <v>33</v>
      </c>
      <c r="H2343" s="1">
        <v>45553</v>
      </c>
      <c r="I2343" s="1">
        <v>45590</v>
      </c>
      <c r="J2343" t="s">
        <v>37</v>
      </c>
      <c r="K2343" s="8">
        <f>Table2[[#This Row],[CurrentStock]]*Table2[[#This Row],[UnitPrice]]</f>
        <v>38513.240000000005</v>
      </c>
      <c r="L2343" t="str">
        <f>IF(Table2[[#This Row],[CurrentStock]]&lt;=Table2[[#This Row],[ReorderLevel]], "Reorder Needed", "Okay")</f>
        <v>Reorder Needed</v>
      </c>
      <c r="M2343" s="7">
        <f>IF(Table2[[#This Row],[CurrentStock]]-Table2[[#This Row],[ReorderLevel]]&lt;0,Table2[[#This Row],[CurrentStock]]-Table2[[#This Row],[ReorderLevel]],"")</f>
        <v>-8</v>
      </c>
      <c r="N2343" t="str">
        <f>IF(Table2[[#This Row],[Stock Gap]]&lt;0, "Understock","Okay")</f>
        <v>Understock</v>
      </c>
      <c r="O2343" s="13" t="str">
        <f>IF(Table2[[#This Row],[Stock Gap]]&lt;0, "Yes", "No")</f>
        <v>Yes</v>
      </c>
      <c r="P2343" s="13" t="str">
        <f>IF(Table2[[#This Row],[CurrentStock]]&lt;Table2[[#This Row],[ReorderLevel]],"Reorder", "Okay")</f>
        <v>Reorder</v>
      </c>
      <c r="Q2343" s="13" t="str">
        <f>IF(Table2[[#This Row],[CurrentStock]]&gt;Table2[[#This Row],[ReorderLevel]]*3, "Overstock", "Okay")</f>
        <v>Okay</v>
      </c>
    </row>
    <row r="2344" spans="1:17" x14ac:dyDescent="0.35">
      <c r="A2344">
        <v>45330</v>
      </c>
      <c r="B2344" t="s">
        <v>23</v>
      </c>
      <c r="C2344" t="s">
        <v>30</v>
      </c>
      <c r="D2344">
        <v>289</v>
      </c>
      <c r="E2344">
        <v>20</v>
      </c>
      <c r="F2344" s="2">
        <v>153.69999999999999</v>
      </c>
      <c r="G2344" t="s">
        <v>34</v>
      </c>
      <c r="H2344" s="1">
        <v>45476</v>
      </c>
      <c r="I2344" s="1">
        <v>45494</v>
      </c>
      <c r="J2344" t="s">
        <v>36</v>
      </c>
      <c r="K2344" s="8">
        <f>Table2[[#This Row],[CurrentStock]]*Table2[[#This Row],[UnitPrice]]</f>
        <v>44419.299999999996</v>
      </c>
      <c r="L2344" t="str">
        <f>IF(Table2[[#This Row],[CurrentStock]]&lt;=Table2[[#This Row],[ReorderLevel]], "Reorder Needed", "Okay")</f>
        <v>Okay</v>
      </c>
      <c r="M2344" t="str">
        <f>IF(Table2[[#This Row],[CurrentStock]]-Table2[[#This Row],[ReorderLevel]]&lt;0,Table2[[#This Row],[CurrentStock]]-Table2[[#This Row],[ReorderLevel]],"")</f>
        <v/>
      </c>
      <c r="N2344" t="str">
        <f>IF(Table2[[#This Row],[Stock Gap]]&lt;0, "Understock","Okay")</f>
        <v>Okay</v>
      </c>
      <c r="O2344" s="13" t="str">
        <f>IF(Table2[[#This Row],[Stock Gap]]&lt;0, "Yes", "No")</f>
        <v>No</v>
      </c>
      <c r="P2344" s="13" t="str">
        <f>IF(Table2[[#This Row],[CurrentStock]]&lt;Table2[[#This Row],[ReorderLevel]],"Reorder", "Okay")</f>
        <v>Okay</v>
      </c>
      <c r="Q2344" s="13" t="str">
        <f>IF(Table2[[#This Row],[CurrentStock]]&gt;Table2[[#This Row],[ReorderLevel]]*3, "Overstock", "Okay")</f>
        <v>Overstock</v>
      </c>
    </row>
    <row r="2345" spans="1:17" x14ac:dyDescent="0.35">
      <c r="A2345">
        <v>11027</v>
      </c>
      <c r="B2345" t="s">
        <v>21</v>
      </c>
      <c r="C2345" t="s">
        <v>26</v>
      </c>
      <c r="D2345">
        <v>47</v>
      </c>
      <c r="E2345">
        <v>100</v>
      </c>
      <c r="F2345" s="2">
        <v>484.58</v>
      </c>
      <c r="G2345" t="s">
        <v>33</v>
      </c>
      <c r="H2345" s="1">
        <v>45457</v>
      </c>
      <c r="I2345" s="1">
        <v>45465</v>
      </c>
      <c r="J2345" t="s">
        <v>37</v>
      </c>
      <c r="K2345" s="8">
        <f>Table2[[#This Row],[CurrentStock]]*Table2[[#This Row],[UnitPrice]]</f>
        <v>22775.26</v>
      </c>
      <c r="L2345" t="str">
        <f>IF(Table2[[#This Row],[CurrentStock]]&lt;=Table2[[#This Row],[ReorderLevel]], "Reorder Needed", "Okay")</f>
        <v>Reorder Needed</v>
      </c>
      <c r="M2345" s="7">
        <f>IF(Table2[[#This Row],[CurrentStock]]-Table2[[#This Row],[ReorderLevel]]&lt;0,Table2[[#This Row],[CurrentStock]]-Table2[[#This Row],[ReorderLevel]],"")</f>
        <v>-53</v>
      </c>
      <c r="N2345" t="str">
        <f>IF(Table2[[#This Row],[Stock Gap]]&lt;0, "Understock","Okay")</f>
        <v>Understock</v>
      </c>
      <c r="O2345" s="13" t="str">
        <f>IF(Table2[[#This Row],[Stock Gap]]&lt;0, "Yes", "No")</f>
        <v>Yes</v>
      </c>
      <c r="P2345" s="13" t="str">
        <f>IF(Table2[[#This Row],[CurrentStock]]&lt;Table2[[#This Row],[ReorderLevel]],"Reorder", "Okay")</f>
        <v>Reorder</v>
      </c>
      <c r="Q2345" s="13" t="str">
        <f>IF(Table2[[#This Row],[CurrentStock]]&gt;Table2[[#This Row],[ReorderLevel]]*3, "Overstock", "Okay")</f>
        <v>Okay</v>
      </c>
    </row>
    <row r="2346" spans="1:17" x14ac:dyDescent="0.35">
      <c r="A2346">
        <v>31873</v>
      </c>
      <c r="B2346" t="s">
        <v>17</v>
      </c>
      <c r="C2346" t="s">
        <v>27</v>
      </c>
      <c r="D2346">
        <v>225</v>
      </c>
      <c r="E2346">
        <v>50</v>
      </c>
      <c r="F2346" s="2">
        <v>169.64</v>
      </c>
      <c r="G2346" t="s">
        <v>35</v>
      </c>
      <c r="H2346" s="1">
        <v>45644</v>
      </c>
      <c r="I2346" s="1">
        <v>45656</v>
      </c>
      <c r="J2346" t="s">
        <v>36</v>
      </c>
      <c r="K2346" s="8">
        <f>Table2[[#This Row],[CurrentStock]]*Table2[[#This Row],[UnitPrice]]</f>
        <v>38169</v>
      </c>
      <c r="L2346" t="str">
        <f>IF(Table2[[#This Row],[CurrentStock]]&lt;=Table2[[#This Row],[ReorderLevel]], "Reorder Needed", "Okay")</f>
        <v>Okay</v>
      </c>
      <c r="M2346" t="str">
        <f>IF(Table2[[#This Row],[CurrentStock]]-Table2[[#This Row],[ReorderLevel]]&lt;0,Table2[[#This Row],[CurrentStock]]-Table2[[#This Row],[ReorderLevel]],"")</f>
        <v/>
      </c>
      <c r="N2346" t="str">
        <f>IF(Table2[[#This Row],[Stock Gap]]&lt;0, "Understock","Okay")</f>
        <v>Okay</v>
      </c>
      <c r="O2346" s="13" t="str">
        <f>IF(Table2[[#This Row],[Stock Gap]]&lt;0, "Yes", "No")</f>
        <v>No</v>
      </c>
      <c r="P2346" s="13" t="str">
        <f>IF(Table2[[#This Row],[CurrentStock]]&lt;Table2[[#This Row],[ReorderLevel]],"Reorder", "Okay")</f>
        <v>Okay</v>
      </c>
      <c r="Q2346" s="13" t="str">
        <f>IF(Table2[[#This Row],[CurrentStock]]&gt;Table2[[#This Row],[ReorderLevel]]*3, "Overstock", "Okay")</f>
        <v>Overstock</v>
      </c>
    </row>
    <row r="2347" spans="1:17" x14ac:dyDescent="0.35">
      <c r="A2347">
        <v>31643</v>
      </c>
      <c r="B2347" t="s">
        <v>9</v>
      </c>
      <c r="C2347" t="s">
        <v>26</v>
      </c>
      <c r="D2347">
        <v>196</v>
      </c>
      <c r="E2347">
        <v>150</v>
      </c>
      <c r="F2347" s="2">
        <v>165.81</v>
      </c>
      <c r="G2347" t="s">
        <v>34</v>
      </c>
      <c r="H2347" s="1">
        <v>45413</v>
      </c>
      <c r="I2347" s="1">
        <v>45424</v>
      </c>
      <c r="J2347" t="s">
        <v>37</v>
      </c>
      <c r="K2347" s="8">
        <f>Table2[[#This Row],[CurrentStock]]*Table2[[#This Row],[UnitPrice]]</f>
        <v>32498.760000000002</v>
      </c>
      <c r="L2347" t="str">
        <f>IF(Table2[[#This Row],[CurrentStock]]&lt;=Table2[[#This Row],[ReorderLevel]], "Reorder Needed", "Okay")</f>
        <v>Okay</v>
      </c>
      <c r="M2347" t="str">
        <f>IF(Table2[[#This Row],[CurrentStock]]-Table2[[#This Row],[ReorderLevel]]&lt;0,Table2[[#This Row],[CurrentStock]]-Table2[[#This Row],[ReorderLevel]],"")</f>
        <v/>
      </c>
      <c r="N2347" t="str">
        <f>IF(Table2[[#This Row],[Stock Gap]]&lt;0, "Understock","Okay")</f>
        <v>Okay</v>
      </c>
      <c r="O2347" s="13" t="str">
        <f>IF(Table2[[#This Row],[Stock Gap]]&lt;0, "Yes", "No")</f>
        <v>No</v>
      </c>
      <c r="P2347" s="13" t="str">
        <f>IF(Table2[[#This Row],[CurrentStock]]&lt;Table2[[#This Row],[ReorderLevel]],"Reorder", "Okay")</f>
        <v>Okay</v>
      </c>
      <c r="Q2347" s="13" t="str">
        <f>IF(Table2[[#This Row],[CurrentStock]]&gt;Table2[[#This Row],[ReorderLevel]]*3, "Overstock", "Okay")</f>
        <v>Okay</v>
      </c>
    </row>
    <row r="2348" spans="1:17" x14ac:dyDescent="0.35">
      <c r="A2348">
        <v>39404</v>
      </c>
      <c r="B2348" t="s">
        <v>15</v>
      </c>
      <c r="C2348" t="s">
        <v>29</v>
      </c>
      <c r="D2348">
        <v>48</v>
      </c>
      <c r="E2348">
        <v>100</v>
      </c>
      <c r="F2348" s="2">
        <v>123.53</v>
      </c>
      <c r="G2348" t="s">
        <v>32</v>
      </c>
      <c r="H2348" s="1">
        <v>45318</v>
      </c>
      <c r="I2348" s="1">
        <v>45330</v>
      </c>
      <c r="J2348" t="s">
        <v>36</v>
      </c>
      <c r="K2348" s="8">
        <f>Table2[[#This Row],[CurrentStock]]*Table2[[#This Row],[UnitPrice]]</f>
        <v>5929.4400000000005</v>
      </c>
      <c r="L2348" t="str">
        <f>IF(Table2[[#This Row],[CurrentStock]]&lt;=Table2[[#This Row],[ReorderLevel]], "Reorder Needed", "Okay")</f>
        <v>Reorder Needed</v>
      </c>
      <c r="M2348" s="7">
        <f>IF(Table2[[#This Row],[CurrentStock]]-Table2[[#This Row],[ReorderLevel]]&lt;0,Table2[[#This Row],[CurrentStock]]-Table2[[#This Row],[ReorderLevel]],"")</f>
        <v>-52</v>
      </c>
      <c r="N2348" t="str">
        <f>IF(Table2[[#This Row],[Stock Gap]]&lt;0, "Understock","Okay")</f>
        <v>Understock</v>
      </c>
      <c r="O2348" s="13" t="str">
        <f>IF(Table2[[#This Row],[Stock Gap]]&lt;0, "Yes", "No")</f>
        <v>Yes</v>
      </c>
      <c r="P2348" s="13" t="str">
        <f>IF(Table2[[#This Row],[CurrentStock]]&lt;Table2[[#This Row],[ReorderLevel]],"Reorder", "Okay")</f>
        <v>Reorder</v>
      </c>
      <c r="Q2348" s="13" t="str">
        <f>IF(Table2[[#This Row],[CurrentStock]]&gt;Table2[[#This Row],[ReorderLevel]]*3, "Overstock", "Okay")</f>
        <v>Okay</v>
      </c>
    </row>
    <row r="2349" spans="1:17" x14ac:dyDescent="0.35">
      <c r="A2349">
        <v>98018</v>
      </c>
      <c r="B2349" t="s">
        <v>23</v>
      </c>
      <c r="C2349" t="s">
        <v>30</v>
      </c>
      <c r="D2349">
        <v>70</v>
      </c>
      <c r="E2349">
        <v>100</v>
      </c>
      <c r="F2349" s="2">
        <v>111.56</v>
      </c>
      <c r="G2349" t="s">
        <v>35</v>
      </c>
      <c r="H2349" s="1">
        <v>45537</v>
      </c>
      <c r="I2349" s="1">
        <v>45545</v>
      </c>
      <c r="J2349" t="s">
        <v>36</v>
      </c>
      <c r="K2349" s="8">
        <f>Table2[[#This Row],[CurrentStock]]*Table2[[#This Row],[UnitPrice]]</f>
        <v>7809.2</v>
      </c>
      <c r="L2349" t="str">
        <f>IF(Table2[[#This Row],[CurrentStock]]&lt;=Table2[[#This Row],[ReorderLevel]], "Reorder Needed", "Okay")</f>
        <v>Reorder Needed</v>
      </c>
      <c r="M2349" s="7">
        <f>IF(Table2[[#This Row],[CurrentStock]]-Table2[[#This Row],[ReorderLevel]]&lt;0,Table2[[#This Row],[CurrentStock]]-Table2[[#This Row],[ReorderLevel]],"")</f>
        <v>-30</v>
      </c>
      <c r="N2349" t="str">
        <f>IF(Table2[[#This Row],[Stock Gap]]&lt;0, "Understock","Okay")</f>
        <v>Understock</v>
      </c>
      <c r="O2349" s="13" t="str">
        <f>IF(Table2[[#This Row],[Stock Gap]]&lt;0, "Yes", "No")</f>
        <v>Yes</v>
      </c>
      <c r="P2349" s="13" t="str">
        <f>IF(Table2[[#This Row],[CurrentStock]]&lt;Table2[[#This Row],[ReorderLevel]],"Reorder", "Okay")</f>
        <v>Reorder</v>
      </c>
      <c r="Q2349" s="13" t="str">
        <f>IF(Table2[[#This Row],[CurrentStock]]&gt;Table2[[#This Row],[ReorderLevel]]*3, "Overstock", "Okay")</f>
        <v>Okay</v>
      </c>
    </row>
    <row r="2350" spans="1:17" x14ac:dyDescent="0.35">
      <c r="A2350">
        <v>91823</v>
      </c>
      <c r="B2350" t="s">
        <v>11</v>
      </c>
      <c r="C2350" t="s">
        <v>27</v>
      </c>
      <c r="D2350">
        <v>173</v>
      </c>
      <c r="E2350">
        <v>20</v>
      </c>
      <c r="F2350" s="2">
        <v>146.04</v>
      </c>
      <c r="G2350" t="s">
        <v>33</v>
      </c>
      <c r="H2350" s="1">
        <v>45588</v>
      </c>
      <c r="I2350" s="1">
        <v>45600</v>
      </c>
      <c r="J2350" t="s">
        <v>36</v>
      </c>
      <c r="K2350" s="8">
        <f>Table2[[#This Row],[CurrentStock]]*Table2[[#This Row],[UnitPrice]]</f>
        <v>25264.92</v>
      </c>
      <c r="L2350" t="str">
        <f>IF(Table2[[#This Row],[CurrentStock]]&lt;=Table2[[#This Row],[ReorderLevel]], "Reorder Needed", "Okay")</f>
        <v>Okay</v>
      </c>
      <c r="M2350" t="str">
        <f>IF(Table2[[#This Row],[CurrentStock]]-Table2[[#This Row],[ReorderLevel]]&lt;0,Table2[[#This Row],[CurrentStock]]-Table2[[#This Row],[ReorderLevel]],"")</f>
        <v/>
      </c>
      <c r="N2350" t="str">
        <f>IF(Table2[[#This Row],[Stock Gap]]&lt;0, "Understock","Okay")</f>
        <v>Okay</v>
      </c>
      <c r="O2350" s="13" t="str">
        <f>IF(Table2[[#This Row],[Stock Gap]]&lt;0, "Yes", "No")</f>
        <v>No</v>
      </c>
      <c r="P2350" s="13" t="str">
        <f>IF(Table2[[#This Row],[CurrentStock]]&lt;Table2[[#This Row],[ReorderLevel]],"Reorder", "Okay")</f>
        <v>Okay</v>
      </c>
      <c r="Q2350" s="13" t="str">
        <f>IF(Table2[[#This Row],[CurrentStock]]&gt;Table2[[#This Row],[ReorderLevel]]*3, "Overstock", "Okay")</f>
        <v>Overstock</v>
      </c>
    </row>
    <row r="2351" spans="1:17" x14ac:dyDescent="0.35">
      <c r="A2351">
        <v>62282</v>
      </c>
      <c r="B2351" t="s">
        <v>10</v>
      </c>
      <c r="C2351" t="s">
        <v>26</v>
      </c>
      <c r="D2351">
        <v>472</v>
      </c>
      <c r="E2351">
        <v>30</v>
      </c>
      <c r="F2351" s="2">
        <v>285.47000000000003</v>
      </c>
      <c r="G2351" t="s">
        <v>34</v>
      </c>
      <c r="H2351" s="1">
        <v>45380</v>
      </c>
      <c r="I2351" s="1">
        <v>45394</v>
      </c>
      <c r="J2351" t="s">
        <v>37</v>
      </c>
      <c r="K2351" s="8">
        <f>Table2[[#This Row],[CurrentStock]]*Table2[[#This Row],[UnitPrice]]</f>
        <v>134741.84000000003</v>
      </c>
      <c r="L2351" t="str">
        <f>IF(Table2[[#This Row],[CurrentStock]]&lt;=Table2[[#This Row],[ReorderLevel]], "Reorder Needed", "Okay")</f>
        <v>Okay</v>
      </c>
      <c r="M2351" t="str">
        <f>IF(Table2[[#This Row],[CurrentStock]]-Table2[[#This Row],[ReorderLevel]]&lt;0,Table2[[#This Row],[CurrentStock]]-Table2[[#This Row],[ReorderLevel]],"")</f>
        <v/>
      </c>
      <c r="N2351" t="str">
        <f>IF(Table2[[#This Row],[Stock Gap]]&lt;0, "Understock","Okay")</f>
        <v>Okay</v>
      </c>
      <c r="O2351" s="13" t="str">
        <f>IF(Table2[[#This Row],[Stock Gap]]&lt;0, "Yes", "No")</f>
        <v>No</v>
      </c>
      <c r="P2351" s="13" t="str">
        <f>IF(Table2[[#This Row],[CurrentStock]]&lt;Table2[[#This Row],[ReorderLevel]],"Reorder", "Okay")</f>
        <v>Okay</v>
      </c>
      <c r="Q2351" s="13" t="str">
        <f>IF(Table2[[#This Row],[CurrentStock]]&gt;Table2[[#This Row],[ReorderLevel]]*3, "Overstock", "Okay")</f>
        <v>Overstock</v>
      </c>
    </row>
    <row r="2352" spans="1:17" x14ac:dyDescent="0.35">
      <c r="A2352">
        <v>35594</v>
      </c>
      <c r="B2352" t="s">
        <v>21</v>
      </c>
      <c r="C2352" t="s">
        <v>26</v>
      </c>
      <c r="D2352">
        <v>280</v>
      </c>
      <c r="E2352">
        <v>80</v>
      </c>
      <c r="F2352" s="2">
        <v>122.61</v>
      </c>
      <c r="G2352" t="s">
        <v>33</v>
      </c>
      <c r="H2352" s="1">
        <v>45601</v>
      </c>
      <c r="I2352" s="1">
        <v>45639</v>
      </c>
      <c r="J2352" t="s">
        <v>37</v>
      </c>
      <c r="K2352" s="8">
        <f>Table2[[#This Row],[CurrentStock]]*Table2[[#This Row],[UnitPrice]]</f>
        <v>34330.800000000003</v>
      </c>
      <c r="L2352" t="str">
        <f>IF(Table2[[#This Row],[CurrentStock]]&lt;=Table2[[#This Row],[ReorderLevel]], "Reorder Needed", "Okay")</f>
        <v>Okay</v>
      </c>
      <c r="M2352" t="str">
        <f>IF(Table2[[#This Row],[CurrentStock]]-Table2[[#This Row],[ReorderLevel]]&lt;0,Table2[[#This Row],[CurrentStock]]-Table2[[#This Row],[ReorderLevel]],"")</f>
        <v/>
      </c>
      <c r="N2352" t="str">
        <f>IF(Table2[[#This Row],[Stock Gap]]&lt;0, "Understock","Okay")</f>
        <v>Okay</v>
      </c>
      <c r="O2352" s="13" t="str">
        <f>IF(Table2[[#This Row],[Stock Gap]]&lt;0, "Yes", "No")</f>
        <v>No</v>
      </c>
      <c r="P2352" s="13" t="str">
        <f>IF(Table2[[#This Row],[CurrentStock]]&lt;Table2[[#This Row],[ReorderLevel]],"Reorder", "Okay")</f>
        <v>Okay</v>
      </c>
      <c r="Q2352" s="13" t="str">
        <f>IF(Table2[[#This Row],[CurrentStock]]&gt;Table2[[#This Row],[ReorderLevel]]*3, "Overstock", "Okay")</f>
        <v>Overstock</v>
      </c>
    </row>
    <row r="2353" spans="1:17" x14ac:dyDescent="0.35">
      <c r="A2353">
        <v>27540</v>
      </c>
      <c r="B2353" t="s">
        <v>11</v>
      </c>
      <c r="C2353" t="s">
        <v>27</v>
      </c>
      <c r="D2353">
        <v>312</v>
      </c>
      <c r="E2353">
        <v>40</v>
      </c>
      <c r="F2353" s="2">
        <v>287.27</v>
      </c>
      <c r="G2353" t="s">
        <v>33</v>
      </c>
      <c r="H2353" s="1">
        <v>45407</v>
      </c>
      <c r="I2353" s="1">
        <v>45423</v>
      </c>
      <c r="J2353" t="s">
        <v>36</v>
      </c>
      <c r="K2353" s="8">
        <f>Table2[[#This Row],[CurrentStock]]*Table2[[#This Row],[UnitPrice]]</f>
        <v>89628.239999999991</v>
      </c>
      <c r="L2353" t="str">
        <f>IF(Table2[[#This Row],[CurrentStock]]&lt;=Table2[[#This Row],[ReorderLevel]], "Reorder Needed", "Okay")</f>
        <v>Okay</v>
      </c>
      <c r="M2353" t="str">
        <f>IF(Table2[[#This Row],[CurrentStock]]-Table2[[#This Row],[ReorderLevel]]&lt;0,Table2[[#This Row],[CurrentStock]]-Table2[[#This Row],[ReorderLevel]],"")</f>
        <v/>
      </c>
      <c r="N2353" t="str">
        <f>IF(Table2[[#This Row],[Stock Gap]]&lt;0, "Understock","Okay")</f>
        <v>Okay</v>
      </c>
      <c r="O2353" s="13" t="str">
        <f>IF(Table2[[#This Row],[Stock Gap]]&lt;0, "Yes", "No")</f>
        <v>No</v>
      </c>
      <c r="P2353" s="13" t="str">
        <f>IF(Table2[[#This Row],[CurrentStock]]&lt;Table2[[#This Row],[ReorderLevel]],"Reorder", "Okay")</f>
        <v>Okay</v>
      </c>
      <c r="Q2353" s="13" t="str">
        <f>IF(Table2[[#This Row],[CurrentStock]]&gt;Table2[[#This Row],[ReorderLevel]]*3, "Overstock", "Okay")</f>
        <v>Overstock</v>
      </c>
    </row>
    <row r="2354" spans="1:17" x14ac:dyDescent="0.35">
      <c r="A2354">
        <v>71388</v>
      </c>
      <c r="B2354" t="s">
        <v>19</v>
      </c>
      <c r="C2354" t="s">
        <v>28</v>
      </c>
      <c r="D2354">
        <v>443</v>
      </c>
      <c r="E2354">
        <v>20</v>
      </c>
      <c r="F2354" s="2">
        <v>231.57</v>
      </c>
      <c r="G2354" t="s">
        <v>33</v>
      </c>
      <c r="H2354" s="1">
        <v>45589</v>
      </c>
      <c r="I2354" s="1">
        <v>45603</v>
      </c>
      <c r="J2354" t="s">
        <v>36</v>
      </c>
      <c r="K2354" s="8">
        <f>Table2[[#This Row],[CurrentStock]]*Table2[[#This Row],[UnitPrice]]</f>
        <v>102585.51</v>
      </c>
      <c r="L2354" t="str">
        <f>IF(Table2[[#This Row],[CurrentStock]]&lt;=Table2[[#This Row],[ReorderLevel]], "Reorder Needed", "Okay")</f>
        <v>Okay</v>
      </c>
      <c r="M2354" t="str">
        <f>IF(Table2[[#This Row],[CurrentStock]]-Table2[[#This Row],[ReorderLevel]]&lt;0,Table2[[#This Row],[CurrentStock]]-Table2[[#This Row],[ReorderLevel]],"")</f>
        <v/>
      </c>
      <c r="N2354" t="str">
        <f>IF(Table2[[#This Row],[Stock Gap]]&lt;0, "Understock","Okay")</f>
        <v>Okay</v>
      </c>
      <c r="O2354" s="13" t="str">
        <f>IF(Table2[[#This Row],[Stock Gap]]&lt;0, "Yes", "No")</f>
        <v>No</v>
      </c>
      <c r="P2354" s="13" t="str">
        <f>IF(Table2[[#This Row],[CurrentStock]]&lt;Table2[[#This Row],[ReorderLevel]],"Reorder", "Okay")</f>
        <v>Okay</v>
      </c>
      <c r="Q2354" s="13" t="str">
        <f>IF(Table2[[#This Row],[CurrentStock]]&gt;Table2[[#This Row],[ReorderLevel]]*3, "Overstock", "Okay")</f>
        <v>Overstock</v>
      </c>
    </row>
    <row r="2355" spans="1:17" x14ac:dyDescent="0.35">
      <c r="A2355">
        <v>93492</v>
      </c>
      <c r="B2355" t="s">
        <v>11</v>
      </c>
      <c r="C2355" t="s">
        <v>27</v>
      </c>
      <c r="D2355">
        <v>368</v>
      </c>
      <c r="E2355">
        <v>50</v>
      </c>
      <c r="F2355" s="2">
        <v>411.75</v>
      </c>
      <c r="G2355" t="s">
        <v>31</v>
      </c>
      <c r="H2355" s="1">
        <v>45412</v>
      </c>
      <c r="I2355" s="1">
        <v>45419</v>
      </c>
      <c r="J2355" t="s">
        <v>37</v>
      </c>
      <c r="K2355" s="8">
        <f>Table2[[#This Row],[CurrentStock]]*Table2[[#This Row],[UnitPrice]]</f>
        <v>151524</v>
      </c>
      <c r="L2355" t="str">
        <f>IF(Table2[[#This Row],[CurrentStock]]&lt;=Table2[[#This Row],[ReorderLevel]], "Reorder Needed", "Okay")</f>
        <v>Okay</v>
      </c>
      <c r="M2355" t="str">
        <f>IF(Table2[[#This Row],[CurrentStock]]-Table2[[#This Row],[ReorderLevel]]&lt;0,Table2[[#This Row],[CurrentStock]]-Table2[[#This Row],[ReorderLevel]],"")</f>
        <v/>
      </c>
      <c r="N2355" t="str">
        <f>IF(Table2[[#This Row],[Stock Gap]]&lt;0, "Understock","Okay")</f>
        <v>Okay</v>
      </c>
      <c r="O2355" s="13" t="str">
        <f>IF(Table2[[#This Row],[Stock Gap]]&lt;0, "Yes", "No")</f>
        <v>No</v>
      </c>
      <c r="P2355" s="13" t="str">
        <f>IF(Table2[[#This Row],[CurrentStock]]&lt;Table2[[#This Row],[ReorderLevel]],"Reorder", "Okay")</f>
        <v>Okay</v>
      </c>
      <c r="Q2355" s="13" t="str">
        <f>IF(Table2[[#This Row],[CurrentStock]]&gt;Table2[[#This Row],[ReorderLevel]]*3, "Overstock", "Okay")</f>
        <v>Overstock</v>
      </c>
    </row>
    <row r="2356" spans="1:17" x14ac:dyDescent="0.35">
      <c r="A2356">
        <v>31788</v>
      </c>
      <c r="B2356" t="s">
        <v>11</v>
      </c>
      <c r="C2356" t="s">
        <v>27</v>
      </c>
      <c r="D2356">
        <v>465</v>
      </c>
      <c r="E2356">
        <v>20</v>
      </c>
      <c r="F2356" s="2">
        <v>467.16</v>
      </c>
      <c r="G2356" t="s">
        <v>31</v>
      </c>
      <c r="H2356" s="1">
        <v>45469</v>
      </c>
      <c r="I2356" s="1">
        <v>45482</v>
      </c>
      <c r="J2356" t="s">
        <v>38</v>
      </c>
      <c r="K2356" s="8">
        <f>Table2[[#This Row],[CurrentStock]]*Table2[[#This Row],[UnitPrice]]</f>
        <v>217229.40000000002</v>
      </c>
      <c r="L2356" t="str">
        <f>IF(Table2[[#This Row],[CurrentStock]]&lt;=Table2[[#This Row],[ReorderLevel]], "Reorder Needed", "Okay")</f>
        <v>Okay</v>
      </c>
      <c r="M2356" t="str">
        <f>IF(Table2[[#This Row],[CurrentStock]]-Table2[[#This Row],[ReorderLevel]]&lt;0,Table2[[#This Row],[CurrentStock]]-Table2[[#This Row],[ReorderLevel]],"")</f>
        <v/>
      </c>
      <c r="N2356" t="str">
        <f>IF(Table2[[#This Row],[Stock Gap]]&lt;0, "Understock","Okay")</f>
        <v>Okay</v>
      </c>
      <c r="O2356" s="13" t="str">
        <f>IF(Table2[[#This Row],[Stock Gap]]&lt;0, "Yes", "No")</f>
        <v>No</v>
      </c>
      <c r="P2356" s="13" t="str">
        <f>IF(Table2[[#This Row],[CurrentStock]]&lt;Table2[[#This Row],[ReorderLevel]],"Reorder", "Okay")</f>
        <v>Okay</v>
      </c>
      <c r="Q2356" s="13" t="str">
        <f>IF(Table2[[#This Row],[CurrentStock]]&gt;Table2[[#This Row],[ReorderLevel]]*3, "Overstock", "Okay")</f>
        <v>Overstock</v>
      </c>
    </row>
    <row r="2357" spans="1:17" x14ac:dyDescent="0.35">
      <c r="A2357">
        <v>55147</v>
      </c>
      <c r="B2357" t="s">
        <v>22</v>
      </c>
      <c r="C2357" t="s">
        <v>29</v>
      </c>
      <c r="D2357">
        <v>123</v>
      </c>
      <c r="E2357">
        <v>20</v>
      </c>
      <c r="F2357" s="2">
        <v>24.14</v>
      </c>
      <c r="G2357" t="s">
        <v>31</v>
      </c>
      <c r="H2357" s="1">
        <v>45400</v>
      </c>
      <c r="I2357" s="1">
        <v>45435</v>
      </c>
      <c r="J2357" t="s">
        <v>37</v>
      </c>
      <c r="K2357" s="8">
        <f>Table2[[#This Row],[CurrentStock]]*Table2[[#This Row],[UnitPrice]]</f>
        <v>2969.2200000000003</v>
      </c>
      <c r="L2357" t="str">
        <f>IF(Table2[[#This Row],[CurrentStock]]&lt;=Table2[[#This Row],[ReorderLevel]], "Reorder Needed", "Okay")</f>
        <v>Okay</v>
      </c>
      <c r="M2357" t="str">
        <f>IF(Table2[[#This Row],[CurrentStock]]-Table2[[#This Row],[ReorderLevel]]&lt;0,Table2[[#This Row],[CurrentStock]]-Table2[[#This Row],[ReorderLevel]],"")</f>
        <v/>
      </c>
      <c r="N2357" t="str">
        <f>IF(Table2[[#This Row],[Stock Gap]]&lt;0, "Understock","Okay")</f>
        <v>Okay</v>
      </c>
      <c r="O2357" s="13" t="str">
        <f>IF(Table2[[#This Row],[Stock Gap]]&lt;0, "Yes", "No")</f>
        <v>No</v>
      </c>
      <c r="P2357" s="13" t="str">
        <f>IF(Table2[[#This Row],[CurrentStock]]&lt;Table2[[#This Row],[ReorderLevel]],"Reorder", "Okay")</f>
        <v>Okay</v>
      </c>
      <c r="Q2357" s="13" t="str">
        <f>IF(Table2[[#This Row],[CurrentStock]]&gt;Table2[[#This Row],[ReorderLevel]]*3, "Overstock", "Okay")</f>
        <v>Overstock</v>
      </c>
    </row>
    <row r="2358" spans="1:17" x14ac:dyDescent="0.35">
      <c r="A2358">
        <v>67811</v>
      </c>
      <c r="B2358" t="s">
        <v>13</v>
      </c>
      <c r="C2358" t="s">
        <v>26</v>
      </c>
      <c r="D2358">
        <v>226</v>
      </c>
      <c r="E2358">
        <v>40</v>
      </c>
      <c r="F2358" s="2">
        <v>22.26</v>
      </c>
      <c r="G2358" t="s">
        <v>32</v>
      </c>
      <c r="H2358" s="1">
        <v>45389</v>
      </c>
      <c r="I2358" s="1">
        <v>45407</v>
      </c>
      <c r="J2358" t="s">
        <v>37</v>
      </c>
      <c r="K2358" s="8">
        <f>Table2[[#This Row],[CurrentStock]]*Table2[[#This Row],[UnitPrice]]</f>
        <v>5030.76</v>
      </c>
      <c r="L2358" t="str">
        <f>IF(Table2[[#This Row],[CurrentStock]]&lt;=Table2[[#This Row],[ReorderLevel]], "Reorder Needed", "Okay")</f>
        <v>Okay</v>
      </c>
      <c r="M2358" t="str">
        <f>IF(Table2[[#This Row],[CurrentStock]]-Table2[[#This Row],[ReorderLevel]]&lt;0,Table2[[#This Row],[CurrentStock]]-Table2[[#This Row],[ReorderLevel]],"")</f>
        <v/>
      </c>
      <c r="N2358" t="str">
        <f>IF(Table2[[#This Row],[Stock Gap]]&lt;0, "Understock","Okay")</f>
        <v>Okay</v>
      </c>
      <c r="O2358" s="13" t="str">
        <f>IF(Table2[[#This Row],[Stock Gap]]&lt;0, "Yes", "No")</f>
        <v>No</v>
      </c>
      <c r="P2358" s="13" t="str">
        <f>IF(Table2[[#This Row],[CurrentStock]]&lt;Table2[[#This Row],[ReorderLevel]],"Reorder", "Okay")</f>
        <v>Okay</v>
      </c>
      <c r="Q2358" s="13" t="str">
        <f>IF(Table2[[#This Row],[CurrentStock]]&gt;Table2[[#This Row],[ReorderLevel]]*3, "Overstock", "Okay")</f>
        <v>Overstock</v>
      </c>
    </row>
    <row r="2359" spans="1:17" x14ac:dyDescent="0.35">
      <c r="A2359">
        <v>43945</v>
      </c>
      <c r="B2359" t="s">
        <v>14</v>
      </c>
      <c r="C2359" t="s">
        <v>28</v>
      </c>
      <c r="D2359">
        <v>255</v>
      </c>
      <c r="E2359">
        <v>40</v>
      </c>
      <c r="F2359" s="2">
        <v>327.23</v>
      </c>
      <c r="G2359" t="s">
        <v>31</v>
      </c>
      <c r="H2359" s="1">
        <v>45631</v>
      </c>
      <c r="I2359" s="1">
        <v>45665</v>
      </c>
      <c r="J2359" t="s">
        <v>37</v>
      </c>
      <c r="K2359" s="8">
        <f>Table2[[#This Row],[CurrentStock]]*Table2[[#This Row],[UnitPrice]]</f>
        <v>83443.650000000009</v>
      </c>
      <c r="L2359" t="str">
        <f>IF(Table2[[#This Row],[CurrentStock]]&lt;=Table2[[#This Row],[ReorderLevel]], "Reorder Needed", "Okay")</f>
        <v>Okay</v>
      </c>
      <c r="M2359" t="str">
        <f>IF(Table2[[#This Row],[CurrentStock]]-Table2[[#This Row],[ReorderLevel]]&lt;0,Table2[[#This Row],[CurrentStock]]-Table2[[#This Row],[ReorderLevel]],"")</f>
        <v/>
      </c>
      <c r="N2359" t="str">
        <f>IF(Table2[[#This Row],[Stock Gap]]&lt;0, "Understock","Okay")</f>
        <v>Okay</v>
      </c>
      <c r="O2359" s="13" t="str">
        <f>IF(Table2[[#This Row],[Stock Gap]]&lt;0, "Yes", "No")</f>
        <v>No</v>
      </c>
      <c r="P2359" s="13" t="str">
        <f>IF(Table2[[#This Row],[CurrentStock]]&lt;Table2[[#This Row],[ReorderLevel]],"Reorder", "Okay")</f>
        <v>Okay</v>
      </c>
      <c r="Q2359" s="13" t="str">
        <f>IF(Table2[[#This Row],[CurrentStock]]&gt;Table2[[#This Row],[ReorderLevel]]*3, "Overstock", "Okay")</f>
        <v>Overstock</v>
      </c>
    </row>
    <row r="2360" spans="1:17" x14ac:dyDescent="0.35">
      <c r="A2360">
        <v>69643</v>
      </c>
      <c r="B2360" t="s">
        <v>25</v>
      </c>
      <c r="C2360" t="s">
        <v>29</v>
      </c>
      <c r="D2360">
        <v>133</v>
      </c>
      <c r="E2360">
        <v>50</v>
      </c>
      <c r="F2360" s="2">
        <v>401.2</v>
      </c>
      <c r="G2360" t="s">
        <v>31</v>
      </c>
      <c r="H2360" s="1">
        <v>45571</v>
      </c>
      <c r="I2360" s="1">
        <v>45609</v>
      </c>
      <c r="J2360" t="s">
        <v>37</v>
      </c>
      <c r="K2360" s="8">
        <f>Table2[[#This Row],[CurrentStock]]*Table2[[#This Row],[UnitPrice]]</f>
        <v>53359.6</v>
      </c>
      <c r="L2360" t="str">
        <f>IF(Table2[[#This Row],[CurrentStock]]&lt;=Table2[[#This Row],[ReorderLevel]], "Reorder Needed", "Okay")</f>
        <v>Okay</v>
      </c>
      <c r="M2360" t="str">
        <f>IF(Table2[[#This Row],[CurrentStock]]-Table2[[#This Row],[ReorderLevel]]&lt;0,Table2[[#This Row],[CurrentStock]]-Table2[[#This Row],[ReorderLevel]],"")</f>
        <v/>
      </c>
      <c r="N2360" t="str">
        <f>IF(Table2[[#This Row],[Stock Gap]]&lt;0, "Understock","Okay")</f>
        <v>Okay</v>
      </c>
      <c r="O2360" s="13" t="str">
        <f>IF(Table2[[#This Row],[Stock Gap]]&lt;0, "Yes", "No")</f>
        <v>No</v>
      </c>
      <c r="P2360" s="13" t="str">
        <f>IF(Table2[[#This Row],[CurrentStock]]&lt;Table2[[#This Row],[ReorderLevel]],"Reorder", "Okay")</f>
        <v>Okay</v>
      </c>
      <c r="Q2360" s="13" t="str">
        <f>IF(Table2[[#This Row],[CurrentStock]]&gt;Table2[[#This Row],[ReorderLevel]]*3, "Overstock", "Okay")</f>
        <v>Okay</v>
      </c>
    </row>
    <row r="2361" spans="1:17" x14ac:dyDescent="0.35">
      <c r="A2361">
        <v>85768</v>
      </c>
      <c r="B2361" t="s">
        <v>10</v>
      </c>
      <c r="C2361" t="s">
        <v>26</v>
      </c>
      <c r="D2361">
        <v>318</v>
      </c>
      <c r="E2361">
        <v>150</v>
      </c>
      <c r="F2361" s="2">
        <v>196.16</v>
      </c>
      <c r="G2361" t="s">
        <v>35</v>
      </c>
      <c r="H2361" s="1">
        <v>45321</v>
      </c>
      <c r="I2361" s="1">
        <v>45355</v>
      </c>
      <c r="J2361" t="s">
        <v>36</v>
      </c>
      <c r="K2361" s="8">
        <f>Table2[[#This Row],[CurrentStock]]*Table2[[#This Row],[UnitPrice]]</f>
        <v>62378.879999999997</v>
      </c>
      <c r="L2361" t="str">
        <f>IF(Table2[[#This Row],[CurrentStock]]&lt;=Table2[[#This Row],[ReorderLevel]], "Reorder Needed", "Okay")</f>
        <v>Okay</v>
      </c>
      <c r="M2361" t="str">
        <f>IF(Table2[[#This Row],[CurrentStock]]-Table2[[#This Row],[ReorderLevel]]&lt;0,Table2[[#This Row],[CurrentStock]]-Table2[[#This Row],[ReorderLevel]],"")</f>
        <v/>
      </c>
      <c r="N2361" t="str">
        <f>IF(Table2[[#This Row],[Stock Gap]]&lt;0, "Understock","Okay")</f>
        <v>Okay</v>
      </c>
      <c r="O2361" s="13" t="str">
        <f>IF(Table2[[#This Row],[Stock Gap]]&lt;0, "Yes", "No")</f>
        <v>No</v>
      </c>
      <c r="P2361" s="13" t="str">
        <f>IF(Table2[[#This Row],[CurrentStock]]&lt;Table2[[#This Row],[ReorderLevel]],"Reorder", "Okay")</f>
        <v>Okay</v>
      </c>
      <c r="Q2361" s="13" t="str">
        <f>IF(Table2[[#This Row],[CurrentStock]]&gt;Table2[[#This Row],[ReorderLevel]]*3, "Overstock", "Okay")</f>
        <v>Okay</v>
      </c>
    </row>
    <row r="2362" spans="1:17" x14ac:dyDescent="0.35">
      <c r="A2362">
        <v>78197</v>
      </c>
      <c r="B2362" t="s">
        <v>13</v>
      </c>
      <c r="C2362" t="s">
        <v>26</v>
      </c>
      <c r="D2362">
        <v>149</v>
      </c>
      <c r="E2362">
        <v>20</v>
      </c>
      <c r="F2362" s="2">
        <v>150.03</v>
      </c>
      <c r="G2362" t="s">
        <v>31</v>
      </c>
      <c r="H2362" s="1">
        <v>45312</v>
      </c>
      <c r="I2362" s="1">
        <v>45343</v>
      </c>
      <c r="J2362" t="s">
        <v>38</v>
      </c>
      <c r="K2362" s="8">
        <f>Table2[[#This Row],[CurrentStock]]*Table2[[#This Row],[UnitPrice]]</f>
        <v>22354.47</v>
      </c>
      <c r="L2362" t="str">
        <f>IF(Table2[[#This Row],[CurrentStock]]&lt;=Table2[[#This Row],[ReorderLevel]], "Reorder Needed", "Okay")</f>
        <v>Okay</v>
      </c>
      <c r="M2362" t="str">
        <f>IF(Table2[[#This Row],[CurrentStock]]-Table2[[#This Row],[ReorderLevel]]&lt;0,Table2[[#This Row],[CurrentStock]]-Table2[[#This Row],[ReorderLevel]],"")</f>
        <v/>
      </c>
      <c r="N2362" t="str">
        <f>IF(Table2[[#This Row],[Stock Gap]]&lt;0, "Understock","Okay")</f>
        <v>Okay</v>
      </c>
      <c r="O2362" s="13" t="str">
        <f>IF(Table2[[#This Row],[Stock Gap]]&lt;0, "Yes", "No")</f>
        <v>No</v>
      </c>
      <c r="P2362" s="13" t="str">
        <f>IF(Table2[[#This Row],[CurrentStock]]&lt;Table2[[#This Row],[ReorderLevel]],"Reorder", "Okay")</f>
        <v>Okay</v>
      </c>
      <c r="Q2362" s="13" t="str">
        <f>IF(Table2[[#This Row],[CurrentStock]]&gt;Table2[[#This Row],[ReorderLevel]]*3, "Overstock", "Okay")</f>
        <v>Overstock</v>
      </c>
    </row>
    <row r="2363" spans="1:17" x14ac:dyDescent="0.35">
      <c r="A2363">
        <v>41408</v>
      </c>
      <c r="B2363" t="s">
        <v>13</v>
      </c>
      <c r="C2363" t="s">
        <v>26</v>
      </c>
      <c r="D2363">
        <v>287</v>
      </c>
      <c r="E2363">
        <v>50</v>
      </c>
      <c r="F2363" s="2">
        <v>336.6</v>
      </c>
      <c r="G2363" t="s">
        <v>35</v>
      </c>
      <c r="H2363" s="1">
        <v>45536</v>
      </c>
      <c r="I2363" s="1">
        <v>45543</v>
      </c>
      <c r="J2363" t="s">
        <v>38</v>
      </c>
      <c r="K2363" s="8">
        <f>Table2[[#This Row],[CurrentStock]]*Table2[[#This Row],[UnitPrice]]</f>
        <v>96604.200000000012</v>
      </c>
      <c r="L2363" t="str">
        <f>IF(Table2[[#This Row],[CurrentStock]]&lt;=Table2[[#This Row],[ReorderLevel]], "Reorder Needed", "Okay")</f>
        <v>Okay</v>
      </c>
      <c r="M2363" t="str">
        <f>IF(Table2[[#This Row],[CurrentStock]]-Table2[[#This Row],[ReorderLevel]]&lt;0,Table2[[#This Row],[CurrentStock]]-Table2[[#This Row],[ReorderLevel]],"")</f>
        <v/>
      </c>
      <c r="N2363" t="str">
        <f>IF(Table2[[#This Row],[Stock Gap]]&lt;0, "Understock","Okay")</f>
        <v>Okay</v>
      </c>
      <c r="O2363" s="13" t="str">
        <f>IF(Table2[[#This Row],[Stock Gap]]&lt;0, "Yes", "No")</f>
        <v>No</v>
      </c>
      <c r="P2363" s="13" t="str">
        <f>IF(Table2[[#This Row],[CurrentStock]]&lt;Table2[[#This Row],[ReorderLevel]],"Reorder", "Okay")</f>
        <v>Okay</v>
      </c>
      <c r="Q2363" s="13" t="str">
        <f>IF(Table2[[#This Row],[CurrentStock]]&gt;Table2[[#This Row],[ReorderLevel]]*3, "Overstock", "Okay")</f>
        <v>Overstock</v>
      </c>
    </row>
    <row r="2364" spans="1:17" x14ac:dyDescent="0.35">
      <c r="A2364">
        <v>43132</v>
      </c>
      <c r="B2364" t="s">
        <v>12</v>
      </c>
      <c r="C2364" t="s">
        <v>28</v>
      </c>
      <c r="D2364">
        <v>275</v>
      </c>
      <c r="E2364">
        <v>150</v>
      </c>
      <c r="F2364" s="2">
        <v>192.44</v>
      </c>
      <c r="G2364" t="s">
        <v>31</v>
      </c>
      <c r="H2364" s="1">
        <v>45331</v>
      </c>
      <c r="I2364" s="1">
        <v>45362</v>
      </c>
      <c r="J2364" t="s">
        <v>37</v>
      </c>
      <c r="K2364" s="8">
        <f>Table2[[#This Row],[CurrentStock]]*Table2[[#This Row],[UnitPrice]]</f>
        <v>52921</v>
      </c>
      <c r="L2364" t="str">
        <f>IF(Table2[[#This Row],[CurrentStock]]&lt;=Table2[[#This Row],[ReorderLevel]], "Reorder Needed", "Okay")</f>
        <v>Okay</v>
      </c>
      <c r="M2364" t="str">
        <f>IF(Table2[[#This Row],[CurrentStock]]-Table2[[#This Row],[ReorderLevel]]&lt;0,Table2[[#This Row],[CurrentStock]]-Table2[[#This Row],[ReorderLevel]],"")</f>
        <v/>
      </c>
      <c r="N2364" t="str">
        <f>IF(Table2[[#This Row],[Stock Gap]]&lt;0, "Understock","Okay")</f>
        <v>Okay</v>
      </c>
      <c r="O2364" s="13" t="str">
        <f>IF(Table2[[#This Row],[Stock Gap]]&lt;0, "Yes", "No")</f>
        <v>No</v>
      </c>
      <c r="P2364" s="13" t="str">
        <f>IF(Table2[[#This Row],[CurrentStock]]&lt;Table2[[#This Row],[ReorderLevel]],"Reorder", "Okay")</f>
        <v>Okay</v>
      </c>
      <c r="Q2364" s="13" t="str">
        <f>IF(Table2[[#This Row],[CurrentStock]]&gt;Table2[[#This Row],[ReorderLevel]]*3, "Overstock", "Okay")</f>
        <v>Okay</v>
      </c>
    </row>
    <row r="2365" spans="1:17" x14ac:dyDescent="0.35">
      <c r="A2365">
        <v>96665</v>
      </c>
      <c r="B2365" t="s">
        <v>21</v>
      </c>
      <c r="C2365" t="s">
        <v>26</v>
      </c>
      <c r="D2365">
        <v>77</v>
      </c>
      <c r="E2365">
        <v>150</v>
      </c>
      <c r="F2365" s="2">
        <v>39.479999999999997</v>
      </c>
      <c r="G2365" t="s">
        <v>31</v>
      </c>
      <c r="H2365" s="1">
        <v>45520</v>
      </c>
      <c r="I2365" s="1">
        <v>45544</v>
      </c>
      <c r="J2365" t="s">
        <v>38</v>
      </c>
      <c r="K2365" s="8">
        <f>Table2[[#This Row],[CurrentStock]]*Table2[[#This Row],[UnitPrice]]</f>
        <v>3039.9599999999996</v>
      </c>
      <c r="L2365" t="str">
        <f>IF(Table2[[#This Row],[CurrentStock]]&lt;=Table2[[#This Row],[ReorderLevel]], "Reorder Needed", "Okay")</f>
        <v>Reorder Needed</v>
      </c>
      <c r="M2365" s="7">
        <f>IF(Table2[[#This Row],[CurrentStock]]-Table2[[#This Row],[ReorderLevel]]&lt;0,Table2[[#This Row],[CurrentStock]]-Table2[[#This Row],[ReorderLevel]],"")</f>
        <v>-73</v>
      </c>
      <c r="N2365" t="str">
        <f>IF(Table2[[#This Row],[Stock Gap]]&lt;0, "Understock","Okay")</f>
        <v>Understock</v>
      </c>
      <c r="O2365" s="13" t="str">
        <f>IF(Table2[[#This Row],[Stock Gap]]&lt;0, "Yes", "No")</f>
        <v>Yes</v>
      </c>
      <c r="P2365" s="13" t="str">
        <f>IF(Table2[[#This Row],[CurrentStock]]&lt;Table2[[#This Row],[ReorderLevel]],"Reorder", "Okay")</f>
        <v>Reorder</v>
      </c>
      <c r="Q2365" s="13" t="str">
        <f>IF(Table2[[#This Row],[CurrentStock]]&gt;Table2[[#This Row],[ReorderLevel]]*3, "Overstock", "Okay")</f>
        <v>Okay</v>
      </c>
    </row>
    <row r="2366" spans="1:17" x14ac:dyDescent="0.35">
      <c r="A2366">
        <v>37802</v>
      </c>
      <c r="B2366" t="s">
        <v>11</v>
      </c>
      <c r="C2366" t="s">
        <v>27</v>
      </c>
      <c r="D2366">
        <v>382</v>
      </c>
      <c r="E2366">
        <v>30</v>
      </c>
      <c r="F2366" s="2">
        <v>287.07</v>
      </c>
      <c r="G2366" t="s">
        <v>32</v>
      </c>
      <c r="H2366" s="1">
        <v>45454</v>
      </c>
      <c r="I2366" s="1">
        <v>45465</v>
      </c>
      <c r="J2366" t="s">
        <v>36</v>
      </c>
      <c r="K2366" s="8">
        <f>Table2[[#This Row],[CurrentStock]]*Table2[[#This Row],[UnitPrice]]</f>
        <v>109660.73999999999</v>
      </c>
      <c r="L2366" t="str">
        <f>IF(Table2[[#This Row],[CurrentStock]]&lt;=Table2[[#This Row],[ReorderLevel]], "Reorder Needed", "Okay")</f>
        <v>Okay</v>
      </c>
      <c r="M2366" t="str">
        <f>IF(Table2[[#This Row],[CurrentStock]]-Table2[[#This Row],[ReorderLevel]]&lt;0,Table2[[#This Row],[CurrentStock]]-Table2[[#This Row],[ReorderLevel]],"")</f>
        <v/>
      </c>
      <c r="N2366" t="str">
        <f>IF(Table2[[#This Row],[Stock Gap]]&lt;0, "Understock","Okay")</f>
        <v>Okay</v>
      </c>
      <c r="O2366" s="13" t="str">
        <f>IF(Table2[[#This Row],[Stock Gap]]&lt;0, "Yes", "No")</f>
        <v>No</v>
      </c>
      <c r="P2366" s="13" t="str">
        <f>IF(Table2[[#This Row],[CurrentStock]]&lt;Table2[[#This Row],[ReorderLevel]],"Reorder", "Okay")</f>
        <v>Okay</v>
      </c>
      <c r="Q2366" s="13" t="str">
        <f>IF(Table2[[#This Row],[CurrentStock]]&gt;Table2[[#This Row],[ReorderLevel]]*3, "Overstock", "Okay")</f>
        <v>Overstock</v>
      </c>
    </row>
    <row r="2367" spans="1:17" x14ac:dyDescent="0.35">
      <c r="A2367">
        <v>68812</v>
      </c>
      <c r="B2367" t="s">
        <v>12</v>
      </c>
      <c r="C2367" t="s">
        <v>28</v>
      </c>
      <c r="D2367">
        <v>454</v>
      </c>
      <c r="E2367">
        <v>100</v>
      </c>
      <c r="F2367" s="2">
        <v>203.3</v>
      </c>
      <c r="G2367" t="s">
        <v>31</v>
      </c>
      <c r="H2367" s="1">
        <v>45624</v>
      </c>
      <c r="I2367" s="1">
        <v>45630</v>
      </c>
      <c r="J2367" t="s">
        <v>38</v>
      </c>
      <c r="K2367" s="8">
        <f>Table2[[#This Row],[CurrentStock]]*Table2[[#This Row],[UnitPrice]]</f>
        <v>92298.200000000012</v>
      </c>
      <c r="L2367" t="str">
        <f>IF(Table2[[#This Row],[CurrentStock]]&lt;=Table2[[#This Row],[ReorderLevel]], "Reorder Needed", "Okay")</f>
        <v>Okay</v>
      </c>
      <c r="M2367" t="str">
        <f>IF(Table2[[#This Row],[CurrentStock]]-Table2[[#This Row],[ReorderLevel]]&lt;0,Table2[[#This Row],[CurrentStock]]-Table2[[#This Row],[ReorderLevel]],"")</f>
        <v/>
      </c>
      <c r="N2367" t="str">
        <f>IF(Table2[[#This Row],[Stock Gap]]&lt;0, "Understock","Okay")</f>
        <v>Okay</v>
      </c>
      <c r="O2367" s="13" t="str">
        <f>IF(Table2[[#This Row],[Stock Gap]]&lt;0, "Yes", "No")</f>
        <v>No</v>
      </c>
      <c r="P2367" s="13" t="str">
        <f>IF(Table2[[#This Row],[CurrentStock]]&lt;Table2[[#This Row],[ReorderLevel]],"Reorder", "Okay")</f>
        <v>Okay</v>
      </c>
      <c r="Q2367" s="13" t="str">
        <f>IF(Table2[[#This Row],[CurrentStock]]&gt;Table2[[#This Row],[ReorderLevel]]*3, "Overstock", "Okay")</f>
        <v>Overstock</v>
      </c>
    </row>
    <row r="2368" spans="1:17" x14ac:dyDescent="0.35">
      <c r="A2368">
        <v>33950</v>
      </c>
      <c r="B2368" t="s">
        <v>11</v>
      </c>
      <c r="C2368" t="s">
        <v>27</v>
      </c>
      <c r="D2368">
        <v>257</v>
      </c>
      <c r="E2368">
        <v>40</v>
      </c>
      <c r="F2368" s="2">
        <v>322.8</v>
      </c>
      <c r="G2368" t="s">
        <v>33</v>
      </c>
      <c r="H2368" s="1">
        <v>45567</v>
      </c>
      <c r="I2368" s="1">
        <v>45594</v>
      </c>
      <c r="J2368" t="s">
        <v>37</v>
      </c>
      <c r="K2368" s="8">
        <f>Table2[[#This Row],[CurrentStock]]*Table2[[#This Row],[UnitPrice]]</f>
        <v>82959.600000000006</v>
      </c>
      <c r="L2368" t="str">
        <f>IF(Table2[[#This Row],[CurrentStock]]&lt;=Table2[[#This Row],[ReorderLevel]], "Reorder Needed", "Okay")</f>
        <v>Okay</v>
      </c>
      <c r="M2368" t="str">
        <f>IF(Table2[[#This Row],[CurrentStock]]-Table2[[#This Row],[ReorderLevel]]&lt;0,Table2[[#This Row],[CurrentStock]]-Table2[[#This Row],[ReorderLevel]],"")</f>
        <v/>
      </c>
      <c r="N2368" t="str">
        <f>IF(Table2[[#This Row],[Stock Gap]]&lt;0, "Understock","Okay")</f>
        <v>Okay</v>
      </c>
      <c r="O2368" s="13" t="str">
        <f>IF(Table2[[#This Row],[Stock Gap]]&lt;0, "Yes", "No")</f>
        <v>No</v>
      </c>
      <c r="P2368" s="13" t="str">
        <f>IF(Table2[[#This Row],[CurrentStock]]&lt;Table2[[#This Row],[ReorderLevel]],"Reorder", "Okay")</f>
        <v>Okay</v>
      </c>
      <c r="Q2368" s="13" t="str">
        <f>IF(Table2[[#This Row],[CurrentStock]]&gt;Table2[[#This Row],[ReorderLevel]]*3, "Overstock", "Okay")</f>
        <v>Overstock</v>
      </c>
    </row>
    <row r="2369" spans="1:17" x14ac:dyDescent="0.35">
      <c r="A2369">
        <v>97108</v>
      </c>
      <c r="B2369" t="s">
        <v>19</v>
      </c>
      <c r="C2369" t="s">
        <v>28</v>
      </c>
      <c r="D2369">
        <v>433</v>
      </c>
      <c r="E2369">
        <v>20</v>
      </c>
      <c r="F2369" s="2">
        <v>168.57</v>
      </c>
      <c r="G2369" t="s">
        <v>32</v>
      </c>
      <c r="H2369" s="1">
        <v>45440</v>
      </c>
      <c r="I2369" s="1">
        <v>45451</v>
      </c>
      <c r="J2369" t="s">
        <v>37</v>
      </c>
      <c r="K2369" s="8">
        <f>Table2[[#This Row],[CurrentStock]]*Table2[[#This Row],[UnitPrice]]</f>
        <v>72990.81</v>
      </c>
      <c r="L2369" t="str">
        <f>IF(Table2[[#This Row],[CurrentStock]]&lt;=Table2[[#This Row],[ReorderLevel]], "Reorder Needed", "Okay")</f>
        <v>Okay</v>
      </c>
      <c r="M2369" t="str">
        <f>IF(Table2[[#This Row],[CurrentStock]]-Table2[[#This Row],[ReorderLevel]]&lt;0,Table2[[#This Row],[CurrentStock]]-Table2[[#This Row],[ReorderLevel]],"")</f>
        <v/>
      </c>
      <c r="N2369" t="str">
        <f>IF(Table2[[#This Row],[Stock Gap]]&lt;0, "Understock","Okay")</f>
        <v>Okay</v>
      </c>
      <c r="O2369" s="13" t="str">
        <f>IF(Table2[[#This Row],[Stock Gap]]&lt;0, "Yes", "No")</f>
        <v>No</v>
      </c>
      <c r="P2369" s="13" t="str">
        <f>IF(Table2[[#This Row],[CurrentStock]]&lt;Table2[[#This Row],[ReorderLevel]],"Reorder", "Okay")</f>
        <v>Okay</v>
      </c>
      <c r="Q2369" s="13" t="str">
        <f>IF(Table2[[#This Row],[CurrentStock]]&gt;Table2[[#This Row],[ReorderLevel]]*3, "Overstock", "Okay")</f>
        <v>Overstock</v>
      </c>
    </row>
    <row r="2370" spans="1:17" x14ac:dyDescent="0.35">
      <c r="A2370">
        <v>59630</v>
      </c>
      <c r="B2370" t="s">
        <v>16</v>
      </c>
      <c r="C2370" t="s">
        <v>29</v>
      </c>
      <c r="D2370">
        <v>389</v>
      </c>
      <c r="E2370">
        <v>100</v>
      </c>
      <c r="F2370" s="2">
        <v>268.86</v>
      </c>
      <c r="G2370" t="s">
        <v>32</v>
      </c>
      <c r="H2370" s="1">
        <v>45549</v>
      </c>
      <c r="I2370" s="1">
        <v>45578</v>
      </c>
      <c r="J2370" t="s">
        <v>38</v>
      </c>
      <c r="K2370" s="8">
        <f>Table2[[#This Row],[CurrentStock]]*Table2[[#This Row],[UnitPrice]]</f>
        <v>104586.54000000001</v>
      </c>
      <c r="L2370" t="str">
        <f>IF(Table2[[#This Row],[CurrentStock]]&lt;=Table2[[#This Row],[ReorderLevel]], "Reorder Needed", "Okay")</f>
        <v>Okay</v>
      </c>
      <c r="M2370" t="str">
        <f>IF(Table2[[#This Row],[CurrentStock]]-Table2[[#This Row],[ReorderLevel]]&lt;0,Table2[[#This Row],[CurrentStock]]-Table2[[#This Row],[ReorderLevel]],"")</f>
        <v/>
      </c>
      <c r="N2370" t="str">
        <f>IF(Table2[[#This Row],[Stock Gap]]&lt;0, "Understock","Okay")</f>
        <v>Okay</v>
      </c>
      <c r="O2370" s="13" t="str">
        <f>IF(Table2[[#This Row],[Stock Gap]]&lt;0, "Yes", "No")</f>
        <v>No</v>
      </c>
      <c r="P2370" s="13" t="str">
        <f>IF(Table2[[#This Row],[CurrentStock]]&lt;Table2[[#This Row],[ReorderLevel]],"Reorder", "Okay")</f>
        <v>Okay</v>
      </c>
      <c r="Q2370" s="13" t="str">
        <f>IF(Table2[[#This Row],[CurrentStock]]&gt;Table2[[#This Row],[ReorderLevel]]*3, "Overstock", "Okay")</f>
        <v>Overstock</v>
      </c>
    </row>
    <row r="2371" spans="1:17" x14ac:dyDescent="0.35">
      <c r="A2371">
        <v>37133</v>
      </c>
      <c r="B2371" t="s">
        <v>16</v>
      </c>
      <c r="C2371" t="s">
        <v>29</v>
      </c>
      <c r="D2371">
        <v>145</v>
      </c>
      <c r="E2371">
        <v>20</v>
      </c>
      <c r="F2371" s="2">
        <v>275.91000000000003</v>
      </c>
      <c r="G2371" t="s">
        <v>35</v>
      </c>
      <c r="H2371" s="1">
        <v>45377</v>
      </c>
      <c r="I2371" s="1">
        <v>45382</v>
      </c>
      <c r="J2371" t="s">
        <v>36</v>
      </c>
      <c r="K2371" s="8">
        <f>Table2[[#This Row],[CurrentStock]]*Table2[[#This Row],[UnitPrice]]</f>
        <v>40006.950000000004</v>
      </c>
      <c r="L2371" t="str">
        <f>IF(Table2[[#This Row],[CurrentStock]]&lt;=Table2[[#This Row],[ReorderLevel]], "Reorder Needed", "Okay")</f>
        <v>Okay</v>
      </c>
      <c r="M2371" t="str">
        <f>IF(Table2[[#This Row],[CurrentStock]]-Table2[[#This Row],[ReorderLevel]]&lt;0,Table2[[#This Row],[CurrentStock]]-Table2[[#This Row],[ReorderLevel]],"")</f>
        <v/>
      </c>
      <c r="N2371" t="str">
        <f>IF(Table2[[#This Row],[Stock Gap]]&lt;0, "Understock","Okay")</f>
        <v>Okay</v>
      </c>
      <c r="O2371" s="13" t="str">
        <f>IF(Table2[[#This Row],[Stock Gap]]&lt;0, "Yes", "No")</f>
        <v>No</v>
      </c>
      <c r="P2371" s="13" t="str">
        <f>IF(Table2[[#This Row],[CurrentStock]]&lt;Table2[[#This Row],[ReorderLevel]],"Reorder", "Okay")</f>
        <v>Okay</v>
      </c>
      <c r="Q2371" s="13" t="str">
        <f>IF(Table2[[#This Row],[CurrentStock]]&gt;Table2[[#This Row],[ReorderLevel]]*3, "Overstock", "Okay")</f>
        <v>Overstock</v>
      </c>
    </row>
    <row r="2372" spans="1:17" x14ac:dyDescent="0.35">
      <c r="A2372">
        <v>41742</v>
      </c>
      <c r="B2372" t="s">
        <v>11</v>
      </c>
      <c r="C2372" t="s">
        <v>27</v>
      </c>
      <c r="D2372">
        <v>256</v>
      </c>
      <c r="E2372">
        <v>80</v>
      </c>
      <c r="F2372" s="2">
        <v>191.84</v>
      </c>
      <c r="G2372" t="s">
        <v>31</v>
      </c>
      <c r="H2372" s="1">
        <v>45500</v>
      </c>
      <c r="I2372" s="1">
        <v>45516</v>
      </c>
      <c r="J2372" t="s">
        <v>37</v>
      </c>
      <c r="K2372" s="8">
        <f>Table2[[#This Row],[CurrentStock]]*Table2[[#This Row],[UnitPrice]]</f>
        <v>49111.040000000001</v>
      </c>
      <c r="L2372" t="str">
        <f>IF(Table2[[#This Row],[CurrentStock]]&lt;=Table2[[#This Row],[ReorderLevel]], "Reorder Needed", "Okay")</f>
        <v>Okay</v>
      </c>
      <c r="M2372" t="str">
        <f>IF(Table2[[#This Row],[CurrentStock]]-Table2[[#This Row],[ReorderLevel]]&lt;0,Table2[[#This Row],[CurrentStock]]-Table2[[#This Row],[ReorderLevel]],"")</f>
        <v/>
      </c>
      <c r="N2372" t="str">
        <f>IF(Table2[[#This Row],[Stock Gap]]&lt;0, "Understock","Okay")</f>
        <v>Okay</v>
      </c>
      <c r="O2372" s="13" t="str">
        <f>IF(Table2[[#This Row],[Stock Gap]]&lt;0, "Yes", "No")</f>
        <v>No</v>
      </c>
      <c r="P2372" s="13" t="str">
        <f>IF(Table2[[#This Row],[CurrentStock]]&lt;Table2[[#This Row],[ReorderLevel]],"Reorder", "Okay")</f>
        <v>Okay</v>
      </c>
      <c r="Q2372" s="13" t="str">
        <f>IF(Table2[[#This Row],[CurrentStock]]&gt;Table2[[#This Row],[ReorderLevel]]*3, "Overstock", "Okay")</f>
        <v>Overstock</v>
      </c>
    </row>
    <row r="2373" spans="1:17" x14ac:dyDescent="0.35">
      <c r="A2373">
        <v>92283</v>
      </c>
      <c r="B2373" t="s">
        <v>14</v>
      </c>
      <c r="C2373" t="s">
        <v>28</v>
      </c>
      <c r="D2373">
        <v>409</v>
      </c>
      <c r="E2373">
        <v>150</v>
      </c>
      <c r="F2373" s="2">
        <v>431.72</v>
      </c>
      <c r="G2373" t="s">
        <v>33</v>
      </c>
      <c r="H2373" s="1">
        <v>45445</v>
      </c>
      <c r="I2373" s="1">
        <v>45452</v>
      </c>
      <c r="J2373" t="s">
        <v>36</v>
      </c>
      <c r="K2373" s="8">
        <f>Table2[[#This Row],[CurrentStock]]*Table2[[#This Row],[UnitPrice]]</f>
        <v>176573.48</v>
      </c>
      <c r="L2373" t="str">
        <f>IF(Table2[[#This Row],[CurrentStock]]&lt;=Table2[[#This Row],[ReorderLevel]], "Reorder Needed", "Okay")</f>
        <v>Okay</v>
      </c>
      <c r="M2373" t="str">
        <f>IF(Table2[[#This Row],[CurrentStock]]-Table2[[#This Row],[ReorderLevel]]&lt;0,Table2[[#This Row],[CurrentStock]]-Table2[[#This Row],[ReorderLevel]],"")</f>
        <v/>
      </c>
      <c r="N2373" t="str">
        <f>IF(Table2[[#This Row],[Stock Gap]]&lt;0, "Understock","Okay")</f>
        <v>Okay</v>
      </c>
      <c r="O2373" s="13" t="str">
        <f>IF(Table2[[#This Row],[Stock Gap]]&lt;0, "Yes", "No")</f>
        <v>No</v>
      </c>
      <c r="P2373" s="13" t="str">
        <f>IF(Table2[[#This Row],[CurrentStock]]&lt;Table2[[#This Row],[ReorderLevel]],"Reorder", "Okay")</f>
        <v>Okay</v>
      </c>
      <c r="Q2373" s="13" t="str">
        <f>IF(Table2[[#This Row],[CurrentStock]]&gt;Table2[[#This Row],[ReorderLevel]]*3, "Overstock", "Okay")</f>
        <v>Okay</v>
      </c>
    </row>
    <row r="2374" spans="1:17" x14ac:dyDescent="0.35">
      <c r="A2374">
        <v>61134</v>
      </c>
      <c r="B2374" t="s">
        <v>20</v>
      </c>
      <c r="C2374" t="s">
        <v>30</v>
      </c>
      <c r="D2374">
        <v>356</v>
      </c>
      <c r="E2374">
        <v>40</v>
      </c>
      <c r="F2374" s="2">
        <v>43.27</v>
      </c>
      <c r="G2374" t="s">
        <v>32</v>
      </c>
      <c r="H2374" s="1">
        <v>45609</v>
      </c>
      <c r="I2374" s="1">
        <v>45624</v>
      </c>
      <c r="J2374" t="s">
        <v>36</v>
      </c>
      <c r="K2374" s="8">
        <f>Table2[[#This Row],[CurrentStock]]*Table2[[#This Row],[UnitPrice]]</f>
        <v>15404.12</v>
      </c>
      <c r="L2374" t="str">
        <f>IF(Table2[[#This Row],[CurrentStock]]&lt;=Table2[[#This Row],[ReorderLevel]], "Reorder Needed", "Okay")</f>
        <v>Okay</v>
      </c>
      <c r="M2374" t="str">
        <f>IF(Table2[[#This Row],[CurrentStock]]-Table2[[#This Row],[ReorderLevel]]&lt;0,Table2[[#This Row],[CurrentStock]]-Table2[[#This Row],[ReorderLevel]],"")</f>
        <v/>
      </c>
      <c r="N2374" t="str">
        <f>IF(Table2[[#This Row],[Stock Gap]]&lt;0, "Understock","Okay")</f>
        <v>Okay</v>
      </c>
      <c r="O2374" s="13" t="str">
        <f>IF(Table2[[#This Row],[Stock Gap]]&lt;0, "Yes", "No")</f>
        <v>No</v>
      </c>
      <c r="P2374" s="13" t="str">
        <f>IF(Table2[[#This Row],[CurrentStock]]&lt;Table2[[#This Row],[ReorderLevel]],"Reorder", "Okay")</f>
        <v>Okay</v>
      </c>
      <c r="Q2374" s="13" t="str">
        <f>IF(Table2[[#This Row],[CurrentStock]]&gt;Table2[[#This Row],[ReorderLevel]]*3, "Overstock", "Okay")</f>
        <v>Overstock</v>
      </c>
    </row>
    <row r="2375" spans="1:17" x14ac:dyDescent="0.35">
      <c r="A2375">
        <v>50739</v>
      </c>
      <c r="B2375" t="s">
        <v>19</v>
      </c>
      <c r="C2375" t="s">
        <v>28</v>
      </c>
      <c r="D2375">
        <v>106</v>
      </c>
      <c r="E2375">
        <v>20</v>
      </c>
      <c r="F2375" s="2">
        <v>381.8</v>
      </c>
      <c r="G2375" t="s">
        <v>31</v>
      </c>
      <c r="H2375" s="1">
        <v>45563</v>
      </c>
      <c r="I2375" s="1">
        <v>45580</v>
      </c>
      <c r="J2375" t="s">
        <v>38</v>
      </c>
      <c r="K2375" s="8">
        <f>Table2[[#This Row],[CurrentStock]]*Table2[[#This Row],[UnitPrice]]</f>
        <v>40470.800000000003</v>
      </c>
      <c r="L2375" t="str">
        <f>IF(Table2[[#This Row],[CurrentStock]]&lt;=Table2[[#This Row],[ReorderLevel]], "Reorder Needed", "Okay")</f>
        <v>Okay</v>
      </c>
      <c r="M2375" t="str">
        <f>IF(Table2[[#This Row],[CurrentStock]]-Table2[[#This Row],[ReorderLevel]]&lt;0,Table2[[#This Row],[CurrentStock]]-Table2[[#This Row],[ReorderLevel]],"")</f>
        <v/>
      </c>
      <c r="N2375" t="str">
        <f>IF(Table2[[#This Row],[Stock Gap]]&lt;0, "Understock","Okay")</f>
        <v>Okay</v>
      </c>
      <c r="O2375" s="13" t="str">
        <f>IF(Table2[[#This Row],[Stock Gap]]&lt;0, "Yes", "No")</f>
        <v>No</v>
      </c>
      <c r="P2375" s="13" t="str">
        <f>IF(Table2[[#This Row],[CurrentStock]]&lt;Table2[[#This Row],[ReorderLevel]],"Reorder", "Okay")</f>
        <v>Okay</v>
      </c>
      <c r="Q2375" s="13" t="str">
        <f>IF(Table2[[#This Row],[CurrentStock]]&gt;Table2[[#This Row],[ReorderLevel]]*3, "Overstock", "Okay")</f>
        <v>Overstock</v>
      </c>
    </row>
    <row r="2376" spans="1:17" x14ac:dyDescent="0.35">
      <c r="A2376">
        <v>63001</v>
      </c>
      <c r="B2376" t="s">
        <v>20</v>
      </c>
      <c r="C2376" t="s">
        <v>30</v>
      </c>
      <c r="D2376">
        <v>80</v>
      </c>
      <c r="E2376">
        <v>100</v>
      </c>
      <c r="F2376" s="2">
        <v>270.08999999999997</v>
      </c>
      <c r="G2376" t="s">
        <v>31</v>
      </c>
      <c r="H2376" s="1">
        <v>45321</v>
      </c>
      <c r="I2376" s="1">
        <v>45332</v>
      </c>
      <c r="J2376" t="s">
        <v>38</v>
      </c>
      <c r="K2376" s="8">
        <f>Table2[[#This Row],[CurrentStock]]*Table2[[#This Row],[UnitPrice]]</f>
        <v>21607.199999999997</v>
      </c>
      <c r="L2376" t="str">
        <f>IF(Table2[[#This Row],[CurrentStock]]&lt;=Table2[[#This Row],[ReorderLevel]], "Reorder Needed", "Okay")</f>
        <v>Reorder Needed</v>
      </c>
      <c r="M2376" s="7">
        <f>IF(Table2[[#This Row],[CurrentStock]]-Table2[[#This Row],[ReorderLevel]]&lt;0,Table2[[#This Row],[CurrentStock]]-Table2[[#This Row],[ReorderLevel]],"")</f>
        <v>-20</v>
      </c>
      <c r="N2376" t="str">
        <f>IF(Table2[[#This Row],[Stock Gap]]&lt;0, "Understock","Okay")</f>
        <v>Understock</v>
      </c>
      <c r="O2376" s="13" t="str">
        <f>IF(Table2[[#This Row],[Stock Gap]]&lt;0, "Yes", "No")</f>
        <v>Yes</v>
      </c>
      <c r="P2376" s="13" t="str">
        <f>IF(Table2[[#This Row],[CurrentStock]]&lt;Table2[[#This Row],[ReorderLevel]],"Reorder", "Okay")</f>
        <v>Reorder</v>
      </c>
      <c r="Q2376" s="13" t="str">
        <f>IF(Table2[[#This Row],[CurrentStock]]&gt;Table2[[#This Row],[ReorderLevel]]*3, "Overstock", "Okay")</f>
        <v>Okay</v>
      </c>
    </row>
    <row r="2377" spans="1:17" x14ac:dyDescent="0.35">
      <c r="A2377">
        <v>76981</v>
      </c>
      <c r="B2377" t="s">
        <v>12</v>
      </c>
      <c r="C2377" t="s">
        <v>28</v>
      </c>
      <c r="D2377">
        <v>36</v>
      </c>
      <c r="E2377">
        <v>50</v>
      </c>
      <c r="F2377" s="2">
        <v>410.84</v>
      </c>
      <c r="G2377" t="s">
        <v>32</v>
      </c>
      <c r="H2377" s="1">
        <v>45546</v>
      </c>
      <c r="I2377" s="1">
        <v>45572</v>
      </c>
      <c r="J2377" t="s">
        <v>37</v>
      </c>
      <c r="K2377" s="8">
        <f>Table2[[#This Row],[CurrentStock]]*Table2[[#This Row],[UnitPrice]]</f>
        <v>14790.24</v>
      </c>
      <c r="L2377" t="str">
        <f>IF(Table2[[#This Row],[CurrentStock]]&lt;=Table2[[#This Row],[ReorderLevel]], "Reorder Needed", "Okay")</f>
        <v>Reorder Needed</v>
      </c>
      <c r="M2377" s="7">
        <f>IF(Table2[[#This Row],[CurrentStock]]-Table2[[#This Row],[ReorderLevel]]&lt;0,Table2[[#This Row],[CurrentStock]]-Table2[[#This Row],[ReorderLevel]],"")</f>
        <v>-14</v>
      </c>
      <c r="N2377" t="str">
        <f>IF(Table2[[#This Row],[Stock Gap]]&lt;0, "Understock","Okay")</f>
        <v>Understock</v>
      </c>
      <c r="O2377" s="13" t="str">
        <f>IF(Table2[[#This Row],[Stock Gap]]&lt;0, "Yes", "No")</f>
        <v>Yes</v>
      </c>
      <c r="P2377" s="13" t="str">
        <f>IF(Table2[[#This Row],[CurrentStock]]&lt;Table2[[#This Row],[ReorderLevel]],"Reorder", "Okay")</f>
        <v>Reorder</v>
      </c>
      <c r="Q2377" s="13" t="str">
        <f>IF(Table2[[#This Row],[CurrentStock]]&gt;Table2[[#This Row],[ReorderLevel]]*3, "Overstock", "Okay")</f>
        <v>Okay</v>
      </c>
    </row>
    <row r="2378" spans="1:17" x14ac:dyDescent="0.35">
      <c r="A2378">
        <v>23403</v>
      </c>
      <c r="B2378" t="s">
        <v>15</v>
      </c>
      <c r="C2378" t="s">
        <v>29</v>
      </c>
      <c r="D2378">
        <v>168</v>
      </c>
      <c r="E2378">
        <v>30</v>
      </c>
      <c r="F2378" s="2">
        <v>405.89</v>
      </c>
      <c r="G2378" t="s">
        <v>32</v>
      </c>
      <c r="H2378" s="1">
        <v>45612</v>
      </c>
      <c r="I2378" s="1">
        <v>45631</v>
      </c>
      <c r="J2378" t="s">
        <v>37</v>
      </c>
      <c r="K2378" s="8">
        <f>Table2[[#This Row],[CurrentStock]]*Table2[[#This Row],[UnitPrice]]</f>
        <v>68189.52</v>
      </c>
      <c r="L2378" t="str">
        <f>IF(Table2[[#This Row],[CurrentStock]]&lt;=Table2[[#This Row],[ReorderLevel]], "Reorder Needed", "Okay")</f>
        <v>Okay</v>
      </c>
      <c r="M2378" t="str">
        <f>IF(Table2[[#This Row],[CurrentStock]]-Table2[[#This Row],[ReorderLevel]]&lt;0,Table2[[#This Row],[CurrentStock]]-Table2[[#This Row],[ReorderLevel]],"")</f>
        <v/>
      </c>
      <c r="N2378" t="str">
        <f>IF(Table2[[#This Row],[Stock Gap]]&lt;0, "Understock","Okay")</f>
        <v>Okay</v>
      </c>
      <c r="O2378" s="13" t="str">
        <f>IF(Table2[[#This Row],[Stock Gap]]&lt;0, "Yes", "No")</f>
        <v>No</v>
      </c>
      <c r="P2378" s="13" t="str">
        <f>IF(Table2[[#This Row],[CurrentStock]]&lt;Table2[[#This Row],[ReorderLevel]],"Reorder", "Okay")</f>
        <v>Okay</v>
      </c>
      <c r="Q2378" s="13" t="str">
        <f>IF(Table2[[#This Row],[CurrentStock]]&gt;Table2[[#This Row],[ReorderLevel]]*3, "Overstock", "Okay")</f>
        <v>Overstock</v>
      </c>
    </row>
    <row r="2379" spans="1:17" x14ac:dyDescent="0.35">
      <c r="A2379">
        <v>52517</v>
      </c>
      <c r="B2379" t="s">
        <v>24</v>
      </c>
      <c r="C2379" t="s">
        <v>30</v>
      </c>
      <c r="D2379">
        <v>316</v>
      </c>
      <c r="E2379">
        <v>150</v>
      </c>
      <c r="F2379" s="2">
        <v>320.88</v>
      </c>
      <c r="G2379" t="s">
        <v>33</v>
      </c>
      <c r="H2379" s="1">
        <v>45394</v>
      </c>
      <c r="I2379" s="1">
        <v>45415</v>
      </c>
      <c r="J2379" t="s">
        <v>37</v>
      </c>
      <c r="K2379" s="8">
        <f>Table2[[#This Row],[CurrentStock]]*Table2[[#This Row],[UnitPrice]]</f>
        <v>101398.08</v>
      </c>
      <c r="L2379" t="str">
        <f>IF(Table2[[#This Row],[CurrentStock]]&lt;=Table2[[#This Row],[ReorderLevel]], "Reorder Needed", "Okay")</f>
        <v>Okay</v>
      </c>
      <c r="M2379" t="str">
        <f>IF(Table2[[#This Row],[CurrentStock]]-Table2[[#This Row],[ReorderLevel]]&lt;0,Table2[[#This Row],[CurrentStock]]-Table2[[#This Row],[ReorderLevel]],"")</f>
        <v/>
      </c>
      <c r="N2379" t="str">
        <f>IF(Table2[[#This Row],[Stock Gap]]&lt;0, "Understock","Okay")</f>
        <v>Okay</v>
      </c>
      <c r="O2379" s="13" t="str">
        <f>IF(Table2[[#This Row],[Stock Gap]]&lt;0, "Yes", "No")</f>
        <v>No</v>
      </c>
      <c r="P2379" s="13" t="str">
        <f>IF(Table2[[#This Row],[CurrentStock]]&lt;Table2[[#This Row],[ReorderLevel]],"Reorder", "Okay")</f>
        <v>Okay</v>
      </c>
      <c r="Q2379" s="13" t="str">
        <f>IF(Table2[[#This Row],[CurrentStock]]&gt;Table2[[#This Row],[ReorderLevel]]*3, "Overstock", "Okay")</f>
        <v>Okay</v>
      </c>
    </row>
    <row r="2380" spans="1:17" x14ac:dyDescent="0.35">
      <c r="A2380">
        <v>82454</v>
      </c>
      <c r="B2380" t="s">
        <v>12</v>
      </c>
      <c r="C2380" t="s">
        <v>28</v>
      </c>
      <c r="D2380">
        <v>416</v>
      </c>
      <c r="E2380">
        <v>30</v>
      </c>
      <c r="F2380" s="2">
        <v>189.27</v>
      </c>
      <c r="G2380" t="s">
        <v>35</v>
      </c>
      <c r="H2380" s="1">
        <v>45593</v>
      </c>
      <c r="I2380" s="1">
        <v>45624</v>
      </c>
      <c r="J2380" t="s">
        <v>36</v>
      </c>
      <c r="K2380" s="8">
        <f>Table2[[#This Row],[CurrentStock]]*Table2[[#This Row],[UnitPrice]]</f>
        <v>78736.320000000007</v>
      </c>
      <c r="L2380" t="str">
        <f>IF(Table2[[#This Row],[CurrentStock]]&lt;=Table2[[#This Row],[ReorderLevel]], "Reorder Needed", "Okay")</f>
        <v>Okay</v>
      </c>
      <c r="M2380" t="str">
        <f>IF(Table2[[#This Row],[CurrentStock]]-Table2[[#This Row],[ReorderLevel]]&lt;0,Table2[[#This Row],[CurrentStock]]-Table2[[#This Row],[ReorderLevel]],"")</f>
        <v/>
      </c>
      <c r="N2380" t="str">
        <f>IF(Table2[[#This Row],[Stock Gap]]&lt;0, "Understock","Okay")</f>
        <v>Okay</v>
      </c>
      <c r="O2380" s="13" t="str">
        <f>IF(Table2[[#This Row],[Stock Gap]]&lt;0, "Yes", "No")</f>
        <v>No</v>
      </c>
      <c r="P2380" s="13" t="str">
        <f>IF(Table2[[#This Row],[CurrentStock]]&lt;Table2[[#This Row],[ReorderLevel]],"Reorder", "Okay")</f>
        <v>Okay</v>
      </c>
      <c r="Q2380" s="13" t="str">
        <f>IF(Table2[[#This Row],[CurrentStock]]&gt;Table2[[#This Row],[ReorderLevel]]*3, "Overstock", "Okay")</f>
        <v>Overstock</v>
      </c>
    </row>
    <row r="2381" spans="1:17" x14ac:dyDescent="0.35">
      <c r="A2381">
        <v>23750</v>
      </c>
      <c r="B2381" t="s">
        <v>23</v>
      </c>
      <c r="C2381" t="s">
        <v>30</v>
      </c>
      <c r="D2381">
        <v>360</v>
      </c>
      <c r="E2381">
        <v>100</v>
      </c>
      <c r="F2381" s="2">
        <v>183.4</v>
      </c>
      <c r="G2381" t="s">
        <v>33</v>
      </c>
      <c r="H2381" s="1">
        <v>45367</v>
      </c>
      <c r="I2381" s="1">
        <v>45401</v>
      </c>
      <c r="J2381" t="s">
        <v>38</v>
      </c>
      <c r="K2381" s="8">
        <f>Table2[[#This Row],[CurrentStock]]*Table2[[#This Row],[UnitPrice]]</f>
        <v>66024</v>
      </c>
      <c r="L2381" t="str">
        <f>IF(Table2[[#This Row],[CurrentStock]]&lt;=Table2[[#This Row],[ReorderLevel]], "Reorder Needed", "Okay")</f>
        <v>Okay</v>
      </c>
      <c r="M2381" t="str">
        <f>IF(Table2[[#This Row],[CurrentStock]]-Table2[[#This Row],[ReorderLevel]]&lt;0,Table2[[#This Row],[CurrentStock]]-Table2[[#This Row],[ReorderLevel]],"")</f>
        <v/>
      </c>
      <c r="N2381" t="str">
        <f>IF(Table2[[#This Row],[Stock Gap]]&lt;0, "Understock","Okay")</f>
        <v>Okay</v>
      </c>
      <c r="O2381" s="13" t="str">
        <f>IF(Table2[[#This Row],[Stock Gap]]&lt;0, "Yes", "No")</f>
        <v>No</v>
      </c>
      <c r="P2381" s="13" t="str">
        <f>IF(Table2[[#This Row],[CurrentStock]]&lt;Table2[[#This Row],[ReorderLevel]],"Reorder", "Okay")</f>
        <v>Okay</v>
      </c>
      <c r="Q2381" s="13" t="str">
        <f>IF(Table2[[#This Row],[CurrentStock]]&gt;Table2[[#This Row],[ReorderLevel]]*3, "Overstock", "Okay")</f>
        <v>Overstock</v>
      </c>
    </row>
    <row r="2382" spans="1:17" x14ac:dyDescent="0.35">
      <c r="A2382">
        <v>69207</v>
      </c>
      <c r="B2382" t="s">
        <v>13</v>
      </c>
      <c r="C2382" t="s">
        <v>26</v>
      </c>
      <c r="D2382">
        <v>365</v>
      </c>
      <c r="E2382">
        <v>40</v>
      </c>
      <c r="F2382" s="2">
        <v>219.54</v>
      </c>
      <c r="G2382" t="s">
        <v>32</v>
      </c>
      <c r="H2382" s="1">
        <v>45554</v>
      </c>
      <c r="I2382" s="1">
        <v>45588</v>
      </c>
      <c r="J2382" t="s">
        <v>38</v>
      </c>
      <c r="K2382" s="8">
        <f>Table2[[#This Row],[CurrentStock]]*Table2[[#This Row],[UnitPrice]]</f>
        <v>80132.099999999991</v>
      </c>
      <c r="L2382" t="str">
        <f>IF(Table2[[#This Row],[CurrentStock]]&lt;=Table2[[#This Row],[ReorderLevel]], "Reorder Needed", "Okay")</f>
        <v>Okay</v>
      </c>
      <c r="M2382" t="str">
        <f>IF(Table2[[#This Row],[CurrentStock]]-Table2[[#This Row],[ReorderLevel]]&lt;0,Table2[[#This Row],[CurrentStock]]-Table2[[#This Row],[ReorderLevel]],"")</f>
        <v/>
      </c>
      <c r="N2382" t="str">
        <f>IF(Table2[[#This Row],[Stock Gap]]&lt;0, "Understock","Okay")</f>
        <v>Okay</v>
      </c>
      <c r="O2382" s="13" t="str">
        <f>IF(Table2[[#This Row],[Stock Gap]]&lt;0, "Yes", "No")</f>
        <v>No</v>
      </c>
      <c r="P2382" s="13" t="str">
        <f>IF(Table2[[#This Row],[CurrentStock]]&lt;Table2[[#This Row],[ReorderLevel]],"Reorder", "Okay")</f>
        <v>Okay</v>
      </c>
      <c r="Q2382" s="13" t="str">
        <f>IF(Table2[[#This Row],[CurrentStock]]&gt;Table2[[#This Row],[ReorderLevel]]*3, "Overstock", "Okay")</f>
        <v>Overstock</v>
      </c>
    </row>
    <row r="2383" spans="1:17" x14ac:dyDescent="0.35">
      <c r="A2383">
        <v>75430</v>
      </c>
      <c r="B2383" t="s">
        <v>20</v>
      </c>
      <c r="C2383" t="s">
        <v>30</v>
      </c>
      <c r="D2383">
        <v>145</v>
      </c>
      <c r="E2383">
        <v>30</v>
      </c>
      <c r="F2383" s="2">
        <v>442.17</v>
      </c>
      <c r="G2383" t="s">
        <v>32</v>
      </c>
      <c r="H2383" s="1">
        <v>45450</v>
      </c>
      <c r="I2383" s="1">
        <v>45474</v>
      </c>
      <c r="J2383" t="s">
        <v>36</v>
      </c>
      <c r="K2383" s="8">
        <f>Table2[[#This Row],[CurrentStock]]*Table2[[#This Row],[UnitPrice]]</f>
        <v>64114.65</v>
      </c>
      <c r="L2383" t="str">
        <f>IF(Table2[[#This Row],[CurrentStock]]&lt;=Table2[[#This Row],[ReorderLevel]], "Reorder Needed", "Okay")</f>
        <v>Okay</v>
      </c>
      <c r="M2383" t="str">
        <f>IF(Table2[[#This Row],[CurrentStock]]-Table2[[#This Row],[ReorderLevel]]&lt;0,Table2[[#This Row],[CurrentStock]]-Table2[[#This Row],[ReorderLevel]],"")</f>
        <v/>
      </c>
      <c r="N2383" t="str">
        <f>IF(Table2[[#This Row],[Stock Gap]]&lt;0, "Understock","Okay")</f>
        <v>Okay</v>
      </c>
      <c r="O2383" s="13" t="str">
        <f>IF(Table2[[#This Row],[Stock Gap]]&lt;0, "Yes", "No")</f>
        <v>No</v>
      </c>
      <c r="P2383" s="13" t="str">
        <f>IF(Table2[[#This Row],[CurrentStock]]&lt;Table2[[#This Row],[ReorderLevel]],"Reorder", "Okay")</f>
        <v>Okay</v>
      </c>
      <c r="Q2383" s="13" t="str">
        <f>IF(Table2[[#This Row],[CurrentStock]]&gt;Table2[[#This Row],[ReorderLevel]]*3, "Overstock", "Okay")</f>
        <v>Overstock</v>
      </c>
    </row>
    <row r="2384" spans="1:17" x14ac:dyDescent="0.35">
      <c r="A2384">
        <v>70843</v>
      </c>
      <c r="B2384" t="s">
        <v>25</v>
      </c>
      <c r="C2384" t="s">
        <v>29</v>
      </c>
      <c r="D2384">
        <v>177</v>
      </c>
      <c r="E2384">
        <v>80</v>
      </c>
      <c r="F2384" s="2">
        <v>275.95</v>
      </c>
      <c r="G2384" t="s">
        <v>33</v>
      </c>
      <c r="H2384" s="1">
        <v>45306</v>
      </c>
      <c r="I2384" s="1">
        <v>45336</v>
      </c>
      <c r="J2384" t="s">
        <v>38</v>
      </c>
      <c r="K2384" s="8">
        <f>Table2[[#This Row],[CurrentStock]]*Table2[[#This Row],[UnitPrice]]</f>
        <v>48843.15</v>
      </c>
      <c r="L2384" t="str">
        <f>IF(Table2[[#This Row],[CurrentStock]]&lt;=Table2[[#This Row],[ReorderLevel]], "Reorder Needed", "Okay")</f>
        <v>Okay</v>
      </c>
      <c r="M2384" t="str">
        <f>IF(Table2[[#This Row],[CurrentStock]]-Table2[[#This Row],[ReorderLevel]]&lt;0,Table2[[#This Row],[CurrentStock]]-Table2[[#This Row],[ReorderLevel]],"")</f>
        <v/>
      </c>
      <c r="N2384" t="str">
        <f>IF(Table2[[#This Row],[Stock Gap]]&lt;0, "Understock","Okay")</f>
        <v>Okay</v>
      </c>
      <c r="O2384" s="13" t="str">
        <f>IF(Table2[[#This Row],[Stock Gap]]&lt;0, "Yes", "No")</f>
        <v>No</v>
      </c>
      <c r="P2384" s="13" t="str">
        <f>IF(Table2[[#This Row],[CurrentStock]]&lt;Table2[[#This Row],[ReorderLevel]],"Reorder", "Okay")</f>
        <v>Okay</v>
      </c>
      <c r="Q2384" s="13" t="str">
        <f>IF(Table2[[#This Row],[CurrentStock]]&gt;Table2[[#This Row],[ReorderLevel]]*3, "Overstock", "Okay")</f>
        <v>Okay</v>
      </c>
    </row>
    <row r="2385" spans="1:17" x14ac:dyDescent="0.35">
      <c r="A2385">
        <v>38869</v>
      </c>
      <c r="B2385" t="s">
        <v>22</v>
      </c>
      <c r="C2385" t="s">
        <v>29</v>
      </c>
      <c r="D2385">
        <v>106</v>
      </c>
      <c r="E2385">
        <v>40</v>
      </c>
      <c r="F2385" s="2">
        <v>384.96</v>
      </c>
      <c r="G2385" t="s">
        <v>35</v>
      </c>
      <c r="H2385" s="1">
        <v>45329</v>
      </c>
      <c r="I2385" s="1">
        <v>45366</v>
      </c>
      <c r="J2385" t="s">
        <v>37</v>
      </c>
      <c r="K2385" s="8">
        <f>Table2[[#This Row],[CurrentStock]]*Table2[[#This Row],[UnitPrice]]</f>
        <v>40805.759999999995</v>
      </c>
      <c r="L2385" t="str">
        <f>IF(Table2[[#This Row],[CurrentStock]]&lt;=Table2[[#This Row],[ReorderLevel]], "Reorder Needed", "Okay")</f>
        <v>Okay</v>
      </c>
      <c r="M2385" t="str">
        <f>IF(Table2[[#This Row],[CurrentStock]]-Table2[[#This Row],[ReorderLevel]]&lt;0,Table2[[#This Row],[CurrentStock]]-Table2[[#This Row],[ReorderLevel]],"")</f>
        <v/>
      </c>
      <c r="N2385" t="str">
        <f>IF(Table2[[#This Row],[Stock Gap]]&lt;0, "Understock","Okay")</f>
        <v>Okay</v>
      </c>
      <c r="O2385" s="13" t="str">
        <f>IF(Table2[[#This Row],[Stock Gap]]&lt;0, "Yes", "No")</f>
        <v>No</v>
      </c>
      <c r="P2385" s="13" t="str">
        <f>IF(Table2[[#This Row],[CurrentStock]]&lt;Table2[[#This Row],[ReorderLevel]],"Reorder", "Okay")</f>
        <v>Okay</v>
      </c>
      <c r="Q2385" s="13" t="str">
        <f>IF(Table2[[#This Row],[CurrentStock]]&gt;Table2[[#This Row],[ReorderLevel]]*3, "Overstock", "Okay")</f>
        <v>Okay</v>
      </c>
    </row>
    <row r="2386" spans="1:17" x14ac:dyDescent="0.35">
      <c r="A2386">
        <v>60193</v>
      </c>
      <c r="B2386" t="s">
        <v>10</v>
      </c>
      <c r="C2386" t="s">
        <v>26</v>
      </c>
      <c r="D2386">
        <v>6</v>
      </c>
      <c r="E2386">
        <v>30</v>
      </c>
      <c r="F2386" s="2">
        <v>257.14999999999998</v>
      </c>
      <c r="G2386" t="s">
        <v>33</v>
      </c>
      <c r="H2386" s="1">
        <v>45353</v>
      </c>
      <c r="I2386" s="1">
        <v>45380</v>
      </c>
      <c r="J2386" t="s">
        <v>37</v>
      </c>
      <c r="K2386" s="8">
        <f>Table2[[#This Row],[CurrentStock]]*Table2[[#This Row],[UnitPrice]]</f>
        <v>1542.8999999999999</v>
      </c>
      <c r="L2386" t="str">
        <f>IF(Table2[[#This Row],[CurrentStock]]&lt;=Table2[[#This Row],[ReorderLevel]], "Reorder Needed", "Okay")</f>
        <v>Reorder Needed</v>
      </c>
      <c r="M2386" s="7">
        <f>IF(Table2[[#This Row],[CurrentStock]]-Table2[[#This Row],[ReorderLevel]]&lt;0,Table2[[#This Row],[CurrentStock]]-Table2[[#This Row],[ReorderLevel]],"")</f>
        <v>-24</v>
      </c>
      <c r="N2386" t="str">
        <f>IF(Table2[[#This Row],[Stock Gap]]&lt;0, "Understock","Okay")</f>
        <v>Understock</v>
      </c>
      <c r="O2386" s="13" t="str">
        <f>IF(Table2[[#This Row],[Stock Gap]]&lt;0, "Yes", "No")</f>
        <v>Yes</v>
      </c>
      <c r="P2386" s="13" t="str">
        <f>IF(Table2[[#This Row],[CurrentStock]]&lt;Table2[[#This Row],[ReorderLevel]],"Reorder", "Okay")</f>
        <v>Reorder</v>
      </c>
      <c r="Q2386" s="13" t="str">
        <f>IF(Table2[[#This Row],[CurrentStock]]&gt;Table2[[#This Row],[ReorderLevel]]*3, "Overstock", "Okay")</f>
        <v>Okay</v>
      </c>
    </row>
    <row r="2387" spans="1:17" x14ac:dyDescent="0.35">
      <c r="A2387">
        <v>84174</v>
      </c>
      <c r="B2387" t="s">
        <v>14</v>
      </c>
      <c r="C2387" t="s">
        <v>28</v>
      </c>
      <c r="D2387">
        <v>66</v>
      </c>
      <c r="E2387">
        <v>80</v>
      </c>
      <c r="F2387" s="2">
        <v>195.64</v>
      </c>
      <c r="G2387" t="s">
        <v>32</v>
      </c>
      <c r="H2387" s="1">
        <v>45350</v>
      </c>
      <c r="I2387" s="1">
        <v>45359</v>
      </c>
      <c r="J2387" t="s">
        <v>38</v>
      </c>
      <c r="K2387" s="8">
        <f>Table2[[#This Row],[CurrentStock]]*Table2[[#This Row],[UnitPrice]]</f>
        <v>12912.24</v>
      </c>
      <c r="L2387" t="str">
        <f>IF(Table2[[#This Row],[CurrentStock]]&lt;=Table2[[#This Row],[ReorderLevel]], "Reorder Needed", "Okay")</f>
        <v>Reorder Needed</v>
      </c>
      <c r="M2387" s="7">
        <f>IF(Table2[[#This Row],[CurrentStock]]-Table2[[#This Row],[ReorderLevel]]&lt;0,Table2[[#This Row],[CurrentStock]]-Table2[[#This Row],[ReorderLevel]],"")</f>
        <v>-14</v>
      </c>
      <c r="N2387" t="str">
        <f>IF(Table2[[#This Row],[Stock Gap]]&lt;0, "Understock","Okay")</f>
        <v>Understock</v>
      </c>
      <c r="O2387" s="13" t="str">
        <f>IF(Table2[[#This Row],[Stock Gap]]&lt;0, "Yes", "No")</f>
        <v>Yes</v>
      </c>
      <c r="P2387" s="13" t="str">
        <f>IF(Table2[[#This Row],[CurrentStock]]&lt;Table2[[#This Row],[ReorderLevel]],"Reorder", "Okay")</f>
        <v>Reorder</v>
      </c>
      <c r="Q2387" s="13" t="str">
        <f>IF(Table2[[#This Row],[CurrentStock]]&gt;Table2[[#This Row],[ReorderLevel]]*3, "Overstock", "Okay")</f>
        <v>Okay</v>
      </c>
    </row>
    <row r="2388" spans="1:17" x14ac:dyDescent="0.35">
      <c r="A2388">
        <v>67487</v>
      </c>
      <c r="B2388" t="s">
        <v>17</v>
      </c>
      <c r="C2388" t="s">
        <v>27</v>
      </c>
      <c r="D2388">
        <v>359</v>
      </c>
      <c r="E2388">
        <v>40</v>
      </c>
      <c r="F2388" s="2">
        <v>138.51</v>
      </c>
      <c r="G2388" t="s">
        <v>35</v>
      </c>
      <c r="H2388" s="1">
        <v>45429</v>
      </c>
      <c r="I2388" s="1">
        <v>45456</v>
      </c>
      <c r="J2388" t="s">
        <v>37</v>
      </c>
      <c r="K2388" s="8">
        <f>Table2[[#This Row],[CurrentStock]]*Table2[[#This Row],[UnitPrice]]</f>
        <v>49725.09</v>
      </c>
      <c r="L2388" t="str">
        <f>IF(Table2[[#This Row],[CurrentStock]]&lt;=Table2[[#This Row],[ReorderLevel]], "Reorder Needed", "Okay")</f>
        <v>Okay</v>
      </c>
      <c r="M2388" t="str">
        <f>IF(Table2[[#This Row],[CurrentStock]]-Table2[[#This Row],[ReorderLevel]]&lt;0,Table2[[#This Row],[CurrentStock]]-Table2[[#This Row],[ReorderLevel]],"")</f>
        <v/>
      </c>
      <c r="N2388" t="str">
        <f>IF(Table2[[#This Row],[Stock Gap]]&lt;0, "Understock","Okay")</f>
        <v>Okay</v>
      </c>
      <c r="O2388" s="13" t="str">
        <f>IF(Table2[[#This Row],[Stock Gap]]&lt;0, "Yes", "No")</f>
        <v>No</v>
      </c>
      <c r="P2388" s="13" t="str">
        <f>IF(Table2[[#This Row],[CurrentStock]]&lt;Table2[[#This Row],[ReorderLevel]],"Reorder", "Okay")</f>
        <v>Okay</v>
      </c>
      <c r="Q2388" s="13" t="str">
        <f>IF(Table2[[#This Row],[CurrentStock]]&gt;Table2[[#This Row],[ReorderLevel]]*3, "Overstock", "Okay")</f>
        <v>Overstock</v>
      </c>
    </row>
    <row r="2389" spans="1:17" x14ac:dyDescent="0.35">
      <c r="A2389">
        <v>33138</v>
      </c>
      <c r="B2389" t="s">
        <v>25</v>
      </c>
      <c r="C2389" t="s">
        <v>29</v>
      </c>
      <c r="D2389">
        <v>306</v>
      </c>
      <c r="E2389">
        <v>30</v>
      </c>
      <c r="F2389" s="2">
        <v>13.69</v>
      </c>
      <c r="G2389" t="s">
        <v>35</v>
      </c>
      <c r="H2389" s="1">
        <v>45593</v>
      </c>
      <c r="I2389" s="1">
        <v>45618</v>
      </c>
      <c r="J2389" t="s">
        <v>37</v>
      </c>
      <c r="K2389" s="8">
        <f>Table2[[#This Row],[CurrentStock]]*Table2[[#This Row],[UnitPrice]]</f>
        <v>4189.1399999999994</v>
      </c>
      <c r="L2389" t="str">
        <f>IF(Table2[[#This Row],[CurrentStock]]&lt;=Table2[[#This Row],[ReorderLevel]], "Reorder Needed", "Okay")</f>
        <v>Okay</v>
      </c>
      <c r="M2389" t="str">
        <f>IF(Table2[[#This Row],[CurrentStock]]-Table2[[#This Row],[ReorderLevel]]&lt;0,Table2[[#This Row],[CurrentStock]]-Table2[[#This Row],[ReorderLevel]],"")</f>
        <v/>
      </c>
      <c r="N2389" t="str">
        <f>IF(Table2[[#This Row],[Stock Gap]]&lt;0, "Understock","Okay")</f>
        <v>Okay</v>
      </c>
      <c r="O2389" s="13" t="str">
        <f>IF(Table2[[#This Row],[Stock Gap]]&lt;0, "Yes", "No")</f>
        <v>No</v>
      </c>
      <c r="P2389" s="13" t="str">
        <f>IF(Table2[[#This Row],[CurrentStock]]&lt;Table2[[#This Row],[ReorderLevel]],"Reorder", "Okay")</f>
        <v>Okay</v>
      </c>
      <c r="Q2389" s="13" t="str">
        <f>IF(Table2[[#This Row],[CurrentStock]]&gt;Table2[[#This Row],[ReorderLevel]]*3, "Overstock", "Okay")</f>
        <v>Overstock</v>
      </c>
    </row>
    <row r="2390" spans="1:17" x14ac:dyDescent="0.35">
      <c r="A2390">
        <v>91122</v>
      </c>
      <c r="B2390" t="s">
        <v>11</v>
      </c>
      <c r="C2390" t="s">
        <v>27</v>
      </c>
      <c r="D2390">
        <v>267</v>
      </c>
      <c r="E2390">
        <v>80</v>
      </c>
      <c r="F2390" s="2">
        <v>331.26</v>
      </c>
      <c r="G2390" t="s">
        <v>34</v>
      </c>
      <c r="H2390" s="1">
        <v>45591</v>
      </c>
      <c r="I2390" s="1">
        <v>45604</v>
      </c>
      <c r="J2390" t="s">
        <v>38</v>
      </c>
      <c r="K2390" s="8">
        <f>Table2[[#This Row],[CurrentStock]]*Table2[[#This Row],[UnitPrice]]</f>
        <v>88446.42</v>
      </c>
      <c r="L2390" t="str">
        <f>IF(Table2[[#This Row],[CurrentStock]]&lt;=Table2[[#This Row],[ReorderLevel]], "Reorder Needed", "Okay")</f>
        <v>Okay</v>
      </c>
      <c r="M2390" t="str">
        <f>IF(Table2[[#This Row],[CurrentStock]]-Table2[[#This Row],[ReorderLevel]]&lt;0,Table2[[#This Row],[CurrentStock]]-Table2[[#This Row],[ReorderLevel]],"")</f>
        <v/>
      </c>
      <c r="N2390" t="str">
        <f>IF(Table2[[#This Row],[Stock Gap]]&lt;0, "Understock","Okay")</f>
        <v>Okay</v>
      </c>
      <c r="O2390" s="13" t="str">
        <f>IF(Table2[[#This Row],[Stock Gap]]&lt;0, "Yes", "No")</f>
        <v>No</v>
      </c>
      <c r="P2390" s="13" t="str">
        <f>IF(Table2[[#This Row],[CurrentStock]]&lt;Table2[[#This Row],[ReorderLevel]],"Reorder", "Okay")</f>
        <v>Okay</v>
      </c>
      <c r="Q2390" s="13" t="str">
        <f>IF(Table2[[#This Row],[CurrentStock]]&gt;Table2[[#This Row],[ReorderLevel]]*3, "Overstock", "Okay")</f>
        <v>Overstock</v>
      </c>
    </row>
    <row r="2391" spans="1:17" x14ac:dyDescent="0.35">
      <c r="A2391">
        <v>91919</v>
      </c>
      <c r="B2391" t="s">
        <v>20</v>
      </c>
      <c r="C2391" t="s">
        <v>30</v>
      </c>
      <c r="D2391">
        <v>358</v>
      </c>
      <c r="E2391">
        <v>50</v>
      </c>
      <c r="F2391" s="2">
        <v>272.64999999999998</v>
      </c>
      <c r="G2391" t="s">
        <v>32</v>
      </c>
      <c r="H2391" s="1">
        <v>45343</v>
      </c>
      <c r="I2391" s="1">
        <v>45382</v>
      </c>
      <c r="J2391" t="s">
        <v>36</v>
      </c>
      <c r="K2391" s="8">
        <f>Table2[[#This Row],[CurrentStock]]*Table2[[#This Row],[UnitPrice]]</f>
        <v>97608.7</v>
      </c>
      <c r="L2391" t="str">
        <f>IF(Table2[[#This Row],[CurrentStock]]&lt;=Table2[[#This Row],[ReorderLevel]], "Reorder Needed", "Okay")</f>
        <v>Okay</v>
      </c>
      <c r="M2391" t="str">
        <f>IF(Table2[[#This Row],[CurrentStock]]-Table2[[#This Row],[ReorderLevel]]&lt;0,Table2[[#This Row],[CurrentStock]]-Table2[[#This Row],[ReorderLevel]],"")</f>
        <v/>
      </c>
      <c r="N2391" t="str">
        <f>IF(Table2[[#This Row],[Stock Gap]]&lt;0, "Understock","Okay")</f>
        <v>Okay</v>
      </c>
      <c r="O2391" s="13" t="str">
        <f>IF(Table2[[#This Row],[Stock Gap]]&lt;0, "Yes", "No")</f>
        <v>No</v>
      </c>
      <c r="P2391" s="13" t="str">
        <f>IF(Table2[[#This Row],[CurrentStock]]&lt;Table2[[#This Row],[ReorderLevel]],"Reorder", "Okay")</f>
        <v>Okay</v>
      </c>
      <c r="Q2391" s="13" t="str">
        <f>IF(Table2[[#This Row],[CurrentStock]]&gt;Table2[[#This Row],[ReorderLevel]]*3, "Overstock", "Okay")</f>
        <v>Overstock</v>
      </c>
    </row>
    <row r="2392" spans="1:17" x14ac:dyDescent="0.35">
      <c r="A2392">
        <v>99897</v>
      </c>
      <c r="B2392" t="s">
        <v>19</v>
      </c>
      <c r="C2392" t="s">
        <v>28</v>
      </c>
      <c r="D2392">
        <v>260</v>
      </c>
      <c r="E2392">
        <v>100</v>
      </c>
      <c r="F2392" s="2">
        <v>373.28</v>
      </c>
      <c r="G2392" t="s">
        <v>34</v>
      </c>
      <c r="H2392" s="1">
        <v>45513</v>
      </c>
      <c r="I2392" s="1">
        <v>45538</v>
      </c>
      <c r="J2392" t="s">
        <v>37</v>
      </c>
      <c r="K2392" s="8">
        <f>Table2[[#This Row],[CurrentStock]]*Table2[[#This Row],[UnitPrice]]</f>
        <v>97052.799999999988</v>
      </c>
      <c r="L2392" t="str">
        <f>IF(Table2[[#This Row],[CurrentStock]]&lt;=Table2[[#This Row],[ReorderLevel]], "Reorder Needed", "Okay")</f>
        <v>Okay</v>
      </c>
      <c r="M2392" t="str">
        <f>IF(Table2[[#This Row],[CurrentStock]]-Table2[[#This Row],[ReorderLevel]]&lt;0,Table2[[#This Row],[CurrentStock]]-Table2[[#This Row],[ReorderLevel]],"")</f>
        <v/>
      </c>
      <c r="N2392" t="str">
        <f>IF(Table2[[#This Row],[Stock Gap]]&lt;0, "Understock","Okay")</f>
        <v>Okay</v>
      </c>
      <c r="O2392" s="13" t="str">
        <f>IF(Table2[[#This Row],[Stock Gap]]&lt;0, "Yes", "No")</f>
        <v>No</v>
      </c>
      <c r="P2392" s="13" t="str">
        <f>IF(Table2[[#This Row],[CurrentStock]]&lt;Table2[[#This Row],[ReorderLevel]],"Reorder", "Okay")</f>
        <v>Okay</v>
      </c>
      <c r="Q2392" s="13" t="str">
        <f>IF(Table2[[#This Row],[CurrentStock]]&gt;Table2[[#This Row],[ReorderLevel]]*3, "Overstock", "Okay")</f>
        <v>Okay</v>
      </c>
    </row>
    <row r="2393" spans="1:17" x14ac:dyDescent="0.35">
      <c r="A2393">
        <v>52240</v>
      </c>
      <c r="B2393" t="s">
        <v>19</v>
      </c>
      <c r="C2393" t="s">
        <v>28</v>
      </c>
      <c r="D2393">
        <v>449</v>
      </c>
      <c r="E2393">
        <v>80</v>
      </c>
      <c r="F2393" s="2">
        <v>496.47</v>
      </c>
      <c r="G2393" t="s">
        <v>31</v>
      </c>
      <c r="H2393" s="1">
        <v>45581</v>
      </c>
      <c r="I2393" s="1">
        <v>45586</v>
      </c>
      <c r="J2393" t="s">
        <v>38</v>
      </c>
      <c r="K2393" s="8">
        <f>Table2[[#This Row],[CurrentStock]]*Table2[[#This Row],[UnitPrice]]</f>
        <v>222915.03</v>
      </c>
      <c r="L2393" t="str">
        <f>IF(Table2[[#This Row],[CurrentStock]]&lt;=Table2[[#This Row],[ReorderLevel]], "Reorder Needed", "Okay")</f>
        <v>Okay</v>
      </c>
      <c r="M2393" t="str">
        <f>IF(Table2[[#This Row],[CurrentStock]]-Table2[[#This Row],[ReorderLevel]]&lt;0,Table2[[#This Row],[CurrentStock]]-Table2[[#This Row],[ReorderLevel]],"")</f>
        <v/>
      </c>
      <c r="N2393" t="str">
        <f>IF(Table2[[#This Row],[Stock Gap]]&lt;0, "Understock","Okay")</f>
        <v>Okay</v>
      </c>
      <c r="O2393" s="13" t="str">
        <f>IF(Table2[[#This Row],[Stock Gap]]&lt;0, "Yes", "No")</f>
        <v>No</v>
      </c>
      <c r="P2393" s="13" t="str">
        <f>IF(Table2[[#This Row],[CurrentStock]]&lt;Table2[[#This Row],[ReorderLevel]],"Reorder", "Okay")</f>
        <v>Okay</v>
      </c>
      <c r="Q2393" s="13" t="str">
        <f>IF(Table2[[#This Row],[CurrentStock]]&gt;Table2[[#This Row],[ReorderLevel]]*3, "Overstock", "Okay")</f>
        <v>Overstock</v>
      </c>
    </row>
    <row r="2394" spans="1:17" x14ac:dyDescent="0.35">
      <c r="A2394">
        <v>38111</v>
      </c>
      <c r="B2394" t="s">
        <v>21</v>
      </c>
      <c r="C2394" t="s">
        <v>26</v>
      </c>
      <c r="D2394">
        <v>397</v>
      </c>
      <c r="E2394">
        <v>100</v>
      </c>
      <c r="F2394" s="2">
        <v>321.57</v>
      </c>
      <c r="G2394" t="s">
        <v>35</v>
      </c>
      <c r="H2394" s="1">
        <v>45548</v>
      </c>
      <c r="I2394" s="1">
        <v>45574</v>
      </c>
      <c r="J2394" t="s">
        <v>38</v>
      </c>
      <c r="K2394" s="8">
        <f>Table2[[#This Row],[CurrentStock]]*Table2[[#This Row],[UnitPrice]]</f>
        <v>127663.29</v>
      </c>
      <c r="L2394" t="str">
        <f>IF(Table2[[#This Row],[CurrentStock]]&lt;=Table2[[#This Row],[ReorderLevel]], "Reorder Needed", "Okay")</f>
        <v>Okay</v>
      </c>
      <c r="M2394" t="str">
        <f>IF(Table2[[#This Row],[CurrentStock]]-Table2[[#This Row],[ReorderLevel]]&lt;0,Table2[[#This Row],[CurrentStock]]-Table2[[#This Row],[ReorderLevel]],"")</f>
        <v/>
      </c>
      <c r="N2394" t="str">
        <f>IF(Table2[[#This Row],[Stock Gap]]&lt;0, "Understock","Okay")</f>
        <v>Okay</v>
      </c>
      <c r="O2394" s="13" t="str">
        <f>IF(Table2[[#This Row],[Stock Gap]]&lt;0, "Yes", "No")</f>
        <v>No</v>
      </c>
      <c r="P2394" s="13" t="str">
        <f>IF(Table2[[#This Row],[CurrentStock]]&lt;Table2[[#This Row],[ReorderLevel]],"Reorder", "Okay")</f>
        <v>Okay</v>
      </c>
      <c r="Q2394" s="13" t="str">
        <f>IF(Table2[[#This Row],[CurrentStock]]&gt;Table2[[#This Row],[ReorderLevel]]*3, "Overstock", "Okay")</f>
        <v>Overstock</v>
      </c>
    </row>
    <row r="2395" spans="1:17" x14ac:dyDescent="0.35">
      <c r="A2395">
        <v>89220</v>
      </c>
      <c r="B2395" t="s">
        <v>24</v>
      </c>
      <c r="C2395" t="s">
        <v>30</v>
      </c>
      <c r="D2395">
        <v>85</v>
      </c>
      <c r="E2395">
        <v>100</v>
      </c>
      <c r="F2395" s="2">
        <v>299.52999999999997</v>
      </c>
      <c r="G2395" t="s">
        <v>34</v>
      </c>
      <c r="H2395" s="1">
        <v>45485</v>
      </c>
      <c r="I2395" s="1">
        <v>45496</v>
      </c>
      <c r="J2395" t="s">
        <v>37</v>
      </c>
      <c r="K2395" s="8">
        <f>Table2[[#This Row],[CurrentStock]]*Table2[[#This Row],[UnitPrice]]</f>
        <v>25460.05</v>
      </c>
      <c r="L2395" t="str">
        <f>IF(Table2[[#This Row],[CurrentStock]]&lt;=Table2[[#This Row],[ReorderLevel]], "Reorder Needed", "Okay")</f>
        <v>Reorder Needed</v>
      </c>
      <c r="M2395" s="7">
        <f>IF(Table2[[#This Row],[CurrentStock]]-Table2[[#This Row],[ReorderLevel]]&lt;0,Table2[[#This Row],[CurrentStock]]-Table2[[#This Row],[ReorderLevel]],"")</f>
        <v>-15</v>
      </c>
      <c r="N2395" t="str">
        <f>IF(Table2[[#This Row],[Stock Gap]]&lt;0, "Understock","Okay")</f>
        <v>Understock</v>
      </c>
      <c r="O2395" s="13" t="str">
        <f>IF(Table2[[#This Row],[Stock Gap]]&lt;0, "Yes", "No")</f>
        <v>Yes</v>
      </c>
      <c r="P2395" s="13" t="str">
        <f>IF(Table2[[#This Row],[CurrentStock]]&lt;Table2[[#This Row],[ReorderLevel]],"Reorder", "Okay")</f>
        <v>Reorder</v>
      </c>
      <c r="Q2395" s="13" t="str">
        <f>IF(Table2[[#This Row],[CurrentStock]]&gt;Table2[[#This Row],[ReorderLevel]]*3, "Overstock", "Okay")</f>
        <v>Okay</v>
      </c>
    </row>
    <row r="2396" spans="1:17" x14ac:dyDescent="0.35">
      <c r="A2396">
        <v>86749</v>
      </c>
      <c r="B2396" t="s">
        <v>10</v>
      </c>
      <c r="C2396" t="s">
        <v>26</v>
      </c>
      <c r="D2396">
        <v>129</v>
      </c>
      <c r="E2396">
        <v>150</v>
      </c>
      <c r="F2396" s="2">
        <v>390.78</v>
      </c>
      <c r="G2396" t="s">
        <v>32</v>
      </c>
      <c r="H2396" s="1">
        <v>45556</v>
      </c>
      <c r="I2396" s="1">
        <v>45587</v>
      </c>
      <c r="J2396" t="s">
        <v>36</v>
      </c>
      <c r="K2396" s="8">
        <f>Table2[[#This Row],[CurrentStock]]*Table2[[#This Row],[UnitPrice]]</f>
        <v>50410.619999999995</v>
      </c>
      <c r="L2396" t="str">
        <f>IF(Table2[[#This Row],[CurrentStock]]&lt;=Table2[[#This Row],[ReorderLevel]], "Reorder Needed", "Okay")</f>
        <v>Reorder Needed</v>
      </c>
      <c r="M2396" s="7">
        <f>IF(Table2[[#This Row],[CurrentStock]]-Table2[[#This Row],[ReorderLevel]]&lt;0,Table2[[#This Row],[CurrentStock]]-Table2[[#This Row],[ReorderLevel]],"")</f>
        <v>-21</v>
      </c>
      <c r="N2396" t="str">
        <f>IF(Table2[[#This Row],[Stock Gap]]&lt;0, "Understock","Okay")</f>
        <v>Understock</v>
      </c>
      <c r="O2396" s="13" t="str">
        <f>IF(Table2[[#This Row],[Stock Gap]]&lt;0, "Yes", "No")</f>
        <v>Yes</v>
      </c>
      <c r="P2396" s="13" t="str">
        <f>IF(Table2[[#This Row],[CurrentStock]]&lt;Table2[[#This Row],[ReorderLevel]],"Reorder", "Okay")</f>
        <v>Reorder</v>
      </c>
      <c r="Q2396" s="13" t="str">
        <f>IF(Table2[[#This Row],[CurrentStock]]&gt;Table2[[#This Row],[ReorderLevel]]*3, "Overstock", "Okay")</f>
        <v>Okay</v>
      </c>
    </row>
    <row r="2397" spans="1:17" x14ac:dyDescent="0.35">
      <c r="A2397">
        <v>80288</v>
      </c>
      <c r="B2397" t="s">
        <v>10</v>
      </c>
      <c r="C2397" t="s">
        <v>26</v>
      </c>
      <c r="D2397">
        <v>242</v>
      </c>
      <c r="E2397">
        <v>80</v>
      </c>
      <c r="F2397" s="2">
        <v>245.73</v>
      </c>
      <c r="G2397" t="s">
        <v>31</v>
      </c>
      <c r="H2397" s="1">
        <v>45468</v>
      </c>
      <c r="I2397" s="1">
        <v>45474</v>
      </c>
      <c r="J2397" t="s">
        <v>38</v>
      </c>
      <c r="K2397" s="8">
        <f>Table2[[#This Row],[CurrentStock]]*Table2[[#This Row],[UnitPrice]]</f>
        <v>59466.659999999996</v>
      </c>
      <c r="L2397" t="str">
        <f>IF(Table2[[#This Row],[CurrentStock]]&lt;=Table2[[#This Row],[ReorderLevel]], "Reorder Needed", "Okay")</f>
        <v>Okay</v>
      </c>
      <c r="M2397" t="str">
        <f>IF(Table2[[#This Row],[CurrentStock]]-Table2[[#This Row],[ReorderLevel]]&lt;0,Table2[[#This Row],[CurrentStock]]-Table2[[#This Row],[ReorderLevel]],"")</f>
        <v/>
      </c>
      <c r="N2397" t="str">
        <f>IF(Table2[[#This Row],[Stock Gap]]&lt;0, "Understock","Okay")</f>
        <v>Okay</v>
      </c>
      <c r="O2397" s="13" t="str">
        <f>IF(Table2[[#This Row],[Stock Gap]]&lt;0, "Yes", "No")</f>
        <v>No</v>
      </c>
      <c r="P2397" s="13" t="str">
        <f>IF(Table2[[#This Row],[CurrentStock]]&lt;Table2[[#This Row],[ReorderLevel]],"Reorder", "Okay")</f>
        <v>Okay</v>
      </c>
      <c r="Q2397" s="13" t="str">
        <f>IF(Table2[[#This Row],[CurrentStock]]&gt;Table2[[#This Row],[ReorderLevel]]*3, "Overstock", "Okay")</f>
        <v>Overstock</v>
      </c>
    </row>
    <row r="2398" spans="1:17" x14ac:dyDescent="0.35">
      <c r="A2398">
        <v>28007</v>
      </c>
      <c r="B2398" t="s">
        <v>9</v>
      </c>
      <c r="C2398" t="s">
        <v>26</v>
      </c>
      <c r="D2398">
        <v>125</v>
      </c>
      <c r="E2398">
        <v>150</v>
      </c>
      <c r="F2398" s="2">
        <v>227.35</v>
      </c>
      <c r="G2398" t="s">
        <v>32</v>
      </c>
      <c r="H2398" s="1">
        <v>45645</v>
      </c>
      <c r="I2398" s="1">
        <v>45681</v>
      </c>
      <c r="J2398" t="s">
        <v>37</v>
      </c>
      <c r="K2398" s="8">
        <f>Table2[[#This Row],[CurrentStock]]*Table2[[#This Row],[UnitPrice]]</f>
        <v>28418.75</v>
      </c>
      <c r="L2398" t="str">
        <f>IF(Table2[[#This Row],[CurrentStock]]&lt;=Table2[[#This Row],[ReorderLevel]], "Reorder Needed", "Okay")</f>
        <v>Reorder Needed</v>
      </c>
      <c r="M2398" s="7">
        <f>IF(Table2[[#This Row],[CurrentStock]]-Table2[[#This Row],[ReorderLevel]]&lt;0,Table2[[#This Row],[CurrentStock]]-Table2[[#This Row],[ReorderLevel]],"")</f>
        <v>-25</v>
      </c>
      <c r="N2398" t="str">
        <f>IF(Table2[[#This Row],[Stock Gap]]&lt;0, "Understock","Okay")</f>
        <v>Understock</v>
      </c>
      <c r="O2398" s="13" t="str">
        <f>IF(Table2[[#This Row],[Stock Gap]]&lt;0, "Yes", "No")</f>
        <v>Yes</v>
      </c>
      <c r="P2398" s="13" t="str">
        <f>IF(Table2[[#This Row],[CurrentStock]]&lt;Table2[[#This Row],[ReorderLevel]],"Reorder", "Okay")</f>
        <v>Reorder</v>
      </c>
      <c r="Q2398" s="13" t="str">
        <f>IF(Table2[[#This Row],[CurrentStock]]&gt;Table2[[#This Row],[ReorderLevel]]*3, "Overstock", "Okay")</f>
        <v>Okay</v>
      </c>
    </row>
    <row r="2399" spans="1:17" x14ac:dyDescent="0.35">
      <c r="A2399">
        <v>68543</v>
      </c>
      <c r="B2399" t="s">
        <v>17</v>
      </c>
      <c r="C2399" t="s">
        <v>27</v>
      </c>
      <c r="D2399">
        <v>189</v>
      </c>
      <c r="E2399">
        <v>40</v>
      </c>
      <c r="F2399" s="2">
        <v>442.11</v>
      </c>
      <c r="G2399" t="s">
        <v>33</v>
      </c>
      <c r="H2399" s="1">
        <v>45623</v>
      </c>
      <c r="I2399" s="1">
        <v>45653</v>
      </c>
      <c r="J2399" t="s">
        <v>36</v>
      </c>
      <c r="K2399" s="8">
        <f>Table2[[#This Row],[CurrentStock]]*Table2[[#This Row],[UnitPrice]]</f>
        <v>83558.790000000008</v>
      </c>
      <c r="L2399" t="str">
        <f>IF(Table2[[#This Row],[CurrentStock]]&lt;=Table2[[#This Row],[ReorderLevel]], "Reorder Needed", "Okay")</f>
        <v>Okay</v>
      </c>
      <c r="M2399" t="str">
        <f>IF(Table2[[#This Row],[CurrentStock]]-Table2[[#This Row],[ReorderLevel]]&lt;0,Table2[[#This Row],[CurrentStock]]-Table2[[#This Row],[ReorderLevel]],"")</f>
        <v/>
      </c>
      <c r="N2399" t="str">
        <f>IF(Table2[[#This Row],[Stock Gap]]&lt;0, "Understock","Okay")</f>
        <v>Okay</v>
      </c>
      <c r="O2399" s="13" t="str">
        <f>IF(Table2[[#This Row],[Stock Gap]]&lt;0, "Yes", "No")</f>
        <v>No</v>
      </c>
      <c r="P2399" s="13" t="str">
        <f>IF(Table2[[#This Row],[CurrentStock]]&lt;Table2[[#This Row],[ReorderLevel]],"Reorder", "Okay")</f>
        <v>Okay</v>
      </c>
      <c r="Q2399" s="13" t="str">
        <f>IF(Table2[[#This Row],[CurrentStock]]&gt;Table2[[#This Row],[ReorderLevel]]*3, "Overstock", "Okay")</f>
        <v>Overstock</v>
      </c>
    </row>
    <row r="2400" spans="1:17" x14ac:dyDescent="0.35">
      <c r="A2400">
        <v>75199</v>
      </c>
      <c r="B2400" t="s">
        <v>14</v>
      </c>
      <c r="C2400" t="s">
        <v>28</v>
      </c>
      <c r="D2400">
        <v>482</v>
      </c>
      <c r="E2400">
        <v>40</v>
      </c>
      <c r="F2400" s="2">
        <v>279.95999999999998</v>
      </c>
      <c r="G2400" t="s">
        <v>35</v>
      </c>
      <c r="H2400" s="1">
        <v>45399</v>
      </c>
      <c r="I2400" s="1">
        <v>45422</v>
      </c>
      <c r="J2400" t="s">
        <v>37</v>
      </c>
      <c r="K2400" s="8">
        <f>Table2[[#This Row],[CurrentStock]]*Table2[[#This Row],[UnitPrice]]</f>
        <v>134940.72</v>
      </c>
      <c r="L2400" t="str">
        <f>IF(Table2[[#This Row],[CurrentStock]]&lt;=Table2[[#This Row],[ReorderLevel]], "Reorder Needed", "Okay")</f>
        <v>Okay</v>
      </c>
      <c r="M2400" t="str">
        <f>IF(Table2[[#This Row],[CurrentStock]]-Table2[[#This Row],[ReorderLevel]]&lt;0,Table2[[#This Row],[CurrentStock]]-Table2[[#This Row],[ReorderLevel]],"")</f>
        <v/>
      </c>
      <c r="N2400" t="str">
        <f>IF(Table2[[#This Row],[Stock Gap]]&lt;0, "Understock","Okay")</f>
        <v>Okay</v>
      </c>
      <c r="O2400" s="13" t="str">
        <f>IF(Table2[[#This Row],[Stock Gap]]&lt;0, "Yes", "No")</f>
        <v>No</v>
      </c>
      <c r="P2400" s="13" t="str">
        <f>IF(Table2[[#This Row],[CurrentStock]]&lt;Table2[[#This Row],[ReorderLevel]],"Reorder", "Okay")</f>
        <v>Okay</v>
      </c>
      <c r="Q2400" s="13" t="str">
        <f>IF(Table2[[#This Row],[CurrentStock]]&gt;Table2[[#This Row],[ReorderLevel]]*3, "Overstock", "Okay")</f>
        <v>Overstock</v>
      </c>
    </row>
    <row r="2401" spans="1:17" x14ac:dyDescent="0.35">
      <c r="A2401">
        <v>97057</v>
      </c>
      <c r="B2401" t="s">
        <v>16</v>
      </c>
      <c r="C2401" t="s">
        <v>29</v>
      </c>
      <c r="D2401">
        <v>301</v>
      </c>
      <c r="E2401">
        <v>50</v>
      </c>
      <c r="F2401" s="2">
        <v>461.33</v>
      </c>
      <c r="G2401" t="s">
        <v>33</v>
      </c>
      <c r="H2401" s="1">
        <v>45365</v>
      </c>
      <c r="I2401" s="1">
        <v>45401</v>
      </c>
      <c r="J2401" t="s">
        <v>37</v>
      </c>
      <c r="K2401" s="8">
        <f>Table2[[#This Row],[CurrentStock]]*Table2[[#This Row],[UnitPrice]]</f>
        <v>138860.32999999999</v>
      </c>
      <c r="L2401" t="str">
        <f>IF(Table2[[#This Row],[CurrentStock]]&lt;=Table2[[#This Row],[ReorderLevel]], "Reorder Needed", "Okay")</f>
        <v>Okay</v>
      </c>
      <c r="M2401" t="str">
        <f>IF(Table2[[#This Row],[CurrentStock]]-Table2[[#This Row],[ReorderLevel]]&lt;0,Table2[[#This Row],[CurrentStock]]-Table2[[#This Row],[ReorderLevel]],"")</f>
        <v/>
      </c>
      <c r="N2401" t="str">
        <f>IF(Table2[[#This Row],[Stock Gap]]&lt;0, "Understock","Okay")</f>
        <v>Okay</v>
      </c>
      <c r="O2401" s="13" t="str">
        <f>IF(Table2[[#This Row],[Stock Gap]]&lt;0, "Yes", "No")</f>
        <v>No</v>
      </c>
      <c r="P2401" s="13" t="str">
        <f>IF(Table2[[#This Row],[CurrentStock]]&lt;Table2[[#This Row],[ReorderLevel]],"Reorder", "Okay")</f>
        <v>Okay</v>
      </c>
      <c r="Q2401" s="13" t="str">
        <f>IF(Table2[[#This Row],[CurrentStock]]&gt;Table2[[#This Row],[ReorderLevel]]*3, "Overstock", "Okay")</f>
        <v>Overstock</v>
      </c>
    </row>
    <row r="2402" spans="1:17" x14ac:dyDescent="0.35">
      <c r="A2402">
        <v>15217</v>
      </c>
      <c r="B2402" t="s">
        <v>11</v>
      </c>
      <c r="C2402" t="s">
        <v>27</v>
      </c>
      <c r="D2402">
        <v>438</v>
      </c>
      <c r="E2402">
        <v>100</v>
      </c>
      <c r="F2402" s="2">
        <v>78.08</v>
      </c>
      <c r="G2402" t="s">
        <v>31</v>
      </c>
      <c r="H2402" s="1">
        <v>45300</v>
      </c>
      <c r="I2402" s="1">
        <v>45309</v>
      </c>
      <c r="J2402" t="s">
        <v>37</v>
      </c>
      <c r="K2402" s="8">
        <f>Table2[[#This Row],[CurrentStock]]*Table2[[#This Row],[UnitPrice]]</f>
        <v>34199.040000000001</v>
      </c>
      <c r="L2402" t="str">
        <f>IF(Table2[[#This Row],[CurrentStock]]&lt;=Table2[[#This Row],[ReorderLevel]], "Reorder Needed", "Okay")</f>
        <v>Okay</v>
      </c>
      <c r="M2402" t="str">
        <f>IF(Table2[[#This Row],[CurrentStock]]-Table2[[#This Row],[ReorderLevel]]&lt;0,Table2[[#This Row],[CurrentStock]]-Table2[[#This Row],[ReorderLevel]],"")</f>
        <v/>
      </c>
      <c r="N2402" t="str">
        <f>IF(Table2[[#This Row],[Stock Gap]]&lt;0, "Understock","Okay")</f>
        <v>Okay</v>
      </c>
      <c r="O2402" s="13" t="str">
        <f>IF(Table2[[#This Row],[Stock Gap]]&lt;0, "Yes", "No")</f>
        <v>No</v>
      </c>
      <c r="P2402" s="13" t="str">
        <f>IF(Table2[[#This Row],[CurrentStock]]&lt;Table2[[#This Row],[ReorderLevel]],"Reorder", "Okay")</f>
        <v>Okay</v>
      </c>
      <c r="Q2402" s="13" t="str">
        <f>IF(Table2[[#This Row],[CurrentStock]]&gt;Table2[[#This Row],[ReorderLevel]]*3, "Overstock", "Okay")</f>
        <v>Overstock</v>
      </c>
    </row>
    <row r="2403" spans="1:17" x14ac:dyDescent="0.35">
      <c r="A2403">
        <v>19669</v>
      </c>
      <c r="B2403" t="s">
        <v>23</v>
      </c>
      <c r="C2403" t="s">
        <v>30</v>
      </c>
      <c r="D2403">
        <v>446</v>
      </c>
      <c r="E2403">
        <v>30</v>
      </c>
      <c r="F2403" s="2">
        <v>21.43</v>
      </c>
      <c r="G2403" t="s">
        <v>31</v>
      </c>
      <c r="H2403" s="1">
        <v>45398</v>
      </c>
      <c r="I2403" s="1">
        <v>45430</v>
      </c>
      <c r="J2403" t="s">
        <v>38</v>
      </c>
      <c r="K2403" s="8">
        <f>Table2[[#This Row],[CurrentStock]]*Table2[[#This Row],[UnitPrice]]</f>
        <v>9557.7800000000007</v>
      </c>
      <c r="L2403" t="str">
        <f>IF(Table2[[#This Row],[CurrentStock]]&lt;=Table2[[#This Row],[ReorderLevel]], "Reorder Needed", "Okay")</f>
        <v>Okay</v>
      </c>
      <c r="M2403" t="str">
        <f>IF(Table2[[#This Row],[CurrentStock]]-Table2[[#This Row],[ReorderLevel]]&lt;0,Table2[[#This Row],[CurrentStock]]-Table2[[#This Row],[ReorderLevel]],"")</f>
        <v/>
      </c>
      <c r="N2403" t="str">
        <f>IF(Table2[[#This Row],[Stock Gap]]&lt;0, "Understock","Okay")</f>
        <v>Okay</v>
      </c>
      <c r="O2403" s="13" t="str">
        <f>IF(Table2[[#This Row],[Stock Gap]]&lt;0, "Yes", "No")</f>
        <v>No</v>
      </c>
      <c r="P2403" s="13" t="str">
        <f>IF(Table2[[#This Row],[CurrentStock]]&lt;Table2[[#This Row],[ReorderLevel]],"Reorder", "Okay")</f>
        <v>Okay</v>
      </c>
      <c r="Q2403" s="13" t="str">
        <f>IF(Table2[[#This Row],[CurrentStock]]&gt;Table2[[#This Row],[ReorderLevel]]*3, "Overstock", "Okay")</f>
        <v>Overstock</v>
      </c>
    </row>
    <row r="2404" spans="1:17" x14ac:dyDescent="0.35">
      <c r="A2404">
        <v>22735</v>
      </c>
      <c r="B2404" t="s">
        <v>19</v>
      </c>
      <c r="C2404" t="s">
        <v>28</v>
      </c>
      <c r="D2404">
        <v>119</v>
      </c>
      <c r="E2404">
        <v>30</v>
      </c>
      <c r="F2404" s="2">
        <v>242.37</v>
      </c>
      <c r="G2404" t="s">
        <v>33</v>
      </c>
      <c r="H2404" s="1">
        <v>45634</v>
      </c>
      <c r="I2404" s="1">
        <v>45656</v>
      </c>
      <c r="J2404" t="s">
        <v>37</v>
      </c>
      <c r="K2404" s="8">
        <f>Table2[[#This Row],[CurrentStock]]*Table2[[#This Row],[UnitPrice]]</f>
        <v>28842.03</v>
      </c>
      <c r="L2404" t="str">
        <f>IF(Table2[[#This Row],[CurrentStock]]&lt;=Table2[[#This Row],[ReorderLevel]], "Reorder Needed", "Okay")</f>
        <v>Okay</v>
      </c>
      <c r="M2404" t="str">
        <f>IF(Table2[[#This Row],[CurrentStock]]-Table2[[#This Row],[ReorderLevel]]&lt;0,Table2[[#This Row],[CurrentStock]]-Table2[[#This Row],[ReorderLevel]],"")</f>
        <v/>
      </c>
      <c r="N2404" t="str">
        <f>IF(Table2[[#This Row],[Stock Gap]]&lt;0, "Understock","Okay")</f>
        <v>Okay</v>
      </c>
      <c r="O2404" s="13" t="str">
        <f>IF(Table2[[#This Row],[Stock Gap]]&lt;0, "Yes", "No")</f>
        <v>No</v>
      </c>
      <c r="P2404" s="13" t="str">
        <f>IF(Table2[[#This Row],[CurrentStock]]&lt;Table2[[#This Row],[ReorderLevel]],"Reorder", "Okay")</f>
        <v>Okay</v>
      </c>
      <c r="Q2404" s="13" t="str">
        <f>IF(Table2[[#This Row],[CurrentStock]]&gt;Table2[[#This Row],[ReorderLevel]]*3, "Overstock", "Okay")</f>
        <v>Overstock</v>
      </c>
    </row>
    <row r="2405" spans="1:17" x14ac:dyDescent="0.35">
      <c r="A2405">
        <v>40036</v>
      </c>
      <c r="B2405" t="s">
        <v>17</v>
      </c>
      <c r="C2405" t="s">
        <v>27</v>
      </c>
      <c r="D2405">
        <v>310</v>
      </c>
      <c r="E2405">
        <v>80</v>
      </c>
      <c r="F2405" s="2">
        <v>266.8</v>
      </c>
      <c r="G2405" t="s">
        <v>34</v>
      </c>
      <c r="H2405" s="1">
        <v>45459</v>
      </c>
      <c r="I2405" s="1">
        <v>45471</v>
      </c>
      <c r="J2405" t="s">
        <v>36</v>
      </c>
      <c r="K2405" s="8">
        <f>Table2[[#This Row],[CurrentStock]]*Table2[[#This Row],[UnitPrice]]</f>
        <v>82708</v>
      </c>
      <c r="L2405" t="str">
        <f>IF(Table2[[#This Row],[CurrentStock]]&lt;=Table2[[#This Row],[ReorderLevel]], "Reorder Needed", "Okay")</f>
        <v>Okay</v>
      </c>
      <c r="M2405" t="str">
        <f>IF(Table2[[#This Row],[CurrentStock]]-Table2[[#This Row],[ReorderLevel]]&lt;0,Table2[[#This Row],[CurrentStock]]-Table2[[#This Row],[ReorderLevel]],"")</f>
        <v/>
      </c>
      <c r="N2405" t="str">
        <f>IF(Table2[[#This Row],[Stock Gap]]&lt;0, "Understock","Okay")</f>
        <v>Okay</v>
      </c>
      <c r="O2405" s="13" t="str">
        <f>IF(Table2[[#This Row],[Stock Gap]]&lt;0, "Yes", "No")</f>
        <v>No</v>
      </c>
      <c r="P2405" s="13" t="str">
        <f>IF(Table2[[#This Row],[CurrentStock]]&lt;Table2[[#This Row],[ReorderLevel]],"Reorder", "Okay")</f>
        <v>Okay</v>
      </c>
      <c r="Q2405" s="13" t="str">
        <f>IF(Table2[[#This Row],[CurrentStock]]&gt;Table2[[#This Row],[ReorderLevel]]*3, "Overstock", "Okay")</f>
        <v>Overstock</v>
      </c>
    </row>
    <row r="2406" spans="1:17" x14ac:dyDescent="0.35">
      <c r="A2406">
        <v>55267</v>
      </c>
      <c r="B2406" t="s">
        <v>22</v>
      </c>
      <c r="C2406" t="s">
        <v>29</v>
      </c>
      <c r="D2406">
        <v>109</v>
      </c>
      <c r="E2406">
        <v>30</v>
      </c>
      <c r="F2406" s="2">
        <v>77.14</v>
      </c>
      <c r="G2406" t="s">
        <v>33</v>
      </c>
      <c r="H2406" s="1">
        <v>45544</v>
      </c>
      <c r="I2406" s="1">
        <v>45557</v>
      </c>
      <c r="J2406" t="s">
        <v>37</v>
      </c>
      <c r="K2406" s="8">
        <f>Table2[[#This Row],[CurrentStock]]*Table2[[#This Row],[UnitPrice]]</f>
        <v>8408.26</v>
      </c>
      <c r="L2406" t="str">
        <f>IF(Table2[[#This Row],[CurrentStock]]&lt;=Table2[[#This Row],[ReorderLevel]], "Reorder Needed", "Okay")</f>
        <v>Okay</v>
      </c>
      <c r="M2406" t="str">
        <f>IF(Table2[[#This Row],[CurrentStock]]-Table2[[#This Row],[ReorderLevel]]&lt;0,Table2[[#This Row],[CurrentStock]]-Table2[[#This Row],[ReorderLevel]],"")</f>
        <v/>
      </c>
      <c r="N2406" t="str">
        <f>IF(Table2[[#This Row],[Stock Gap]]&lt;0, "Understock","Okay")</f>
        <v>Okay</v>
      </c>
      <c r="O2406" s="13" t="str">
        <f>IF(Table2[[#This Row],[Stock Gap]]&lt;0, "Yes", "No")</f>
        <v>No</v>
      </c>
      <c r="P2406" s="13" t="str">
        <f>IF(Table2[[#This Row],[CurrentStock]]&lt;Table2[[#This Row],[ReorderLevel]],"Reorder", "Okay")</f>
        <v>Okay</v>
      </c>
      <c r="Q2406" s="13" t="str">
        <f>IF(Table2[[#This Row],[CurrentStock]]&gt;Table2[[#This Row],[ReorderLevel]]*3, "Overstock", "Okay")</f>
        <v>Overstock</v>
      </c>
    </row>
    <row r="2407" spans="1:17" x14ac:dyDescent="0.35">
      <c r="A2407">
        <v>64716</v>
      </c>
      <c r="B2407" t="s">
        <v>19</v>
      </c>
      <c r="C2407" t="s">
        <v>28</v>
      </c>
      <c r="D2407">
        <v>229</v>
      </c>
      <c r="E2407">
        <v>150</v>
      </c>
      <c r="F2407" s="2">
        <v>492.83</v>
      </c>
      <c r="G2407" t="s">
        <v>32</v>
      </c>
      <c r="H2407" s="1">
        <v>45434</v>
      </c>
      <c r="I2407" s="1">
        <v>45444</v>
      </c>
      <c r="J2407" t="s">
        <v>38</v>
      </c>
      <c r="K2407" s="8">
        <f>Table2[[#This Row],[CurrentStock]]*Table2[[#This Row],[UnitPrice]]</f>
        <v>112858.06999999999</v>
      </c>
      <c r="L2407" t="str">
        <f>IF(Table2[[#This Row],[CurrentStock]]&lt;=Table2[[#This Row],[ReorderLevel]], "Reorder Needed", "Okay")</f>
        <v>Okay</v>
      </c>
      <c r="M2407" t="str">
        <f>IF(Table2[[#This Row],[CurrentStock]]-Table2[[#This Row],[ReorderLevel]]&lt;0,Table2[[#This Row],[CurrentStock]]-Table2[[#This Row],[ReorderLevel]],"")</f>
        <v/>
      </c>
      <c r="N2407" t="str">
        <f>IF(Table2[[#This Row],[Stock Gap]]&lt;0, "Understock","Okay")</f>
        <v>Okay</v>
      </c>
      <c r="O2407" s="13" t="str">
        <f>IF(Table2[[#This Row],[Stock Gap]]&lt;0, "Yes", "No")</f>
        <v>No</v>
      </c>
      <c r="P2407" s="13" t="str">
        <f>IF(Table2[[#This Row],[CurrentStock]]&lt;Table2[[#This Row],[ReorderLevel]],"Reorder", "Okay")</f>
        <v>Okay</v>
      </c>
      <c r="Q2407" s="13" t="str">
        <f>IF(Table2[[#This Row],[CurrentStock]]&gt;Table2[[#This Row],[ReorderLevel]]*3, "Overstock", "Okay")</f>
        <v>Okay</v>
      </c>
    </row>
    <row r="2408" spans="1:17" x14ac:dyDescent="0.35">
      <c r="A2408">
        <v>86493</v>
      </c>
      <c r="B2408" t="s">
        <v>15</v>
      </c>
      <c r="C2408" t="s">
        <v>29</v>
      </c>
      <c r="D2408">
        <v>184</v>
      </c>
      <c r="E2408">
        <v>40</v>
      </c>
      <c r="F2408" s="2">
        <v>15.82</v>
      </c>
      <c r="G2408" t="s">
        <v>33</v>
      </c>
      <c r="H2408" s="1">
        <v>45550</v>
      </c>
      <c r="I2408" s="1">
        <v>45556</v>
      </c>
      <c r="J2408" t="s">
        <v>36</v>
      </c>
      <c r="K2408" s="8">
        <f>Table2[[#This Row],[CurrentStock]]*Table2[[#This Row],[UnitPrice]]</f>
        <v>2910.88</v>
      </c>
      <c r="L2408" t="str">
        <f>IF(Table2[[#This Row],[CurrentStock]]&lt;=Table2[[#This Row],[ReorderLevel]], "Reorder Needed", "Okay")</f>
        <v>Okay</v>
      </c>
      <c r="M2408" t="str">
        <f>IF(Table2[[#This Row],[CurrentStock]]-Table2[[#This Row],[ReorderLevel]]&lt;0,Table2[[#This Row],[CurrentStock]]-Table2[[#This Row],[ReorderLevel]],"")</f>
        <v/>
      </c>
      <c r="N2408" t="str">
        <f>IF(Table2[[#This Row],[Stock Gap]]&lt;0, "Understock","Okay")</f>
        <v>Okay</v>
      </c>
      <c r="O2408" s="13" t="str">
        <f>IF(Table2[[#This Row],[Stock Gap]]&lt;0, "Yes", "No")</f>
        <v>No</v>
      </c>
      <c r="P2408" s="13" t="str">
        <f>IF(Table2[[#This Row],[CurrentStock]]&lt;Table2[[#This Row],[ReorderLevel]],"Reorder", "Okay")</f>
        <v>Okay</v>
      </c>
      <c r="Q2408" s="13" t="str">
        <f>IF(Table2[[#This Row],[CurrentStock]]&gt;Table2[[#This Row],[ReorderLevel]]*3, "Overstock", "Okay")</f>
        <v>Overstock</v>
      </c>
    </row>
    <row r="2409" spans="1:17" x14ac:dyDescent="0.35">
      <c r="A2409">
        <v>21809</v>
      </c>
      <c r="B2409" t="s">
        <v>22</v>
      </c>
      <c r="C2409" t="s">
        <v>29</v>
      </c>
      <c r="D2409">
        <v>302</v>
      </c>
      <c r="E2409">
        <v>40</v>
      </c>
      <c r="F2409" s="2">
        <v>446.65</v>
      </c>
      <c r="G2409" t="s">
        <v>32</v>
      </c>
      <c r="H2409" s="1">
        <v>45375</v>
      </c>
      <c r="I2409" s="1">
        <v>45401</v>
      </c>
      <c r="J2409" t="s">
        <v>36</v>
      </c>
      <c r="K2409" s="8">
        <f>Table2[[#This Row],[CurrentStock]]*Table2[[#This Row],[UnitPrice]]</f>
        <v>134888.29999999999</v>
      </c>
      <c r="L2409" t="str">
        <f>IF(Table2[[#This Row],[CurrentStock]]&lt;=Table2[[#This Row],[ReorderLevel]], "Reorder Needed", "Okay")</f>
        <v>Okay</v>
      </c>
      <c r="M2409" t="str">
        <f>IF(Table2[[#This Row],[CurrentStock]]-Table2[[#This Row],[ReorderLevel]]&lt;0,Table2[[#This Row],[CurrentStock]]-Table2[[#This Row],[ReorderLevel]],"")</f>
        <v/>
      </c>
      <c r="N2409" t="str">
        <f>IF(Table2[[#This Row],[Stock Gap]]&lt;0, "Understock","Okay")</f>
        <v>Okay</v>
      </c>
      <c r="O2409" s="13" t="str">
        <f>IF(Table2[[#This Row],[Stock Gap]]&lt;0, "Yes", "No")</f>
        <v>No</v>
      </c>
      <c r="P2409" s="13" t="str">
        <f>IF(Table2[[#This Row],[CurrentStock]]&lt;Table2[[#This Row],[ReorderLevel]],"Reorder", "Okay")</f>
        <v>Okay</v>
      </c>
      <c r="Q2409" s="13" t="str">
        <f>IF(Table2[[#This Row],[CurrentStock]]&gt;Table2[[#This Row],[ReorderLevel]]*3, "Overstock", "Okay")</f>
        <v>Overstock</v>
      </c>
    </row>
    <row r="2410" spans="1:17" x14ac:dyDescent="0.35">
      <c r="A2410">
        <v>66632</v>
      </c>
      <c r="B2410" t="s">
        <v>18</v>
      </c>
      <c r="C2410" t="s">
        <v>27</v>
      </c>
      <c r="D2410">
        <v>257</v>
      </c>
      <c r="E2410">
        <v>50</v>
      </c>
      <c r="F2410" s="2">
        <v>217.16</v>
      </c>
      <c r="G2410" t="s">
        <v>33</v>
      </c>
      <c r="H2410" s="1">
        <v>45324</v>
      </c>
      <c r="I2410" s="1">
        <v>45337</v>
      </c>
      <c r="J2410" t="s">
        <v>38</v>
      </c>
      <c r="K2410" s="8">
        <f>Table2[[#This Row],[CurrentStock]]*Table2[[#This Row],[UnitPrice]]</f>
        <v>55810.12</v>
      </c>
      <c r="L2410" t="str">
        <f>IF(Table2[[#This Row],[CurrentStock]]&lt;=Table2[[#This Row],[ReorderLevel]], "Reorder Needed", "Okay")</f>
        <v>Okay</v>
      </c>
      <c r="M2410" t="str">
        <f>IF(Table2[[#This Row],[CurrentStock]]-Table2[[#This Row],[ReorderLevel]]&lt;0,Table2[[#This Row],[CurrentStock]]-Table2[[#This Row],[ReorderLevel]],"")</f>
        <v/>
      </c>
      <c r="N2410" t="str">
        <f>IF(Table2[[#This Row],[Stock Gap]]&lt;0, "Understock","Okay")</f>
        <v>Okay</v>
      </c>
      <c r="O2410" s="13" t="str">
        <f>IF(Table2[[#This Row],[Stock Gap]]&lt;0, "Yes", "No")</f>
        <v>No</v>
      </c>
      <c r="P2410" s="13" t="str">
        <f>IF(Table2[[#This Row],[CurrentStock]]&lt;Table2[[#This Row],[ReorderLevel]],"Reorder", "Okay")</f>
        <v>Okay</v>
      </c>
      <c r="Q2410" s="13" t="str">
        <f>IF(Table2[[#This Row],[CurrentStock]]&gt;Table2[[#This Row],[ReorderLevel]]*3, "Overstock", "Okay")</f>
        <v>Overstock</v>
      </c>
    </row>
    <row r="2411" spans="1:17" x14ac:dyDescent="0.35">
      <c r="A2411">
        <v>27105</v>
      </c>
      <c r="B2411" t="s">
        <v>13</v>
      </c>
      <c r="C2411" t="s">
        <v>26</v>
      </c>
      <c r="D2411">
        <v>163</v>
      </c>
      <c r="E2411">
        <v>40</v>
      </c>
      <c r="F2411" s="2">
        <v>193.24</v>
      </c>
      <c r="G2411" t="s">
        <v>31</v>
      </c>
      <c r="H2411" s="1">
        <v>45546</v>
      </c>
      <c r="I2411" s="1">
        <v>45583</v>
      </c>
      <c r="J2411" t="s">
        <v>37</v>
      </c>
      <c r="K2411" s="8">
        <f>Table2[[#This Row],[CurrentStock]]*Table2[[#This Row],[UnitPrice]]</f>
        <v>31498.120000000003</v>
      </c>
      <c r="L2411" t="str">
        <f>IF(Table2[[#This Row],[CurrentStock]]&lt;=Table2[[#This Row],[ReorderLevel]], "Reorder Needed", "Okay")</f>
        <v>Okay</v>
      </c>
      <c r="M2411" t="str">
        <f>IF(Table2[[#This Row],[CurrentStock]]-Table2[[#This Row],[ReorderLevel]]&lt;0,Table2[[#This Row],[CurrentStock]]-Table2[[#This Row],[ReorderLevel]],"")</f>
        <v/>
      </c>
      <c r="N2411" t="str">
        <f>IF(Table2[[#This Row],[Stock Gap]]&lt;0, "Understock","Okay")</f>
        <v>Okay</v>
      </c>
      <c r="O2411" s="13" t="str">
        <f>IF(Table2[[#This Row],[Stock Gap]]&lt;0, "Yes", "No")</f>
        <v>No</v>
      </c>
      <c r="P2411" s="13" t="str">
        <f>IF(Table2[[#This Row],[CurrentStock]]&lt;Table2[[#This Row],[ReorderLevel]],"Reorder", "Okay")</f>
        <v>Okay</v>
      </c>
      <c r="Q2411" s="13" t="str">
        <f>IF(Table2[[#This Row],[CurrentStock]]&gt;Table2[[#This Row],[ReorderLevel]]*3, "Overstock", "Okay")</f>
        <v>Overstock</v>
      </c>
    </row>
    <row r="2412" spans="1:17" x14ac:dyDescent="0.35">
      <c r="A2412">
        <v>27830</v>
      </c>
      <c r="B2412" t="s">
        <v>16</v>
      </c>
      <c r="C2412" t="s">
        <v>29</v>
      </c>
      <c r="D2412">
        <v>16</v>
      </c>
      <c r="E2412">
        <v>30</v>
      </c>
      <c r="F2412" s="2">
        <v>425.62</v>
      </c>
      <c r="G2412" t="s">
        <v>32</v>
      </c>
      <c r="H2412" s="1">
        <v>45476</v>
      </c>
      <c r="I2412" s="1">
        <v>45487</v>
      </c>
      <c r="J2412" t="s">
        <v>37</v>
      </c>
      <c r="K2412" s="8">
        <f>Table2[[#This Row],[CurrentStock]]*Table2[[#This Row],[UnitPrice]]</f>
        <v>6809.92</v>
      </c>
      <c r="L2412" t="str">
        <f>IF(Table2[[#This Row],[CurrentStock]]&lt;=Table2[[#This Row],[ReorderLevel]], "Reorder Needed", "Okay")</f>
        <v>Reorder Needed</v>
      </c>
      <c r="M2412" s="7">
        <f>IF(Table2[[#This Row],[CurrentStock]]-Table2[[#This Row],[ReorderLevel]]&lt;0,Table2[[#This Row],[CurrentStock]]-Table2[[#This Row],[ReorderLevel]],"")</f>
        <v>-14</v>
      </c>
      <c r="N2412" t="str">
        <f>IF(Table2[[#This Row],[Stock Gap]]&lt;0, "Understock","Okay")</f>
        <v>Understock</v>
      </c>
      <c r="O2412" s="13" t="str">
        <f>IF(Table2[[#This Row],[Stock Gap]]&lt;0, "Yes", "No")</f>
        <v>Yes</v>
      </c>
      <c r="P2412" s="13" t="str">
        <f>IF(Table2[[#This Row],[CurrentStock]]&lt;Table2[[#This Row],[ReorderLevel]],"Reorder", "Okay")</f>
        <v>Reorder</v>
      </c>
      <c r="Q2412" s="13" t="str">
        <f>IF(Table2[[#This Row],[CurrentStock]]&gt;Table2[[#This Row],[ReorderLevel]]*3, "Overstock", "Okay")</f>
        <v>Okay</v>
      </c>
    </row>
    <row r="2413" spans="1:17" x14ac:dyDescent="0.35">
      <c r="A2413">
        <v>15391</v>
      </c>
      <c r="B2413" t="s">
        <v>10</v>
      </c>
      <c r="C2413" t="s">
        <v>26</v>
      </c>
      <c r="D2413">
        <v>7</v>
      </c>
      <c r="E2413">
        <v>20</v>
      </c>
      <c r="F2413" s="2">
        <v>55.57</v>
      </c>
      <c r="G2413" t="s">
        <v>35</v>
      </c>
      <c r="H2413" s="1">
        <v>45507</v>
      </c>
      <c r="I2413" s="1">
        <v>45540</v>
      </c>
      <c r="J2413" t="s">
        <v>36</v>
      </c>
      <c r="K2413" s="8">
        <f>Table2[[#This Row],[CurrentStock]]*Table2[[#This Row],[UnitPrice]]</f>
        <v>388.99</v>
      </c>
      <c r="L2413" t="str">
        <f>IF(Table2[[#This Row],[CurrentStock]]&lt;=Table2[[#This Row],[ReorderLevel]], "Reorder Needed", "Okay")</f>
        <v>Reorder Needed</v>
      </c>
      <c r="M2413" s="7">
        <f>IF(Table2[[#This Row],[CurrentStock]]-Table2[[#This Row],[ReorderLevel]]&lt;0,Table2[[#This Row],[CurrentStock]]-Table2[[#This Row],[ReorderLevel]],"")</f>
        <v>-13</v>
      </c>
      <c r="N2413" t="str">
        <f>IF(Table2[[#This Row],[Stock Gap]]&lt;0, "Understock","Okay")</f>
        <v>Understock</v>
      </c>
      <c r="O2413" s="13" t="str">
        <f>IF(Table2[[#This Row],[Stock Gap]]&lt;0, "Yes", "No")</f>
        <v>Yes</v>
      </c>
      <c r="P2413" s="13" t="str">
        <f>IF(Table2[[#This Row],[CurrentStock]]&lt;Table2[[#This Row],[ReorderLevel]],"Reorder", "Okay")</f>
        <v>Reorder</v>
      </c>
      <c r="Q2413" s="13" t="str">
        <f>IF(Table2[[#This Row],[CurrentStock]]&gt;Table2[[#This Row],[ReorderLevel]]*3, "Overstock", "Okay")</f>
        <v>Okay</v>
      </c>
    </row>
    <row r="2414" spans="1:17" x14ac:dyDescent="0.35">
      <c r="A2414">
        <v>59634</v>
      </c>
      <c r="B2414" t="s">
        <v>13</v>
      </c>
      <c r="C2414" t="s">
        <v>26</v>
      </c>
      <c r="D2414">
        <v>116</v>
      </c>
      <c r="E2414">
        <v>30</v>
      </c>
      <c r="F2414" s="2">
        <v>206.43</v>
      </c>
      <c r="G2414" t="s">
        <v>34</v>
      </c>
      <c r="H2414" s="1">
        <v>45526</v>
      </c>
      <c r="I2414" s="1">
        <v>45543</v>
      </c>
      <c r="J2414" t="s">
        <v>36</v>
      </c>
      <c r="K2414" s="8">
        <f>Table2[[#This Row],[CurrentStock]]*Table2[[#This Row],[UnitPrice]]</f>
        <v>23945.88</v>
      </c>
      <c r="L2414" t="str">
        <f>IF(Table2[[#This Row],[CurrentStock]]&lt;=Table2[[#This Row],[ReorderLevel]], "Reorder Needed", "Okay")</f>
        <v>Okay</v>
      </c>
      <c r="M2414" t="str">
        <f>IF(Table2[[#This Row],[CurrentStock]]-Table2[[#This Row],[ReorderLevel]]&lt;0,Table2[[#This Row],[CurrentStock]]-Table2[[#This Row],[ReorderLevel]],"")</f>
        <v/>
      </c>
      <c r="N2414" t="str">
        <f>IF(Table2[[#This Row],[Stock Gap]]&lt;0, "Understock","Okay")</f>
        <v>Okay</v>
      </c>
      <c r="O2414" s="13" t="str">
        <f>IF(Table2[[#This Row],[Stock Gap]]&lt;0, "Yes", "No")</f>
        <v>No</v>
      </c>
      <c r="P2414" s="13" t="str">
        <f>IF(Table2[[#This Row],[CurrentStock]]&lt;Table2[[#This Row],[ReorderLevel]],"Reorder", "Okay")</f>
        <v>Okay</v>
      </c>
      <c r="Q2414" s="13" t="str">
        <f>IF(Table2[[#This Row],[CurrentStock]]&gt;Table2[[#This Row],[ReorderLevel]]*3, "Overstock", "Okay")</f>
        <v>Overstock</v>
      </c>
    </row>
    <row r="2415" spans="1:17" x14ac:dyDescent="0.35">
      <c r="A2415">
        <v>62513</v>
      </c>
      <c r="B2415" t="s">
        <v>20</v>
      </c>
      <c r="C2415" t="s">
        <v>30</v>
      </c>
      <c r="D2415">
        <v>107</v>
      </c>
      <c r="E2415">
        <v>100</v>
      </c>
      <c r="F2415" s="2">
        <v>300.07</v>
      </c>
      <c r="G2415" t="s">
        <v>33</v>
      </c>
      <c r="H2415" s="1">
        <v>45417</v>
      </c>
      <c r="I2415" s="1">
        <v>45441</v>
      </c>
      <c r="J2415" t="s">
        <v>38</v>
      </c>
      <c r="K2415" s="8">
        <f>Table2[[#This Row],[CurrentStock]]*Table2[[#This Row],[UnitPrice]]</f>
        <v>32107.489999999998</v>
      </c>
      <c r="L2415" t="str">
        <f>IF(Table2[[#This Row],[CurrentStock]]&lt;=Table2[[#This Row],[ReorderLevel]], "Reorder Needed", "Okay")</f>
        <v>Okay</v>
      </c>
      <c r="M2415" t="str">
        <f>IF(Table2[[#This Row],[CurrentStock]]-Table2[[#This Row],[ReorderLevel]]&lt;0,Table2[[#This Row],[CurrentStock]]-Table2[[#This Row],[ReorderLevel]],"")</f>
        <v/>
      </c>
      <c r="N2415" t="str">
        <f>IF(Table2[[#This Row],[Stock Gap]]&lt;0, "Understock","Okay")</f>
        <v>Okay</v>
      </c>
      <c r="O2415" s="13" t="str">
        <f>IF(Table2[[#This Row],[Stock Gap]]&lt;0, "Yes", "No")</f>
        <v>No</v>
      </c>
      <c r="P2415" s="13" t="str">
        <f>IF(Table2[[#This Row],[CurrentStock]]&lt;Table2[[#This Row],[ReorderLevel]],"Reorder", "Okay")</f>
        <v>Okay</v>
      </c>
      <c r="Q2415" s="13" t="str">
        <f>IF(Table2[[#This Row],[CurrentStock]]&gt;Table2[[#This Row],[ReorderLevel]]*3, "Overstock", "Okay")</f>
        <v>Okay</v>
      </c>
    </row>
    <row r="2416" spans="1:17" x14ac:dyDescent="0.35">
      <c r="A2416">
        <v>78264</v>
      </c>
      <c r="B2416" t="s">
        <v>18</v>
      </c>
      <c r="C2416" t="s">
        <v>27</v>
      </c>
      <c r="D2416">
        <v>353</v>
      </c>
      <c r="E2416">
        <v>40</v>
      </c>
      <c r="F2416" s="2">
        <v>442.54</v>
      </c>
      <c r="G2416" t="s">
        <v>31</v>
      </c>
      <c r="H2416" s="1">
        <v>45540</v>
      </c>
      <c r="I2416" s="1">
        <v>45548</v>
      </c>
      <c r="J2416" t="s">
        <v>36</v>
      </c>
      <c r="K2416" s="8">
        <f>Table2[[#This Row],[CurrentStock]]*Table2[[#This Row],[UnitPrice]]</f>
        <v>156216.62</v>
      </c>
      <c r="L2416" t="str">
        <f>IF(Table2[[#This Row],[CurrentStock]]&lt;=Table2[[#This Row],[ReorderLevel]], "Reorder Needed", "Okay")</f>
        <v>Okay</v>
      </c>
      <c r="M2416" t="str">
        <f>IF(Table2[[#This Row],[CurrentStock]]-Table2[[#This Row],[ReorderLevel]]&lt;0,Table2[[#This Row],[CurrentStock]]-Table2[[#This Row],[ReorderLevel]],"")</f>
        <v/>
      </c>
      <c r="N2416" t="str">
        <f>IF(Table2[[#This Row],[Stock Gap]]&lt;0, "Understock","Okay")</f>
        <v>Okay</v>
      </c>
      <c r="O2416" s="13" t="str">
        <f>IF(Table2[[#This Row],[Stock Gap]]&lt;0, "Yes", "No")</f>
        <v>No</v>
      </c>
      <c r="P2416" s="13" t="str">
        <f>IF(Table2[[#This Row],[CurrentStock]]&lt;Table2[[#This Row],[ReorderLevel]],"Reorder", "Okay")</f>
        <v>Okay</v>
      </c>
      <c r="Q2416" s="13" t="str">
        <f>IF(Table2[[#This Row],[CurrentStock]]&gt;Table2[[#This Row],[ReorderLevel]]*3, "Overstock", "Okay")</f>
        <v>Overstock</v>
      </c>
    </row>
    <row r="2417" spans="1:17" x14ac:dyDescent="0.35">
      <c r="A2417">
        <v>87838</v>
      </c>
      <c r="B2417" t="s">
        <v>17</v>
      </c>
      <c r="C2417" t="s">
        <v>27</v>
      </c>
      <c r="D2417">
        <v>189</v>
      </c>
      <c r="E2417">
        <v>50</v>
      </c>
      <c r="F2417" s="2">
        <v>448.23</v>
      </c>
      <c r="G2417" t="s">
        <v>34</v>
      </c>
      <c r="H2417" s="1">
        <v>45580</v>
      </c>
      <c r="I2417" s="1">
        <v>45603</v>
      </c>
      <c r="J2417" t="s">
        <v>36</v>
      </c>
      <c r="K2417" s="8">
        <f>Table2[[#This Row],[CurrentStock]]*Table2[[#This Row],[UnitPrice]]</f>
        <v>84715.47</v>
      </c>
      <c r="L2417" t="str">
        <f>IF(Table2[[#This Row],[CurrentStock]]&lt;=Table2[[#This Row],[ReorderLevel]], "Reorder Needed", "Okay")</f>
        <v>Okay</v>
      </c>
      <c r="M2417" t="str">
        <f>IF(Table2[[#This Row],[CurrentStock]]-Table2[[#This Row],[ReorderLevel]]&lt;0,Table2[[#This Row],[CurrentStock]]-Table2[[#This Row],[ReorderLevel]],"")</f>
        <v/>
      </c>
      <c r="N2417" t="str">
        <f>IF(Table2[[#This Row],[Stock Gap]]&lt;0, "Understock","Okay")</f>
        <v>Okay</v>
      </c>
      <c r="O2417" s="13" t="str">
        <f>IF(Table2[[#This Row],[Stock Gap]]&lt;0, "Yes", "No")</f>
        <v>No</v>
      </c>
      <c r="P2417" s="13" t="str">
        <f>IF(Table2[[#This Row],[CurrentStock]]&lt;Table2[[#This Row],[ReorderLevel]],"Reorder", "Okay")</f>
        <v>Okay</v>
      </c>
      <c r="Q2417" s="13" t="str">
        <f>IF(Table2[[#This Row],[CurrentStock]]&gt;Table2[[#This Row],[ReorderLevel]]*3, "Overstock", "Okay")</f>
        <v>Overstock</v>
      </c>
    </row>
    <row r="2418" spans="1:17" x14ac:dyDescent="0.35">
      <c r="A2418">
        <v>56212</v>
      </c>
      <c r="B2418" t="s">
        <v>9</v>
      </c>
      <c r="C2418" t="s">
        <v>26</v>
      </c>
      <c r="D2418">
        <v>239</v>
      </c>
      <c r="E2418">
        <v>100</v>
      </c>
      <c r="F2418" s="2">
        <v>496.77</v>
      </c>
      <c r="G2418" t="s">
        <v>35</v>
      </c>
      <c r="H2418" s="1">
        <v>45573</v>
      </c>
      <c r="I2418" s="1">
        <v>45594</v>
      </c>
      <c r="J2418" t="s">
        <v>36</v>
      </c>
      <c r="K2418" s="8">
        <f>Table2[[#This Row],[CurrentStock]]*Table2[[#This Row],[UnitPrice]]</f>
        <v>118728.03</v>
      </c>
      <c r="L2418" t="str">
        <f>IF(Table2[[#This Row],[CurrentStock]]&lt;=Table2[[#This Row],[ReorderLevel]], "Reorder Needed", "Okay")</f>
        <v>Okay</v>
      </c>
      <c r="M2418" t="str">
        <f>IF(Table2[[#This Row],[CurrentStock]]-Table2[[#This Row],[ReorderLevel]]&lt;0,Table2[[#This Row],[CurrentStock]]-Table2[[#This Row],[ReorderLevel]],"")</f>
        <v/>
      </c>
      <c r="N2418" t="str">
        <f>IF(Table2[[#This Row],[Stock Gap]]&lt;0, "Understock","Okay")</f>
        <v>Okay</v>
      </c>
      <c r="O2418" s="13" t="str">
        <f>IF(Table2[[#This Row],[Stock Gap]]&lt;0, "Yes", "No")</f>
        <v>No</v>
      </c>
      <c r="P2418" s="13" t="str">
        <f>IF(Table2[[#This Row],[CurrentStock]]&lt;Table2[[#This Row],[ReorderLevel]],"Reorder", "Okay")</f>
        <v>Okay</v>
      </c>
      <c r="Q2418" s="13" t="str">
        <f>IF(Table2[[#This Row],[CurrentStock]]&gt;Table2[[#This Row],[ReorderLevel]]*3, "Overstock", "Okay")</f>
        <v>Okay</v>
      </c>
    </row>
    <row r="2419" spans="1:17" x14ac:dyDescent="0.35">
      <c r="A2419">
        <v>59285</v>
      </c>
      <c r="B2419" t="s">
        <v>18</v>
      </c>
      <c r="C2419" t="s">
        <v>27</v>
      </c>
      <c r="D2419">
        <v>388</v>
      </c>
      <c r="E2419">
        <v>80</v>
      </c>
      <c r="F2419" s="2">
        <v>208.77</v>
      </c>
      <c r="G2419" t="s">
        <v>32</v>
      </c>
      <c r="H2419" s="1">
        <v>45565</v>
      </c>
      <c r="I2419" s="1">
        <v>45600</v>
      </c>
      <c r="J2419" t="s">
        <v>37</v>
      </c>
      <c r="K2419" s="8">
        <f>Table2[[#This Row],[CurrentStock]]*Table2[[#This Row],[UnitPrice]]</f>
        <v>81002.760000000009</v>
      </c>
      <c r="L2419" t="str">
        <f>IF(Table2[[#This Row],[CurrentStock]]&lt;=Table2[[#This Row],[ReorderLevel]], "Reorder Needed", "Okay")</f>
        <v>Okay</v>
      </c>
      <c r="M2419" t="str">
        <f>IF(Table2[[#This Row],[CurrentStock]]-Table2[[#This Row],[ReorderLevel]]&lt;0,Table2[[#This Row],[CurrentStock]]-Table2[[#This Row],[ReorderLevel]],"")</f>
        <v/>
      </c>
      <c r="N2419" t="str">
        <f>IF(Table2[[#This Row],[Stock Gap]]&lt;0, "Understock","Okay")</f>
        <v>Okay</v>
      </c>
      <c r="O2419" s="13" t="str">
        <f>IF(Table2[[#This Row],[Stock Gap]]&lt;0, "Yes", "No")</f>
        <v>No</v>
      </c>
      <c r="P2419" s="13" t="str">
        <f>IF(Table2[[#This Row],[CurrentStock]]&lt;Table2[[#This Row],[ReorderLevel]],"Reorder", "Okay")</f>
        <v>Okay</v>
      </c>
      <c r="Q2419" s="13" t="str">
        <f>IF(Table2[[#This Row],[CurrentStock]]&gt;Table2[[#This Row],[ReorderLevel]]*3, "Overstock", "Okay")</f>
        <v>Overstock</v>
      </c>
    </row>
    <row r="2420" spans="1:17" x14ac:dyDescent="0.35">
      <c r="A2420">
        <v>19895</v>
      </c>
      <c r="B2420" t="s">
        <v>22</v>
      </c>
      <c r="C2420" t="s">
        <v>29</v>
      </c>
      <c r="D2420">
        <v>116</v>
      </c>
      <c r="E2420">
        <v>50</v>
      </c>
      <c r="F2420" s="2">
        <v>386.41</v>
      </c>
      <c r="G2420" t="s">
        <v>31</v>
      </c>
      <c r="H2420" s="1">
        <v>45440</v>
      </c>
      <c r="I2420" s="1">
        <v>45446</v>
      </c>
      <c r="J2420" t="s">
        <v>36</v>
      </c>
      <c r="K2420" s="8">
        <f>Table2[[#This Row],[CurrentStock]]*Table2[[#This Row],[UnitPrice]]</f>
        <v>44823.560000000005</v>
      </c>
      <c r="L2420" t="str">
        <f>IF(Table2[[#This Row],[CurrentStock]]&lt;=Table2[[#This Row],[ReorderLevel]], "Reorder Needed", "Okay")</f>
        <v>Okay</v>
      </c>
      <c r="M2420" t="str">
        <f>IF(Table2[[#This Row],[CurrentStock]]-Table2[[#This Row],[ReorderLevel]]&lt;0,Table2[[#This Row],[CurrentStock]]-Table2[[#This Row],[ReorderLevel]],"")</f>
        <v/>
      </c>
      <c r="N2420" t="str">
        <f>IF(Table2[[#This Row],[Stock Gap]]&lt;0, "Understock","Okay")</f>
        <v>Okay</v>
      </c>
      <c r="O2420" s="13" t="str">
        <f>IF(Table2[[#This Row],[Stock Gap]]&lt;0, "Yes", "No")</f>
        <v>No</v>
      </c>
      <c r="P2420" s="13" t="str">
        <f>IF(Table2[[#This Row],[CurrentStock]]&lt;Table2[[#This Row],[ReorderLevel]],"Reorder", "Okay")</f>
        <v>Okay</v>
      </c>
      <c r="Q2420" s="13" t="str">
        <f>IF(Table2[[#This Row],[CurrentStock]]&gt;Table2[[#This Row],[ReorderLevel]]*3, "Overstock", "Okay")</f>
        <v>Okay</v>
      </c>
    </row>
    <row r="2421" spans="1:17" x14ac:dyDescent="0.35">
      <c r="A2421">
        <v>45502</v>
      </c>
      <c r="B2421" t="s">
        <v>11</v>
      </c>
      <c r="C2421" t="s">
        <v>27</v>
      </c>
      <c r="D2421">
        <v>4</v>
      </c>
      <c r="E2421">
        <v>100</v>
      </c>
      <c r="F2421" s="2">
        <v>48.79</v>
      </c>
      <c r="G2421" t="s">
        <v>33</v>
      </c>
      <c r="H2421" s="1">
        <v>45615</v>
      </c>
      <c r="I2421" s="1">
        <v>45643</v>
      </c>
      <c r="J2421" t="s">
        <v>36</v>
      </c>
      <c r="K2421" s="8">
        <f>Table2[[#This Row],[CurrentStock]]*Table2[[#This Row],[UnitPrice]]</f>
        <v>195.16</v>
      </c>
      <c r="L2421" t="str">
        <f>IF(Table2[[#This Row],[CurrentStock]]&lt;=Table2[[#This Row],[ReorderLevel]], "Reorder Needed", "Okay")</f>
        <v>Reorder Needed</v>
      </c>
      <c r="M2421" s="7">
        <f>IF(Table2[[#This Row],[CurrentStock]]-Table2[[#This Row],[ReorderLevel]]&lt;0,Table2[[#This Row],[CurrentStock]]-Table2[[#This Row],[ReorderLevel]],"")</f>
        <v>-96</v>
      </c>
      <c r="N2421" t="str">
        <f>IF(Table2[[#This Row],[Stock Gap]]&lt;0, "Understock","Okay")</f>
        <v>Understock</v>
      </c>
      <c r="O2421" s="13" t="str">
        <f>IF(Table2[[#This Row],[Stock Gap]]&lt;0, "Yes", "No")</f>
        <v>Yes</v>
      </c>
      <c r="P2421" s="13" t="str">
        <f>IF(Table2[[#This Row],[CurrentStock]]&lt;Table2[[#This Row],[ReorderLevel]],"Reorder", "Okay")</f>
        <v>Reorder</v>
      </c>
      <c r="Q2421" s="13" t="str">
        <f>IF(Table2[[#This Row],[CurrentStock]]&gt;Table2[[#This Row],[ReorderLevel]]*3, "Overstock", "Okay")</f>
        <v>Okay</v>
      </c>
    </row>
    <row r="2422" spans="1:17" x14ac:dyDescent="0.35">
      <c r="A2422">
        <v>71920</v>
      </c>
      <c r="B2422" t="s">
        <v>12</v>
      </c>
      <c r="C2422" t="s">
        <v>28</v>
      </c>
      <c r="D2422">
        <v>136</v>
      </c>
      <c r="E2422">
        <v>30</v>
      </c>
      <c r="F2422" s="2">
        <v>452.84</v>
      </c>
      <c r="G2422" t="s">
        <v>34</v>
      </c>
      <c r="H2422" s="1">
        <v>45571</v>
      </c>
      <c r="I2422" s="1">
        <v>45579</v>
      </c>
      <c r="J2422" t="s">
        <v>37</v>
      </c>
      <c r="K2422" s="8">
        <f>Table2[[#This Row],[CurrentStock]]*Table2[[#This Row],[UnitPrice]]</f>
        <v>61586.239999999998</v>
      </c>
      <c r="L2422" t="str">
        <f>IF(Table2[[#This Row],[CurrentStock]]&lt;=Table2[[#This Row],[ReorderLevel]], "Reorder Needed", "Okay")</f>
        <v>Okay</v>
      </c>
      <c r="M2422" t="str">
        <f>IF(Table2[[#This Row],[CurrentStock]]-Table2[[#This Row],[ReorderLevel]]&lt;0,Table2[[#This Row],[CurrentStock]]-Table2[[#This Row],[ReorderLevel]],"")</f>
        <v/>
      </c>
      <c r="N2422" t="str">
        <f>IF(Table2[[#This Row],[Stock Gap]]&lt;0, "Understock","Okay")</f>
        <v>Okay</v>
      </c>
      <c r="O2422" s="13" t="str">
        <f>IF(Table2[[#This Row],[Stock Gap]]&lt;0, "Yes", "No")</f>
        <v>No</v>
      </c>
      <c r="P2422" s="13" t="str">
        <f>IF(Table2[[#This Row],[CurrentStock]]&lt;Table2[[#This Row],[ReorderLevel]],"Reorder", "Okay")</f>
        <v>Okay</v>
      </c>
      <c r="Q2422" s="13" t="str">
        <f>IF(Table2[[#This Row],[CurrentStock]]&gt;Table2[[#This Row],[ReorderLevel]]*3, "Overstock", "Okay")</f>
        <v>Overstock</v>
      </c>
    </row>
    <row r="2423" spans="1:17" x14ac:dyDescent="0.35">
      <c r="A2423">
        <v>92071</v>
      </c>
      <c r="B2423" t="s">
        <v>14</v>
      </c>
      <c r="C2423" t="s">
        <v>28</v>
      </c>
      <c r="D2423">
        <v>139</v>
      </c>
      <c r="E2423">
        <v>30</v>
      </c>
      <c r="F2423" s="2">
        <v>18.72</v>
      </c>
      <c r="G2423" t="s">
        <v>34</v>
      </c>
      <c r="H2423" s="1">
        <v>45493</v>
      </c>
      <c r="I2423" s="1">
        <v>45515</v>
      </c>
      <c r="J2423" t="s">
        <v>38</v>
      </c>
      <c r="K2423" s="8">
        <f>Table2[[#This Row],[CurrentStock]]*Table2[[#This Row],[UnitPrice]]</f>
        <v>2602.08</v>
      </c>
      <c r="L2423" t="str">
        <f>IF(Table2[[#This Row],[CurrentStock]]&lt;=Table2[[#This Row],[ReorderLevel]], "Reorder Needed", "Okay")</f>
        <v>Okay</v>
      </c>
      <c r="M2423" t="str">
        <f>IF(Table2[[#This Row],[CurrentStock]]-Table2[[#This Row],[ReorderLevel]]&lt;0,Table2[[#This Row],[CurrentStock]]-Table2[[#This Row],[ReorderLevel]],"")</f>
        <v/>
      </c>
      <c r="N2423" t="str">
        <f>IF(Table2[[#This Row],[Stock Gap]]&lt;0, "Understock","Okay")</f>
        <v>Okay</v>
      </c>
      <c r="O2423" s="13" t="str">
        <f>IF(Table2[[#This Row],[Stock Gap]]&lt;0, "Yes", "No")</f>
        <v>No</v>
      </c>
      <c r="P2423" s="13" t="str">
        <f>IF(Table2[[#This Row],[CurrentStock]]&lt;Table2[[#This Row],[ReorderLevel]],"Reorder", "Okay")</f>
        <v>Okay</v>
      </c>
      <c r="Q2423" s="13" t="str">
        <f>IF(Table2[[#This Row],[CurrentStock]]&gt;Table2[[#This Row],[ReorderLevel]]*3, "Overstock", "Okay")</f>
        <v>Overstock</v>
      </c>
    </row>
    <row r="2424" spans="1:17" x14ac:dyDescent="0.35">
      <c r="A2424">
        <v>28220</v>
      </c>
      <c r="B2424" t="s">
        <v>24</v>
      </c>
      <c r="C2424" t="s">
        <v>30</v>
      </c>
      <c r="D2424">
        <v>465</v>
      </c>
      <c r="E2424">
        <v>20</v>
      </c>
      <c r="F2424" s="2">
        <v>427.29</v>
      </c>
      <c r="G2424" t="s">
        <v>33</v>
      </c>
      <c r="H2424" s="1">
        <v>45434</v>
      </c>
      <c r="I2424" s="1">
        <v>45443</v>
      </c>
      <c r="J2424" t="s">
        <v>37</v>
      </c>
      <c r="K2424" s="8">
        <f>Table2[[#This Row],[CurrentStock]]*Table2[[#This Row],[UnitPrice]]</f>
        <v>198689.85</v>
      </c>
      <c r="L2424" t="str">
        <f>IF(Table2[[#This Row],[CurrentStock]]&lt;=Table2[[#This Row],[ReorderLevel]], "Reorder Needed", "Okay")</f>
        <v>Okay</v>
      </c>
      <c r="M2424" t="str">
        <f>IF(Table2[[#This Row],[CurrentStock]]-Table2[[#This Row],[ReorderLevel]]&lt;0,Table2[[#This Row],[CurrentStock]]-Table2[[#This Row],[ReorderLevel]],"")</f>
        <v/>
      </c>
      <c r="N2424" t="str">
        <f>IF(Table2[[#This Row],[Stock Gap]]&lt;0, "Understock","Okay")</f>
        <v>Okay</v>
      </c>
      <c r="O2424" s="13" t="str">
        <f>IF(Table2[[#This Row],[Stock Gap]]&lt;0, "Yes", "No")</f>
        <v>No</v>
      </c>
      <c r="P2424" s="13" t="str">
        <f>IF(Table2[[#This Row],[CurrentStock]]&lt;Table2[[#This Row],[ReorderLevel]],"Reorder", "Okay")</f>
        <v>Okay</v>
      </c>
      <c r="Q2424" s="13" t="str">
        <f>IF(Table2[[#This Row],[CurrentStock]]&gt;Table2[[#This Row],[ReorderLevel]]*3, "Overstock", "Okay")</f>
        <v>Overstock</v>
      </c>
    </row>
    <row r="2425" spans="1:17" x14ac:dyDescent="0.35">
      <c r="A2425">
        <v>89833</v>
      </c>
      <c r="B2425" t="s">
        <v>19</v>
      </c>
      <c r="C2425" t="s">
        <v>28</v>
      </c>
      <c r="D2425">
        <v>469</v>
      </c>
      <c r="E2425">
        <v>80</v>
      </c>
      <c r="F2425" s="2">
        <v>129.08000000000001</v>
      </c>
      <c r="G2425" t="s">
        <v>34</v>
      </c>
      <c r="H2425" s="1">
        <v>45335</v>
      </c>
      <c r="I2425" s="1">
        <v>45352</v>
      </c>
      <c r="J2425" t="s">
        <v>36</v>
      </c>
      <c r="K2425" s="8">
        <f>Table2[[#This Row],[CurrentStock]]*Table2[[#This Row],[UnitPrice]]</f>
        <v>60538.520000000004</v>
      </c>
      <c r="L2425" t="str">
        <f>IF(Table2[[#This Row],[CurrentStock]]&lt;=Table2[[#This Row],[ReorderLevel]], "Reorder Needed", "Okay")</f>
        <v>Okay</v>
      </c>
      <c r="M2425" t="str">
        <f>IF(Table2[[#This Row],[CurrentStock]]-Table2[[#This Row],[ReorderLevel]]&lt;0,Table2[[#This Row],[CurrentStock]]-Table2[[#This Row],[ReorderLevel]],"")</f>
        <v/>
      </c>
      <c r="N2425" t="str">
        <f>IF(Table2[[#This Row],[Stock Gap]]&lt;0, "Understock","Okay")</f>
        <v>Okay</v>
      </c>
      <c r="O2425" s="13" t="str">
        <f>IF(Table2[[#This Row],[Stock Gap]]&lt;0, "Yes", "No")</f>
        <v>No</v>
      </c>
      <c r="P2425" s="13" t="str">
        <f>IF(Table2[[#This Row],[CurrentStock]]&lt;Table2[[#This Row],[ReorderLevel]],"Reorder", "Okay")</f>
        <v>Okay</v>
      </c>
      <c r="Q2425" s="13" t="str">
        <f>IF(Table2[[#This Row],[CurrentStock]]&gt;Table2[[#This Row],[ReorderLevel]]*3, "Overstock", "Okay")</f>
        <v>Overstock</v>
      </c>
    </row>
    <row r="2426" spans="1:17" x14ac:dyDescent="0.35">
      <c r="A2426">
        <v>74583</v>
      </c>
      <c r="B2426" t="s">
        <v>11</v>
      </c>
      <c r="C2426" t="s">
        <v>27</v>
      </c>
      <c r="D2426">
        <v>67</v>
      </c>
      <c r="E2426">
        <v>80</v>
      </c>
      <c r="F2426" s="2">
        <v>420.01</v>
      </c>
      <c r="G2426" t="s">
        <v>34</v>
      </c>
      <c r="H2426" s="1">
        <v>45393</v>
      </c>
      <c r="I2426" s="1">
        <v>45432</v>
      </c>
      <c r="J2426" t="s">
        <v>36</v>
      </c>
      <c r="K2426" s="8">
        <f>Table2[[#This Row],[CurrentStock]]*Table2[[#This Row],[UnitPrice]]</f>
        <v>28140.67</v>
      </c>
      <c r="L2426" t="str">
        <f>IF(Table2[[#This Row],[CurrentStock]]&lt;=Table2[[#This Row],[ReorderLevel]], "Reorder Needed", "Okay")</f>
        <v>Reorder Needed</v>
      </c>
      <c r="M2426" s="7">
        <f>IF(Table2[[#This Row],[CurrentStock]]-Table2[[#This Row],[ReorderLevel]]&lt;0,Table2[[#This Row],[CurrentStock]]-Table2[[#This Row],[ReorderLevel]],"")</f>
        <v>-13</v>
      </c>
      <c r="N2426" t="str">
        <f>IF(Table2[[#This Row],[Stock Gap]]&lt;0, "Understock","Okay")</f>
        <v>Understock</v>
      </c>
      <c r="O2426" s="13" t="str">
        <f>IF(Table2[[#This Row],[Stock Gap]]&lt;0, "Yes", "No")</f>
        <v>Yes</v>
      </c>
      <c r="P2426" s="13" t="str">
        <f>IF(Table2[[#This Row],[CurrentStock]]&lt;Table2[[#This Row],[ReorderLevel]],"Reorder", "Okay")</f>
        <v>Reorder</v>
      </c>
      <c r="Q2426" s="13" t="str">
        <f>IF(Table2[[#This Row],[CurrentStock]]&gt;Table2[[#This Row],[ReorderLevel]]*3, "Overstock", "Okay")</f>
        <v>Okay</v>
      </c>
    </row>
    <row r="2427" spans="1:17" x14ac:dyDescent="0.35">
      <c r="A2427">
        <v>91622</v>
      </c>
      <c r="B2427" t="s">
        <v>20</v>
      </c>
      <c r="C2427" t="s">
        <v>30</v>
      </c>
      <c r="D2427">
        <v>57</v>
      </c>
      <c r="E2427">
        <v>20</v>
      </c>
      <c r="F2427" s="2">
        <v>198.84</v>
      </c>
      <c r="G2427" t="s">
        <v>33</v>
      </c>
      <c r="H2427" s="1">
        <v>45348</v>
      </c>
      <c r="I2427" s="1">
        <v>45385</v>
      </c>
      <c r="J2427" t="s">
        <v>37</v>
      </c>
      <c r="K2427" s="8">
        <f>Table2[[#This Row],[CurrentStock]]*Table2[[#This Row],[UnitPrice]]</f>
        <v>11333.880000000001</v>
      </c>
      <c r="L2427" t="str">
        <f>IF(Table2[[#This Row],[CurrentStock]]&lt;=Table2[[#This Row],[ReorderLevel]], "Reorder Needed", "Okay")</f>
        <v>Okay</v>
      </c>
      <c r="M2427" t="str">
        <f>IF(Table2[[#This Row],[CurrentStock]]-Table2[[#This Row],[ReorderLevel]]&lt;0,Table2[[#This Row],[CurrentStock]]-Table2[[#This Row],[ReorderLevel]],"")</f>
        <v/>
      </c>
      <c r="N2427" t="str">
        <f>IF(Table2[[#This Row],[Stock Gap]]&lt;0, "Understock","Okay")</f>
        <v>Okay</v>
      </c>
      <c r="O2427" s="13" t="str">
        <f>IF(Table2[[#This Row],[Stock Gap]]&lt;0, "Yes", "No")</f>
        <v>No</v>
      </c>
      <c r="P2427" s="13" t="str">
        <f>IF(Table2[[#This Row],[CurrentStock]]&lt;Table2[[#This Row],[ReorderLevel]],"Reorder", "Okay")</f>
        <v>Okay</v>
      </c>
      <c r="Q2427" s="13" t="str">
        <f>IF(Table2[[#This Row],[CurrentStock]]&gt;Table2[[#This Row],[ReorderLevel]]*3, "Overstock", "Okay")</f>
        <v>Okay</v>
      </c>
    </row>
    <row r="2428" spans="1:17" x14ac:dyDescent="0.35">
      <c r="A2428">
        <v>86844</v>
      </c>
      <c r="B2428" t="s">
        <v>15</v>
      </c>
      <c r="C2428" t="s">
        <v>29</v>
      </c>
      <c r="D2428">
        <v>282</v>
      </c>
      <c r="E2428">
        <v>20</v>
      </c>
      <c r="F2428" s="2">
        <v>184</v>
      </c>
      <c r="G2428" t="s">
        <v>32</v>
      </c>
      <c r="H2428" s="1">
        <v>45532</v>
      </c>
      <c r="I2428" s="1">
        <v>45561</v>
      </c>
      <c r="J2428" t="s">
        <v>36</v>
      </c>
      <c r="K2428" s="8">
        <f>Table2[[#This Row],[CurrentStock]]*Table2[[#This Row],[UnitPrice]]</f>
        <v>51888</v>
      </c>
      <c r="L2428" t="str">
        <f>IF(Table2[[#This Row],[CurrentStock]]&lt;=Table2[[#This Row],[ReorderLevel]], "Reorder Needed", "Okay")</f>
        <v>Okay</v>
      </c>
      <c r="M2428" t="str">
        <f>IF(Table2[[#This Row],[CurrentStock]]-Table2[[#This Row],[ReorderLevel]]&lt;0,Table2[[#This Row],[CurrentStock]]-Table2[[#This Row],[ReorderLevel]],"")</f>
        <v/>
      </c>
      <c r="N2428" t="str">
        <f>IF(Table2[[#This Row],[Stock Gap]]&lt;0, "Understock","Okay")</f>
        <v>Okay</v>
      </c>
      <c r="O2428" s="13" t="str">
        <f>IF(Table2[[#This Row],[Stock Gap]]&lt;0, "Yes", "No")</f>
        <v>No</v>
      </c>
      <c r="P2428" s="13" t="str">
        <f>IF(Table2[[#This Row],[CurrentStock]]&lt;Table2[[#This Row],[ReorderLevel]],"Reorder", "Okay")</f>
        <v>Okay</v>
      </c>
      <c r="Q2428" s="13" t="str">
        <f>IF(Table2[[#This Row],[CurrentStock]]&gt;Table2[[#This Row],[ReorderLevel]]*3, "Overstock", "Okay")</f>
        <v>Overstock</v>
      </c>
    </row>
    <row r="2429" spans="1:17" x14ac:dyDescent="0.35">
      <c r="A2429">
        <v>28223</v>
      </c>
      <c r="B2429" t="s">
        <v>19</v>
      </c>
      <c r="C2429" t="s">
        <v>28</v>
      </c>
      <c r="D2429">
        <v>405</v>
      </c>
      <c r="E2429">
        <v>100</v>
      </c>
      <c r="F2429" s="2">
        <v>284.13</v>
      </c>
      <c r="G2429" t="s">
        <v>32</v>
      </c>
      <c r="H2429" s="1">
        <v>45333</v>
      </c>
      <c r="I2429" s="1">
        <v>45357</v>
      </c>
      <c r="J2429" t="s">
        <v>36</v>
      </c>
      <c r="K2429" s="8">
        <f>Table2[[#This Row],[CurrentStock]]*Table2[[#This Row],[UnitPrice]]</f>
        <v>115072.65</v>
      </c>
      <c r="L2429" t="str">
        <f>IF(Table2[[#This Row],[CurrentStock]]&lt;=Table2[[#This Row],[ReorderLevel]], "Reorder Needed", "Okay")</f>
        <v>Okay</v>
      </c>
      <c r="M2429" t="str">
        <f>IF(Table2[[#This Row],[CurrentStock]]-Table2[[#This Row],[ReorderLevel]]&lt;0,Table2[[#This Row],[CurrentStock]]-Table2[[#This Row],[ReorderLevel]],"")</f>
        <v/>
      </c>
      <c r="N2429" t="str">
        <f>IF(Table2[[#This Row],[Stock Gap]]&lt;0, "Understock","Okay")</f>
        <v>Okay</v>
      </c>
      <c r="O2429" s="13" t="str">
        <f>IF(Table2[[#This Row],[Stock Gap]]&lt;0, "Yes", "No")</f>
        <v>No</v>
      </c>
      <c r="P2429" s="13" t="str">
        <f>IF(Table2[[#This Row],[CurrentStock]]&lt;Table2[[#This Row],[ReorderLevel]],"Reorder", "Okay")</f>
        <v>Okay</v>
      </c>
      <c r="Q2429" s="13" t="str">
        <f>IF(Table2[[#This Row],[CurrentStock]]&gt;Table2[[#This Row],[ReorderLevel]]*3, "Overstock", "Okay")</f>
        <v>Overstock</v>
      </c>
    </row>
    <row r="2430" spans="1:17" x14ac:dyDescent="0.35">
      <c r="A2430">
        <v>22911</v>
      </c>
      <c r="B2430" t="s">
        <v>20</v>
      </c>
      <c r="C2430" t="s">
        <v>30</v>
      </c>
      <c r="D2430">
        <v>201</v>
      </c>
      <c r="E2430">
        <v>80</v>
      </c>
      <c r="F2430" s="2">
        <v>494.91</v>
      </c>
      <c r="G2430" t="s">
        <v>34</v>
      </c>
      <c r="H2430" s="1">
        <v>45330</v>
      </c>
      <c r="I2430" s="1">
        <v>45345</v>
      </c>
      <c r="J2430" t="s">
        <v>38</v>
      </c>
      <c r="K2430" s="8">
        <f>Table2[[#This Row],[CurrentStock]]*Table2[[#This Row],[UnitPrice]]</f>
        <v>99476.91</v>
      </c>
      <c r="L2430" t="str">
        <f>IF(Table2[[#This Row],[CurrentStock]]&lt;=Table2[[#This Row],[ReorderLevel]], "Reorder Needed", "Okay")</f>
        <v>Okay</v>
      </c>
      <c r="M2430" t="str">
        <f>IF(Table2[[#This Row],[CurrentStock]]-Table2[[#This Row],[ReorderLevel]]&lt;0,Table2[[#This Row],[CurrentStock]]-Table2[[#This Row],[ReorderLevel]],"")</f>
        <v/>
      </c>
      <c r="N2430" t="str">
        <f>IF(Table2[[#This Row],[Stock Gap]]&lt;0, "Understock","Okay")</f>
        <v>Okay</v>
      </c>
      <c r="O2430" s="13" t="str">
        <f>IF(Table2[[#This Row],[Stock Gap]]&lt;0, "Yes", "No")</f>
        <v>No</v>
      </c>
      <c r="P2430" s="13" t="str">
        <f>IF(Table2[[#This Row],[CurrentStock]]&lt;Table2[[#This Row],[ReorderLevel]],"Reorder", "Okay")</f>
        <v>Okay</v>
      </c>
      <c r="Q2430" s="13" t="str">
        <f>IF(Table2[[#This Row],[CurrentStock]]&gt;Table2[[#This Row],[ReorderLevel]]*3, "Overstock", "Okay")</f>
        <v>Okay</v>
      </c>
    </row>
    <row r="2431" spans="1:17" x14ac:dyDescent="0.35">
      <c r="A2431">
        <v>92888</v>
      </c>
      <c r="B2431" t="s">
        <v>13</v>
      </c>
      <c r="C2431" t="s">
        <v>26</v>
      </c>
      <c r="D2431">
        <v>292</v>
      </c>
      <c r="E2431">
        <v>150</v>
      </c>
      <c r="F2431" s="2">
        <v>233.2</v>
      </c>
      <c r="G2431" t="s">
        <v>35</v>
      </c>
      <c r="H2431" s="1">
        <v>45384</v>
      </c>
      <c r="I2431" s="1">
        <v>45420</v>
      </c>
      <c r="J2431" t="s">
        <v>36</v>
      </c>
      <c r="K2431" s="8">
        <f>Table2[[#This Row],[CurrentStock]]*Table2[[#This Row],[UnitPrice]]</f>
        <v>68094.399999999994</v>
      </c>
      <c r="L2431" t="str">
        <f>IF(Table2[[#This Row],[CurrentStock]]&lt;=Table2[[#This Row],[ReorderLevel]], "Reorder Needed", "Okay")</f>
        <v>Okay</v>
      </c>
      <c r="M2431" t="str">
        <f>IF(Table2[[#This Row],[CurrentStock]]-Table2[[#This Row],[ReorderLevel]]&lt;0,Table2[[#This Row],[CurrentStock]]-Table2[[#This Row],[ReorderLevel]],"")</f>
        <v/>
      </c>
      <c r="N2431" t="str">
        <f>IF(Table2[[#This Row],[Stock Gap]]&lt;0, "Understock","Okay")</f>
        <v>Okay</v>
      </c>
      <c r="O2431" s="13" t="str">
        <f>IF(Table2[[#This Row],[Stock Gap]]&lt;0, "Yes", "No")</f>
        <v>No</v>
      </c>
      <c r="P2431" s="13" t="str">
        <f>IF(Table2[[#This Row],[CurrentStock]]&lt;Table2[[#This Row],[ReorderLevel]],"Reorder", "Okay")</f>
        <v>Okay</v>
      </c>
      <c r="Q2431" s="13" t="str">
        <f>IF(Table2[[#This Row],[CurrentStock]]&gt;Table2[[#This Row],[ReorderLevel]]*3, "Overstock", "Okay")</f>
        <v>Okay</v>
      </c>
    </row>
    <row r="2432" spans="1:17" x14ac:dyDescent="0.35">
      <c r="A2432">
        <v>24866</v>
      </c>
      <c r="B2432" t="s">
        <v>24</v>
      </c>
      <c r="C2432" t="s">
        <v>30</v>
      </c>
      <c r="D2432">
        <v>427</v>
      </c>
      <c r="E2432">
        <v>30</v>
      </c>
      <c r="F2432" s="2">
        <v>91.16</v>
      </c>
      <c r="G2432" t="s">
        <v>35</v>
      </c>
      <c r="H2432" s="1">
        <v>45495</v>
      </c>
      <c r="I2432" s="1">
        <v>45517</v>
      </c>
      <c r="J2432" t="s">
        <v>37</v>
      </c>
      <c r="K2432" s="8">
        <f>Table2[[#This Row],[CurrentStock]]*Table2[[#This Row],[UnitPrice]]</f>
        <v>38925.32</v>
      </c>
      <c r="L2432" t="str">
        <f>IF(Table2[[#This Row],[CurrentStock]]&lt;=Table2[[#This Row],[ReorderLevel]], "Reorder Needed", "Okay")</f>
        <v>Okay</v>
      </c>
      <c r="M2432" t="str">
        <f>IF(Table2[[#This Row],[CurrentStock]]-Table2[[#This Row],[ReorderLevel]]&lt;0,Table2[[#This Row],[CurrentStock]]-Table2[[#This Row],[ReorderLevel]],"")</f>
        <v/>
      </c>
      <c r="N2432" t="str">
        <f>IF(Table2[[#This Row],[Stock Gap]]&lt;0, "Understock","Okay")</f>
        <v>Okay</v>
      </c>
      <c r="O2432" s="13" t="str">
        <f>IF(Table2[[#This Row],[Stock Gap]]&lt;0, "Yes", "No")</f>
        <v>No</v>
      </c>
      <c r="P2432" s="13" t="str">
        <f>IF(Table2[[#This Row],[CurrentStock]]&lt;Table2[[#This Row],[ReorderLevel]],"Reorder", "Okay")</f>
        <v>Okay</v>
      </c>
      <c r="Q2432" s="13" t="str">
        <f>IF(Table2[[#This Row],[CurrentStock]]&gt;Table2[[#This Row],[ReorderLevel]]*3, "Overstock", "Okay")</f>
        <v>Overstock</v>
      </c>
    </row>
    <row r="2433" spans="1:17" x14ac:dyDescent="0.35">
      <c r="A2433">
        <v>75327</v>
      </c>
      <c r="B2433" t="s">
        <v>25</v>
      </c>
      <c r="C2433" t="s">
        <v>29</v>
      </c>
      <c r="D2433">
        <v>161</v>
      </c>
      <c r="E2433">
        <v>30</v>
      </c>
      <c r="F2433" s="2">
        <v>428.06</v>
      </c>
      <c r="G2433" t="s">
        <v>31</v>
      </c>
      <c r="H2433" s="1">
        <v>45374</v>
      </c>
      <c r="I2433" s="1">
        <v>45405</v>
      </c>
      <c r="J2433" t="s">
        <v>36</v>
      </c>
      <c r="K2433" s="8">
        <f>Table2[[#This Row],[CurrentStock]]*Table2[[#This Row],[UnitPrice]]</f>
        <v>68917.66</v>
      </c>
      <c r="L2433" t="str">
        <f>IF(Table2[[#This Row],[CurrentStock]]&lt;=Table2[[#This Row],[ReorderLevel]], "Reorder Needed", "Okay")</f>
        <v>Okay</v>
      </c>
      <c r="M2433" t="str">
        <f>IF(Table2[[#This Row],[CurrentStock]]-Table2[[#This Row],[ReorderLevel]]&lt;0,Table2[[#This Row],[CurrentStock]]-Table2[[#This Row],[ReorderLevel]],"")</f>
        <v/>
      </c>
      <c r="N2433" t="str">
        <f>IF(Table2[[#This Row],[Stock Gap]]&lt;0, "Understock","Okay")</f>
        <v>Okay</v>
      </c>
      <c r="O2433" s="13" t="str">
        <f>IF(Table2[[#This Row],[Stock Gap]]&lt;0, "Yes", "No")</f>
        <v>No</v>
      </c>
      <c r="P2433" s="13" t="str">
        <f>IF(Table2[[#This Row],[CurrentStock]]&lt;Table2[[#This Row],[ReorderLevel]],"Reorder", "Okay")</f>
        <v>Okay</v>
      </c>
      <c r="Q2433" s="13" t="str">
        <f>IF(Table2[[#This Row],[CurrentStock]]&gt;Table2[[#This Row],[ReorderLevel]]*3, "Overstock", "Okay")</f>
        <v>Overstock</v>
      </c>
    </row>
    <row r="2434" spans="1:17" x14ac:dyDescent="0.35">
      <c r="A2434">
        <v>92341</v>
      </c>
      <c r="B2434" t="s">
        <v>11</v>
      </c>
      <c r="C2434" t="s">
        <v>27</v>
      </c>
      <c r="D2434">
        <v>17</v>
      </c>
      <c r="E2434">
        <v>20</v>
      </c>
      <c r="F2434" s="2">
        <v>100.3</v>
      </c>
      <c r="G2434" t="s">
        <v>33</v>
      </c>
      <c r="H2434" s="1">
        <v>45572</v>
      </c>
      <c r="I2434" s="1">
        <v>45590</v>
      </c>
      <c r="J2434" t="s">
        <v>38</v>
      </c>
      <c r="K2434" s="8">
        <f>Table2[[#This Row],[CurrentStock]]*Table2[[#This Row],[UnitPrice]]</f>
        <v>1705.1</v>
      </c>
      <c r="L2434" t="str">
        <f>IF(Table2[[#This Row],[CurrentStock]]&lt;=Table2[[#This Row],[ReorderLevel]], "Reorder Needed", "Okay")</f>
        <v>Reorder Needed</v>
      </c>
      <c r="M2434" s="7">
        <f>IF(Table2[[#This Row],[CurrentStock]]-Table2[[#This Row],[ReorderLevel]]&lt;0,Table2[[#This Row],[CurrentStock]]-Table2[[#This Row],[ReorderLevel]],"")</f>
        <v>-3</v>
      </c>
      <c r="N2434" t="str">
        <f>IF(Table2[[#This Row],[Stock Gap]]&lt;0, "Understock","Okay")</f>
        <v>Understock</v>
      </c>
      <c r="O2434" s="13" t="str">
        <f>IF(Table2[[#This Row],[Stock Gap]]&lt;0, "Yes", "No")</f>
        <v>Yes</v>
      </c>
      <c r="P2434" s="13" t="str">
        <f>IF(Table2[[#This Row],[CurrentStock]]&lt;Table2[[#This Row],[ReorderLevel]],"Reorder", "Okay")</f>
        <v>Reorder</v>
      </c>
      <c r="Q2434" s="13" t="str">
        <f>IF(Table2[[#This Row],[CurrentStock]]&gt;Table2[[#This Row],[ReorderLevel]]*3, "Overstock", "Okay")</f>
        <v>Okay</v>
      </c>
    </row>
    <row r="2435" spans="1:17" x14ac:dyDescent="0.35">
      <c r="A2435">
        <v>43617</v>
      </c>
      <c r="B2435" t="s">
        <v>20</v>
      </c>
      <c r="C2435" t="s">
        <v>30</v>
      </c>
      <c r="D2435">
        <v>290</v>
      </c>
      <c r="E2435">
        <v>40</v>
      </c>
      <c r="F2435" s="2">
        <v>226.81</v>
      </c>
      <c r="G2435" t="s">
        <v>34</v>
      </c>
      <c r="H2435" s="1">
        <v>45570</v>
      </c>
      <c r="I2435" s="1">
        <v>45599</v>
      </c>
      <c r="J2435" t="s">
        <v>36</v>
      </c>
      <c r="K2435" s="8">
        <f>Table2[[#This Row],[CurrentStock]]*Table2[[#This Row],[UnitPrice]]</f>
        <v>65774.899999999994</v>
      </c>
      <c r="L2435" t="str">
        <f>IF(Table2[[#This Row],[CurrentStock]]&lt;=Table2[[#This Row],[ReorderLevel]], "Reorder Needed", "Okay")</f>
        <v>Okay</v>
      </c>
      <c r="M2435" t="str">
        <f>IF(Table2[[#This Row],[CurrentStock]]-Table2[[#This Row],[ReorderLevel]]&lt;0,Table2[[#This Row],[CurrentStock]]-Table2[[#This Row],[ReorderLevel]],"")</f>
        <v/>
      </c>
      <c r="N2435" t="str">
        <f>IF(Table2[[#This Row],[Stock Gap]]&lt;0, "Understock","Okay")</f>
        <v>Okay</v>
      </c>
      <c r="O2435" s="13" t="str">
        <f>IF(Table2[[#This Row],[Stock Gap]]&lt;0, "Yes", "No")</f>
        <v>No</v>
      </c>
      <c r="P2435" s="13" t="str">
        <f>IF(Table2[[#This Row],[CurrentStock]]&lt;Table2[[#This Row],[ReorderLevel]],"Reorder", "Okay")</f>
        <v>Okay</v>
      </c>
      <c r="Q2435" s="13" t="str">
        <f>IF(Table2[[#This Row],[CurrentStock]]&gt;Table2[[#This Row],[ReorderLevel]]*3, "Overstock", "Okay")</f>
        <v>Overstock</v>
      </c>
    </row>
    <row r="2436" spans="1:17" x14ac:dyDescent="0.35">
      <c r="A2436">
        <v>19651</v>
      </c>
      <c r="B2436" t="s">
        <v>9</v>
      </c>
      <c r="C2436" t="s">
        <v>26</v>
      </c>
      <c r="D2436">
        <v>440</v>
      </c>
      <c r="E2436">
        <v>40</v>
      </c>
      <c r="F2436" s="2">
        <v>259.64999999999998</v>
      </c>
      <c r="G2436" t="s">
        <v>33</v>
      </c>
      <c r="H2436" s="1">
        <v>45444</v>
      </c>
      <c r="I2436" s="1">
        <v>45479</v>
      </c>
      <c r="J2436" t="s">
        <v>36</v>
      </c>
      <c r="K2436" s="8">
        <f>Table2[[#This Row],[CurrentStock]]*Table2[[#This Row],[UnitPrice]]</f>
        <v>114245.99999999999</v>
      </c>
      <c r="L2436" t="str">
        <f>IF(Table2[[#This Row],[CurrentStock]]&lt;=Table2[[#This Row],[ReorderLevel]], "Reorder Needed", "Okay")</f>
        <v>Okay</v>
      </c>
      <c r="M2436" t="str">
        <f>IF(Table2[[#This Row],[CurrentStock]]-Table2[[#This Row],[ReorderLevel]]&lt;0,Table2[[#This Row],[CurrentStock]]-Table2[[#This Row],[ReorderLevel]],"")</f>
        <v/>
      </c>
      <c r="N2436" t="str">
        <f>IF(Table2[[#This Row],[Stock Gap]]&lt;0, "Understock","Okay")</f>
        <v>Okay</v>
      </c>
      <c r="O2436" s="13" t="str">
        <f>IF(Table2[[#This Row],[Stock Gap]]&lt;0, "Yes", "No")</f>
        <v>No</v>
      </c>
      <c r="P2436" s="13" t="str">
        <f>IF(Table2[[#This Row],[CurrentStock]]&lt;Table2[[#This Row],[ReorderLevel]],"Reorder", "Okay")</f>
        <v>Okay</v>
      </c>
      <c r="Q2436" s="13" t="str">
        <f>IF(Table2[[#This Row],[CurrentStock]]&gt;Table2[[#This Row],[ReorderLevel]]*3, "Overstock", "Okay")</f>
        <v>Overstock</v>
      </c>
    </row>
    <row r="2437" spans="1:17" x14ac:dyDescent="0.35">
      <c r="A2437">
        <v>44890</v>
      </c>
      <c r="B2437" t="s">
        <v>12</v>
      </c>
      <c r="C2437" t="s">
        <v>28</v>
      </c>
      <c r="D2437">
        <v>481</v>
      </c>
      <c r="E2437">
        <v>100</v>
      </c>
      <c r="F2437" s="2">
        <v>245.44</v>
      </c>
      <c r="G2437" t="s">
        <v>35</v>
      </c>
      <c r="H2437" s="1">
        <v>45550</v>
      </c>
      <c r="I2437" s="1">
        <v>45587</v>
      </c>
      <c r="J2437" t="s">
        <v>36</v>
      </c>
      <c r="K2437" s="8">
        <f>Table2[[#This Row],[CurrentStock]]*Table2[[#This Row],[UnitPrice]]</f>
        <v>118056.64</v>
      </c>
      <c r="L2437" t="str">
        <f>IF(Table2[[#This Row],[CurrentStock]]&lt;=Table2[[#This Row],[ReorderLevel]], "Reorder Needed", "Okay")</f>
        <v>Okay</v>
      </c>
      <c r="M2437" t="str">
        <f>IF(Table2[[#This Row],[CurrentStock]]-Table2[[#This Row],[ReorderLevel]]&lt;0,Table2[[#This Row],[CurrentStock]]-Table2[[#This Row],[ReorderLevel]],"")</f>
        <v/>
      </c>
      <c r="N2437" t="str">
        <f>IF(Table2[[#This Row],[Stock Gap]]&lt;0, "Understock","Okay")</f>
        <v>Okay</v>
      </c>
      <c r="O2437" s="13" t="str">
        <f>IF(Table2[[#This Row],[Stock Gap]]&lt;0, "Yes", "No")</f>
        <v>No</v>
      </c>
      <c r="P2437" s="13" t="str">
        <f>IF(Table2[[#This Row],[CurrentStock]]&lt;Table2[[#This Row],[ReorderLevel]],"Reorder", "Okay")</f>
        <v>Okay</v>
      </c>
      <c r="Q2437" s="13" t="str">
        <f>IF(Table2[[#This Row],[CurrentStock]]&gt;Table2[[#This Row],[ReorderLevel]]*3, "Overstock", "Okay")</f>
        <v>Overstock</v>
      </c>
    </row>
    <row r="2438" spans="1:17" x14ac:dyDescent="0.35">
      <c r="A2438">
        <v>37609</v>
      </c>
      <c r="B2438" t="s">
        <v>24</v>
      </c>
      <c r="C2438" t="s">
        <v>30</v>
      </c>
      <c r="D2438">
        <v>209</v>
      </c>
      <c r="E2438">
        <v>150</v>
      </c>
      <c r="F2438" s="2">
        <v>484.71</v>
      </c>
      <c r="G2438" t="s">
        <v>34</v>
      </c>
      <c r="H2438" s="1">
        <v>45483</v>
      </c>
      <c r="I2438" s="1">
        <v>45515</v>
      </c>
      <c r="J2438" t="s">
        <v>38</v>
      </c>
      <c r="K2438" s="8">
        <f>Table2[[#This Row],[CurrentStock]]*Table2[[#This Row],[UnitPrice]]</f>
        <v>101304.39</v>
      </c>
      <c r="L2438" t="str">
        <f>IF(Table2[[#This Row],[CurrentStock]]&lt;=Table2[[#This Row],[ReorderLevel]], "Reorder Needed", "Okay")</f>
        <v>Okay</v>
      </c>
      <c r="M2438" t="str">
        <f>IF(Table2[[#This Row],[CurrentStock]]-Table2[[#This Row],[ReorderLevel]]&lt;0,Table2[[#This Row],[CurrentStock]]-Table2[[#This Row],[ReorderLevel]],"")</f>
        <v/>
      </c>
      <c r="N2438" t="str">
        <f>IF(Table2[[#This Row],[Stock Gap]]&lt;0, "Understock","Okay")</f>
        <v>Okay</v>
      </c>
      <c r="O2438" s="13" t="str">
        <f>IF(Table2[[#This Row],[Stock Gap]]&lt;0, "Yes", "No")</f>
        <v>No</v>
      </c>
      <c r="P2438" s="13" t="str">
        <f>IF(Table2[[#This Row],[CurrentStock]]&lt;Table2[[#This Row],[ReorderLevel]],"Reorder", "Okay")</f>
        <v>Okay</v>
      </c>
      <c r="Q2438" s="13" t="str">
        <f>IF(Table2[[#This Row],[CurrentStock]]&gt;Table2[[#This Row],[ReorderLevel]]*3, "Overstock", "Okay")</f>
        <v>Okay</v>
      </c>
    </row>
    <row r="2439" spans="1:17" x14ac:dyDescent="0.35">
      <c r="A2439">
        <v>13302</v>
      </c>
      <c r="B2439" t="s">
        <v>22</v>
      </c>
      <c r="C2439" t="s">
        <v>29</v>
      </c>
      <c r="D2439">
        <v>446</v>
      </c>
      <c r="E2439">
        <v>100</v>
      </c>
      <c r="F2439" s="2">
        <v>36.19</v>
      </c>
      <c r="G2439" t="s">
        <v>31</v>
      </c>
      <c r="H2439" s="1">
        <v>45445</v>
      </c>
      <c r="I2439" s="1">
        <v>45481</v>
      </c>
      <c r="J2439" t="s">
        <v>36</v>
      </c>
      <c r="K2439" s="8">
        <f>Table2[[#This Row],[CurrentStock]]*Table2[[#This Row],[UnitPrice]]</f>
        <v>16140.74</v>
      </c>
      <c r="L2439" t="str">
        <f>IF(Table2[[#This Row],[CurrentStock]]&lt;=Table2[[#This Row],[ReorderLevel]], "Reorder Needed", "Okay")</f>
        <v>Okay</v>
      </c>
      <c r="M2439" t="str">
        <f>IF(Table2[[#This Row],[CurrentStock]]-Table2[[#This Row],[ReorderLevel]]&lt;0,Table2[[#This Row],[CurrentStock]]-Table2[[#This Row],[ReorderLevel]],"")</f>
        <v/>
      </c>
      <c r="N2439" t="str">
        <f>IF(Table2[[#This Row],[Stock Gap]]&lt;0, "Understock","Okay")</f>
        <v>Okay</v>
      </c>
      <c r="O2439" s="13" t="str">
        <f>IF(Table2[[#This Row],[Stock Gap]]&lt;0, "Yes", "No")</f>
        <v>No</v>
      </c>
      <c r="P2439" s="13" t="str">
        <f>IF(Table2[[#This Row],[CurrentStock]]&lt;Table2[[#This Row],[ReorderLevel]],"Reorder", "Okay")</f>
        <v>Okay</v>
      </c>
      <c r="Q2439" s="13" t="str">
        <f>IF(Table2[[#This Row],[CurrentStock]]&gt;Table2[[#This Row],[ReorderLevel]]*3, "Overstock", "Okay")</f>
        <v>Overstock</v>
      </c>
    </row>
    <row r="2440" spans="1:17" x14ac:dyDescent="0.35">
      <c r="A2440">
        <v>68398</v>
      </c>
      <c r="B2440" t="s">
        <v>16</v>
      </c>
      <c r="C2440" t="s">
        <v>29</v>
      </c>
      <c r="D2440">
        <v>414</v>
      </c>
      <c r="E2440">
        <v>50</v>
      </c>
      <c r="F2440" s="2">
        <v>260.22000000000003</v>
      </c>
      <c r="G2440" t="s">
        <v>31</v>
      </c>
      <c r="H2440" s="1">
        <v>45557</v>
      </c>
      <c r="I2440" s="1">
        <v>45567</v>
      </c>
      <c r="J2440" t="s">
        <v>37</v>
      </c>
      <c r="K2440" s="8">
        <f>Table2[[#This Row],[CurrentStock]]*Table2[[#This Row],[UnitPrice]]</f>
        <v>107731.08000000002</v>
      </c>
      <c r="L2440" t="str">
        <f>IF(Table2[[#This Row],[CurrentStock]]&lt;=Table2[[#This Row],[ReorderLevel]], "Reorder Needed", "Okay")</f>
        <v>Okay</v>
      </c>
      <c r="M2440" t="str">
        <f>IF(Table2[[#This Row],[CurrentStock]]-Table2[[#This Row],[ReorderLevel]]&lt;0,Table2[[#This Row],[CurrentStock]]-Table2[[#This Row],[ReorderLevel]],"")</f>
        <v/>
      </c>
      <c r="N2440" t="str">
        <f>IF(Table2[[#This Row],[Stock Gap]]&lt;0, "Understock","Okay")</f>
        <v>Okay</v>
      </c>
      <c r="O2440" s="13" t="str">
        <f>IF(Table2[[#This Row],[Stock Gap]]&lt;0, "Yes", "No")</f>
        <v>No</v>
      </c>
      <c r="P2440" s="13" t="str">
        <f>IF(Table2[[#This Row],[CurrentStock]]&lt;Table2[[#This Row],[ReorderLevel]],"Reorder", "Okay")</f>
        <v>Okay</v>
      </c>
      <c r="Q2440" s="13" t="str">
        <f>IF(Table2[[#This Row],[CurrentStock]]&gt;Table2[[#This Row],[ReorderLevel]]*3, "Overstock", "Okay")</f>
        <v>Overstock</v>
      </c>
    </row>
    <row r="2441" spans="1:17" x14ac:dyDescent="0.35">
      <c r="A2441">
        <v>47976</v>
      </c>
      <c r="B2441" t="s">
        <v>25</v>
      </c>
      <c r="C2441" t="s">
        <v>29</v>
      </c>
      <c r="D2441">
        <v>428</v>
      </c>
      <c r="E2441">
        <v>100</v>
      </c>
      <c r="F2441" s="2">
        <v>102.31</v>
      </c>
      <c r="G2441" t="s">
        <v>31</v>
      </c>
      <c r="H2441" s="1">
        <v>45426</v>
      </c>
      <c r="I2441" s="1">
        <v>45445</v>
      </c>
      <c r="J2441" t="s">
        <v>38</v>
      </c>
      <c r="K2441" s="8">
        <f>Table2[[#This Row],[CurrentStock]]*Table2[[#This Row],[UnitPrice]]</f>
        <v>43788.68</v>
      </c>
      <c r="L2441" t="str">
        <f>IF(Table2[[#This Row],[CurrentStock]]&lt;=Table2[[#This Row],[ReorderLevel]], "Reorder Needed", "Okay")</f>
        <v>Okay</v>
      </c>
      <c r="M2441" t="str">
        <f>IF(Table2[[#This Row],[CurrentStock]]-Table2[[#This Row],[ReorderLevel]]&lt;0,Table2[[#This Row],[CurrentStock]]-Table2[[#This Row],[ReorderLevel]],"")</f>
        <v/>
      </c>
      <c r="N2441" t="str">
        <f>IF(Table2[[#This Row],[Stock Gap]]&lt;0, "Understock","Okay")</f>
        <v>Okay</v>
      </c>
      <c r="O2441" s="13" t="str">
        <f>IF(Table2[[#This Row],[Stock Gap]]&lt;0, "Yes", "No")</f>
        <v>No</v>
      </c>
      <c r="P2441" s="13" t="str">
        <f>IF(Table2[[#This Row],[CurrentStock]]&lt;Table2[[#This Row],[ReorderLevel]],"Reorder", "Okay")</f>
        <v>Okay</v>
      </c>
      <c r="Q2441" s="13" t="str">
        <f>IF(Table2[[#This Row],[CurrentStock]]&gt;Table2[[#This Row],[ReorderLevel]]*3, "Overstock", "Okay")</f>
        <v>Overstock</v>
      </c>
    </row>
    <row r="2442" spans="1:17" x14ac:dyDescent="0.35">
      <c r="A2442">
        <v>74990</v>
      </c>
      <c r="B2442" t="s">
        <v>20</v>
      </c>
      <c r="C2442" t="s">
        <v>30</v>
      </c>
      <c r="D2442">
        <v>115</v>
      </c>
      <c r="E2442">
        <v>50</v>
      </c>
      <c r="F2442" s="2">
        <v>151.01</v>
      </c>
      <c r="G2442" t="s">
        <v>31</v>
      </c>
      <c r="H2442" s="1">
        <v>45424</v>
      </c>
      <c r="I2442" s="1">
        <v>45453</v>
      </c>
      <c r="J2442" t="s">
        <v>38</v>
      </c>
      <c r="K2442" s="8">
        <f>Table2[[#This Row],[CurrentStock]]*Table2[[#This Row],[UnitPrice]]</f>
        <v>17366.149999999998</v>
      </c>
      <c r="L2442" t="str">
        <f>IF(Table2[[#This Row],[CurrentStock]]&lt;=Table2[[#This Row],[ReorderLevel]], "Reorder Needed", "Okay")</f>
        <v>Okay</v>
      </c>
      <c r="M2442" t="str">
        <f>IF(Table2[[#This Row],[CurrentStock]]-Table2[[#This Row],[ReorderLevel]]&lt;0,Table2[[#This Row],[CurrentStock]]-Table2[[#This Row],[ReorderLevel]],"")</f>
        <v/>
      </c>
      <c r="N2442" t="str">
        <f>IF(Table2[[#This Row],[Stock Gap]]&lt;0, "Understock","Okay")</f>
        <v>Okay</v>
      </c>
      <c r="O2442" s="13" t="str">
        <f>IF(Table2[[#This Row],[Stock Gap]]&lt;0, "Yes", "No")</f>
        <v>No</v>
      </c>
      <c r="P2442" s="13" t="str">
        <f>IF(Table2[[#This Row],[CurrentStock]]&lt;Table2[[#This Row],[ReorderLevel]],"Reorder", "Okay")</f>
        <v>Okay</v>
      </c>
      <c r="Q2442" s="13" t="str">
        <f>IF(Table2[[#This Row],[CurrentStock]]&gt;Table2[[#This Row],[ReorderLevel]]*3, "Overstock", "Okay")</f>
        <v>Okay</v>
      </c>
    </row>
    <row r="2443" spans="1:17" x14ac:dyDescent="0.35">
      <c r="A2443">
        <v>13877</v>
      </c>
      <c r="B2443" t="s">
        <v>23</v>
      </c>
      <c r="C2443" t="s">
        <v>30</v>
      </c>
      <c r="D2443">
        <v>59</v>
      </c>
      <c r="E2443">
        <v>30</v>
      </c>
      <c r="F2443" s="2">
        <v>220.73</v>
      </c>
      <c r="G2443" t="s">
        <v>34</v>
      </c>
      <c r="H2443" s="1">
        <v>45456</v>
      </c>
      <c r="I2443" s="1">
        <v>45481</v>
      </c>
      <c r="J2443" t="s">
        <v>36</v>
      </c>
      <c r="K2443" s="8">
        <f>Table2[[#This Row],[CurrentStock]]*Table2[[#This Row],[UnitPrice]]</f>
        <v>13023.07</v>
      </c>
      <c r="L2443" t="str">
        <f>IF(Table2[[#This Row],[CurrentStock]]&lt;=Table2[[#This Row],[ReorderLevel]], "Reorder Needed", "Okay")</f>
        <v>Okay</v>
      </c>
      <c r="M2443" t="str">
        <f>IF(Table2[[#This Row],[CurrentStock]]-Table2[[#This Row],[ReorderLevel]]&lt;0,Table2[[#This Row],[CurrentStock]]-Table2[[#This Row],[ReorderLevel]],"")</f>
        <v/>
      </c>
      <c r="N2443" t="str">
        <f>IF(Table2[[#This Row],[Stock Gap]]&lt;0, "Understock","Okay")</f>
        <v>Okay</v>
      </c>
      <c r="O2443" s="13" t="str">
        <f>IF(Table2[[#This Row],[Stock Gap]]&lt;0, "Yes", "No")</f>
        <v>No</v>
      </c>
      <c r="P2443" s="13" t="str">
        <f>IF(Table2[[#This Row],[CurrentStock]]&lt;Table2[[#This Row],[ReorderLevel]],"Reorder", "Okay")</f>
        <v>Okay</v>
      </c>
      <c r="Q2443" s="13" t="str">
        <f>IF(Table2[[#This Row],[CurrentStock]]&gt;Table2[[#This Row],[ReorderLevel]]*3, "Overstock", "Okay")</f>
        <v>Okay</v>
      </c>
    </row>
    <row r="2444" spans="1:17" x14ac:dyDescent="0.35">
      <c r="A2444">
        <v>59421</v>
      </c>
      <c r="B2444" t="s">
        <v>19</v>
      </c>
      <c r="C2444" t="s">
        <v>28</v>
      </c>
      <c r="D2444">
        <v>427</v>
      </c>
      <c r="E2444">
        <v>20</v>
      </c>
      <c r="F2444" s="2">
        <v>209.11</v>
      </c>
      <c r="G2444" t="s">
        <v>35</v>
      </c>
      <c r="H2444" s="1">
        <v>45452</v>
      </c>
      <c r="I2444" s="1">
        <v>45459</v>
      </c>
      <c r="J2444" t="s">
        <v>37</v>
      </c>
      <c r="K2444" s="8">
        <f>Table2[[#This Row],[CurrentStock]]*Table2[[#This Row],[UnitPrice]]</f>
        <v>89289.97</v>
      </c>
      <c r="L2444" t="str">
        <f>IF(Table2[[#This Row],[CurrentStock]]&lt;=Table2[[#This Row],[ReorderLevel]], "Reorder Needed", "Okay")</f>
        <v>Okay</v>
      </c>
      <c r="M2444" t="str">
        <f>IF(Table2[[#This Row],[CurrentStock]]-Table2[[#This Row],[ReorderLevel]]&lt;0,Table2[[#This Row],[CurrentStock]]-Table2[[#This Row],[ReorderLevel]],"")</f>
        <v/>
      </c>
      <c r="N2444" t="str">
        <f>IF(Table2[[#This Row],[Stock Gap]]&lt;0, "Understock","Okay")</f>
        <v>Okay</v>
      </c>
      <c r="O2444" s="13" t="str">
        <f>IF(Table2[[#This Row],[Stock Gap]]&lt;0, "Yes", "No")</f>
        <v>No</v>
      </c>
      <c r="P2444" s="13" t="str">
        <f>IF(Table2[[#This Row],[CurrentStock]]&lt;Table2[[#This Row],[ReorderLevel]],"Reorder", "Okay")</f>
        <v>Okay</v>
      </c>
      <c r="Q2444" s="13" t="str">
        <f>IF(Table2[[#This Row],[CurrentStock]]&gt;Table2[[#This Row],[ReorderLevel]]*3, "Overstock", "Okay")</f>
        <v>Overstock</v>
      </c>
    </row>
    <row r="2445" spans="1:17" x14ac:dyDescent="0.35">
      <c r="A2445">
        <v>88747</v>
      </c>
      <c r="B2445" t="s">
        <v>13</v>
      </c>
      <c r="C2445" t="s">
        <v>26</v>
      </c>
      <c r="D2445">
        <v>375</v>
      </c>
      <c r="E2445">
        <v>100</v>
      </c>
      <c r="F2445" s="2">
        <v>170.13</v>
      </c>
      <c r="G2445" t="s">
        <v>32</v>
      </c>
      <c r="H2445" s="1">
        <v>45425</v>
      </c>
      <c r="I2445" s="1">
        <v>45462</v>
      </c>
      <c r="J2445" t="s">
        <v>38</v>
      </c>
      <c r="K2445" s="8">
        <f>Table2[[#This Row],[CurrentStock]]*Table2[[#This Row],[UnitPrice]]</f>
        <v>63798.75</v>
      </c>
      <c r="L2445" t="str">
        <f>IF(Table2[[#This Row],[CurrentStock]]&lt;=Table2[[#This Row],[ReorderLevel]], "Reorder Needed", "Okay")</f>
        <v>Okay</v>
      </c>
      <c r="M2445" t="str">
        <f>IF(Table2[[#This Row],[CurrentStock]]-Table2[[#This Row],[ReorderLevel]]&lt;0,Table2[[#This Row],[CurrentStock]]-Table2[[#This Row],[ReorderLevel]],"")</f>
        <v/>
      </c>
      <c r="N2445" t="str">
        <f>IF(Table2[[#This Row],[Stock Gap]]&lt;0, "Understock","Okay")</f>
        <v>Okay</v>
      </c>
      <c r="O2445" s="13" t="str">
        <f>IF(Table2[[#This Row],[Stock Gap]]&lt;0, "Yes", "No")</f>
        <v>No</v>
      </c>
      <c r="P2445" s="13" t="str">
        <f>IF(Table2[[#This Row],[CurrentStock]]&lt;Table2[[#This Row],[ReorderLevel]],"Reorder", "Okay")</f>
        <v>Okay</v>
      </c>
      <c r="Q2445" s="13" t="str">
        <f>IF(Table2[[#This Row],[CurrentStock]]&gt;Table2[[#This Row],[ReorderLevel]]*3, "Overstock", "Okay")</f>
        <v>Overstock</v>
      </c>
    </row>
    <row r="2446" spans="1:17" x14ac:dyDescent="0.35">
      <c r="A2446">
        <v>25847</v>
      </c>
      <c r="B2446" t="s">
        <v>19</v>
      </c>
      <c r="C2446" t="s">
        <v>28</v>
      </c>
      <c r="D2446">
        <v>328</v>
      </c>
      <c r="E2446">
        <v>50</v>
      </c>
      <c r="F2446" s="2">
        <v>473.1</v>
      </c>
      <c r="G2446" t="s">
        <v>33</v>
      </c>
      <c r="H2446" s="1">
        <v>45337</v>
      </c>
      <c r="I2446" s="1">
        <v>45369</v>
      </c>
      <c r="J2446" t="s">
        <v>36</v>
      </c>
      <c r="K2446" s="8">
        <f>Table2[[#This Row],[CurrentStock]]*Table2[[#This Row],[UnitPrice]]</f>
        <v>155176.80000000002</v>
      </c>
      <c r="L2446" t="str">
        <f>IF(Table2[[#This Row],[CurrentStock]]&lt;=Table2[[#This Row],[ReorderLevel]], "Reorder Needed", "Okay")</f>
        <v>Okay</v>
      </c>
      <c r="M2446" t="str">
        <f>IF(Table2[[#This Row],[CurrentStock]]-Table2[[#This Row],[ReorderLevel]]&lt;0,Table2[[#This Row],[CurrentStock]]-Table2[[#This Row],[ReorderLevel]],"")</f>
        <v/>
      </c>
      <c r="N2446" t="str">
        <f>IF(Table2[[#This Row],[Stock Gap]]&lt;0, "Understock","Okay")</f>
        <v>Okay</v>
      </c>
      <c r="O2446" s="13" t="str">
        <f>IF(Table2[[#This Row],[Stock Gap]]&lt;0, "Yes", "No")</f>
        <v>No</v>
      </c>
      <c r="P2446" s="13" t="str">
        <f>IF(Table2[[#This Row],[CurrentStock]]&lt;Table2[[#This Row],[ReorderLevel]],"Reorder", "Okay")</f>
        <v>Okay</v>
      </c>
      <c r="Q2446" s="13" t="str">
        <f>IF(Table2[[#This Row],[CurrentStock]]&gt;Table2[[#This Row],[ReorderLevel]]*3, "Overstock", "Okay")</f>
        <v>Overstock</v>
      </c>
    </row>
    <row r="2447" spans="1:17" x14ac:dyDescent="0.35">
      <c r="A2447">
        <v>28837</v>
      </c>
      <c r="B2447" t="s">
        <v>22</v>
      </c>
      <c r="C2447" t="s">
        <v>29</v>
      </c>
      <c r="D2447">
        <v>453</v>
      </c>
      <c r="E2447">
        <v>150</v>
      </c>
      <c r="F2447" s="2">
        <v>63.29</v>
      </c>
      <c r="G2447" t="s">
        <v>35</v>
      </c>
      <c r="H2447" s="1">
        <v>45436</v>
      </c>
      <c r="I2447" s="1">
        <v>45449</v>
      </c>
      <c r="J2447" t="s">
        <v>36</v>
      </c>
      <c r="K2447" s="8">
        <f>Table2[[#This Row],[CurrentStock]]*Table2[[#This Row],[UnitPrice]]</f>
        <v>28670.37</v>
      </c>
      <c r="L2447" t="str">
        <f>IF(Table2[[#This Row],[CurrentStock]]&lt;=Table2[[#This Row],[ReorderLevel]], "Reorder Needed", "Okay")</f>
        <v>Okay</v>
      </c>
      <c r="M2447" t="str">
        <f>IF(Table2[[#This Row],[CurrentStock]]-Table2[[#This Row],[ReorderLevel]]&lt;0,Table2[[#This Row],[CurrentStock]]-Table2[[#This Row],[ReorderLevel]],"")</f>
        <v/>
      </c>
      <c r="N2447" t="str">
        <f>IF(Table2[[#This Row],[Stock Gap]]&lt;0, "Understock","Okay")</f>
        <v>Okay</v>
      </c>
      <c r="O2447" s="13" t="str">
        <f>IF(Table2[[#This Row],[Stock Gap]]&lt;0, "Yes", "No")</f>
        <v>No</v>
      </c>
      <c r="P2447" s="13" t="str">
        <f>IF(Table2[[#This Row],[CurrentStock]]&lt;Table2[[#This Row],[ReorderLevel]],"Reorder", "Okay")</f>
        <v>Okay</v>
      </c>
      <c r="Q2447" s="13" t="str">
        <f>IF(Table2[[#This Row],[CurrentStock]]&gt;Table2[[#This Row],[ReorderLevel]]*3, "Overstock", "Okay")</f>
        <v>Overstock</v>
      </c>
    </row>
    <row r="2448" spans="1:17" x14ac:dyDescent="0.35">
      <c r="A2448">
        <v>95083</v>
      </c>
      <c r="B2448" t="s">
        <v>14</v>
      </c>
      <c r="C2448" t="s">
        <v>28</v>
      </c>
      <c r="D2448">
        <v>236</v>
      </c>
      <c r="E2448">
        <v>80</v>
      </c>
      <c r="F2448" s="2">
        <v>416.01</v>
      </c>
      <c r="G2448" t="s">
        <v>31</v>
      </c>
      <c r="H2448" s="1">
        <v>45557</v>
      </c>
      <c r="I2448" s="1">
        <v>45577</v>
      </c>
      <c r="J2448" t="s">
        <v>38</v>
      </c>
      <c r="K2448" s="8">
        <f>Table2[[#This Row],[CurrentStock]]*Table2[[#This Row],[UnitPrice]]</f>
        <v>98178.36</v>
      </c>
      <c r="L2448" t="str">
        <f>IF(Table2[[#This Row],[CurrentStock]]&lt;=Table2[[#This Row],[ReorderLevel]], "Reorder Needed", "Okay")</f>
        <v>Okay</v>
      </c>
      <c r="M2448" t="str">
        <f>IF(Table2[[#This Row],[CurrentStock]]-Table2[[#This Row],[ReorderLevel]]&lt;0,Table2[[#This Row],[CurrentStock]]-Table2[[#This Row],[ReorderLevel]],"")</f>
        <v/>
      </c>
      <c r="N2448" t="str">
        <f>IF(Table2[[#This Row],[Stock Gap]]&lt;0, "Understock","Okay")</f>
        <v>Okay</v>
      </c>
      <c r="O2448" s="13" t="str">
        <f>IF(Table2[[#This Row],[Stock Gap]]&lt;0, "Yes", "No")</f>
        <v>No</v>
      </c>
      <c r="P2448" s="13" t="str">
        <f>IF(Table2[[#This Row],[CurrentStock]]&lt;Table2[[#This Row],[ReorderLevel]],"Reorder", "Okay")</f>
        <v>Okay</v>
      </c>
      <c r="Q2448" s="13" t="str">
        <f>IF(Table2[[#This Row],[CurrentStock]]&gt;Table2[[#This Row],[ReorderLevel]]*3, "Overstock", "Okay")</f>
        <v>Okay</v>
      </c>
    </row>
    <row r="2449" spans="1:17" x14ac:dyDescent="0.35">
      <c r="A2449">
        <v>85324</v>
      </c>
      <c r="B2449" t="s">
        <v>13</v>
      </c>
      <c r="C2449" t="s">
        <v>26</v>
      </c>
      <c r="D2449">
        <v>102</v>
      </c>
      <c r="E2449">
        <v>150</v>
      </c>
      <c r="F2449" s="2">
        <v>458.23</v>
      </c>
      <c r="G2449" t="s">
        <v>31</v>
      </c>
      <c r="H2449" s="1">
        <v>45504</v>
      </c>
      <c r="I2449" s="1">
        <v>45517</v>
      </c>
      <c r="J2449" t="s">
        <v>38</v>
      </c>
      <c r="K2449" s="8">
        <f>Table2[[#This Row],[CurrentStock]]*Table2[[#This Row],[UnitPrice]]</f>
        <v>46739.46</v>
      </c>
      <c r="L2449" t="str">
        <f>IF(Table2[[#This Row],[CurrentStock]]&lt;=Table2[[#This Row],[ReorderLevel]], "Reorder Needed", "Okay")</f>
        <v>Reorder Needed</v>
      </c>
      <c r="M2449" s="7">
        <f>IF(Table2[[#This Row],[CurrentStock]]-Table2[[#This Row],[ReorderLevel]]&lt;0,Table2[[#This Row],[CurrentStock]]-Table2[[#This Row],[ReorderLevel]],"")</f>
        <v>-48</v>
      </c>
      <c r="N2449" t="str">
        <f>IF(Table2[[#This Row],[Stock Gap]]&lt;0, "Understock","Okay")</f>
        <v>Understock</v>
      </c>
      <c r="O2449" s="13" t="str">
        <f>IF(Table2[[#This Row],[Stock Gap]]&lt;0, "Yes", "No")</f>
        <v>Yes</v>
      </c>
      <c r="P2449" s="13" t="str">
        <f>IF(Table2[[#This Row],[CurrentStock]]&lt;Table2[[#This Row],[ReorderLevel]],"Reorder", "Okay")</f>
        <v>Reorder</v>
      </c>
      <c r="Q2449" s="13" t="str">
        <f>IF(Table2[[#This Row],[CurrentStock]]&gt;Table2[[#This Row],[ReorderLevel]]*3, "Overstock", "Okay")</f>
        <v>Okay</v>
      </c>
    </row>
    <row r="2450" spans="1:17" x14ac:dyDescent="0.35">
      <c r="A2450">
        <v>87988</v>
      </c>
      <c r="B2450" t="s">
        <v>9</v>
      </c>
      <c r="C2450" t="s">
        <v>26</v>
      </c>
      <c r="D2450">
        <v>400</v>
      </c>
      <c r="E2450">
        <v>150</v>
      </c>
      <c r="F2450" s="2">
        <v>404.91</v>
      </c>
      <c r="G2450" t="s">
        <v>35</v>
      </c>
      <c r="H2450" s="1">
        <v>45297</v>
      </c>
      <c r="I2450" s="1">
        <v>45336</v>
      </c>
      <c r="J2450" t="s">
        <v>36</v>
      </c>
      <c r="K2450" s="8">
        <f>Table2[[#This Row],[CurrentStock]]*Table2[[#This Row],[UnitPrice]]</f>
        <v>161964</v>
      </c>
      <c r="L2450" t="str">
        <f>IF(Table2[[#This Row],[CurrentStock]]&lt;=Table2[[#This Row],[ReorderLevel]], "Reorder Needed", "Okay")</f>
        <v>Okay</v>
      </c>
      <c r="M2450" t="str">
        <f>IF(Table2[[#This Row],[CurrentStock]]-Table2[[#This Row],[ReorderLevel]]&lt;0,Table2[[#This Row],[CurrentStock]]-Table2[[#This Row],[ReorderLevel]],"")</f>
        <v/>
      </c>
      <c r="N2450" t="str">
        <f>IF(Table2[[#This Row],[Stock Gap]]&lt;0, "Understock","Okay")</f>
        <v>Okay</v>
      </c>
      <c r="O2450" s="13" t="str">
        <f>IF(Table2[[#This Row],[Stock Gap]]&lt;0, "Yes", "No")</f>
        <v>No</v>
      </c>
      <c r="P2450" s="13" t="str">
        <f>IF(Table2[[#This Row],[CurrentStock]]&lt;Table2[[#This Row],[ReorderLevel]],"Reorder", "Okay")</f>
        <v>Okay</v>
      </c>
      <c r="Q2450" s="13" t="str">
        <f>IF(Table2[[#This Row],[CurrentStock]]&gt;Table2[[#This Row],[ReorderLevel]]*3, "Overstock", "Okay")</f>
        <v>Okay</v>
      </c>
    </row>
    <row r="2451" spans="1:17" x14ac:dyDescent="0.35">
      <c r="A2451">
        <v>65911</v>
      </c>
      <c r="B2451" t="s">
        <v>19</v>
      </c>
      <c r="C2451" t="s">
        <v>28</v>
      </c>
      <c r="D2451">
        <v>304</v>
      </c>
      <c r="E2451">
        <v>30</v>
      </c>
      <c r="F2451" s="2">
        <v>497.27</v>
      </c>
      <c r="G2451" t="s">
        <v>31</v>
      </c>
      <c r="H2451" s="1">
        <v>45374</v>
      </c>
      <c r="I2451" s="1">
        <v>45390</v>
      </c>
      <c r="J2451" t="s">
        <v>36</v>
      </c>
      <c r="K2451" s="8">
        <f>Table2[[#This Row],[CurrentStock]]*Table2[[#This Row],[UnitPrice]]</f>
        <v>151170.07999999999</v>
      </c>
      <c r="L2451" t="str">
        <f>IF(Table2[[#This Row],[CurrentStock]]&lt;=Table2[[#This Row],[ReorderLevel]], "Reorder Needed", "Okay")</f>
        <v>Okay</v>
      </c>
      <c r="M2451" t="str">
        <f>IF(Table2[[#This Row],[CurrentStock]]-Table2[[#This Row],[ReorderLevel]]&lt;0,Table2[[#This Row],[CurrentStock]]-Table2[[#This Row],[ReorderLevel]],"")</f>
        <v/>
      </c>
      <c r="N2451" t="str">
        <f>IF(Table2[[#This Row],[Stock Gap]]&lt;0, "Understock","Okay")</f>
        <v>Okay</v>
      </c>
      <c r="O2451" s="13" t="str">
        <f>IF(Table2[[#This Row],[Stock Gap]]&lt;0, "Yes", "No")</f>
        <v>No</v>
      </c>
      <c r="P2451" s="13" t="str">
        <f>IF(Table2[[#This Row],[CurrentStock]]&lt;Table2[[#This Row],[ReorderLevel]],"Reorder", "Okay")</f>
        <v>Okay</v>
      </c>
      <c r="Q2451" s="13" t="str">
        <f>IF(Table2[[#This Row],[CurrentStock]]&gt;Table2[[#This Row],[ReorderLevel]]*3, "Overstock", "Okay")</f>
        <v>Overstock</v>
      </c>
    </row>
    <row r="2452" spans="1:17" x14ac:dyDescent="0.35">
      <c r="A2452">
        <v>45687</v>
      </c>
      <c r="B2452" t="s">
        <v>16</v>
      </c>
      <c r="C2452" t="s">
        <v>29</v>
      </c>
      <c r="D2452">
        <v>253</v>
      </c>
      <c r="E2452">
        <v>100</v>
      </c>
      <c r="F2452" s="2">
        <v>236.23</v>
      </c>
      <c r="G2452" t="s">
        <v>31</v>
      </c>
      <c r="H2452" s="1">
        <v>45440</v>
      </c>
      <c r="I2452" s="1">
        <v>45466</v>
      </c>
      <c r="J2452" t="s">
        <v>36</v>
      </c>
      <c r="K2452" s="8">
        <f>Table2[[#This Row],[CurrentStock]]*Table2[[#This Row],[UnitPrice]]</f>
        <v>59766.189999999995</v>
      </c>
      <c r="L2452" t="str">
        <f>IF(Table2[[#This Row],[CurrentStock]]&lt;=Table2[[#This Row],[ReorderLevel]], "Reorder Needed", "Okay")</f>
        <v>Okay</v>
      </c>
      <c r="M2452" t="str">
        <f>IF(Table2[[#This Row],[CurrentStock]]-Table2[[#This Row],[ReorderLevel]]&lt;0,Table2[[#This Row],[CurrentStock]]-Table2[[#This Row],[ReorderLevel]],"")</f>
        <v/>
      </c>
      <c r="N2452" t="str">
        <f>IF(Table2[[#This Row],[Stock Gap]]&lt;0, "Understock","Okay")</f>
        <v>Okay</v>
      </c>
      <c r="O2452" s="13" t="str">
        <f>IF(Table2[[#This Row],[Stock Gap]]&lt;0, "Yes", "No")</f>
        <v>No</v>
      </c>
      <c r="P2452" s="13" t="str">
        <f>IF(Table2[[#This Row],[CurrentStock]]&lt;Table2[[#This Row],[ReorderLevel]],"Reorder", "Okay")</f>
        <v>Okay</v>
      </c>
      <c r="Q2452" s="13" t="str">
        <f>IF(Table2[[#This Row],[CurrentStock]]&gt;Table2[[#This Row],[ReorderLevel]]*3, "Overstock", "Okay")</f>
        <v>Okay</v>
      </c>
    </row>
    <row r="2453" spans="1:17" x14ac:dyDescent="0.35">
      <c r="A2453">
        <v>39865</v>
      </c>
      <c r="B2453" t="s">
        <v>19</v>
      </c>
      <c r="C2453" t="s">
        <v>28</v>
      </c>
      <c r="D2453">
        <v>180</v>
      </c>
      <c r="E2453">
        <v>40</v>
      </c>
      <c r="F2453" s="2">
        <v>162.69</v>
      </c>
      <c r="G2453" t="s">
        <v>32</v>
      </c>
      <c r="H2453" s="1">
        <v>45595</v>
      </c>
      <c r="I2453" s="1">
        <v>45626</v>
      </c>
      <c r="J2453" t="s">
        <v>38</v>
      </c>
      <c r="K2453" s="8">
        <f>Table2[[#This Row],[CurrentStock]]*Table2[[#This Row],[UnitPrice]]</f>
        <v>29284.2</v>
      </c>
      <c r="L2453" t="str">
        <f>IF(Table2[[#This Row],[CurrentStock]]&lt;=Table2[[#This Row],[ReorderLevel]], "Reorder Needed", "Okay")</f>
        <v>Okay</v>
      </c>
      <c r="M2453" t="str">
        <f>IF(Table2[[#This Row],[CurrentStock]]-Table2[[#This Row],[ReorderLevel]]&lt;0,Table2[[#This Row],[CurrentStock]]-Table2[[#This Row],[ReorderLevel]],"")</f>
        <v/>
      </c>
      <c r="N2453" t="str">
        <f>IF(Table2[[#This Row],[Stock Gap]]&lt;0, "Understock","Okay")</f>
        <v>Okay</v>
      </c>
      <c r="O2453" s="13" t="str">
        <f>IF(Table2[[#This Row],[Stock Gap]]&lt;0, "Yes", "No")</f>
        <v>No</v>
      </c>
      <c r="P2453" s="13" t="str">
        <f>IF(Table2[[#This Row],[CurrentStock]]&lt;Table2[[#This Row],[ReorderLevel]],"Reorder", "Okay")</f>
        <v>Okay</v>
      </c>
      <c r="Q2453" s="13" t="str">
        <f>IF(Table2[[#This Row],[CurrentStock]]&gt;Table2[[#This Row],[ReorderLevel]]*3, "Overstock", "Okay")</f>
        <v>Overstock</v>
      </c>
    </row>
    <row r="2454" spans="1:17" x14ac:dyDescent="0.35">
      <c r="A2454">
        <v>28409</v>
      </c>
      <c r="B2454" t="s">
        <v>20</v>
      </c>
      <c r="C2454" t="s">
        <v>30</v>
      </c>
      <c r="D2454">
        <v>208</v>
      </c>
      <c r="E2454">
        <v>30</v>
      </c>
      <c r="F2454" s="2">
        <v>108.11</v>
      </c>
      <c r="G2454" t="s">
        <v>33</v>
      </c>
      <c r="H2454" s="1">
        <v>45493</v>
      </c>
      <c r="I2454" s="1">
        <v>45530</v>
      </c>
      <c r="J2454" t="s">
        <v>38</v>
      </c>
      <c r="K2454" s="8">
        <f>Table2[[#This Row],[CurrentStock]]*Table2[[#This Row],[UnitPrice]]</f>
        <v>22486.880000000001</v>
      </c>
      <c r="L2454" t="str">
        <f>IF(Table2[[#This Row],[CurrentStock]]&lt;=Table2[[#This Row],[ReorderLevel]], "Reorder Needed", "Okay")</f>
        <v>Okay</v>
      </c>
      <c r="M2454" t="str">
        <f>IF(Table2[[#This Row],[CurrentStock]]-Table2[[#This Row],[ReorderLevel]]&lt;0,Table2[[#This Row],[CurrentStock]]-Table2[[#This Row],[ReorderLevel]],"")</f>
        <v/>
      </c>
      <c r="N2454" t="str">
        <f>IF(Table2[[#This Row],[Stock Gap]]&lt;0, "Understock","Okay")</f>
        <v>Okay</v>
      </c>
      <c r="O2454" s="13" t="str">
        <f>IF(Table2[[#This Row],[Stock Gap]]&lt;0, "Yes", "No")</f>
        <v>No</v>
      </c>
      <c r="P2454" s="13" t="str">
        <f>IF(Table2[[#This Row],[CurrentStock]]&lt;Table2[[#This Row],[ReorderLevel]],"Reorder", "Okay")</f>
        <v>Okay</v>
      </c>
      <c r="Q2454" s="13" t="str">
        <f>IF(Table2[[#This Row],[CurrentStock]]&gt;Table2[[#This Row],[ReorderLevel]]*3, "Overstock", "Okay")</f>
        <v>Overstock</v>
      </c>
    </row>
    <row r="2455" spans="1:17" x14ac:dyDescent="0.35">
      <c r="A2455">
        <v>50696</v>
      </c>
      <c r="B2455" t="s">
        <v>11</v>
      </c>
      <c r="C2455" t="s">
        <v>27</v>
      </c>
      <c r="D2455">
        <v>260</v>
      </c>
      <c r="E2455">
        <v>40</v>
      </c>
      <c r="F2455" s="2">
        <v>305.44</v>
      </c>
      <c r="G2455" t="s">
        <v>34</v>
      </c>
      <c r="H2455" s="1">
        <v>45351</v>
      </c>
      <c r="I2455" s="1">
        <v>45359</v>
      </c>
      <c r="J2455" t="s">
        <v>36</v>
      </c>
      <c r="K2455" s="8">
        <f>Table2[[#This Row],[CurrentStock]]*Table2[[#This Row],[UnitPrice]]</f>
        <v>79414.399999999994</v>
      </c>
      <c r="L2455" t="str">
        <f>IF(Table2[[#This Row],[CurrentStock]]&lt;=Table2[[#This Row],[ReorderLevel]], "Reorder Needed", "Okay")</f>
        <v>Okay</v>
      </c>
      <c r="M2455" t="str">
        <f>IF(Table2[[#This Row],[CurrentStock]]-Table2[[#This Row],[ReorderLevel]]&lt;0,Table2[[#This Row],[CurrentStock]]-Table2[[#This Row],[ReorderLevel]],"")</f>
        <v/>
      </c>
      <c r="N2455" t="str">
        <f>IF(Table2[[#This Row],[Stock Gap]]&lt;0, "Understock","Okay")</f>
        <v>Okay</v>
      </c>
      <c r="O2455" s="13" t="str">
        <f>IF(Table2[[#This Row],[Stock Gap]]&lt;0, "Yes", "No")</f>
        <v>No</v>
      </c>
      <c r="P2455" s="13" t="str">
        <f>IF(Table2[[#This Row],[CurrentStock]]&lt;Table2[[#This Row],[ReorderLevel]],"Reorder", "Okay")</f>
        <v>Okay</v>
      </c>
      <c r="Q2455" s="13" t="str">
        <f>IF(Table2[[#This Row],[CurrentStock]]&gt;Table2[[#This Row],[ReorderLevel]]*3, "Overstock", "Okay")</f>
        <v>Overstock</v>
      </c>
    </row>
    <row r="2456" spans="1:17" x14ac:dyDescent="0.35">
      <c r="A2456">
        <v>94597</v>
      </c>
      <c r="B2456" t="s">
        <v>19</v>
      </c>
      <c r="C2456" t="s">
        <v>28</v>
      </c>
      <c r="D2456">
        <v>363</v>
      </c>
      <c r="E2456">
        <v>50</v>
      </c>
      <c r="F2456" s="2">
        <v>218.18</v>
      </c>
      <c r="G2456" t="s">
        <v>33</v>
      </c>
      <c r="H2456" s="1">
        <v>45404</v>
      </c>
      <c r="I2456" s="1">
        <v>45441</v>
      </c>
      <c r="J2456" t="s">
        <v>36</v>
      </c>
      <c r="K2456" s="8">
        <f>Table2[[#This Row],[CurrentStock]]*Table2[[#This Row],[UnitPrice]]</f>
        <v>79199.34</v>
      </c>
      <c r="L2456" t="str">
        <f>IF(Table2[[#This Row],[CurrentStock]]&lt;=Table2[[#This Row],[ReorderLevel]], "Reorder Needed", "Okay")</f>
        <v>Okay</v>
      </c>
      <c r="M2456" t="str">
        <f>IF(Table2[[#This Row],[CurrentStock]]-Table2[[#This Row],[ReorderLevel]]&lt;0,Table2[[#This Row],[CurrentStock]]-Table2[[#This Row],[ReorderLevel]],"")</f>
        <v/>
      </c>
      <c r="N2456" t="str">
        <f>IF(Table2[[#This Row],[Stock Gap]]&lt;0, "Understock","Okay")</f>
        <v>Okay</v>
      </c>
      <c r="O2456" s="13" t="str">
        <f>IF(Table2[[#This Row],[Stock Gap]]&lt;0, "Yes", "No")</f>
        <v>No</v>
      </c>
      <c r="P2456" s="13" t="str">
        <f>IF(Table2[[#This Row],[CurrentStock]]&lt;Table2[[#This Row],[ReorderLevel]],"Reorder", "Okay")</f>
        <v>Okay</v>
      </c>
      <c r="Q2456" s="13" t="str">
        <f>IF(Table2[[#This Row],[CurrentStock]]&gt;Table2[[#This Row],[ReorderLevel]]*3, "Overstock", "Okay")</f>
        <v>Overstock</v>
      </c>
    </row>
    <row r="2457" spans="1:17" x14ac:dyDescent="0.35">
      <c r="A2457">
        <v>78237</v>
      </c>
      <c r="B2457" t="s">
        <v>23</v>
      </c>
      <c r="C2457" t="s">
        <v>30</v>
      </c>
      <c r="D2457">
        <v>303</v>
      </c>
      <c r="E2457">
        <v>150</v>
      </c>
      <c r="F2457" s="2">
        <v>95.91</v>
      </c>
      <c r="G2457" t="s">
        <v>31</v>
      </c>
      <c r="H2457" s="1">
        <v>45331</v>
      </c>
      <c r="I2457" s="1">
        <v>45348</v>
      </c>
      <c r="J2457" t="s">
        <v>38</v>
      </c>
      <c r="K2457" s="8">
        <f>Table2[[#This Row],[CurrentStock]]*Table2[[#This Row],[UnitPrice]]</f>
        <v>29060.73</v>
      </c>
      <c r="L2457" t="str">
        <f>IF(Table2[[#This Row],[CurrentStock]]&lt;=Table2[[#This Row],[ReorderLevel]], "Reorder Needed", "Okay")</f>
        <v>Okay</v>
      </c>
      <c r="M2457" t="str">
        <f>IF(Table2[[#This Row],[CurrentStock]]-Table2[[#This Row],[ReorderLevel]]&lt;0,Table2[[#This Row],[CurrentStock]]-Table2[[#This Row],[ReorderLevel]],"")</f>
        <v/>
      </c>
      <c r="N2457" t="str">
        <f>IF(Table2[[#This Row],[Stock Gap]]&lt;0, "Understock","Okay")</f>
        <v>Okay</v>
      </c>
      <c r="O2457" s="13" t="str">
        <f>IF(Table2[[#This Row],[Stock Gap]]&lt;0, "Yes", "No")</f>
        <v>No</v>
      </c>
      <c r="P2457" s="13" t="str">
        <f>IF(Table2[[#This Row],[CurrentStock]]&lt;Table2[[#This Row],[ReorderLevel]],"Reorder", "Okay")</f>
        <v>Okay</v>
      </c>
      <c r="Q2457" s="13" t="str">
        <f>IF(Table2[[#This Row],[CurrentStock]]&gt;Table2[[#This Row],[ReorderLevel]]*3, "Overstock", "Okay")</f>
        <v>Okay</v>
      </c>
    </row>
    <row r="2458" spans="1:17" x14ac:dyDescent="0.35">
      <c r="A2458">
        <v>92305</v>
      </c>
      <c r="B2458" t="s">
        <v>11</v>
      </c>
      <c r="C2458" t="s">
        <v>27</v>
      </c>
      <c r="D2458">
        <v>366</v>
      </c>
      <c r="E2458">
        <v>80</v>
      </c>
      <c r="F2458" s="2">
        <v>275.14</v>
      </c>
      <c r="G2458" t="s">
        <v>32</v>
      </c>
      <c r="H2458" s="1">
        <v>45576</v>
      </c>
      <c r="I2458" s="1">
        <v>45598</v>
      </c>
      <c r="J2458" t="s">
        <v>37</v>
      </c>
      <c r="K2458" s="8">
        <f>Table2[[#This Row],[CurrentStock]]*Table2[[#This Row],[UnitPrice]]</f>
        <v>100701.23999999999</v>
      </c>
      <c r="L2458" t="str">
        <f>IF(Table2[[#This Row],[CurrentStock]]&lt;=Table2[[#This Row],[ReorderLevel]], "Reorder Needed", "Okay")</f>
        <v>Okay</v>
      </c>
      <c r="M2458" t="str">
        <f>IF(Table2[[#This Row],[CurrentStock]]-Table2[[#This Row],[ReorderLevel]]&lt;0,Table2[[#This Row],[CurrentStock]]-Table2[[#This Row],[ReorderLevel]],"")</f>
        <v/>
      </c>
      <c r="N2458" t="str">
        <f>IF(Table2[[#This Row],[Stock Gap]]&lt;0, "Understock","Okay")</f>
        <v>Okay</v>
      </c>
      <c r="O2458" s="13" t="str">
        <f>IF(Table2[[#This Row],[Stock Gap]]&lt;0, "Yes", "No")</f>
        <v>No</v>
      </c>
      <c r="P2458" s="13" t="str">
        <f>IF(Table2[[#This Row],[CurrentStock]]&lt;Table2[[#This Row],[ReorderLevel]],"Reorder", "Okay")</f>
        <v>Okay</v>
      </c>
      <c r="Q2458" s="13" t="str">
        <f>IF(Table2[[#This Row],[CurrentStock]]&gt;Table2[[#This Row],[ReorderLevel]]*3, "Overstock", "Okay")</f>
        <v>Overstock</v>
      </c>
    </row>
    <row r="2459" spans="1:17" x14ac:dyDescent="0.35">
      <c r="A2459">
        <v>84327</v>
      </c>
      <c r="B2459" t="s">
        <v>16</v>
      </c>
      <c r="C2459" t="s">
        <v>29</v>
      </c>
      <c r="D2459">
        <v>327</v>
      </c>
      <c r="E2459">
        <v>40</v>
      </c>
      <c r="F2459" s="2">
        <v>238.41</v>
      </c>
      <c r="G2459" t="s">
        <v>34</v>
      </c>
      <c r="H2459" s="1">
        <v>45551</v>
      </c>
      <c r="I2459" s="1">
        <v>45564</v>
      </c>
      <c r="J2459" t="s">
        <v>36</v>
      </c>
      <c r="K2459" s="8">
        <f>Table2[[#This Row],[CurrentStock]]*Table2[[#This Row],[UnitPrice]]</f>
        <v>77960.069999999992</v>
      </c>
      <c r="L2459" t="str">
        <f>IF(Table2[[#This Row],[CurrentStock]]&lt;=Table2[[#This Row],[ReorderLevel]], "Reorder Needed", "Okay")</f>
        <v>Okay</v>
      </c>
      <c r="M2459" t="str">
        <f>IF(Table2[[#This Row],[CurrentStock]]-Table2[[#This Row],[ReorderLevel]]&lt;0,Table2[[#This Row],[CurrentStock]]-Table2[[#This Row],[ReorderLevel]],"")</f>
        <v/>
      </c>
      <c r="N2459" t="str">
        <f>IF(Table2[[#This Row],[Stock Gap]]&lt;0, "Understock","Okay")</f>
        <v>Okay</v>
      </c>
      <c r="O2459" s="13" t="str">
        <f>IF(Table2[[#This Row],[Stock Gap]]&lt;0, "Yes", "No")</f>
        <v>No</v>
      </c>
      <c r="P2459" s="13" t="str">
        <f>IF(Table2[[#This Row],[CurrentStock]]&lt;Table2[[#This Row],[ReorderLevel]],"Reorder", "Okay")</f>
        <v>Okay</v>
      </c>
      <c r="Q2459" s="13" t="str">
        <f>IF(Table2[[#This Row],[CurrentStock]]&gt;Table2[[#This Row],[ReorderLevel]]*3, "Overstock", "Okay")</f>
        <v>Overstock</v>
      </c>
    </row>
    <row r="2460" spans="1:17" x14ac:dyDescent="0.35">
      <c r="A2460">
        <v>52559</v>
      </c>
      <c r="B2460" t="s">
        <v>13</v>
      </c>
      <c r="C2460" t="s">
        <v>26</v>
      </c>
      <c r="D2460">
        <v>85</v>
      </c>
      <c r="E2460">
        <v>150</v>
      </c>
      <c r="F2460" s="2">
        <v>234.31</v>
      </c>
      <c r="G2460" t="s">
        <v>34</v>
      </c>
      <c r="H2460" s="1">
        <v>45455</v>
      </c>
      <c r="I2460" s="1">
        <v>45483</v>
      </c>
      <c r="J2460" t="s">
        <v>38</v>
      </c>
      <c r="K2460" s="8">
        <f>Table2[[#This Row],[CurrentStock]]*Table2[[#This Row],[UnitPrice]]</f>
        <v>19916.349999999999</v>
      </c>
      <c r="L2460" t="str">
        <f>IF(Table2[[#This Row],[CurrentStock]]&lt;=Table2[[#This Row],[ReorderLevel]], "Reorder Needed", "Okay")</f>
        <v>Reorder Needed</v>
      </c>
      <c r="M2460" s="7">
        <f>IF(Table2[[#This Row],[CurrentStock]]-Table2[[#This Row],[ReorderLevel]]&lt;0,Table2[[#This Row],[CurrentStock]]-Table2[[#This Row],[ReorderLevel]],"")</f>
        <v>-65</v>
      </c>
      <c r="N2460" t="str">
        <f>IF(Table2[[#This Row],[Stock Gap]]&lt;0, "Understock","Okay")</f>
        <v>Understock</v>
      </c>
      <c r="O2460" s="13" t="str">
        <f>IF(Table2[[#This Row],[Stock Gap]]&lt;0, "Yes", "No")</f>
        <v>Yes</v>
      </c>
      <c r="P2460" s="13" t="str">
        <f>IF(Table2[[#This Row],[CurrentStock]]&lt;Table2[[#This Row],[ReorderLevel]],"Reorder", "Okay")</f>
        <v>Reorder</v>
      </c>
      <c r="Q2460" s="13" t="str">
        <f>IF(Table2[[#This Row],[CurrentStock]]&gt;Table2[[#This Row],[ReorderLevel]]*3, "Overstock", "Okay")</f>
        <v>Okay</v>
      </c>
    </row>
    <row r="2461" spans="1:17" x14ac:dyDescent="0.35">
      <c r="A2461">
        <v>53346</v>
      </c>
      <c r="B2461" t="s">
        <v>13</v>
      </c>
      <c r="C2461" t="s">
        <v>26</v>
      </c>
      <c r="D2461">
        <v>46</v>
      </c>
      <c r="E2461">
        <v>150</v>
      </c>
      <c r="F2461" s="2">
        <v>87.38</v>
      </c>
      <c r="G2461" t="s">
        <v>31</v>
      </c>
      <c r="H2461" s="1">
        <v>45528</v>
      </c>
      <c r="I2461" s="1">
        <v>45544</v>
      </c>
      <c r="J2461" t="s">
        <v>38</v>
      </c>
      <c r="K2461" s="8">
        <f>Table2[[#This Row],[CurrentStock]]*Table2[[#This Row],[UnitPrice]]</f>
        <v>4019.4799999999996</v>
      </c>
      <c r="L2461" t="str">
        <f>IF(Table2[[#This Row],[CurrentStock]]&lt;=Table2[[#This Row],[ReorderLevel]], "Reorder Needed", "Okay")</f>
        <v>Reorder Needed</v>
      </c>
      <c r="M2461" s="7">
        <f>IF(Table2[[#This Row],[CurrentStock]]-Table2[[#This Row],[ReorderLevel]]&lt;0,Table2[[#This Row],[CurrentStock]]-Table2[[#This Row],[ReorderLevel]],"")</f>
        <v>-104</v>
      </c>
      <c r="N2461" t="str">
        <f>IF(Table2[[#This Row],[Stock Gap]]&lt;0, "Understock","Okay")</f>
        <v>Understock</v>
      </c>
      <c r="O2461" s="13" t="str">
        <f>IF(Table2[[#This Row],[Stock Gap]]&lt;0, "Yes", "No")</f>
        <v>Yes</v>
      </c>
      <c r="P2461" s="13" t="str">
        <f>IF(Table2[[#This Row],[CurrentStock]]&lt;Table2[[#This Row],[ReorderLevel]],"Reorder", "Okay")</f>
        <v>Reorder</v>
      </c>
      <c r="Q2461" s="13" t="str">
        <f>IF(Table2[[#This Row],[CurrentStock]]&gt;Table2[[#This Row],[ReorderLevel]]*3, "Overstock", "Okay")</f>
        <v>Okay</v>
      </c>
    </row>
    <row r="2462" spans="1:17" x14ac:dyDescent="0.35">
      <c r="A2462">
        <v>20920</v>
      </c>
      <c r="B2462" t="s">
        <v>25</v>
      </c>
      <c r="C2462" t="s">
        <v>29</v>
      </c>
      <c r="D2462">
        <v>84</v>
      </c>
      <c r="E2462">
        <v>40</v>
      </c>
      <c r="F2462" s="2">
        <v>206.8</v>
      </c>
      <c r="G2462" t="s">
        <v>32</v>
      </c>
      <c r="H2462" s="1">
        <v>45367</v>
      </c>
      <c r="I2462" s="1">
        <v>45378</v>
      </c>
      <c r="J2462" t="s">
        <v>36</v>
      </c>
      <c r="K2462" s="8">
        <f>Table2[[#This Row],[CurrentStock]]*Table2[[#This Row],[UnitPrice]]</f>
        <v>17371.2</v>
      </c>
      <c r="L2462" t="str">
        <f>IF(Table2[[#This Row],[CurrentStock]]&lt;=Table2[[#This Row],[ReorderLevel]], "Reorder Needed", "Okay")</f>
        <v>Okay</v>
      </c>
      <c r="M2462" t="str">
        <f>IF(Table2[[#This Row],[CurrentStock]]-Table2[[#This Row],[ReorderLevel]]&lt;0,Table2[[#This Row],[CurrentStock]]-Table2[[#This Row],[ReorderLevel]],"")</f>
        <v/>
      </c>
      <c r="N2462" t="str">
        <f>IF(Table2[[#This Row],[Stock Gap]]&lt;0, "Understock","Okay")</f>
        <v>Okay</v>
      </c>
      <c r="O2462" s="13" t="str">
        <f>IF(Table2[[#This Row],[Stock Gap]]&lt;0, "Yes", "No")</f>
        <v>No</v>
      </c>
      <c r="P2462" s="13" t="str">
        <f>IF(Table2[[#This Row],[CurrentStock]]&lt;Table2[[#This Row],[ReorderLevel]],"Reorder", "Okay")</f>
        <v>Okay</v>
      </c>
      <c r="Q2462" s="13" t="str">
        <f>IF(Table2[[#This Row],[CurrentStock]]&gt;Table2[[#This Row],[ReorderLevel]]*3, "Overstock", "Okay")</f>
        <v>Okay</v>
      </c>
    </row>
    <row r="2463" spans="1:17" x14ac:dyDescent="0.35">
      <c r="A2463">
        <v>24052</v>
      </c>
      <c r="B2463" t="s">
        <v>20</v>
      </c>
      <c r="C2463" t="s">
        <v>30</v>
      </c>
      <c r="D2463">
        <v>299</v>
      </c>
      <c r="E2463">
        <v>100</v>
      </c>
      <c r="F2463" s="2">
        <v>32.299999999999997</v>
      </c>
      <c r="G2463" t="s">
        <v>31</v>
      </c>
      <c r="H2463" s="1">
        <v>45609</v>
      </c>
      <c r="I2463" s="1">
        <v>45623</v>
      </c>
      <c r="J2463" t="s">
        <v>36</v>
      </c>
      <c r="K2463" s="8">
        <f>Table2[[#This Row],[CurrentStock]]*Table2[[#This Row],[UnitPrice]]</f>
        <v>9657.6999999999989</v>
      </c>
      <c r="L2463" t="str">
        <f>IF(Table2[[#This Row],[CurrentStock]]&lt;=Table2[[#This Row],[ReorderLevel]], "Reorder Needed", "Okay")</f>
        <v>Okay</v>
      </c>
      <c r="M2463" t="str">
        <f>IF(Table2[[#This Row],[CurrentStock]]-Table2[[#This Row],[ReorderLevel]]&lt;0,Table2[[#This Row],[CurrentStock]]-Table2[[#This Row],[ReorderLevel]],"")</f>
        <v/>
      </c>
      <c r="N2463" t="str">
        <f>IF(Table2[[#This Row],[Stock Gap]]&lt;0, "Understock","Okay")</f>
        <v>Okay</v>
      </c>
      <c r="O2463" s="13" t="str">
        <f>IF(Table2[[#This Row],[Stock Gap]]&lt;0, "Yes", "No")</f>
        <v>No</v>
      </c>
      <c r="P2463" s="13" t="str">
        <f>IF(Table2[[#This Row],[CurrentStock]]&lt;Table2[[#This Row],[ReorderLevel]],"Reorder", "Okay")</f>
        <v>Okay</v>
      </c>
      <c r="Q2463" s="13" t="str">
        <f>IF(Table2[[#This Row],[CurrentStock]]&gt;Table2[[#This Row],[ReorderLevel]]*3, "Overstock", "Okay")</f>
        <v>Okay</v>
      </c>
    </row>
    <row r="2464" spans="1:17" x14ac:dyDescent="0.35">
      <c r="A2464">
        <v>23225</v>
      </c>
      <c r="B2464" t="s">
        <v>18</v>
      </c>
      <c r="C2464" t="s">
        <v>27</v>
      </c>
      <c r="D2464">
        <v>249</v>
      </c>
      <c r="E2464">
        <v>50</v>
      </c>
      <c r="F2464" s="2">
        <v>162.4</v>
      </c>
      <c r="G2464" t="s">
        <v>34</v>
      </c>
      <c r="H2464" s="1">
        <v>45511</v>
      </c>
      <c r="I2464" s="1">
        <v>45526</v>
      </c>
      <c r="J2464" t="s">
        <v>37</v>
      </c>
      <c r="K2464" s="8">
        <f>Table2[[#This Row],[CurrentStock]]*Table2[[#This Row],[UnitPrice]]</f>
        <v>40437.599999999999</v>
      </c>
      <c r="L2464" t="str">
        <f>IF(Table2[[#This Row],[CurrentStock]]&lt;=Table2[[#This Row],[ReorderLevel]], "Reorder Needed", "Okay")</f>
        <v>Okay</v>
      </c>
      <c r="M2464" t="str">
        <f>IF(Table2[[#This Row],[CurrentStock]]-Table2[[#This Row],[ReorderLevel]]&lt;0,Table2[[#This Row],[CurrentStock]]-Table2[[#This Row],[ReorderLevel]],"")</f>
        <v/>
      </c>
      <c r="N2464" t="str">
        <f>IF(Table2[[#This Row],[Stock Gap]]&lt;0, "Understock","Okay")</f>
        <v>Okay</v>
      </c>
      <c r="O2464" s="13" t="str">
        <f>IF(Table2[[#This Row],[Stock Gap]]&lt;0, "Yes", "No")</f>
        <v>No</v>
      </c>
      <c r="P2464" s="13" t="str">
        <f>IF(Table2[[#This Row],[CurrentStock]]&lt;Table2[[#This Row],[ReorderLevel]],"Reorder", "Okay")</f>
        <v>Okay</v>
      </c>
      <c r="Q2464" s="13" t="str">
        <f>IF(Table2[[#This Row],[CurrentStock]]&gt;Table2[[#This Row],[ReorderLevel]]*3, "Overstock", "Okay")</f>
        <v>Overstock</v>
      </c>
    </row>
    <row r="2465" spans="1:17" x14ac:dyDescent="0.35">
      <c r="A2465">
        <v>37134</v>
      </c>
      <c r="B2465" t="s">
        <v>10</v>
      </c>
      <c r="C2465" t="s">
        <v>26</v>
      </c>
      <c r="D2465">
        <v>334</v>
      </c>
      <c r="E2465">
        <v>150</v>
      </c>
      <c r="F2465" s="2">
        <v>471.19</v>
      </c>
      <c r="G2465" t="s">
        <v>35</v>
      </c>
      <c r="H2465" s="1">
        <v>45594</v>
      </c>
      <c r="I2465" s="1">
        <v>45632</v>
      </c>
      <c r="J2465" t="s">
        <v>38</v>
      </c>
      <c r="K2465" s="8">
        <f>Table2[[#This Row],[CurrentStock]]*Table2[[#This Row],[UnitPrice]]</f>
        <v>157377.46</v>
      </c>
      <c r="L2465" t="str">
        <f>IF(Table2[[#This Row],[CurrentStock]]&lt;=Table2[[#This Row],[ReorderLevel]], "Reorder Needed", "Okay")</f>
        <v>Okay</v>
      </c>
      <c r="M2465" t="str">
        <f>IF(Table2[[#This Row],[CurrentStock]]-Table2[[#This Row],[ReorderLevel]]&lt;0,Table2[[#This Row],[CurrentStock]]-Table2[[#This Row],[ReorderLevel]],"")</f>
        <v/>
      </c>
      <c r="N2465" t="str">
        <f>IF(Table2[[#This Row],[Stock Gap]]&lt;0, "Understock","Okay")</f>
        <v>Okay</v>
      </c>
      <c r="O2465" s="13" t="str">
        <f>IF(Table2[[#This Row],[Stock Gap]]&lt;0, "Yes", "No")</f>
        <v>No</v>
      </c>
      <c r="P2465" s="13" t="str">
        <f>IF(Table2[[#This Row],[CurrentStock]]&lt;Table2[[#This Row],[ReorderLevel]],"Reorder", "Okay")</f>
        <v>Okay</v>
      </c>
      <c r="Q2465" s="13" t="str">
        <f>IF(Table2[[#This Row],[CurrentStock]]&gt;Table2[[#This Row],[ReorderLevel]]*3, "Overstock", "Okay")</f>
        <v>Okay</v>
      </c>
    </row>
    <row r="2466" spans="1:17" x14ac:dyDescent="0.35">
      <c r="A2466">
        <v>84826</v>
      </c>
      <c r="B2466" t="s">
        <v>24</v>
      </c>
      <c r="C2466" t="s">
        <v>30</v>
      </c>
      <c r="D2466">
        <v>329</v>
      </c>
      <c r="E2466">
        <v>40</v>
      </c>
      <c r="F2466" s="2">
        <v>33.22</v>
      </c>
      <c r="G2466" t="s">
        <v>32</v>
      </c>
      <c r="H2466" s="1">
        <v>45543</v>
      </c>
      <c r="I2466" s="1">
        <v>45577</v>
      </c>
      <c r="J2466" t="s">
        <v>36</v>
      </c>
      <c r="K2466" s="8">
        <f>Table2[[#This Row],[CurrentStock]]*Table2[[#This Row],[UnitPrice]]</f>
        <v>10929.38</v>
      </c>
      <c r="L2466" t="str">
        <f>IF(Table2[[#This Row],[CurrentStock]]&lt;=Table2[[#This Row],[ReorderLevel]], "Reorder Needed", "Okay")</f>
        <v>Okay</v>
      </c>
      <c r="M2466" t="str">
        <f>IF(Table2[[#This Row],[CurrentStock]]-Table2[[#This Row],[ReorderLevel]]&lt;0,Table2[[#This Row],[CurrentStock]]-Table2[[#This Row],[ReorderLevel]],"")</f>
        <v/>
      </c>
      <c r="N2466" t="str">
        <f>IF(Table2[[#This Row],[Stock Gap]]&lt;0, "Understock","Okay")</f>
        <v>Okay</v>
      </c>
      <c r="O2466" s="13" t="str">
        <f>IF(Table2[[#This Row],[Stock Gap]]&lt;0, "Yes", "No")</f>
        <v>No</v>
      </c>
      <c r="P2466" s="13" t="str">
        <f>IF(Table2[[#This Row],[CurrentStock]]&lt;Table2[[#This Row],[ReorderLevel]],"Reorder", "Okay")</f>
        <v>Okay</v>
      </c>
      <c r="Q2466" s="13" t="str">
        <f>IF(Table2[[#This Row],[CurrentStock]]&gt;Table2[[#This Row],[ReorderLevel]]*3, "Overstock", "Okay")</f>
        <v>Overstock</v>
      </c>
    </row>
    <row r="2467" spans="1:17" x14ac:dyDescent="0.35">
      <c r="A2467">
        <v>79561</v>
      </c>
      <c r="B2467" t="s">
        <v>19</v>
      </c>
      <c r="C2467" t="s">
        <v>28</v>
      </c>
      <c r="D2467">
        <v>181</v>
      </c>
      <c r="E2467">
        <v>20</v>
      </c>
      <c r="F2467" s="2">
        <v>216.95</v>
      </c>
      <c r="G2467" t="s">
        <v>35</v>
      </c>
      <c r="H2467" s="1">
        <v>45568</v>
      </c>
      <c r="I2467" s="1">
        <v>45573</v>
      </c>
      <c r="J2467" t="s">
        <v>36</v>
      </c>
      <c r="K2467" s="8">
        <f>Table2[[#This Row],[CurrentStock]]*Table2[[#This Row],[UnitPrice]]</f>
        <v>39267.949999999997</v>
      </c>
      <c r="L2467" t="str">
        <f>IF(Table2[[#This Row],[CurrentStock]]&lt;=Table2[[#This Row],[ReorderLevel]], "Reorder Needed", "Okay")</f>
        <v>Okay</v>
      </c>
      <c r="M2467" t="str">
        <f>IF(Table2[[#This Row],[CurrentStock]]-Table2[[#This Row],[ReorderLevel]]&lt;0,Table2[[#This Row],[CurrentStock]]-Table2[[#This Row],[ReorderLevel]],"")</f>
        <v/>
      </c>
      <c r="N2467" t="str">
        <f>IF(Table2[[#This Row],[Stock Gap]]&lt;0, "Understock","Okay")</f>
        <v>Okay</v>
      </c>
      <c r="O2467" s="13" t="str">
        <f>IF(Table2[[#This Row],[Stock Gap]]&lt;0, "Yes", "No")</f>
        <v>No</v>
      </c>
      <c r="P2467" s="13" t="str">
        <f>IF(Table2[[#This Row],[CurrentStock]]&lt;Table2[[#This Row],[ReorderLevel]],"Reorder", "Okay")</f>
        <v>Okay</v>
      </c>
      <c r="Q2467" s="13" t="str">
        <f>IF(Table2[[#This Row],[CurrentStock]]&gt;Table2[[#This Row],[ReorderLevel]]*3, "Overstock", "Okay")</f>
        <v>Overstock</v>
      </c>
    </row>
    <row r="2468" spans="1:17" x14ac:dyDescent="0.35">
      <c r="A2468">
        <v>72119</v>
      </c>
      <c r="B2468" t="s">
        <v>25</v>
      </c>
      <c r="C2468" t="s">
        <v>29</v>
      </c>
      <c r="D2468">
        <v>179</v>
      </c>
      <c r="E2468">
        <v>150</v>
      </c>
      <c r="F2468" s="2">
        <v>22.63</v>
      </c>
      <c r="G2468" t="s">
        <v>34</v>
      </c>
      <c r="H2468" s="1">
        <v>45439</v>
      </c>
      <c r="I2468" s="1">
        <v>45455</v>
      </c>
      <c r="J2468" t="s">
        <v>38</v>
      </c>
      <c r="K2468" s="8">
        <f>Table2[[#This Row],[CurrentStock]]*Table2[[#This Row],[UnitPrice]]</f>
        <v>4050.77</v>
      </c>
      <c r="L2468" t="str">
        <f>IF(Table2[[#This Row],[CurrentStock]]&lt;=Table2[[#This Row],[ReorderLevel]], "Reorder Needed", "Okay")</f>
        <v>Okay</v>
      </c>
      <c r="M2468" t="str">
        <f>IF(Table2[[#This Row],[CurrentStock]]-Table2[[#This Row],[ReorderLevel]]&lt;0,Table2[[#This Row],[CurrentStock]]-Table2[[#This Row],[ReorderLevel]],"")</f>
        <v/>
      </c>
      <c r="N2468" t="str">
        <f>IF(Table2[[#This Row],[Stock Gap]]&lt;0, "Understock","Okay")</f>
        <v>Okay</v>
      </c>
      <c r="O2468" s="13" t="str">
        <f>IF(Table2[[#This Row],[Stock Gap]]&lt;0, "Yes", "No")</f>
        <v>No</v>
      </c>
      <c r="P2468" s="13" t="str">
        <f>IF(Table2[[#This Row],[CurrentStock]]&lt;Table2[[#This Row],[ReorderLevel]],"Reorder", "Okay")</f>
        <v>Okay</v>
      </c>
      <c r="Q2468" s="13" t="str">
        <f>IF(Table2[[#This Row],[CurrentStock]]&gt;Table2[[#This Row],[ReorderLevel]]*3, "Overstock", "Okay")</f>
        <v>Okay</v>
      </c>
    </row>
    <row r="2469" spans="1:17" x14ac:dyDescent="0.35">
      <c r="A2469">
        <v>83424</v>
      </c>
      <c r="B2469" t="s">
        <v>21</v>
      </c>
      <c r="C2469" t="s">
        <v>26</v>
      </c>
      <c r="D2469">
        <v>115</v>
      </c>
      <c r="E2469">
        <v>40</v>
      </c>
      <c r="F2469" s="2">
        <v>61.77</v>
      </c>
      <c r="G2469" t="s">
        <v>34</v>
      </c>
      <c r="H2469" s="1">
        <v>45498</v>
      </c>
      <c r="I2469" s="1">
        <v>45537</v>
      </c>
      <c r="J2469" t="s">
        <v>36</v>
      </c>
      <c r="K2469" s="8">
        <f>Table2[[#This Row],[CurrentStock]]*Table2[[#This Row],[UnitPrice]]</f>
        <v>7103.55</v>
      </c>
      <c r="L2469" t="str">
        <f>IF(Table2[[#This Row],[CurrentStock]]&lt;=Table2[[#This Row],[ReorderLevel]], "Reorder Needed", "Okay")</f>
        <v>Okay</v>
      </c>
      <c r="M2469" t="str">
        <f>IF(Table2[[#This Row],[CurrentStock]]-Table2[[#This Row],[ReorderLevel]]&lt;0,Table2[[#This Row],[CurrentStock]]-Table2[[#This Row],[ReorderLevel]],"")</f>
        <v/>
      </c>
      <c r="N2469" t="str">
        <f>IF(Table2[[#This Row],[Stock Gap]]&lt;0, "Understock","Okay")</f>
        <v>Okay</v>
      </c>
      <c r="O2469" s="13" t="str">
        <f>IF(Table2[[#This Row],[Stock Gap]]&lt;0, "Yes", "No")</f>
        <v>No</v>
      </c>
      <c r="P2469" s="13" t="str">
        <f>IF(Table2[[#This Row],[CurrentStock]]&lt;Table2[[#This Row],[ReorderLevel]],"Reorder", "Okay")</f>
        <v>Okay</v>
      </c>
      <c r="Q2469" s="13" t="str">
        <f>IF(Table2[[#This Row],[CurrentStock]]&gt;Table2[[#This Row],[ReorderLevel]]*3, "Overstock", "Okay")</f>
        <v>Okay</v>
      </c>
    </row>
    <row r="2470" spans="1:17" x14ac:dyDescent="0.35">
      <c r="A2470">
        <v>49214</v>
      </c>
      <c r="B2470" t="s">
        <v>12</v>
      </c>
      <c r="C2470" t="s">
        <v>28</v>
      </c>
      <c r="D2470">
        <v>488</v>
      </c>
      <c r="E2470">
        <v>150</v>
      </c>
      <c r="F2470" s="2">
        <v>158.59</v>
      </c>
      <c r="G2470" t="s">
        <v>34</v>
      </c>
      <c r="H2470" s="1">
        <v>45341</v>
      </c>
      <c r="I2470" s="1">
        <v>45368</v>
      </c>
      <c r="J2470" t="s">
        <v>36</v>
      </c>
      <c r="K2470" s="8">
        <f>Table2[[#This Row],[CurrentStock]]*Table2[[#This Row],[UnitPrice]]</f>
        <v>77391.92</v>
      </c>
      <c r="L2470" t="str">
        <f>IF(Table2[[#This Row],[CurrentStock]]&lt;=Table2[[#This Row],[ReorderLevel]], "Reorder Needed", "Okay")</f>
        <v>Okay</v>
      </c>
      <c r="M2470" t="str">
        <f>IF(Table2[[#This Row],[CurrentStock]]-Table2[[#This Row],[ReorderLevel]]&lt;0,Table2[[#This Row],[CurrentStock]]-Table2[[#This Row],[ReorderLevel]],"")</f>
        <v/>
      </c>
      <c r="N2470" t="str">
        <f>IF(Table2[[#This Row],[Stock Gap]]&lt;0, "Understock","Okay")</f>
        <v>Okay</v>
      </c>
      <c r="O2470" s="13" t="str">
        <f>IF(Table2[[#This Row],[Stock Gap]]&lt;0, "Yes", "No")</f>
        <v>No</v>
      </c>
      <c r="P2470" s="13" t="str">
        <f>IF(Table2[[#This Row],[CurrentStock]]&lt;Table2[[#This Row],[ReorderLevel]],"Reorder", "Okay")</f>
        <v>Okay</v>
      </c>
      <c r="Q2470" s="13" t="str">
        <f>IF(Table2[[#This Row],[CurrentStock]]&gt;Table2[[#This Row],[ReorderLevel]]*3, "Overstock", "Okay")</f>
        <v>Overstock</v>
      </c>
    </row>
    <row r="2471" spans="1:17" x14ac:dyDescent="0.35">
      <c r="A2471">
        <v>99037</v>
      </c>
      <c r="B2471" t="s">
        <v>20</v>
      </c>
      <c r="C2471" t="s">
        <v>30</v>
      </c>
      <c r="D2471">
        <v>135</v>
      </c>
      <c r="E2471">
        <v>30</v>
      </c>
      <c r="F2471" s="2">
        <v>193.43</v>
      </c>
      <c r="G2471" t="s">
        <v>31</v>
      </c>
      <c r="H2471" s="1">
        <v>45453</v>
      </c>
      <c r="I2471" s="1">
        <v>45476</v>
      </c>
      <c r="J2471" t="s">
        <v>36</v>
      </c>
      <c r="K2471" s="8">
        <f>Table2[[#This Row],[CurrentStock]]*Table2[[#This Row],[UnitPrice]]</f>
        <v>26113.05</v>
      </c>
      <c r="L2471" t="str">
        <f>IF(Table2[[#This Row],[CurrentStock]]&lt;=Table2[[#This Row],[ReorderLevel]], "Reorder Needed", "Okay")</f>
        <v>Okay</v>
      </c>
      <c r="M2471" t="str">
        <f>IF(Table2[[#This Row],[CurrentStock]]-Table2[[#This Row],[ReorderLevel]]&lt;0,Table2[[#This Row],[CurrentStock]]-Table2[[#This Row],[ReorderLevel]],"")</f>
        <v/>
      </c>
      <c r="N2471" t="str">
        <f>IF(Table2[[#This Row],[Stock Gap]]&lt;0, "Understock","Okay")</f>
        <v>Okay</v>
      </c>
      <c r="O2471" s="13" t="str">
        <f>IF(Table2[[#This Row],[Stock Gap]]&lt;0, "Yes", "No")</f>
        <v>No</v>
      </c>
      <c r="P2471" s="13" t="str">
        <f>IF(Table2[[#This Row],[CurrentStock]]&lt;Table2[[#This Row],[ReorderLevel]],"Reorder", "Okay")</f>
        <v>Okay</v>
      </c>
      <c r="Q2471" s="13" t="str">
        <f>IF(Table2[[#This Row],[CurrentStock]]&gt;Table2[[#This Row],[ReorderLevel]]*3, "Overstock", "Okay")</f>
        <v>Overstock</v>
      </c>
    </row>
    <row r="2472" spans="1:17" x14ac:dyDescent="0.35">
      <c r="A2472">
        <v>16309</v>
      </c>
      <c r="B2472" t="s">
        <v>18</v>
      </c>
      <c r="C2472" t="s">
        <v>27</v>
      </c>
      <c r="D2472">
        <v>83</v>
      </c>
      <c r="E2472">
        <v>100</v>
      </c>
      <c r="F2472" s="2">
        <v>440.12</v>
      </c>
      <c r="G2472" t="s">
        <v>33</v>
      </c>
      <c r="H2472" s="1">
        <v>45436</v>
      </c>
      <c r="I2472" s="1">
        <v>45445</v>
      </c>
      <c r="J2472" t="s">
        <v>37</v>
      </c>
      <c r="K2472" s="8">
        <f>Table2[[#This Row],[CurrentStock]]*Table2[[#This Row],[UnitPrice]]</f>
        <v>36529.96</v>
      </c>
      <c r="L2472" t="str">
        <f>IF(Table2[[#This Row],[CurrentStock]]&lt;=Table2[[#This Row],[ReorderLevel]], "Reorder Needed", "Okay")</f>
        <v>Reorder Needed</v>
      </c>
      <c r="M2472" s="7">
        <f>IF(Table2[[#This Row],[CurrentStock]]-Table2[[#This Row],[ReorderLevel]]&lt;0,Table2[[#This Row],[CurrentStock]]-Table2[[#This Row],[ReorderLevel]],"")</f>
        <v>-17</v>
      </c>
      <c r="N2472" t="str">
        <f>IF(Table2[[#This Row],[Stock Gap]]&lt;0, "Understock","Okay")</f>
        <v>Understock</v>
      </c>
      <c r="O2472" s="13" t="str">
        <f>IF(Table2[[#This Row],[Stock Gap]]&lt;0, "Yes", "No")</f>
        <v>Yes</v>
      </c>
      <c r="P2472" s="13" t="str">
        <f>IF(Table2[[#This Row],[CurrentStock]]&lt;Table2[[#This Row],[ReorderLevel]],"Reorder", "Okay")</f>
        <v>Reorder</v>
      </c>
      <c r="Q2472" s="13" t="str">
        <f>IF(Table2[[#This Row],[CurrentStock]]&gt;Table2[[#This Row],[ReorderLevel]]*3, "Overstock", "Okay")</f>
        <v>Okay</v>
      </c>
    </row>
    <row r="2473" spans="1:17" x14ac:dyDescent="0.35">
      <c r="A2473">
        <v>99344</v>
      </c>
      <c r="B2473" t="s">
        <v>12</v>
      </c>
      <c r="C2473" t="s">
        <v>28</v>
      </c>
      <c r="D2473">
        <v>237</v>
      </c>
      <c r="E2473">
        <v>20</v>
      </c>
      <c r="F2473" s="2">
        <v>403.76</v>
      </c>
      <c r="G2473" t="s">
        <v>32</v>
      </c>
      <c r="H2473" s="1">
        <v>45304</v>
      </c>
      <c r="I2473" s="1">
        <v>45335</v>
      </c>
      <c r="J2473" t="s">
        <v>38</v>
      </c>
      <c r="K2473" s="8">
        <f>Table2[[#This Row],[CurrentStock]]*Table2[[#This Row],[UnitPrice]]</f>
        <v>95691.12</v>
      </c>
      <c r="L2473" t="str">
        <f>IF(Table2[[#This Row],[CurrentStock]]&lt;=Table2[[#This Row],[ReorderLevel]], "Reorder Needed", "Okay")</f>
        <v>Okay</v>
      </c>
      <c r="M2473" t="str">
        <f>IF(Table2[[#This Row],[CurrentStock]]-Table2[[#This Row],[ReorderLevel]]&lt;0,Table2[[#This Row],[CurrentStock]]-Table2[[#This Row],[ReorderLevel]],"")</f>
        <v/>
      </c>
      <c r="N2473" t="str">
        <f>IF(Table2[[#This Row],[Stock Gap]]&lt;0, "Understock","Okay")</f>
        <v>Okay</v>
      </c>
      <c r="O2473" s="13" t="str">
        <f>IF(Table2[[#This Row],[Stock Gap]]&lt;0, "Yes", "No")</f>
        <v>No</v>
      </c>
      <c r="P2473" s="13" t="str">
        <f>IF(Table2[[#This Row],[CurrentStock]]&lt;Table2[[#This Row],[ReorderLevel]],"Reorder", "Okay")</f>
        <v>Okay</v>
      </c>
      <c r="Q2473" s="13" t="str">
        <f>IF(Table2[[#This Row],[CurrentStock]]&gt;Table2[[#This Row],[ReorderLevel]]*3, "Overstock", "Okay")</f>
        <v>Overstock</v>
      </c>
    </row>
    <row r="2474" spans="1:17" x14ac:dyDescent="0.35">
      <c r="A2474">
        <v>87424</v>
      </c>
      <c r="B2474" t="s">
        <v>9</v>
      </c>
      <c r="C2474" t="s">
        <v>26</v>
      </c>
      <c r="D2474">
        <v>224</v>
      </c>
      <c r="E2474">
        <v>50</v>
      </c>
      <c r="F2474" s="2">
        <v>38.5</v>
      </c>
      <c r="G2474" t="s">
        <v>35</v>
      </c>
      <c r="H2474" s="1">
        <v>45551</v>
      </c>
      <c r="I2474" s="1">
        <v>45564</v>
      </c>
      <c r="J2474" t="s">
        <v>37</v>
      </c>
      <c r="K2474" s="8">
        <f>Table2[[#This Row],[CurrentStock]]*Table2[[#This Row],[UnitPrice]]</f>
        <v>8624</v>
      </c>
      <c r="L2474" t="str">
        <f>IF(Table2[[#This Row],[CurrentStock]]&lt;=Table2[[#This Row],[ReorderLevel]], "Reorder Needed", "Okay")</f>
        <v>Okay</v>
      </c>
      <c r="M2474" t="str">
        <f>IF(Table2[[#This Row],[CurrentStock]]-Table2[[#This Row],[ReorderLevel]]&lt;0,Table2[[#This Row],[CurrentStock]]-Table2[[#This Row],[ReorderLevel]],"")</f>
        <v/>
      </c>
      <c r="N2474" t="str">
        <f>IF(Table2[[#This Row],[Stock Gap]]&lt;0, "Understock","Okay")</f>
        <v>Okay</v>
      </c>
      <c r="O2474" s="13" t="str">
        <f>IF(Table2[[#This Row],[Stock Gap]]&lt;0, "Yes", "No")</f>
        <v>No</v>
      </c>
      <c r="P2474" s="13" t="str">
        <f>IF(Table2[[#This Row],[CurrentStock]]&lt;Table2[[#This Row],[ReorderLevel]],"Reorder", "Okay")</f>
        <v>Okay</v>
      </c>
      <c r="Q2474" s="13" t="str">
        <f>IF(Table2[[#This Row],[CurrentStock]]&gt;Table2[[#This Row],[ReorderLevel]]*3, "Overstock", "Okay")</f>
        <v>Overstock</v>
      </c>
    </row>
    <row r="2475" spans="1:17" x14ac:dyDescent="0.35">
      <c r="A2475">
        <v>69327</v>
      </c>
      <c r="B2475" t="s">
        <v>10</v>
      </c>
      <c r="C2475" t="s">
        <v>26</v>
      </c>
      <c r="D2475">
        <v>116</v>
      </c>
      <c r="E2475">
        <v>30</v>
      </c>
      <c r="F2475" s="2">
        <v>162.43</v>
      </c>
      <c r="G2475" t="s">
        <v>33</v>
      </c>
      <c r="H2475" s="1">
        <v>45554</v>
      </c>
      <c r="I2475" s="1">
        <v>45591</v>
      </c>
      <c r="J2475" t="s">
        <v>38</v>
      </c>
      <c r="K2475" s="8">
        <f>Table2[[#This Row],[CurrentStock]]*Table2[[#This Row],[UnitPrice]]</f>
        <v>18841.88</v>
      </c>
      <c r="L2475" t="str">
        <f>IF(Table2[[#This Row],[CurrentStock]]&lt;=Table2[[#This Row],[ReorderLevel]], "Reorder Needed", "Okay")</f>
        <v>Okay</v>
      </c>
      <c r="M2475" t="str">
        <f>IF(Table2[[#This Row],[CurrentStock]]-Table2[[#This Row],[ReorderLevel]]&lt;0,Table2[[#This Row],[CurrentStock]]-Table2[[#This Row],[ReorderLevel]],"")</f>
        <v/>
      </c>
      <c r="N2475" t="str">
        <f>IF(Table2[[#This Row],[Stock Gap]]&lt;0, "Understock","Okay")</f>
        <v>Okay</v>
      </c>
      <c r="O2475" s="13" t="str">
        <f>IF(Table2[[#This Row],[Stock Gap]]&lt;0, "Yes", "No")</f>
        <v>No</v>
      </c>
      <c r="P2475" s="13" t="str">
        <f>IF(Table2[[#This Row],[CurrentStock]]&lt;Table2[[#This Row],[ReorderLevel]],"Reorder", "Okay")</f>
        <v>Okay</v>
      </c>
      <c r="Q2475" s="13" t="str">
        <f>IF(Table2[[#This Row],[CurrentStock]]&gt;Table2[[#This Row],[ReorderLevel]]*3, "Overstock", "Okay")</f>
        <v>Overstock</v>
      </c>
    </row>
    <row r="2476" spans="1:17" x14ac:dyDescent="0.35">
      <c r="A2476">
        <v>74501</v>
      </c>
      <c r="B2476" t="s">
        <v>17</v>
      </c>
      <c r="C2476" t="s">
        <v>27</v>
      </c>
      <c r="D2476">
        <v>89</v>
      </c>
      <c r="E2476">
        <v>50</v>
      </c>
      <c r="F2476" s="2">
        <v>217.77</v>
      </c>
      <c r="G2476" t="s">
        <v>34</v>
      </c>
      <c r="H2476" s="1">
        <v>45446</v>
      </c>
      <c r="I2476" s="1">
        <v>45465</v>
      </c>
      <c r="J2476" t="s">
        <v>37</v>
      </c>
      <c r="K2476" s="8">
        <f>Table2[[#This Row],[CurrentStock]]*Table2[[#This Row],[UnitPrice]]</f>
        <v>19381.530000000002</v>
      </c>
      <c r="L2476" t="str">
        <f>IF(Table2[[#This Row],[CurrentStock]]&lt;=Table2[[#This Row],[ReorderLevel]], "Reorder Needed", "Okay")</f>
        <v>Okay</v>
      </c>
      <c r="M2476" t="str">
        <f>IF(Table2[[#This Row],[CurrentStock]]-Table2[[#This Row],[ReorderLevel]]&lt;0,Table2[[#This Row],[CurrentStock]]-Table2[[#This Row],[ReorderLevel]],"")</f>
        <v/>
      </c>
      <c r="N2476" t="str">
        <f>IF(Table2[[#This Row],[Stock Gap]]&lt;0, "Understock","Okay")</f>
        <v>Okay</v>
      </c>
      <c r="O2476" s="13" t="str">
        <f>IF(Table2[[#This Row],[Stock Gap]]&lt;0, "Yes", "No")</f>
        <v>No</v>
      </c>
      <c r="P2476" s="13" t="str">
        <f>IF(Table2[[#This Row],[CurrentStock]]&lt;Table2[[#This Row],[ReorderLevel]],"Reorder", "Okay")</f>
        <v>Okay</v>
      </c>
      <c r="Q2476" s="13" t="str">
        <f>IF(Table2[[#This Row],[CurrentStock]]&gt;Table2[[#This Row],[ReorderLevel]]*3, "Overstock", "Okay")</f>
        <v>Okay</v>
      </c>
    </row>
    <row r="2477" spans="1:17" x14ac:dyDescent="0.35">
      <c r="A2477">
        <v>80904</v>
      </c>
      <c r="B2477" t="s">
        <v>19</v>
      </c>
      <c r="C2477" t="s">
        <v>28</v>
      </c>
      <c r="D2477">
        <v>79</v>
      </c>
      <c r="E2477">
        <v>150</v>
      </c>
      <c r="F2477" s="2">
        <v>82.7</v>
      </c>
      <c r="G2477" t="s">
        <v>32</v>
      </c>
      <c r="H2477" s="1">
        <v>45556</v>
      </c>
      <c r="I2477" s="1">
        <v>45593</v>
      </c>
      <c r="J2477" t="s">
        <v>38</v>
      </c>
      <c r="K2477" s="8">
        <f>Table2[[#This Row],[CurrentStock]]*Table2[[#This Row],[UnitPrice]]</f>
        <v>6533.3</v>
      </c>
      <c r="L2477" t="str">
        <f>IF(Table2[[#This Row],[CurrentStock]]&lt;=Table2[[#This Row],[ReorderLevel]], "Reorder Needed", "Okay")</f>
        <v>Reorder Needed</v>
      </c>
      <c r="M2477" s="7">
        <f>IF(Table2[[#This Row],[CurrentStock]]-Table2[[#This Row],[ReorderLevel]]&lt;0,Table2[[#This Row],[CurrentStock]]-Table2[[#This Row],[ReorderLevel]],"")</f>
        <v>-71</v>
      </c>
      <c r="N2477" t="str">
        <f>IF(Table2[[#This Row],[Stock Gap]]&lt;0, "Understock","Okay")</f>
        <v>Understock</v>
      </c>
      <c r="O2477" s="13" t="str">
        <f>IF(Table2[[#This Row],[Stock Gap]]&lt;0, "Yes", "No")</f>
        <v>Yes</v>
      </c>
      <c r="P2477" s="13" t="str">
        <f>IF(Table2[[#This Row],[CurrentStock]]&lt;Table2[[#This Row],[ReorderLevel]],"Reorder", "Okay")</f>
        <v>Reorder</v>
      </c>
      <c r="Q2477" s="13" t="str">
        <f>IF(Table2[[#This Row],[CurrentStock]]&gt;Table2[[#This Row],[ReorderLevel]]*3, "Overstock", "Okay")</f>
        <v>Okay</v>
      </c>
    </row>
    <row r="2478" spans="1:17" x14ac:dyDescent="0.35">
      <c r="A2478">
        <v>37546</v>
      </c>
      <c r="B2478" t="s">
        <v>12</v>
      </c>
      <c r="C2478" t="s">
        <v>28</v>
      </c>
      <c r="D2478">
        <v>188</v>
      </c>
      <c r="E2478">
        <v>20</v>
      </c>
      <c r="F2478" s="2">
        <v>249.49</v>
      </c>
      <c r="G2478" t="s">
        <v>31</v>
      </c>
      <c r="H2478" s="1">
        <v>45521</v>
      </c>
      <c r="I2478" s="1">
        <v>45550</v>
      </c>
      <c r="J2478" t="s">
        <v>36</v>
      </c>
      <c r="K2478" s="8">
        <f>Table2[[#This Row],[CurrentStock]]*Table2[[#This Row],[UnitPrice]]</f>
        <v>46904.12</v>
      </c>
      <c r="L2478" t="str">
        <f>IF(Table2[[#This Row],[CurrentStock]]&lt;=Table2[[#This Row],[ReorderLevel]], "Reorder Needed", "Okay")</f>
        <v>Okay</v>
      </c>
      <c r="M2478" t="str">
        <f>IF(Table2[[#This Row],[CurrentStock]]-Table2[[#This Row],[ReorderLevel]]&lt;0,Table2[[#This Row],[CurrentStock]]-Table2[[#This Row],[ReorderLevel]],"")</f>
        <v/>
      </c>
      <c r="N2478" t="str">
        <f>IF(Table2[[#This Row],[Stock Gap]]&lt;0, "Understock","Okay")</f>
        <v>Okay</v>
      </c>
      <c r="O2478" s="13" t="str">
        <f>IF(Table2[[#This Row],[Stock Gap]]&lt;0, "Yes", "No")</f>
        <v>No</v>
      </c>
      <c r="P2478" s="13" t="str">
        <f>IF(Table2[[#This Row],[CurrentStock]]&lt;Table2[[#This Row],[ReorderLevel]],"Reorder", "Okay")</f>
        <v>Okay</v>
      </c>
      <c r="Q2478" s="13" t="str">
        <f>IF(Table2[[#This Row],[CurrentStock]]&gt;Table2[[#This Row],[ReorderLevel]]*3, "Overstock", "Okay")</f>
        <v>Overstock</v>
      </c>
    </row>
    <row r="2479" spans="1:17" x14ac:dyDescent="0.35">
      <c r="A2479">
        <v>77082</v>
      </c>
      <c r="B2479" t="s">
        <v>9</v>
      </c>
      <c r="C2479" t="s">
        <v>26</v>
      </c>
      <c r="D2479">
        <v>402</v>
      </c>
      <c r="E2479">
        <v>40</v>
      </c>
      <c r="F2479" s="2">
        <v>151.61000000000001</v>
      </c>
      <c r="G2479" t="s">
        <v>31</v>
      </c>
      <c r="H2479" s="1">
        <v>45307</v>
      </c>
      <c r="I2479" s="1">
        <v>45346</v>
      </c>
      <c r="J2479" t="s">
        <v>38</v>
      </c>
      <c r="K2479" s="8">
        <f>Table2[[#This Row],[CurrentStock]]*Table2[[#This Row],[UnitPrice]]</f>
        <v>60947.220000000008</v>
      </c>
      <c r="L2479" t="str">
        <f>IF(Table2[[#This Row],[CurrentStock]]&lt;=Table2[[#This Row],[ReorderLevel]], "Reorder Needed", "Okay")</f>
        <v>Okay</v>
      </c>
      <c r="M2479" t="str">
        <f>IF(Table2[[#This Row],[CurrentStock]]-Table2[[#This Row],[ReorderLevel]]&lt;0,Table2[[#This Row],[CurrentStock]]-Table2[[#This Row],[ReorderLevel]],"")</f>
        <v/>
      </c>
      <c r="N2479" t="str">
        <f>IF(Table2[[#This Row],[Stock Gap]]&lt;0, "Understock","Okay")</f>
        <v>Okay</v>
      </c>
      <c r="O2479" s="13" t="str">
        <f>IF(Table2[[#This Row],[Stock Gap]]&lt;0, "Yes", "No")</f>
        <v>No</v>
      </c>
      <c r="P2479" s="13" t="str">
        <f>IF(Table2[[#This Row],[CurrentStock]]&lt;Table2[[#This Row],[ReorderLevel]],"Reorder", "Okay")</f>
        <v>Okay</v>
      </c>
      <c r="Q2479" s="13" t="str">
        <f>IF(Table2[[#This Row],[CurrentStock]]&gt;Table2[[#This Row],[ReorderLevel]]*3, "Overstock", "Okay")</f>
        <v>Overstock</v>
      </c>
    </row>
    <row r="2480" spans="1:17" x14ac:dyDescent="0.35">
      <c r="A2480">
        <v>70526</v>
      </c>
      <c r="B2480" t="s">
        <v>23</v>
      </c>
      <c r="C2480" t="s">
        <v>30</v>
      </c>
      <c r="D2480">
        <v>470</v>
      </c>
      <c r="E2480">
        <v>150</v>
      </c>
      <c r="F2480" s="2">
        <v>381.46</v>
      </c>
      <c r="G2480" t="s">
        <v>32</v>
      </c>
      <c r="H2480" s="1">
        <v>45523</v>
      </c>
      <c r="I2480" s="1">
        <v>45540</v>
      </c>
      <c r="J2480" t="s">
        <v>36</v>
      </c>
      <c r="K2480" s="8">
        <f>Table2[[#This Row],[CurrentStock]]*Table2[[#This Row],[UnitPrice]]</f>
        <v>179286.19999999998</v>
      </c>
      <c r="L2480" t="str">
        <f>IF(Table2[[#This Row],[CurrentStock]]&lt;=Table2[[#This Row],[ReorderLevel]], "Reorder Needed", "Okay")</f>
        <v>Okay</v>
      </c>
      <c r="M2480" t="str">
        <f>IF(Table2[[#This Row],[CurrentStock]]-Table2[[#This Row],[ReorderLevel]]&lt;0,Table2[[#This Row],[CurrentStock]]-Table2[[#This Row],[ReorderLevel]],"")</f>
        <v/>
      </c>
      <c r="N2480" t="str">
        <f>IF(Table2[[#This Row],[Stock Gap]]&lt;0, "Understock","Okay")</f>
        <v>Okay</v>
      </c>
      <c r="O2480" s="13" t="str">
        <f>IF(Table2[[#This Row],[Stock Gap]]&lt;0, "Yes", "No")</f>
        <v>No</v>
      </c>
      <c r="P2480" s="13" t="str">
        <f>IF(Table2[[#This Row],[CurrentStock]]&lt;Table2[[#This Row],[ReorderLevel]],"Reorder", "Okay")</f>
        <v>Okay</v>
      </c>
      <c r="Q2480" s="13" t="str">
        <f>IF(Table2[[#This Row],[CurrentStock]]&gt;Table2[[#This Row],[ReorderLevel]]*3, "Overstock", "Okay")</f>
        <v>Overstock</v>
      </c>
    </row>
    <row r="2481" spans="1:17" x14ac:dyDescent="0.35">
      <c r="A2481">
        <v>36564</v>
      </c>
      <c r="B2481" t="s">
        <v>15</v>
      </c>
      <c r="C2481" t="s">
        <v>29</v>
      </c>
      <c r="D2481">
        <v>120</v>
      </c>
      <c r="E2481">
        <v>50</v>
      </c>
      <c r="F2481" s="2">
        <v>438.77</v>
      </c>
      <c r="G2481" t="s">
        <v>34</v>
      </c>
      <c r="H2481" s="1">
        <v>45461</v>
      </c>
      <c r="I2481" s="1">
        <v>45478</v>
      </c>
      <c r="J2481" t="s">
        <v>38</v>
      </c>
      <c r="K2481" s="8">
        <f>Table2[[#This Row],[CurrentStock]]*Table2[[#This Row],[UnitPrice]]</f>
        <v>52652.399999999994</v>
      </c>
      <c r="L2481" t="str">
        <f>IF(Table2[[#This Row],[CurrentStock]]&lt;=Table2[[#This Row],[ReorderLevel]], "Reorder Needed", "Okay")</f>
        <v>Okay</v>
      </c>
      <c r="M2481" t="str">
        <f>IF(Table2[[#This Row],[CurrentStock]]-Table2[[#This Row],[ReorderLevel]]&lt;0,Table2[[#This Row],[CurrentStock]]-Table2[[#This Row],[ReorderLevel]],"")</f>
        <v/>
      </c>
      <c r="N2481" t="str">
        <f>IF(Table2[[#This Row],[Stock Gap]]&lt;0, "Understock","Okay")</f>
        <v>Okay</v>
      </c>
      <c r="O2481" s="13" t="str">
        <f>IF(Table2[[#This Row],[Stock Gap]]&lt;0, "Yes", "No")</f>
        <v>No</v>
      </c>
      <c r="P2481" s="13" t="str">
        <f>IF(Table2[[#This Row],[CurrentStock]]&lt;Table2[[#This Row],[ReorderLevel]],"Reorder", "Okay")</f>
        <v>Okay</v>
      </c>
      <c r="Q2481" s="13" t="str">
        <f>IF(Table2[[#This Row],[CurrentStock]]&gt;Table2[[#This Row],[ReorderLevel]]*3, "Overstock", "Okay")</f>
        <v>Okay</v>
      </c>
    </row>
    <row r="2482" spans="1:17" x14ac:dyDescent="0.35">
      <c r="A2482">
        <v>43488</v>
      </c>
      <c r="B2482" t="s">
        <v>14</v>
      </c>
      <c r="C2482" t="s">
        <v>28</v>
      </c>
      <c r="D2482">
        <v>66</v>
      </c>
      <c r="E2482">
        <v>80</v>
      </c>
      <c r="F2482" s="2">
        <v>374.14</v>
      </c>
      <c r="G2482" t="s">
        <v>33</v>
      </c>
      <c r="H2482" s="1">
        <v>45385</v>
      </c>
      <c r="I2482" s="1">
        <v>45396</v>
      </c>
      <c r="J2482" t="s">
        <v>38</v>
      </c>
      <c r="K2482" s="8">
        <f>Table2[[#This Row],[CurrentStock]]*Table2[[#This Row],[UnitPrice]]</f>
        <v>24693.239999999998</v>
      </c>
      <c r="L2482" t="str">
        <f>IF(Table2[[#This Row],[CurrentStock]]&lt;=Table2[[#This Row],[ReorderLevel]], "Reorder Needed", "Okay")</f>
        <v>Reorder Needed</v>
      </c>
      <c r="M2482" s="7">
        <f>IF(Table2[[#This Row],[CurrentStock]]-Table2[[#This Row],[ReorderLevel]]&lt;0,Table2[[#This Row],[CurrentStock]]-Table2[[#This Row],[ReorderLevel]],"")</f>
        <v>-14</v>
      </c>
      <c r="N2482" t="str">
        <f>IF(Table2[[#This Row],[Stock Gap]]&lt;0, "Understock","Okay")</f>
        <v>Understock</v>
      </c>
      <c r="O2482" s="13" t="str">
        <f>IF(Table2[[#This Row],[Stock Gap]]&lt;0, "Yes", "No")</f>
        <v>Yes</v>
      </c>
      <c r="P2482" s="13" t="str">
        <f>IF(Table2[[#This Row],[CurrentStock]]&lt;Table2[[#This Row],[ReorderLevel]],"Reorder", "Okay")</f>
        <v>Reorder</v>
      </c>
      <c r="Q2482" s="13" t="str">
        <f>IF(Table2[[#This Row],[CurrentStock]]&gt;Table2[[#This Row],[ReorderLevel]]*3, "Overstock", "Okay")</f>
        <v>Okay</v>
      </c>
    </row>
    <row r="2483" spans="1:17" x14ac:dyDescent="0.35">
      <c r="A2483">
        <v>42740</v>
      </c>
      <c r="B2483" t="s">
        <v>19</v>
      </c>
      <c r="C2483" t="s">
        <v>28</v>
      </c>
      <c r="D2483">
        <v>442</v>
      </c>
      <c r="E2483">
        <v>30</v>
      </c>
      <c r="F2483" s="2">
        <v>127.57</v>
      </c>
      <c r="G2483" t="s">
        <v>31</v>
      </c>
      <c r="H2483" s="1">
        <v>45477</v>
      </c>
      <c r="I2483" s="1">
        <v>45510</v>
      </c>
      <c r="J2483" t="s">
        <v>37</v>
      </c>
      <c r="K2483" s="8">
        <f>Table2[[#This Row],[CurrentStock]]*Table2[[#This Row],[UnitPrice]]</f>
        <v>56385.939999999995</v>
      </c>
      <c r="L2483" t="str">
        <f>IF(Table2[[#This Row],[CurrentStock]]&lt;=Table2[[#This Row],[ReorderLevel]], "Reorder Needed", "Okay")</f>
        <v>Okay</v>
      </c>
      <c r="M2483" t="str">
        <f>IF(Table2[[#This Row],[CurrentStock]]-Table2[[#This Row],[ReorderLevel]]&lt;0,Table2[[#This Row],[CurrentStock]]-Table2[[#This Row],[ReorderLevel]],"")</f>
        <v/>
      </c>
      <c r="N2483" t="str">
        <f>IF(Table2[[#This Row],[Stock Gap]]&lt;0, "Understock","Okay")</f>
        <v>Okay</v>
      </c>
      <c r="O2483" s="13" t="str">
        <f>IF(Table2[[#This Row],[Stock Gap]]&lt;0, "Yes", "No")</f>
        <v>No</v>
      </c>
      <c r="P2483" s="13" t="str">
        <f>IF(Table2[[#This Row],[CurrentStock]]&lt;Table2[[#This Row],[ReorderLevel]],"Reorder", "Okay")</f>
        <v>Okay</v>
      </c>
      <c r="Q2483" s="13" t="str">
        <f>IF(Table2[[#This Row],[CurrentStock]]&gt;Table2[[#This Row],[ReorderLevel]]*3, "Overstock", "Okay")</f>
        <v>Overstock</v>
      </c>
    </row>
    <row r="2484" spans="1:17" x14ac:dyDescent="0.35">
      <c r="A2484">
        <v>23987</v>
      </c>
      <c r="B2484" t="s">
        <v>12</v>
      </c>
      <c r="C2484" t="s">
        <v>28</v>
      </c>
      <c r="D2484">
        <v>468</v>
      </c>
      <c r="E2484">
        <v>30</v>
      </c>
      <c r="F2484" s="2">
        <v>291.41000000000003</v>
      </c>
      <c r="G2484" t="s">
        <v>33</v>
      </c>
      <c r="H2484" s="1">
        <v>45558</v>
      </c>
      <c r="I2484" s="1">
        <v>45576</v>
      </c>
      <c r="J2484" t="s">
        <v>36</v>
      </c>
      <c r="K2484" s="8">
        <f>Table2[[#This Row],[CurrentStock]]*Table2[[#This Row],[UnitPrice]]</f>
        <v>136379.88</v>
      </c>
      <c r="L2484" t="str">
        <f>IF(Table2[[#This Row],[CurrentStock]]&lt;=Table2[[#This Row],[ReorderLevel]], "Reorder Needed", "Okay")</f>
        <v>Okay</v>
      </c>
      <c r="M2484" t="str">
        <f>IF(Table2[[#This Row],[CurrentStock]]-Table2[[#This Row],[ReorderLevel]]&lt;0,Table2[[#This Row],[CurrentStock]]-Table2[[#This Row],[ReorderLevel]],"")</f>
        <v/>
      </c>
      <c r="N2484" t="str">
        <f>IF(Table2[[#This Row],[Stock Gap]]&lt;0, "Understock","Okay")</f>
        <v>Okay</v>
      </c>
      <c r="O2484" s="13" t="str">
        <f>IF(Table2[[#This Row],[Stock Gap]]&lt;0, "Yes", "No")</f>
        <v>No</v>
      </c>
      <c r="P2484" s="13" t="str">
        <f>IF(Table2[[#This Row],[CurrentStock]]&lt;Table2[[#This Row],[ReorderLevel]],"Reorder", "Okay")</f>
        <v>Okay</v>
      </c>
      <c r="Q2484" s="13" t="str">
        <f>IF(Table2[[#This Row],[CurrentStock]]&gt;Table2[[#This Row],[ReorderLevel]]*3, "Overstock", "Okay")</f>
        <v>Overstock</v>
      </c>
    </row>
    <row r="2485" spans="1:17" x14ac:dyDescent="0.35">
      <c r="A2485">
        <v>79741</v>
      </c>
      <c r="B2485" t="s">
        <v>23</v>
      </c>
      <c r="C2485" t="s">
        <v>30</v>
      </c>
      <c r="D2485">
        <v>362</v>
      </c>
      <c r="E2485">
        <v>50</v>
      </c>
      <c r="F2485" s="2">
        <v>22.78</v>
      </c>
      <c r="G2485" t="s">
        <v>32</v>
      </c>
      <c r="H2485" s="1">
        <v>45417</v>
      </c>
      <c r="I2485" s="1">
        <v>45425</v>
      </c>
      <c r="J2485" t="s">
        <v>36</v>
      </c>
      <c r="K2485" s="8">
        <f>Table2[[#This Row],[CurrentStock]]*Table2[[#This Row],[UnitPrice]]</f>
        <v>8246.36</v>
      </c>
      <c r="L2485" t="str">
        <f>IF(Table2[[#This Row],[CurrentStock]]&lt;=Table2[[#This Row],[ReorderLevel]], "Reorder Needed", "Okay")</f>
        <v>Okay</v>
      </c>
      <c r="M2485" t="str">
        <f>IF(Table2[[#This Row],[CurrentStock]]-Table2[[#This Row],[ReorderLevel]]&lt;0,Table2[[#This Row],[CurrentStock]]-Table2[[#This Row],[ReorderLevel]],"")</f>
        <v/>
      </c>
      <c r="N2485" t="str">
        <f>IF(Table2[[#This Row],[Stock Gap]]&lt;0, "Understock","Okay")</f>
        <v>Okay</v>
      </c>
      <c r="O2485" s="13" t="str">
        <f>IF(Table2[[#This Row],[Stock Gap]]&lt;0, "Yes", "No")</f>
        <v>No</v>
      </c>
      <c r="P2485" s="13" t="str">
        <f>IF(Table2[[#This Row],[CurrentStock]]&lt;Table2[[#This Row],[ReorderLevel]],"Reorder", "Okay")</f>
        <v>Okay</v>
      </c>
      <c r="Q2485" s="13" t="str">
        <f>IF(Table2[[#This Row],[CurrentStock]]&gt;Table2[[#This Row],[ReorderLevel]]*3, "Overstock", "Okay")</f>
        <v>Overstock</v>
      </c>
    </row>
    <row r="2486" spans="1:17" x14ac:dyDescent="0.35">
      <c r="A2486">
        <v>45411</v>
      </c>
      <c r="B2486" t="s">
        <v>20</v>
      </c>
      <c r="C2486" t="s">
        <v>30</v>
      </c>
      <c r="D2486">
        <v>75</v>
      </c>
      <c r="E2486">
        <v>40</v>
      </c>
      <c r="F2486" s="2">
        <v>35.25</v>
      </c>
      <c r="G2486" t="s">
        <v>33</v>
      </c>
      <c r="H2486" s="1">
        <v>45481</v>
      </c>
      <c r="I2486" s="1">
        <v>45489</v>
      </c>
      <c r="J2486" t="s">
        <v>38</v>
      </c>
      <c r="K2486" s="8">
        <f>Table2[[#This Row],[CurrentStock]]*Table2[[#This Row],[UnitPrice]]</f>
        <v>2643.75</v>
      </c>
      <c r="L2486" t="str">
        <f>IF(Table2[[#This Row],[CurrentStock]]&lt;=Table2[[#This Row],[ReorderLevel]], "Reorder Needed", "Okay")</f>
        <v>Okay</v>
      </c>
      <c r="M2486" t="str">
        <f>IF(Table2[[#This Row],[CurrentStock]]-Table2[[#This Row],[ReorderLevel]]&lt;0,Table2[[#This Row],[CurrentStock]]-Table2[[#This Row],[ReorderLevel]],"")</f>
        <v/>
      </c>
      <c r="N2486" t="str">
        <f>IF(Table2[[#This Row],[Stock Gap]]&lt;0, "Understock","Okay")</f>
        <v>Okay</v>
      </c>
      <c r="O2486" s="13" t="str">
        <f>IF(Table2[[#This Row],[Stock Gap]]&lt;0, "Yes", "No")</f>
        <v>No</v>
      </c>
      <c r="P2486" s="13" t="str">
        <f>IF(Table2[[#This Row],[CurrentStock]]&lt;Table2[[#This Row],[ReorderLevel]],"Reorder", "Okay")</f>
        <v>Okay</v>
      </c>
      <c r="Q2486" s="13" t="str">
        <f>IF(Table2[[#This Row],[CurrentStock]]&gt;Table2[[#This Row],[ReorderLevel]]*3, "Overstock", "Okay")</f>
        <v>Okay</v>
      </c>
    </row>
    <row r="2487" spans="1:17" x14ac:dyDescent="0.35">
      <c r="A2487">
        <v>25772</v>
      </c>
      <c r="B2487" t="s">
        <v>25</v>
      </c>
      <c r="C2487" t="s">
        <v>29</v>
      </c>
      <c r="D2487">
        <v>9</v>
      </c>
      <c r="E2487">
        <v>100</v>
      </c>
      <c r="F2487" s="2">
        <v>412.49</v>
      </c>
      <c r="G2487" t="s">
        <v>32</v>
      </c>
      <c r="H2487" s="1">
        <v>45346</v>
      </c>
      <c r="I2487" s="1">
        <v>45353</v>
      </c>
      <c r="J2487" t="s">
        <v>36</v>
      </c>
      <c r="K2487" s="8">
        <f>Table2[[#This Row],[CurrentStock]]*Table2[[#This Row],[UnitPrice]]</f>
        <v>3712.41</v>
      </c>
      <c r="L2487" t="str">
        <f>IF(Table2[[#This Row],[CurrentStock]]&lt;=Table2[[#This Row],[ReorderLevel]], "Reorder Needed", "Okay")</f>
        <v>Reorder Needed</v>
      </c>
      <c r="M2487" s="7">
        <f>IF(Table2[[#This Row],[CurrentStock]]-Table2[[#This Row],[ReorderLevel]]&lt;0,Table2[[#This Row],[CurrentStock]]-Table2[[#This Row],[ReorderLevel]],"")</f>
        <v>-91</v>
      </c>
      <c r="N2487" t="str">
        <f>IF(Table2[[#This Row],[Stock Gap]]&lt;0, "Understock","Okay")</f>
        <v>Understock</v>
      </c>
      <c r="O2487" s="13" t="str">
        <f>IF(Table2[[#This Row],[Stock Gap]]&lt;0, "Yes", "No")</f>
        <v>Yes</v>
      </c>
      <c r="P2487" s="13" t="str">
        <f>IF(Table2[[#This Row],[CurrentStock]]&lt;Table2[[#This Row],[ReorderLevel]],"Reorder", "Okay")</f>
        <v>Reorder</v>
      </c>
      <c r="Q2487" s="13" t="str">
        <f>IF(Table2[[#This Row],[CurrentStock]]&gt;Table2[[#This Row],[ReorderLevel]]*3, "Overstock", "Okay")</f>
        <v>Okay</v>
      </c>
    </row>
    <row r="2488" spans="1:17" x14ac:dyDescent="0.35">
      <c r="A2488">
        <v>16228</v>
      </c>
      <c r="B2488" t="s">
        <v>19</v>
      </c>
      <c r="C2488" t="s">
        <v>28</v>
      </c>
      <c r="D2488">
        <v>441</v>
      </c>
      <c r="E2488">
        <v>40</v>
      </c>
      <c r="F2488" s="2">
        <v>113.9</v>
      </c>
      <c r="G2488" t="s">
        <v>35</v>
      </c>
      <c r="H2488" s="1">
        <v>45545</v>
      </c>
      <c r="I2488" s="1">
        <v>45561</v>
      </c>
      <c r="J2488" t="s">
        <v>37</v>
      </c>
      <c r="K2488" s="8">
        <f>Table2[[#This Row],[CurrentStock]]*Table2[[#This Row],[UnitPrice]]</f>
        <v>50229.9</v>
      </c>
      <c r="L2488" t="str">
        <f>IF(Table2[[#This Row],[CurrentStock]]&lt;=Table2[[#This Row],[ReorderLevel]], "Reorder Needed", "Okay")</f>
        <v>Okay</v>
      </c>
      <c r="M2488" t="str">
        <f>IF(Table2[[#This Row],[CurrentStock]]-Table2[[#This Row],[ReorderLevel]]&lt;0,Table2[[#This Row],[CurrentStock]]-Table2[[#This Row],[ReorderLevel]],"")</f>
        <v/>
      </c>
      <c r="N2488" t="str">
        <f>IF(Table2[[#This Row],[Stock Gap]]&lt;0, "Understock","Okay")</f>
        <v>Okay</v>
      </c>
      <c r="O2488" s="13" t="str">
        <f>IF(Table2[[#This Row],[Stock Gap]]&lt;0, "Yes", "No")</f>
        <v>No</v>
      </c>
      <c r="P2488" s="13" t="str">
        <f>IF(Table2[[#This Row],[CurrentStock]]&lt;Table2[[#This Row],[ReorderLevel]],"Reorder", "Okay")</f>
        <v>Okay</v>
      </c>
      <c r="Q2488" s="13" t="str">
        <f>IF(Table2[[#This Row],[CurrentStock]]&gt;Table2[[#This Row],[ReorderLevel]]*3, "Overstock", "Okay")</f>
        <v>Overstock</v>
      </c>
    </row>
    <row r="2489" spans="1:17" x14ac:dyDescent="0.35">
      <c r="A2489">
        <v>98770</v>
      </c>
      <c r="B2489" t="s">
        <v>19</v>
      </c>
      <c r="C2489" t="s">
        <v>28</v>
      </c>
      <c r="D2489">
        <v>192</v>
      </c>
      <c r="E2489">
        <v>80</v>
      </c>
      <c r="F2489" s="2">
        <v>350.71</v>
      </c>
      <c r="G2489" t="s">
        <v>34</v>
      </c>
      <c r="H2489" s="1">
        <v>45535</v>
      </c>
      <c r="I2489" s="1">
        <v>45559</v>
      </c>
      <c r="J2489" t="s">
        <v>37</v>
      </c>
      <c r="K2489" s="8">
        <f>Table2[[#This Row],[CurrentStock]]*Table2[[#This Row],[UnitPrice]]</f>
        <v>67336.319999999992</v>
      </c>
      <c r="L2489" t="str">
        <f>IF(Table2[[#This Row],[CurrentStock]]&lt;=Table2[[#This Row],[ReorderLevel]], "Reorder Needed", "Okay")</f>
        <v>Okay</v>
      </c>
      <c r="M2489" t="str">
        <f>IF(Table2[[#This Row],[CurrentStock]]-Table2[[#This Row],[ReorderLevel]]&lt;0,Table2[[#This Row],[CurrentStock]]-Table2[[#This Row],[ReorderLevel]],"")</f>
        <v/>
      </c>
      <c r="N2489" t="str">
        <f>IF(Table2[[#This Row],[Stock Gap]]&lt;0, "Understock","Okay")</f>
        <v>Okay</v>
      </c>
      <c r="O2489" s="13" t="str">
        <f>IF(Table2[[#This Row],[Stock Gap]]&lt;0, "Yes", "No")</f>
        <v>No</v>
      </c>
      <c r="P2489" s="13" t="str">
        <f>IF(Table2[[#This Row],[CurrentStock]]&lt;Table2[[#This Row],[ReorderLevel]],"Reorder", "Okay")</f>
        <v>Okay</v>
      </c>
      <c r="Q2489" s="13" t="str">
        <f>IF(Table2[[#This Row],[CurrentStock]]&gt;Table2[[#This Row],[ReorderLevel]]*3, "Overstock", "Okay")</f>
        <v>Okay</v>
      </c>
    </row>
    <row r="2490" spans="1:17" x14ac:dyDescent="0.35">
      <c r="A2490">
        <v>47488</v>
      </c>
      <c r="B2490" t="s">
        <v>23</v>
      </c>
      <c r="C2490" t="s">
        <v>30</v>
      </c>
      <c r="D2490">
        <v>298</v>
      </c>
      <c r="E2490">
        <v>80</v>
      </c>
      <c r="F2490" s="2">
        <v>473.39</v>
      </c>
      <c r="G2490" t="s">
        <v>32</v>
      </c>
      <c r="H2490" s="1">
        <v>45464</v>
      </c>
      <c r="I2490" s="1">
        <v>45485</v>
      </c>
      <c r="J2490" t="s">
        <v>36</v>
      </c>
      <c r="K2490" s="8">
        <f>Table2[[#This Row],[CurrentStock]]*Table2[[#This Row],[UnitPrice]]</f>
        <v>141070.22</v>
      </c>
      <c r="L2490" t="str">
        <f>IF(Table2[[#This Row],[CurrentStock]]&lt;=Table2[[#This Row],[ReorderLevel]], "Reorder Needed", "Okay")</f>
        <v>Okay</v>
      </c>
      <c r="M2490" t="str">
        <f>IF(Table2[[#This Row],[CurrentStock]]-Table2[[#This Row],[ReorderLevel]]&lt;0,Table2[[#This Row],[CurrentStock]]-Table2[[#This Row],[ReorderLevel]],"")</f>
        <v/>
      </c>
      <c r="N2490" t="str">
        <f>IF(Table2[[#This Row],[Stock Gap]]&lt;0, "Understock","Okay")</f>
        <v>Okay</v>
      </c>
      <c r="O2490" s="13" t="str">
        <f>IF(Table2[[#This Row],[Stock Gap]]&lt;0, "Yes", "No")</f>
        <v>No</v>
      </c>
      <c r="P2490" s="13" t="str">
        <f>IF(Table2[[#This Row],[CurrentStock]]&lt;Table2[[#This Row],[ReorderLevel]],"Reorder", "Okay")</f>
        <v>Okay</v>
      </c>
      <c r="Q2490" s="13" t="str">
        <f>IF(Table2[[#This Row],[CurrentStock]]&gt;Table2[[#This Row],[ReorderLevel]]*3, "Overstock", "Okay")</f>
        <v>Overstock</v>
      </c>
    </row>
    <row r="2491" spans="1:17" x14ac:dyDescent="0.35">
      <c r="A2491">
        <v>84215</v>
      </c>
      <c r="B2491" t="s">
        <v>21</v>
      </c>
      <c r="C2491" t="s">
        <v>26</v>
      </c>
      <c r="D2491">
        <v>318</v>
      </c>
      <c r="E2491">
        <v>20</v>
      </c>
      <c r="F2491" s="2">
        <v>456.33</v>
      </c>
      <c r="G2491" t="s">
        <v>31</v>
      </c>
      <c r="H2491" s="1">
        <v>45642</v>
      </c>
      <c r="I2491" s="1">
        <v>45649</v>
      </c>
      <c r="J2491" t="s">
        <v>36</v>
      </c>
      <c r="K2491" s="8">
        <f>Table2[[#This Row],[CurrentStock]]*Table2[[#This Row],[UnitPrice]]</f>
        <v>145112.94</v>
      </c>
      <c r="L2491" t="str">
        <f>IF(Table2[[#This Row],[CurrentStock]]&lt;=Table2[[#This Row],[ReorderLevel]], "Reorder Needed", "Okay")</f>
        <v>Okay</v>
      </c>
      <c r="M2491" t="str">
        <f>IF(Table2[[#This Row],[CurrentStock]]-Table2[[#This Row],[ReorderLevel]]&lt;0,Table2[[#This Row],[CurrentStock]]-Table2[[#This Row],[ReorderLevel]],"")</f>
        <v/>
      </c>
      <c r="N2491" t="str">
        <f>IF(Table2[[#This Row],[Stock Gap]]&lt;0, "Understock","Okay")</f>
        <v>Okay</v>
      </c>
      <c r="O2491" s="13" t="str">
        <f>IF(Table2[[#This Row],[Stock Gap]]&lt;0, "Yes", "No")</f>
        <v>No</v>
      </c>
      <c r="P2491" s="13" t="str">
        <f>IF(Table2[[#This Row],[CurrentStock]]&lt;Table2[[#This Row],[ReorderLevel]],"Reorder", "Okay")</f>
        <v>Okay</v>
      </c>
      <c r="Q2491" s="13" t="str">
        <f>IF(Table2[[#This Row],[CurrentStock]]&gt;Table2[[#This Row],[ReorderLevel]]*3, "Overstock", "Okay")</f>
        <v>Overstock</v>
      </c>
    </row>
    <row r="2492" spans="1:17" x14ac:dyDescent="0.35">
      <c r="A2492">
        <v>26631</v>
      </c>
      <c r="B2492" t="s">
        <v>21</v>
      </c>
      <c r="C2492" t="s">
        <v>26</v>
      </c>
      <c r="D2492">
        <v>12</v>
      </c>
      <c r="E2492">
        <v>80</v>
      </c>
      <c r="F2492" s="2">
        <v>59.97</v>
      </c>
      <c r="G2492" t="s">
        <v>33</v>
      </c>
      <c r="H2492" s="1">
        <v>45499</v>
      </c>
      <c r="I2492" s="1">
        <v>45524</v>
      </c>
      <c r="J2492" t="s">
        <v>36</v>
      </c>
      <c r="K2492" s="8">
        <f>Table2[[#This Row],[CurrentStock]]*Table2[[#This Row],[UnitPrice]]</f>
        <v>719.64</v>
      </c>
      <c r="L2492" t="str">
        <f>IF(Table2[[#This Row],[CurrentStock]]&lt;=Table2[[#This Row],[ReorderLevel]], "Reorder Needed", "Okay")</f>
        <v>Reorder Needed</v>
      </c>
      <c r="M2492" s="7">
        <f>IF(Table2[[#This Row],[CurrentStock]]-Table2[[#This Row],[ReorderLevel]]&lt;0,Table2[[#This Row],[CurrentStock]]-Table2[[#This Row],[ReorderLevel]],"")</f>
        <v>-68</v>
      </c>
      <c r="N2492" t="str">
        <f>IF(Table2[[#This Row],[Stock Gap]]&lt;0, "Understock","Okay")</f>
        <v>Understock</v>
      </c>
      <c r="O2492" s="13" t="str">
        <f>IF(Table2[[#This Row],[Stock Gap]]&lt;0, "Yes", "No")</f>
        <v>Yes</v>
      </c>
      <c r="P2492" s="13" t="str">
        <f>IF(Table2[[#This Row],[CurrentStock]]&lt;Table2[[#This Row],[ReorderLevel]],"Reorder", "Okay")</f>
        <v>Reorder</v>
      </c>
      <c r="Q2492" s="13" t="str">
        <f>IF(Table2[[#This Row],[CurrentStock]]&gt;Table2[[#This Row],[ReorderLevel]]*3, "Overstock", "Okay")</f>
        <v>Okay</v>
      </c>
    </row>
    <row r="2493" spans="1:17" x14ac:dyDescent="0.35">
      <c r="A2493">
        <v>76904</v>
      </c>
      <c r="B2493" t="s">
        <v>21</v>
      </c>
      <c r="C2493" t="s">
        <v>26</v>
      </c>
      <c r="D2493">
        <v>200</v>
      </c>
      <c r="E2493">
        <v>20</v>
      </c>
      <c r="F2493" s="2">
        <v>22.57</v>
      </c>
      <c r="G2493" t="s">
        <v>31</v>
      </c>
      <c r="H2493" s="1">
        <v>45648</v>
      </c>
      <c r="I2493" s="1">
        <v>45676</v>
      </c>
      <c r="J2493" t="s">
        <v>36</v>
      </c>
      <c r="K2493" s="8">
        <f>Table2[[#This Row],[CurrentStock]]*Table2[[#This Row],[UnitPrice]]</f>
        <v>4514</v>
      </c>
      <c r="L2493" t="str">
        <f>IF(Table2[[#This Row],[CurrentStock]]&lt;=Table2[[#This Row],[ReorderLevel]], "Reorder Needed", "Okay")</f>
        <v>Okay</v>
      </c>
      <c r="M2493" t="str">
        <f>IF(Table2[[#This Row],[CurrentStock]]-Table2[[#This Row],[ReorderLevel]]&lt;0,Table2[[#This Row],[CurrentStock]]-Table2[[#This Row],[ReorderLevel]],"")</f>
        <v/>
      </c>
      <c r="N2493" t="str">
        <f>IF(Table2[[#This Row],[Stock Gap]]&lt;0, "Understock","Okay")</f>
        <v>Okay</v>
      </c>
      <c r="O2493" s="13" t="str">
        <f>IF(Table2[[#This Row],[Stock Gap]]&lt;0, "Yes", "No")</f>
        <v>No</v>
      </c>
      <c r="P2493" s="13" t="str">
        <f>IF(Table2[[#This Row],[CurrentStock]]&lt;Table2[[#This Row],[ReorderLevel]],"Reorder", "Okay")</f>
        <v>Okay</v>
      </c>
      <c r="Q2493" s="13" t="str">
        <f>IF(Table2[[#This Row],[CurrentStock]]&gt;Table2[[#This Row],[ReorderLevel]]*3, "Overstock", "Okay")</f>
        <v>Overstock</v>
      </c>
    </row>
    <row r="2494" spans="1:17" x14ac:dyDescent="0.35">
      <c r="A2494">
        <v>88651</v>
      </c>
      <c r="B2494" t="s">
        <v>15</v>
      </c>
      <c r="C2494" t="s">
        <v>29</v>
      </c>
      <c r="D2494">
        <v>423</v>
      </c>
      <c r="E2494">
        <v>40</v>
      </c>
      <c r="F2494" s="2">
        <v>357.01</v>
      </c>
      <c r="G2494" t="s">
        <v>32</v>
      </c>
      <c r="H2494" s="1">
        <v>45327</v>
      </c>
      <c r="I2494" s="1">
        <v>45346</v>
      </c>
      <c r="J2494" t="s">
        <v>36</v>
      </c>
      <c r="K2494" s="8">
        <f>Table2[[#This Row],[CurrentStock]]*Table2[[#This Row],[UnitPrice]]</f>
        <v>151015.23000000001</v>
      </c>
      <c r="L2494" t="str">
        <f>IF(Table2[[#This Row],[CurrentStock]]&lt;=Table2[[#This Row],[ReorderLevel]], "Reorder Needed", "Okay")</f>
        <v>Okay</v>
      </c>
      <c r="M2494" t="str">
        <f>IF(Table2[[#This Row],[CurrentStock]]-Table2[[#This Row],[ReorderLevel]]&lt;0,Table2[[#This Row],[CurrentStock]]-Table2[[#This Row],[ReorderLevel]],"")</f>
        <v/>
      </c>
      <c r="N2494" t="str">
        <f>IF(Table2[[#This Row],[Stock Gap]]&lt;0, "Understock","Okay")</f>
        <v>Okay</v>
      </c>
      <c r="O2494" s="13" t="str">
        <f>IF(Table2[[#This Row],[Stock Gap]]&lt;0, "Yes", "No")</f>
        <v>No</v>
      </c>
      <c r="P2494" s="13" t="str">
        <f>IF(Table2[[#This Row],[CurrentStock]]&lt;Table2[[#This Row],[ReorderLevel]],"Reorder", "Okay")</f>
        <v>Okay</v>
      </c>
      <c r="Q2494" s="13" t="str">
        <f>IF(Table2[[#This Row],[CurrentStock]]&gt;Table2[[#This Row],[ReorderLevel]]*3, "Overstock", "Okay")</f>
        <v>Overstock</v>
      </c>
    </row>
    <row r="2495" spans="1:17" x14ac:dyDescent="0.35">
      <c r="A2495">
        <v>51682</v>
      </c>
      <c r="B2495" t="s">
        <v>23</v>
      </c>
      <c r="C2495" t="s">
        <v>30</v>
      </c>
      <c r="D2495">
        <v>274</v>
      </c>
      <c r="E2495">
        <v>150</v>
      </c>
      <c r="F2495" s="2">
        <v>83.93</v>
      </c>
      <c r="G2495" t="s">
        <v>32</v>
      </c>
      <c r="H2495" s="1">
        <v>45576</v>
      </c>
      <c r="I2495" s="1">
        <v>45614</v>
      </c>
      <c r="J2495" t="s">
        <v>38</v>
      </c>
      <c r="K2495" s="8">
        <f>Table2[[#This Row],[CurrentStock]]*Table2[[#This Row],[UnitPrice]]</f>
        <v>22996.820000000003</v>
      </c>
      <c r="L2495" t="str">
        <f>IF(Table2[[#This Row],[CurrentStock]]&lt;=Table2[[#This Row],[ReorderLevel]], "Reorder Needed", "Okay")</f>
        <v>Okay</v>
      </c>
      <c r="M2495" t="str">
        <f>IF(Table2[[#This Row],[CurrentStock]]-Table2[[#This Row],[ReorderLevel]]&lt;0,Table2[[#This Row],[CurrentStock]]-Table2[[#This Row],[ReorderLevel]],"")</f>
        <v/>
      </c>
      <c r="N2495" t="str">
        <f>IF(Table2[[#This Row],[Stock Gap]]&lt;0, "Understock","Okay")</f>
        <v>Okay</v>
      </c>
      <c r="O2495" s="13" t="str">
        <f>IF(Table2[[#This Row],[Stock Gap]]&lt;0, "Yes", "No")</f>
        <v>No</v>
      </c>
      <c r="P2495" s="13" t="str">
        <f>IF(Table2[[#This Row],[CurrentStock]]&lt;Table2[[#This Row],[ReorderLevel]],"Reorder", "Okay")</f>
        <v>Okay</v>
      </c>
      <c r="Q2495" s="13" t="str">
        <f>IF(Table2[[#This Row],[CurrentStock]]&gt;Table2[[#This Row],[ReorderLevel]]*3, "Overstock", "Okay")</f>
        <v>Okay</v>
      </c>
    </row>
    <row r="2496" spans="1:17" x14ac:dyDescent="0.35">
      <c r="A2496">
        <v>23416</v>
      </c>
      <c r="B2496" t="s">
        <v>21</v>
      </c>
      <c r="C2496" t="s">
        <v>26</v>
      </c>
      <c r="D2496">
        <v>261</v>
      </c>
      <c r="E2496">
        <v>150</v>
      </c>
      <c r="F2496" s="2">
        <v>457.99</v>
      </c>
      <c r="G2496" t="s">
        <v>35</v>
      </c>
      <c r="H2496" s="1">
        <v>45553</v>
      </c>
      <c r="I2496" s="1">
        <v>45588</v>
      </c>
      <c r="J2496" t="s">
        <v>36</v>
      </c>
      <c r="K2496" s="8">
        <f>Table2[[#This Row],[CurrentStock]]*Table2[[#This Row],[UnitPrice]]</f>
        <v>119535.39</v>
      </c>
      <c r="L2496" t="str">
        <f>IF(Table2[[#This Row],[CurrentStock]]&lt;=Table2[[#This Row],[ReorderLevel]], "Reorder Needed", "Okay")</f>
        <v>Okay</v>
      </c>
      <c r="M2496" t="str">
        <f>IF(Table2[[#This Row],[CurrentStock]]-Table2[[#This Row],[ReorderLevel]]&lt;0,Table2[[#This Row],[CurrentStock]]-Table2[[#This Row],[ReorderLevel]],"")</f>
        <v/>
      </c>
      <c r="N2496" t="str">
        <f>IF(Table2[[#This Row],[Stock Gap]]&lt;0, "Understock","Okay")</f>
        <v>Okay</v>
      </c>
      <c r="O2496" s="13" t="str">
        <f>IF(Table2[[#This Row],[Stock Gap]]&lt;0, "Yes", "No")</f>
        <v>No</v>
      </c>
      <c r="P2496" s="13" t="str">
        <f>IF(Table2[[#This Row],[CurrentStock]]&lt;Table2[[#This Row],[ReorderLevel]],"Reorder", "Okay")</f>
        <v>Okay</v>
      </c>
      <c r="Q2496" s="13" t="str">
        <f>IF(Table2[[#This Row],[CurrentStock]]&gt;Table2[[#This Row],[ReorderLevel]]*3, "Overstock", "Okay")</f>
        <v>Okay</v>
      </c>
    </row>
    <row r="2497" spans="1:17" x14ac:dyDescent="0.35">
      <c r="A2497">
        <v>54550</v>
      </c>
      <c r="B2497" t="s">
        <v>13</v>
      </c>
      <c r="C2497" t="s">
        <v>26</v>
      </c>
      <c r="D2497">
        <v>342</v>
      </c>
      <c r="E2497">
        <v>100</v>
      </c>
      <c r="F2497" s="2">
        <v>206.25</v>
      </c>
      <c r="G2497" t="s">
        <v>32</v>
      </c>
      <c r="H2497" s="1">
        <v>45455</v>
      </c>
      <c r="I2497" s="1">
        <v>45484</v>
      </c>
      <c r="J2497" t="s">
        <v>36</v>
      </c>
      <c r="K2497" s="8">
        <f>Table2[[#This Row],[CurrentStock]]*Table2[[#This Row],[UnitPrice]]</f>
        <v>70537.5</v>
      </c>
      <c r="L2497" t="str">
        <f>IF(Table2[[#This Row],[CurrentStock]]&lt;=Table2[[#This Row],[ReorderLevel]], "Reorder Needed", "Okay")</f>
        <v>Okay</v>
      </c>
      <c r="M2497" t="str">
        <f>IF(Table2[[#This Row],[CurrentStock]]-Table2[[#This Row],[ReorderLevel]]&lt;0,Table2[[#This Row],[CurrentStock]]-Table2[[#This Row],[ReorderLevel]],"")</f>
        <v/>
      </c>
      <c r="N2497" t="str">
        <f>IF(Table2[[#This Row],[Stock Gap]]&lt;0, "Understock","Okay")</f>
        <v>Okay</v>
      </c>
      <c r="O2497" s="13" t="str">
        <f>IF(Table2[[#This Row],[Stock Gap]]&lt;0, "Yes", "No")</f>
        <v>No</v>
      </c>
      <c r="P2497" s="13" t="str">
        <f>IF(Table2[[#This Row],[CurrentStock]]&lt;Table2[[#This Row],[ReorderLevel]],"Reorder", "Okay")</f>
        <v>Okay</v>
      </c>
      <c r="Q2497" s="13" t="str">
        <f>IF(Table2[[#This Row],[CurrentStock]]&gt;Table2[[#This Row],[ReorderLevel]]*3, "Overstock", "Okay")</f>
        <v>Overstock</v>
      </c>
    </row>
    <row r="2498" spans="1:17" x14ac:dyDescent="0.35">
      <c r="A2498">
        <v>84861</v>
      </c>
      <c r="B2498" t="s">
        <v>9</v>
      </c>
      <c r="C2498" t="s">
        <v>26</v>
      </c>
      <c r="D2498">
        <v>273</v>
      </c>
      <c r="E2498">
        <v>30</v>
      </c>
      <c r="F2498" s="2">
        <v>250.07</v>
      </c>
      <c r="G2498" t="s">
        <v>34</v>
      </c>
      <c r="H2498" s="1">
        <v>45370</v>
      </c>
      <c r="I2498" s="1">
        <v>45409</v>
      </c>
      <c r="J2498" t="s">
        <v>37</v>
      </c>
      <c r="K2498" s="8">
        <f>Table2[[#This Row],[CurrentStock]]*Table2[[#This Row],[UnitPrice]]</f>
        <v>68269.11</v>
      </c>
      <c r="L2498" t="str">
        <f>IF(Table2[[#This Row],[CurrentStock]]&lt;=Table2[[#This Row],[ReorderLevel]], "Reorder Needed", "Okay")</f>
        <v>Okay</v>
      </c>
      <c r="M2498" t="str">
        <f>IF(Table2[[#This Row],[CurrentStock]]-Table2[[#This Row],[ReorderLevel]]&lt;0,Table2[[#This Row],[CurrentStock]]-Table2[[#This Row],[ReorderLevel]],"")</f>
        <v/>
      </c>
      <c r="N2498" t="str">
        <f>IF(Table2[[#This Row],[Stock Gap]]&lt;0, "Understock","Okay")</f>
        <v>Okay</v>
      </c>
      <c r="O2498" s="13" t="str">
        <f>IF(Table2[[#This Row],[Stock Gap]]&lt;0, "Yes", "No")</f>
        <v>No</v>
      </c>
      <c r="P2498" s="13" t="str">
        <f>IF(Table2[[#This Row],[CurrentStock]]&lt;Table2[[#This Row],[ReorderLevel]],"Reorder", "Okay")</f>
        <v>Okay</v>
      </c>
      <c r="Q2498" s="13" t="str">
        <f>IF(Table2[[#This Row],[CurrentStock]]&gt;Table2[[#This Row],[ReorderLevel]]*3, "Overstock", "Okay")</f>
        <v>Overstock</v>
      </c>
    </row>
    <row r="2499" spans="1:17" x14ac:dyDescent="0.35">
      <c r="A2499">
        <v>29749</v>
      </c>
      <c r="B2499" t="s">
        <v>16</v>
      </c>
      <c r="C2499" t="s">
        <v>29</v>
      </c>
      <c r="D2499">
        <v>454</v>
      </c>
      <c r="E2499">
        <v>20</v>
      </c>
      <c r="F2499" s="2">
        <v>437.76</v>
      </c>
      <c r="G2499" t="s">
        <v>31</v>
      </c>
      <c r="H2499" s="1">
        <v>45655</v>
      </c>
      <c r="I2499" s="1">
        <v>45689</v>
      </c>
      <c r="J2499" t="s">
        <v>38</v>
      </c>
      <c r="K2499" s="8">
        <f>Table2[[#This Row],[CurrentStock]]*Table2[[#This Row],[UnitPrice]]</f>
        <v>198743.04000000001</v>
      </c>
      <c r="L2499" t="str">
        <f>IF(Table2[[#This Row],[CurrentStock]]&lt;=Table2[[#This Row],[ReorderLevel]], "Reorder Needed", "Okay")</f>
        <v>Okay</v>
      </c>
      <c r="M2499" t="str">
        <f>IF(Table2[[#This Row],[CurrentStock]]-Table2[[#This Row],[ReorderLevel]]&lt;0,Table2[[#This Row],[CurrentStock]]-Table2[[#This Row],[ReorderLevel]],"")</f>
        <v/>
      </c>
      <c r="N2499" t="str">
        <f>IF(Table2[[#This Row],[Stock Gap]]&lt;0, "Understock","Okay")</f>
        <v>Okay</v>
      </c>
      <c r="O2499" s="13" t="str">
        <f>IF(Table2[[#This Row],[Stock Gap]]&lt;0, "Yes", "No")</f>
        <v>No</v>
      </c>
      <c r="P2499" s="13" t="str">
        <f>IF(Table2[[#This Row],[CurrentStock]]&lt;Table2[[#This Row],[ReorderLevel]],"Reorder", "Okay")</f>
        <v>Okay</v>
      </c>
      <c r="Q2499" s="13" t="str">
        <f>IF(Table2[[#This Row],[CurrentStock]]&gt;Table2[[#This Row],[ReorderLevel]]*3, "Overstock", "Okay")</f>
        <v>Overstock</v>
      </c>
    </row>
    <row r="2500" spans="1:17" x14ac:dyDescent="0.35">
      <c r="A2500">
        <v>52635</v>
      </c>
      <c r="B2500" t="s">
        <v>9</v>
      </c>
      <c r="C2500" t="s">
        <v>26</v>
      </c>
      <c r="D2500">
        <v>84</v>
      </c>
      <c r="E2500">
        <v>80</v>
      </c>
      <c r="F2500" s="2">
        <v>31.22</v>
      </c>
      <c r="G2500" t="s">
        <v>32</v>
      </c>
      <c r="H2500" s="1">
        <v>45320</v>
      </c>
      <c r="I2500" s="1">
        <v>45348</v>
      </c>
      <c r="J2500" t="s">
        <v>38</v>
      </c>
      <c r="K2500" s="8">
        <f>Table2[[#This Row],[CurrentStock]]*Table2[[#This Row],[UnitPrice]]</f>
        <v>2622.48</v>
      </c>
      <c r="L2500" t="str">
        <f>IF(Table2[[#This Row],[CurrentStock]]&lt;=Table2[[#This Row],[ReorderLevel]], "Reorder Needed", "Okay")</f>
        <v>Okay</v>
      </c>
      <c r="M2500" t="str">
        <f>IF(Table2[[#This Row],[CurrentStock]]-Table2[[#This Row],[ReorderLevel]]&lt;0,Table2[[#This Row],[CurrentStock]]-Table2[[#This Row],[ReorderLevel]],"")</f>
        <v/>
      </c>
      <c r="N2500" t="str">
        <f>IF(Table2[[#This Row],[Stock Gap]]&lt;0, "Understock","Okay")</f>
        <v>Okay</v>
      </c>
      <c r="O2500" s="13" t="str">
        <f>IF(Table2[[#This Row],[Stock Gap]]&lt;0, "Yes", "No")</f>
        <v>No</v>
      </c>
      <c r="P2500" s="13" t="str">
        <f>IF(Table2[[#This Row],[CurrentStock]]&lt;Table2[[#This Row],[ReorderLevel]],"Reorder", "Okay")</f>
        <v>Okay</v>
      </c>
      <c r="Q2500" s="13" t="str">
        <f>IF(Table2[[#This Row],[CurrentStock]]&gt;Table2[[#This Row],[ReorderLevel]]*3, "Overstock", "Okay")</f>
        <v>Okay</v>
      </c>
    </row>
    <row r="2501" spans="1:17" x14ac:dyDescent="0.35">
      <c r="A2501">
        <v>84548</v>
      </c>
      <c r="B2501" t="s">
        <v>14</v>
      </c>
      <c r="C2501" t="s">
        <v>28</v>
      </c>
      <c r="D2501">
        <v>399</v>
      </c>
      <c r="E2501">
        <v>80</v>
      </c>
      <c r="F2501" s="2">
        <v>454.38</v>
      </c>
      <c r="G2501" t="s">
        <v>34</v>
      </c>
      <c r="H2501" s="1">
        <v>45481</v>
      </c>
      <c r="I2501" s="1">
        <v>45516</v>
      </c>
      <c r="J2501" t="s">
        <v>36</v>
      </c>
      <c r="K2501" s="8">
        <f>Table2[[#This Row],[CurrentStock]]*Table2[[#This Row],[UnitPrice]]</f>
        <v>181297.62</v>
      </c>
      <c r="L2501" t="str">
        <f>IF(Table2[[#This Row],[CurrentStock]]&lt;=Table2[[#This Row],[ReorderLevel]], "Reorder Needed", "Okay")</f>
        <v>Okay</v>
      </c>
      <c r="M2501" t="str">
        <f>IF(Table2[[#This Row],[CurrentStock]]-Table2[[#This Row],[ReorderLevel]]&lt;0,Table2[[#This Row],[CurrentStock]]-Table2[[#This Row],[ReorderLevel]],"")</f>
        <v/>
      </c>
      <c r="N2501" t="str">
        <f>IF(Table2[[#This Row],[Stock Gap]]&lt;0, "Understock","Okay")</f>
        <v>Okay</v>
      </c>
      <c r="O2501" s="13" t="str">
        <f>IF(Table2[[#This Row],[Stock Gap]]&lt;0, "Yes", "No")</f>
        <v>No</v>
      </c>
      <c r="P2501" s="13" t="str">
        <f>IF(Table2[[#This Row],[CurrentStock]]&lt;Table2[[#This Row],[ReorderLevel]],"Reorder", "Okay")</f>
        <v>Okay</v>
      </c>
      <c r="Q2501" s="13" t="str">
        <f>IF(Table2[[#This Row],[CurrentStock]]&gt;Table2[[#This Row],[ReorderLevel]]*3, "Overstock", "Okay")</f>
        <v>Overstock</v>
      </c>
    </row>
    <row r="2502" spans="1:17" x14ac:dyDescent="0.35">
      <c r="A2502">
        <v>95916</v>
      </c>
      <c r="B2502" t="s">
        <v>18</v>
      </c>
      <c r="C2502" t="s">
        <v>27</v>
      </c>
      <c r="D2502">
        <v>409</v>
      </c>
      <c r="E2502">
        <v>80</v>
      </c>
      <c r="F2502" s="2">
        <v>391.02</v>
      </c>
      <c r="G2502" t="s">
        <v>35</v>
      </c>
      <c r="H2502" s="1">
        <v>45441</v>
      </c>
      <c r="I2502" s="1">
        <v>45466</v>
      </c>
      <c r="J2502" t="s">
        <v>38</v>
      </c>
      <c r="K2502" s="8">
        <f>Table2[[#This Row],[CurrentStock]]*Table2[[#This Row],[UnitPrice]]</f>
        <v>159927.18</v>
      </c>
      <c r="L2502" t="str">
        <f>IF(Table2[[#This Row],[CurrentStock]]&lt;=Table2[[#This Row],[ReorderLevel]], "Reorder Needed", "Okay")</f>
        <v>Okay</v>
      </c>
      <c r="M2502" t="str">
        <f>IF(Table2[[#This Row],[CurrentStock]]-Table2[[#This Row],[ReorderLevel]]&lt;0,Table2[[#This Row],[CurrentStock]]-Table2[[#This Row],[ReorderLevel]],"")</f>
        <v/>
      </c>
      <c r="N2502" t="str">
        <f>IF(Table2[[#This Row],[Stock Gap]]&lt;0, "Understock","Okay")</f>
        <v>Okay</v>
      </c>
      <c r="O2502" s="13" t="str">
        <f>IF(Table2[[#This Row],[Stock Gap]]&lt;0, "Yes", "No")</f>
        <v>No</v>
      </c>
      <c r="P2502" s="13" t="str">
        <f>IF(Table2[[#This Row],[CurrentStock]]&lt;Table2[[#This Row],[ReorderLevel]],"Reorder", "Okay")</f>
        <v>Okay</v>
      </c>
      <c r="Q2502" s="13" t="str">
        <f>IF(Table2[[#This Row],[CurrentStock]]&gt;Table2[[#This Row],[ReorderLevel]]*3, "Overstock", "Okay")</f>
        <v>Overstock</v>
      </c>
    </row>
    <row r="2503" spans="1:17" x14ac:dyDescent="0.35">
      <c r="A2503">
        <v>95799</v>
      </c>
      <c r="B2503" t="s">
        <v>22</v>
      </c>
      <c r="C2503" t="s">
        <v>29</v>
      </c>
      <c r="D2503">
        <v>81</v>
      </c>
      <c r="E2503">
        <v>50</v>
      </c>
      <c r="F2503" s="2">
        <v>222.63</v>
      </c>
      <c r="G2503" t="s">
        <v>34</v>
      </c>
      <c r="H2503" s="1">
        <v>45368</v>
      </c>
      <c r="I2503" s="1">
        <v>45376</v>
      </c>
      <c r="J2503" t="s">
        <v>36</v>
      </c>
      <c r="K2503" s="8">
        <f>Table2[[#This Row],[CurrentStock]]*Table2[[#This Row],[UnitPrice]]</f>
        <v>18033.03</v>
      </c>
      <c r="L2503" t="str">
        <f>IF(Table2[[#This Row],[CurrentStock]]&lt;=Table2[[#This Row],[ReorderLevel]], "Reorder Needed", "Okay")</f>
        <v>Okay</v>
      </c>
      <c r="M2503" t="str">
        <f>IF(Table2[[#This Row],[CurrentStock]]-Table2[[#This Row],[ReorderLevel]]&lt;0,Table2[[#This Row],[CurrentStock]]-Table2[[#This Row],[ReorderLevel]],"")</f>
        <v/>
      </c>
      <c r="N2503" t="str">
        <f>IF(Table2[[#This Row],[Stock Gap]]&lt;0, "Understock","Okay")</f>
        <v>Okay</v>
      </c>
      <c r="O2503" s="13" t="str">
        <f>IF(Table2[[#This Row],[Stock Gap]]&lt;0, "Yes", "No")</f>
        <v>No</v>
      </c>
      <c r="P2503" s="13" t="str">
        <f>IF(Table2[[#This Row],[CurrentStock]]&lt;Table2[[#This Row],[ReorderLevel]],"Reorder", "Okay")</f>
        <v>Okay</v>
      </c>
      <c r="Q2503" s="13" t="str">
        <f>IF(Table2[[#This Row],[CurrentStock]]&gt;Table2[[#This Row],[ReorderLevel]]*3, "Overstock", "Okay")</f>
        <v>Okay</v>
      </c>
    </row>
    <row r="2504" spans="1:17" x14ac:dyDescent="0.35">
      <c r="A2504">
        <v>46326</v>
      </c>
      <c r="B2504" t="s">
        <v>13</v>
      </c>
      <c r="C2504" t="s">
        <v>26</v>
      </c>
      <c r="D2504">
        <v>247</v>
      </c>
      <c r="E2504">
        <v>100</v>
      </c>
      <c r="F2504" s="2">
        <v>441.36</v>
      </c>
      <c r="G2504" t="s">
        <v>31</v>
      </c>
      <c r="H2504" s="1">
        <v>45361</v>
      </c>
      <c r="I2504" s="1">
        <v>45374</v>
      </c>
      <c r="J2504" t="s">
        <v>38</v>
      </c>
      <c r="K2504" s="8">
        <f>Table2[[#This Row],[CurrentStock]]*Table2[[#This Row],[UnitPrice]]</f>
        <v>109015.92</v>
      </c>
      <c r="L2504" t="str">
        <f>IF(Table2[[#This Row],[CurrentStock]]&lt;=Table2[[#This Row],[ReorderLevel]], "Reorder Needed", "Okay")</f>
        <v>Okay</v>
      </c>
      <c r="M2504" t="str">
        <f>IF(Table2[[#This Row],[CurrentStock]]-Table2[[#This Row],[ReorderLevel]]&lt;0,Table2[[#This Row],[CurrentStock]]-Table2[[#This Row],[ReorderLevel]],"")</f>
        <v/>
      </c>
      <c r="N2504" t="str">
        <f>IF(Table2[[#This Row],[Stock Gap]]&lt;0, "Understock","Okay")</f>
        <v>Okay</v>
      </c>
      <c r="O2504" s="13" t="str">
        <f>IF(Table2[[#This Row],[Stock Gap]]&lt;0, "Yes", "No")</f>
        <v>No</v>
      </c>
      <c r="P2504" s="13" t="str">
        <f>IF(Table2[[#This Row],[CurrentStock]]&lt;Table2[[#This Row],[ReorderLevel]],"Reorder", "Okay")</f>
        <v>Okay</v>
      </c>
      <c r="Q2504" s="13" t="str">
        <f>IF(Table2[[#This Row],[CurrentStock]]&gt;Table2[[#This Row],[ReorderLevel]]*3, "Overstock", "Okay")</f>
        <v>Okay</v>
      </c>
    </row>
    <row r="2505" spans="1:17" x14ac:dyDescent="0.35">
      <c r="A2505">
        <v>78718</v>
      </c>
      <c r="B2505" t="s">
        <v>11</v>
      </c>
      <c r="C2505" t="s">
        <v>27</v>
      </c>
      <c r="D2505">
        <v>11</v>
      </c>
      <c r="E2505">
        <v>100</v>
      </c>
      <c r="F2505" s="2">
        <v>34.42</v>
      </c>
      <c r="G2505" t="s">
        <v>31</v>
      </c>
      <c r="H2505" s="1">
        <v>45292</v>
      </c>
      <c r="I2505" s="1">
        <v>45311</v>
      </c>
      <c r="J2505" t="s">
        <v>36</v>
      </c>
      <c r="K2505" s="8">
        <f>Table2[[#This Row],[CurrentStock]]*Table2[[#This Row],[UnitPrice]]</f>
        <v>378.62</v>
      </c>
      <c r="L2505" t="str">
        <f>IF(Table2[[#This Row],[CurrentStock]]&lt;=Table2[[#This Row],[ReorderLevel]], "Reorder Needed", "Okay")</f>
        <v>Reorder Needed</v>
      </c>
      <c r="M2505" s="7">
        <f>IF(Table2[[#This Row],[CurrentStock]]-Table2[[#This Row],[ReorderLevel]]&lt;0,Table2[[#This Row],[CurrentStock]]-Table2[[#This Row],[ReorderLevel]],"")</f>
        <v>-89</v>
      </c>
      <c r="N2505" t="str">
        <f>IF(Table2[[#This Row],[Stock Gap]]&lt;0, "Understock","Okay")</f>
        <v>Understock</v>
      </c>
      <c r="O2505" s="13" t="str">
        <f>IF(Table2[[#This Row],[Stock Gap]]&lt;0, "Yes", "No")</f>
        <v>Yes</v>
      </c>
      <c r="P2505" s="13" t="str">
        <f>IF(Table2[[#This Row],[CurrentStock]]&lt;Table2[[#This Row],[ReorderLevel]],"Reorder", "Okay")</f>
        <v>Reorder</v>
      </c>
      <c r="Q2505" s="13" t="str">
        <f>IF(Table2[[#This Row],[CurrentStock]]&gt;Table2[[#This Row],[ReorderLevel]]*3, "Overstock", "Okay")</f>
        <v>Okay</v>
      </c>
    </row>
    <row r="2506" spans="1:17" x14ac:dyDescent="0.35">
      <c r="A2506">
        <v>43083</v>
      </c>
      <c r="B2506" t="s">
        <v>17</v>
      </c>
      <c r="C2506" t="s">
        <v>27</v>
      </c>
      <c r="D2506">
        <v>450</v>
      </c>
      <c r="E2506">
        <v>50</v>
      </c>
      <c r="F2506" s="2">
        <v>86.32</v>
      </c>
      <c r="G2506" t="s">
        <v>32</v>
      </c>
      <c r="H2506" s="1">
        <v>45330</v>
      </c>
      <c r="I2506" s="1">
        <v>45365</v>
      </c>
      <c r="J2506" t="s">
        <v>36</v>
      </c>
      <c r="K2506" s="8">
        <f>Table2[[#This Row],[CurrentStock]]*Table2[[#This Row],[UnitPrice]]</f>
        <v>38844</v>
      </c>
      <c r="L2506" t="str">
        <f>IF(Table2[[#This Row],[CurrentStock]]&lt;=Table2[[#This Row],[ReorderLevel]], "Reorder Needed", "Okay")</f>
        <v>Okay</v>
      </c>
      <c r="M2506" t="str">
        <f>IF(Table2[[#This Row],[CurrentStock]]-Table2[[#This Row],[ReorderLevel]]&lt;0,Table2[[#This Row],[CurrentStock]]-Table2[[#This Row],[ReorderLevel]],"")</f>
        <v/>
      </c>
      <c r="N2506" t="str">
        <f>IF(Table2[[#This Row],[Stock Gap]]&lt;0, "Understock","Okay")</f>
        <v>Okay</v>
      </c>
      <c r="O2506" s="13" t="str">
        <f>IF(Table2[[#This Row],[Stock Gap]]&lt;0, "Yes", "No")</f>
        <v>No</v>
      </c>
      <c r="P2506" s="13" t="str">
        <f>IF(Table2[[#This Row],[CurrentStock]]&lt;Table2[[#This Row],[ReorderLevel]],"Reorder", "Okay")</f>
        <v>Okay</v>
      </c>
      <c r="Q2506" s="13" t="str">
        <f>IF(Table2[[#This Row],[CurrentStock]]&gt;Table2[[#This Row],[ReorderLevel]]*3, "Overstock", "Okay")</f>
        <v>Overstock</v>
      </c>
    </row>
    <row r="2507" spans="1:17" x14ac:dyDescent="0.35">
      <c r="A2507">
        <v>22651</v>
      </c>
      <c r="B2507" t="s">
        <v>18</v>
      </c>
      <c r="C2507" t="s">
        <v>27</v>
      </c>
      <c r="D2507">
        <v>103</v>
      </c>
      <c r="E2507">
        <v>40</v>
      </c>
      <c r="F2507" s="2">
        <v>282.52</v>
      </c>
      <c r="G2507" t="s">
        <v>31</v>
      </c>
      <c r="H2507" s="1">
        <v>45380</v>
      </c>
      <c r="I2507" s="1">
        <v>45397</v>
      </c>
      <c r="J2507" t="s">
        <v>38</v>
      </c>
      <c r="K2507" s="8">
        <f>Table2[[#This Row],[CurrentStock]]*Table2[[#This Row],[UnitPrice]]</f>
        <v>29099.559999999998</v>
      </c>
      <c r="L2507" t="str">
        <f>IF(Table2[[#This Row],[CurrentStock]]&lt;=Table2[[#This Row],[ReorderLevel]], "Reorder Needed", "Okay")</f>
        <v>Okay</v>
      </c>
      <c r="M2507" t="str">
        <f>IF(Table2[[#This Row],[CurrentStock]]-Table2[[#This Row],[ReorderLevel]]&lt;0,Table2[[#This Row],[CurrentStock]]-Table2[[#This Row],[ReorderLevel]],"")</f>
        <v/>
      </c>
      <c r="N2507" t="str">
        <f>IF(Table2[[#This Row],[Stock Gap]]&lt;0, "Understock","Okay")</f>
        <v>Okay</v>
      </c>
      <c r="O2507" s="13" t="str">
        <f>IF(Table2[[#This Row],[Stock Gap]]&lt;0, "Yes", "No")</f>
        <v>No</v>
      </c>
      <c r="P2507" s="13" t="str">
        <f>IF(Table2[[#This Row],[CurrentStock]]&lt;Table2[[#This Row],[ReorderLevel]],"Reorder", "Okay")</f>
        <v>Okay</v>
      </c>
      <c r="Q2507" s="13" t="str">
        <f>IF(Table2[[#This Row],[CurrentStock]]&gt;Table2[[#This Row],[ReorderLevel]]*3, "Overstock", "Okay")</f>
        <v>Okay</v>
      </c>
    </row>
    <row r="2508" spans="1:17" x14ac:dyDescent="0.35">
      <c r="A2508">
        <v>62136</v>
      </c>
      <c r="B2508" t="s">
        <v>10</v>
      </c>
      <c r="C2508" t="s">
        <v>26</v>
      </c>
      <c r="D2508">
        <v>451</v>
      </c>
      <c r="E2508">
        <v>40</v>
      </c>
      <c r="F2508" s="2">
        <v>495.15</v>
      </c>
      <c r="G2508" t="s">
        <v>31</v>
      </c>
      <c r="H2508" s="1">
        <v>45392</v>
      </c>
      <c r="I2508" s="1">
        <v>45421</v>
      </c>
      <c r="J2508" t="s">
        <v>36</v>
      </c>
      <c r="K2508" s="8">
        <f>Table2[[#This Row],[CurrentStock]]*Table2[[#This Row],[UnitPrice]]</f>
        <v>223312.65</v>
      </c>
      <c r="L2508" t="str">
        <f>IF(Table2[[#This Row],[CurrentStock]]&lt;=Table2[[#This Row],[ReorderLevel]], "Reorder Needed", "Okay")</f>
        <v>Okay</v>
      </c>
      <c r="M2508" t="str">
        <f>IF(Table2[[#This Row],[CurrentStock]]-Table2[[#This Row],[ReorderLevel]]&lt;0,Table2[[#This Row],[CurrentStock]]-Table2[[#This Row],[ReorderLevel]],"")</f>
        <v/>
      </c>
      <c r="N2508" t="str">
        <f>IF(Table2[[#This Row],[Stock Gap]]&lt;0, "Understock","Okay")</f>
        <v>Okay</v>
      </c>
      <c r="O2508" s="13" t="str">
        <f>IF(Table2[[#This Row],[Stock Gap]]&lt;0, "Yes", "No")</f>
        <v>No</v>
      </c>
      <c r="P2508" s="13" t="str">
        <f>IF(Table2[[#This Row],[CurrentStock]]&lt;Table2[[#This Row],[ReorderLevel]],"Reorder", "Okay")</f>
        <v>Okay</v>
      </c>
      <c r="Q2508" s="13" t="str">
        <f>IF(Table2[[#This Row],[CurrentStock]]&gt;Table2[[#This Row],[ReorderLevel]]*3, "Overstock", "Okay")</f>
        <v>Overstock</v>
      </c>
    </row>
    <row r="2509" spans="1:17" x14ac:dyDescent="0.35">
      <c r="A2509">
        <v>55213</v>
      </c>
      <c r="B2509" t="s">
        <v>17</v>
      </c>
      <c r="C2509" t="s">
        <v>27</v>
      </c>
      <c r="D2509">
        <v>75</v>
      </c>
      <c r="E2509">
        <v>40</v>
      </c>
      <c r="F2509" s="2">
        <v>277.42</v>
      </c>
      <c r="G2509" t="s">
        <v>34</v>
      </c>
      <c r="H2509" s="1">
        <v>45367</v>
      </c>
      <c r="I2509" s="1">
        <v>45381</v>
      </c>
      <c r="J2509" t="s">
        <v>37</v>
      </c>
      <c r="K2509" s="8">
        <f>Table2[[#This Row],[CurrentStock]]*Table2[[#This Row],[UnitPrice]]</f>
        <v>20806.5</v>
      </c>
      <c r="L2509" t="str">
        <f>IF(Table2[[#This Row],[CurrentStock]]&lt;=Table2[[#This Row],[ReorderLevel]], "Reorder Needed", "Okay")</f>
        <v>Okay</v>
      </c>
      <c r="M2509" t="str">
        <f>IF(Table2[[#This Row],[CurrentStock]]-Table2[[#This Row],[ReorderLevel]]&lt;0,Table2[[#This Row],[CurrentStock]]-Table2[[#This Row],[ReorderLevel]],"")</f>
        <v/>
      </c>
      <c r="N2509" t="str">
        <f>IF(Table2[[#This Row],[Stock Gap]]&lt;0, "Understock","Okay")</f>
        <v>Okay</v>
      </c>
      <c r="O2509" s="13" t="str">
        <f>IF(Table2[[#This Row],[Stock Gap]]&lt;0, "Yes", "No")</f>
        <v>No</v>
      </c>
      <c r="P2509" s="13" t="str">
        <f>IF(Table2[[#This Row],[CurrentStock]]&lt;Table2[[#This Row],[ReorderLevel]],"Reorder", "Okay")</f>
        <v>Okay</v>
      </c>
      <c r="Q2509" s="13" t="str">
        <f>IF(Table2[[#This Row],[CurrentStock]]&gt;Table2[[#This Row],[ReorderLevel]]*3, "Overstock", "Okay")</f>
        <v>Okay</v>
      </c>
    </row>
    <row r="2510" spans="1:17" x14ac:dyDescent="0.35">
      <c r="A2510">
        <v>89211</v>
      </c>
      <c r="B2510" t="s">
        <v>15</v>
      </c>
      <c r="C2510" t="s">
        <v>29</v>
      </c>
      <c r="D2510">
        <v>120</v>
      </c>
      <c r="E2510">
        <v>100</v>
      </c>
      <c r="F2510" s="2">
        <v>30.82</v>
      </c>
      <c r="G2510" t="s">
        <v>35</v>
      </c>
      <c r="H2510" s="1">
        <v>45632</v>
      </c>
      <c r="I2510" s="1">
        <v>45664</v>
      </c>
      <c r="J2510" t="s">
        <v>36</v>
      </c>
      <c r="K2510" s="8">
        <f>Table2[[#This Row],[CurrentStock]]*Table2[[#This Row],[UnitPrice]]</f>
        <v>3698.4</v>
      </c>
      <c r="L2510" t="str">
        <f>IF(Table2[[#This Row],[CurrentStock]]&lt;=Table2[[#This Row],[ReorderLevel]], "Reorder Needed", "Okay")</f>
        <v>Okay</v>
      </c>
      <c r="M2510" t="str">
        <f>IF(Table2[[#This Row],[CurrentStock]]-Table2[[#This Row],[ReorderLevel]]&lt;0,Table2[[#This Row],[CurrentStock]]-Table2[[#This Row],[ReorderLevel]],"")</f>
        <v/>
      </c>
      <c r="N2510" t="str">
        <f>IF(Table2[[#This Row],[Stock Gap]]&lt;0, "Understock","Okay")</f>
        <v>Okay</v>
      </c>
      <c r="O2510" s="13" t="str">
        <f>IF(Table2[[#This Row],[Stock Gap]]&lt;0, "Yes", "No")</f>
        <v>No</v>
      </c>
      <c r="P2510" s="13" t="str">
        <f>IF(Table2[[#This Row],[CurrentStock]]&lt;Table2[[#This Row],[ReorderLevel]],"Reorder", "Okay")</f>
        <v>Okay</v>
      </c>
      <c r="Q2510" s="13" t="str">
        <f>IF(Table2[[#This Row],[CurrentStock]]&gt;Table2[[#This Row],[ReorderLevel]]*3, "Overstock", "Okay")</f>
        <v>Okay</v>
      </c>
    </row>
    <row r="2511" spans="1:17" x14ac:dyDescent="0.35">
      <c r="A2511">
        <v>86964</v>
      </c>
      <c r="B2511" t="s">
        <v>12</v>
      </c>
      <c r="C2511" t="s">
        <v>28</v>
      </c>
      <c r="D2511">
        <v>76</v>
      </c>
      <c r="E2511">
        <v>30</v>
      </c>
      <c r="F2511" s="2">
        <v>185.4</v>
      </c>
      <c r="G2511" t="s">
        <v>35</v>
      </c>
      <c r="H2511" s="1">
        <v>45348</v>
      </c>
      <c r="I2511" s="1">
        <v>45380</v>
      </c>
      <c r="J2511" t="s">
        <v>38</v>
      </c>
      <c r="K2511" s="8">
        <f>Table2[[#This Row],[CurrentStock]]*Table2[[#This Row],[UnitPrice]]</f>
        <v>14090.4</v>
      </c>
      <c r="L2511" t="str">
        <f>IF(Table2[[#This Row],[CurrentStock]]&lt;=Table2[[#This Row],[ReorderLevel]], "Reorder Needed", "Okay")</f>
        <v>Okay</v>
      </c>
      <c r="M2511" t="str">
        <f>IF(Table2[[#This Row],[CurrentStock]]-Table2[[#This Row],[ReorderLevel]]&lt;0,Table2[[#This Row],[CurrentStock]]-Table2[[#This Row],[ReorderLevel]],"")</f>
        <v/>
      </c>
      <c r="N2511" t="str">
        <f>IF(Table2[[#This Row],[Stock Gap]]&lt;0, "Understock","Okay")</f>
        <v>Okay</v>
      </c>
      <c r="O2511" s="13" t="str">
        <f>IF(Table2[[#This Row],[Stock Gap]]&lt;0, "Yes", "No")</f>
        <v>No</v>
      </c>
      <c r="P2511" s="13" t="str">
        <f>IF(Table2[[#This Row],[CurrentStock]]&lt;Table2[[#This Row],[ReorderLevel]],"Reorder", "Okay")</f>
        <v>Okay</v>
      </c>
      <c r="Q2511" s="13" t="str">
        <f>IF(Table2[[#This Row],[CurrentStock]]&gt;Table2[[#This Row],[ReorderLevel]]*3, "Overstock", "Okay")</f>
        <v>Okay</v>
      </c>
    </row>
    <row r="2512" spans="1:17" x14ac:dyDescent="0.35">
      <c r="A2512">
        <v>44563</v>
      </c>
      <c r="B2512" t="s">
        <v>13</v>
      </c>
      <c r="C2512" t="s">
        <v>26</v>
      </c>
      <c r="D2512">
        <v>155</v>
      </c>
      <c r="E2512">
        <v>150</v>
      </c>
      <c r="F2512" s="2">
        <v>346.56</v>
      </c>
      <c r="G2512" t="s">
        <v>34</v>
      </c>
      <c r="H2512" s="1">
        <v>45547</v>
      </c>
      <c r="I2512" s="1">
        <v>45583</v>
      </c>
      <c r="J2512" t="s">
        <v>36</v>
      </c>
      <c r="K2512" s="8">
        <f>Table2[[#This Row],[CurrentStock]]*Table2[[#This Row],[UnitPrice]]</f>
        <v>53716.800000000003</v>
      </c>
      <c r="L2512" t="str">
        <f>IF(Table2[[#This Row],[CurrentStock]]&lt;=Table2[[#This Row],[ReorderLevel]], "Reorder Needed", "Okay")</f>
        <v>Okay</v>
      </c>
      <c r="M2512" t="str">
        <f>IF(Table2[[#This Row],[CurrentStock]]-Table2[[#This Row],[ReorderLevel]]&lt;0,Table2[[#This Row],[CurrentStock]]-Table2[[#This Row],[ReorderLevel]],"")</f>
        <v/>
      </c>
      <c r="N2512" t="str">
        <f>IF(Table2[[#This Row],[Stock Gap]]&lt;0, "Understock","Okay")</f>
        <v>Okay</v>
      </c>
      <c r="O2512" s="13" t="str">
        <f>IF(Table2[[#This Row],[Stock Gap]]&lt;0, "Yes", "No")</f>
        <v>No</v>
      </c>
      <c r="P2512" s="13" t="str">
        <f>IF(Table2[[#This Row],[CurrentStock]]&lt;Table2[[#This Row],[ReorderLevel]],"Reorder", "Okay")</f>
        <v>Okay</v>
      </c>
      <c r="Q2512" s="13" t="str">
        <f>IF(Table2[[#This Row],[CurrentStock]]&gt;Table2[[#This Row],[ReorderLevel]]*3, "Overstock", "Okay")</f>
        <v>Okay</v>
      </c>
    </row>
    <row r="2513" spans="1:17" x14ac:dyDescent="0.35">
      <c r="A2513">
        <v>45377</v>
      </c>
      <c r="B2513" t="s">
        <v>24</v>
      </c>
      <c r="C2513" t="s">
        <v>30</v>
      </c>
      <c r="D2513">
        <v>348</v>
      </c>
      <c r="E2513">
        <v>20</v>
      </c>
      <c r="F2513" s="2">
        <v>97.86</v>
      </c>
      <c r="G2513" t="s">
        <v>32</v>
      </c>
      <c r="H2513" s="1">
        <v>45293</v>
      </c>
      <c r="I2513" s="1">
        <v>45330</v>
      </c>
      <c r="J2513" t="s">
        <v>37</v>
      </c>
      <c r="K2513" s="8">
        <f>Table2[[#This Row],[CurrentStock]]*Table2[[#This Row],[UnitPrice]]</f>
        <v>34055.279999999999</v>
      </c>
      <c r="L2513" t="str">
        <f>IF(Table2[[#This Row],[CurrentStock]]&lt;=Table2[[#This Row],[ReorderLevel]], "Reorder Needed", "Okay")</f>
        <v>Okay</v>
      </c>
      <c r="M2513" t="str">
        <f>IF(Table2[[#This Row],[CurrentStock]]-Table2[[#This Row],[ReorderLevel]]&lt;0,Table2[[#This Row],[CurrentStock]]-Table2[[#This Row],[ReorderLevel]],"")</f>
        <v/>
      </c>
      <c r="N2513" t="str">
        <f>IF(Table2[[#This Row],[Stock Gap]]&lt;0, "Understock","Okay")</f>
        <v>Okay</v>
      </c>
      <c r="O2513" s="13" t="str">
        <f>IF(Table2[[#This Row],[Stock Gap]]&lt;0, "Yes", "No")</f>
        <v>No</v>
      </c>
      <c r="P2513" s="13" t="str">
        <f>IF(Table2[[#This Row],[CurrentStock]]&lt;Table2[[#This Row],[ReorderLevel]],"Reorder", "Okay")</f>
        <v>Okay</v>
      </c>
      <c r="Q2513" s="13" t="str">
        <f>IF(Table2[[#This Row],[CurrentStock]]&gt;Table2[[#This Row],[ReorderLevel]]*3, "Overstock", "Okay")</f>
        <v>Overstock</v>
      </c>
    </row>
    <row r="2514" spans="1:17" x14ac:dyDescent="0.35">
      <c r="A2514">
        <v>33434</v>
      </c>
      <c r="B2514" t="s">
        <v>21</v>
      </c>
      <c r="C2514" t="s">
        <v>26</v>
      </c>
      <c r="D2514">
        <v>186</v>
      </c>
      <c r="E2514">
        <v>100</v>
      </c>
      <c r="F2514" s="2">
        <v>226.17</v>
      </c>
      <c r="G2514" t="s">
        <v>31</v>
      </c>
      <c r="H2514" s="1">
        <v>45615</v>
      </c>
      <c r="I2514" s="1">
        <v>45636</v>
      </c>
      <c r="J2514" t="s">
        <v>38</v>
      </c>
      <c r="K2514" s="8">
        <f>Table2[[#This Row],[CurrentStock]]*Table2[[#This Row],[UnitPrice]]</f>
        <v>42067.619999999995</v>
      </c>
      <c r="L2514" t="str">
        <f>IF(Table2[[#This Row],[CurrentStock]]&lt;=Table2[[#This Row],[ReorderLevel]], "Reorder Needed", "Okay")</f>
        <v>Okay</v>
      </c>
      <c r="M2514" t="str">
        <f>IF(Table2[[#This Row],[CurrentStock]]-Table2[[#This Row],[ReorderLevel]]&lt;0,Table2[[#This Row],[CurrentStock]]-Table2[[#This Row],[ReorderLevel]],"")</f>
        <v/>
      </c>
      <c r="N2514" t="str">
        <f>IF(Table2[[#This Row],[Stock Gap]]&lt;0, "Understock","Okay")</f>
        <v>Okay</v>
      </c>
      <c r="O2514" s="13" t="str">
        <f>IF(Table2[[#This Row],[Stock Gap]]&lt;0, "Yes", "No")</f>
        <v>No</v>
      </c>
      <c r="P2514" s="13" t="str">
        <f>IF(Table2[[#This Row],[CurrentStock]]&lt;Table2[[#This Row],[ReorderLevel]],"Reorder", "Okay")</f>
        <v>Okay</v>
      </c>
      <c r="Q2514" s="13" t="str">
        <f>IF(Table2[[#This Row],[CurrentStock]]&gt;Table2[[#This Row],[ReorderLevel]]*3, "Overstock", "Okay")</f>
        <v>Okay</v>
      </c>
    </row>
    <row r="2515" spans="1:17" x14ac:dyDescent="0.35">
      <c r="A2515">
        <v>34409</v>
      </c>
      <c r="B2515" t="s">
        <v>20</v>
      </c>
      <c r="C2515" t="s">
        <v>30</v>
      </c>
      <c r="D2515">
        <v>444</v>
      </c>
      <c r="E2515">
        <v>30</v>
      </c>
      <c r="F2515" s="2">
        <v>156.69999999999999</v>
      </c>
      <c r="G2515" t="s">
        <v>35</v>
      </c>
      <c r="H2515" s="1">
        <v>45556</v>
      </c>
      <c r="I2515" s="1">
        <v>45565</v>
      </c>
      <c r="J2515" t="s">
        <v>36</v>
      </c>
      <c r="K2515" s="8">
        <f>Table2[[#This Row],[CurrentStock]]*Table2[[#This Row],[UnitPrice]]</f>
        <v>69574.799999999988</v>
      </c>
      <c r="L2515" t="str">
        <f>IF(Table2[[#This Row],[CurrentStock]]&lt;=Table2[[#This Row],[ReorderLevel]], "Reorder Needed", "Okay")</f>
        <v>Okay</v>
      </c>
      <c r="M2515" t="str">
        <f>IF(Table2[[#This Row],[CurrentStock]]-Table2[[#This Row],[ReorderLevel]]&lt;0,Table2[[#This Row],[CurrentStock]]-Table2[[#This Row],[ReorderLevel]],"")</f>
        <v/>
      </c>
      <c r="N2515" t="str">
        <f>IF(Table2[[#This Row],[Stock Gap]]&lt;0, "Understock","Okay")</f>
        <v>Okay</v>
      </c>
      <c r="O2515" s="13" t="str">
        <f>IF(Table2[[#This Row],[Stock Gap]]&lt;0, "Yes", "No")</f>
        <v>No</v>
      </c>
      <c r="P2515" s="13" t="str">
        <f>IF(Table2[[#This Row],[CurrentStock]]&lt;Table2[[#This Row],[ReorderLevel]],"Reorder", "Okay")</f>
        <v>Okay</v>
      </c>
      <c r="Q2515" s="13" t="str">
        <f>IF(Table2[[#This Row],[CurrentStock]]&gt;Table2[[#This Row],[ReorderLevel]]*3, "Overstock", "Okay")</f>
        <v>Overstock</v>
      </c>
    </row>
    <row r="2516" spans="1:17" x14ac:dyDescent="0.35">
      <c r="A2516">
        <v>21027</v>
      </c>
      <c r="B2516" t="s">
        <v>18</v>
      </c>
      <c r="C2516" t="s">
        <v>27</v>
      </c>
      <c r="D2516">
        <v>220</v>
      </c>
      <c r="E2516">
        <v>80</v>
      </c>
      <c r="F2516" s="2">
        <v>276.52999999999997</v>
      </c>
      <c r="G2516" t="s">
        <v>32</v>
      </c>
      <c r="H2516" s="1">
        <v>45451</v>
      </c>
      <c r="I2516" s="1">
        <v>45463</v>
      </c>
      <c r="J2516" t="s">
        <v>37</v>
      </c>
      <c r="K2516" s="8">
        <f>Table2[[#This Row],[CurrentStock]]*Table2[[#This Row],[UnitPrice]]</f>
        <v>60836.599999999991</v>
      </c>
      <c r="L2516" t="str">
        <f>IF(Table2[[#This Row],[CurrentStock]]&lt;=Table2[[#This Row],[ReorderLevel]], "Reorder Needed", "Okay")</f>
        <v>Okay</v>
      </c>
      <c r="M2516" t="str">
        <f>IF(Table2[[#This Row],[CurrentStock]]-Table2[[#This Row],[ReorderLevel]]&lt;0,Table2[[#This Row],[CurrentStock]]-Table2[[#This Row],[ReorderLevel]],"")</f>
        <v/>
      </c>
      <c r="N2516" t="str">
        <f>IF(Table2[[#This Row],[Stock Gap]]&lt;0, "Understock","Okay")</f>
        <v>Okay</v>
      </c>
      <c r="O2516" s="13" t="str">
        <f>IF(Table2[[#This Row],[Stock Gap]]&lt;0, "Yes", "No")</f>
        <v>No</v>
      </c>
      <c r="P2516" s="13" t="str">
        <f>IF(Table2[[#This Row],[CurrentStock]]&lt;Table2[[#This Row],[ReorderLevel]],"Reorder", "Okay")</f>
        <v>Okay</v>
      </c>
      <c r="Q2516" s="13" t="str">
        <f>IF(Table2[[#This Row],[CurrentStock]]&gt;Table2[[#This Row],[ReorderLevel]]*3, "Overstock", "Okay")</f>
        <v>Okay</v>
      </c>
    </row>
    <row r="2517" spans="1:17" x14ac:dyDescent="0.35">
      <c r="A2517">
        <v>83450</v>
      </c>
      <c r="B2517" t="s">
        <v>20</v>
      </c>
      <c r="C2517" t="s">
        <v>30</v>
      </c>
      <c r="D2517">
        <v>20</v>
      </c>
      <c r="E2517">
        <v>150</v>
      </c>
      <c r="F2517" s="2">
        <v>210.12</v>
      </c>
      <c r="G2517" t="s">
        <v>31</v>
      </c>
      <c r="H2517" s="1">
        <v>45552</v>
      </c>
      <c r="I2517" s="1">
        <v>45559</v>
      </c>
      <c r="J2517" t="s">
        <v>37</v>
      </c>
      <c r="K2517" s="8">
        <f>Table2[[#This Row],[CurrentStock]]*Table2[[#This Row],[UnitPrice]]</f>
        <v>4202.3999999999996</v>
      </c>
      <c r="L2517" t="str">
        <f>IF(Table2[[#This Row],[CurrentStock]]&lt;=Table2[[#This Row],[ReorderLevel]], "Reorder Needed", "Okay")</f>
        <v>Reorder Needed</v>
      </c>
      <c r="M2517" s="7">
        <f>IF(Table2[[#This Row],[CurrentStock]]-Table2[[#This Row],[ReorderLevel]]&lt;0,Table2[[#This Row],[CurrentStock]]-Table2[[#This Row],[ReorderLevel]],"")</f>
        <v>-130</v>
      </c>
      <c r="N2517" t="str">
        <f>IF(Table2[[#This Row],[Stock Gap]]&lt;0, "Understock","Okay")</f>
        <v>Understock</v>
      </c>
      <c r="O2517" s="13" t="str">
        <f>IF(Table2[[#This Row],[Stock Gap]]&lt;0, "Yes", "No")</f>
        <v>Yes</v>
      </c>
      <c r="P2517" s="13" t="str">
        <f>IF(Table2[[#This Row],[CurrentStock]]&lt;Table2[[#This Row],[ReorderLevel]],"Reorder", "Okay")</f>
        <v>Reorder</v>
      </c>
      <c r="Q2517" s="13" t="str">
        <f>IF(Table2[[#This Row],[CurrentStock]]&gt;Table2[[#This Row],[ReorderLevel]]*3, "Overstock", "Okay")</f>
        <v>Okay</v>
      </c>
    </row>
    <row r="2518" spans="1:17" x14ac:dyDescent="0.35">
      <c r="A2518">
        <v>54233</v>
      </c>
      <c r="B2518" t="s">
        <v>18</v>
      </c>
      <c r="C2518" t="s">
        <v>27</v>
      </c>
      <c r="D2518">
        <v>338</v>
      </c>
      <c r="E2518">
        <v>40</v>
      </c>
      <c r="F2518" s="2">
        <v>26.24</v>
      </c>
      <c r="G2518" t="s">
        <v>33</v>
      </c>
      <c r="H2518" s="1">
        <v>45586</v>
      </c>
      <c r="I2518" s="1">
        <v>45600</v>
      </c>
      <c r="J2518" t="s">
        <v>36</v>
      </c>
      <c r="K2518" s="8">
        <f>Table2[[#This Row],[CurrentStock]]*Table2[[#This Row],[UnitPrice]]</f>
        <v>8869.119999999999</v>
      </c>
      <c r="L2518" t="str">
        <f>IF(Table2[[#This Row],[CurrentStock]]&lt;=Table2[[#This Row],[ReorderLevel]], "Reorder Needed", "Okay")</f>
        <v>Okay</v>
      </c>
      <c r="M2518" t="str">
        <f>IF(Table2[[#This Row],[CurrentStock]]-Table2[[#This Row],[ReorderLevel]]&lt;0,Table2[[#This Row],[CurrentStock]]-Table2[[#This Row],[ReorderLevel]],"")</f>
        <v/>
      </c>
      <c r="N2518" t="str">
        <f>IF(Table2[[#This Row],[Stock Gap]]&lt;0, "Understock","Okay")</f>
        <v>Okay</v>
      </c>
      <c r="O2518" s="13" t="str">
        <f>IF(Table2[[#This Row],[Stock Gap]]&lt;0, "Yes", "No")</f>
        <v>No</v>
      </c>
      <c r="P2518" s="13" t="str">
        <f>IF(Table2[[#This Row],[CurrentStock]]&lt;Table2[[#This Row],[ReorderLevel]],"Reorder", "Okay")</f>
        <v>Okay</v>
      </c>
      <c r="Q2518" s="13" t="str">
        <f>IF(Table2[[#This Row],[CurrentStock]]&gt;Table2[[#This Row],[ReorderLevel]]*3, "Overstock", "Okay")</f>
        <v>Overstock</v>
      </c>
    </row>
    <row r="2519" spans="1:17" x14ac:dyDescent="0.35">
      <c r="A2519">
        <v>12082</v>
      </c>
      <c r="B2519" t="s">
        <v>22</v>
      </c>
      <c r="C2519" t="s">
        <v>29</v>
      </c>
      <c r="D2519">
        <v>65</v>
      </c>
      <c r="E2519">
        <v>100</v>
      </c>
      <c r="F2519" s="2">
        <v>49.46</v>
      </c>
      <c r="G2519" t="s">
        <v>35</v>
      </c>
      <c r="H2519" s="1">
        <v>45391</v>
      </c>
      <c r="I2519" s="1">
        <v>45408</v>
      </c>
      <c r="J2519" t="s">
        <v>38</v>
      </c>
      <c r="K2519" s="8">
        <f>Table2[[#This Row],[CurrentStock]]*Table2[[#This Row],[UnitPrice]]</f>
        <v>3214.9</v>
      </c>
      <c r="L2519" t="str">
        <f>IF(Table2[[#This Row],[CurrentStock]]&lt;=Table2[[#This Row],[ReorderLevel]], "Reorder Needed", "Okay")</f>
        <v>Reorder Needed</v>
      </c>
      <c r="M2519" s="7">
        <f>IF(Table2[[#This Row],[CurrentStock]]-Table2[[#This Row],[ReorderLevel]]&lt;0,Table2[[#This Row],[CurrentStock]]-Table2[[#This Row],[ReorderLevel]],"")</f>
        <v>-35</v>
      </c>
      <c r="N2519" t="str">
        <f>IF(Table2[[#This Row],[Stock Gap]]&lt;0, "Understock","Okay")</f>
        <v>Understock</v>
      </c>
      <c r="O2519" s="13" t="str">
        <f>IF(Table2[[#This Row],[Stock Gap]]&lt;0, "Yes", "No")</f>
        <v>Yes</v>
      </c>
      <c r="P2519" s="13" t="str">
        <f>IF(Table2[[#This Row],[CurrentStock]]&lt;Table2[[#This Row],[ReorderLevel]],"Reorder", "Okay")</f>
        <v>Reorder</v>
      </c>
      <c r="Q2519" s="13" t="str">
        <f>IF(Table2[[#This Row],[CurrentStock]]&gt;Table2[[#This Row],[ReorderLevel]]*3, "Overstock", "Okay")</f>
        <v>Okay</v>
      </c>
    </row>
    <row r="2520" spans="1:17" x14ac:dyDescent="0.35">
      <c r="A2520">
        <v>43268</v>
      </c>
      <c r="B2520" t="s">
        <v>14</v>
      </c>
      <c r="C2520" t="s">
        <v>28</v>
      </c>
      <c r="D2520">
        <v>16</v>
      </c>
      <c r="E2520">
        <v>80</v>
      </c>
      <c r="F2520" s="2">
        <v>228.09</v>
      </c>
      <c r="G2520" t="s">
        <v>32</v>
      </c>
      <c r="H2520" s="1">
        <v>45547</v>
      </c>
      <c r="I2520" s="1">
        <v>45575</v>
      </c>
      <c r="J2520" t="s">
        <v>37</v>
      </c>
      <c r="K2520" s="8">
        <f>Table2[[#This Row],[CurrentStock]]*Table2[[#This Row],[UnitPrice]]</f>
        <v>3649.44</v>
      </c>
      <c r="L2520" t="str">
        <f>IF(Table2[[#This Row],[CurrentStock]]&lt;=Table2[[#This Row],[ReorderLevel]], "Reorder Needed", "Okay")</f>
        <v>Reorder Needed</v>
      </c>
      <c r="M2520" s="7">
        <f>IF(Table2[[#This Row],[CurrentStock]]-Table2[[#This Row],[ReorderLevel]]&lt;0,Table2[[#This Row],[CurrentStock]]-Table2[[#This Row],[ReorderLevel]],"")</f>
        <v>-64</v>
      </c>
      <c r="N2520" t="str">
        <f>IF(Table2[[#This Row],[Stock Gap]]&lt;0, "Understock","Okay")</f>
        <v>Understock</v>
      </c>
      <c r="O2520" s="13" t="str">
        <f>IF(Table2[[#This Row],[Stock Gap]]&lt;0, "Yes", "No")</f>
        <v>Yes</v>
      </c>
      <c r="P2520" s="13" t="str">
        <f>IF(Table2[[#This Row],[CurrentStock]]&lt;Table2[[#This Row],[ReorderLevel]],"Reorder", "Okay")</f>
        <v>Reorder</v>
      </c>
      <c r="Q2520" s="13" t="str">
        <f>IF(Table2[[#This Row],[CurrentStock]]&gt;Table2[[#This Row],[ReorderLevel]]*3, "Overstock", "Okay")</f>
        <v>Okay</v>
      </c>
    </row>
    <row r="2521" spans="1:17" x14ac:dyDescent="0.35">
      <c r="A2521">
        <v>70361</v>
      </c>
      <c r="B2521" t="s">
        <v>18</v>
      </c>
      <c r="C2521" t="s">
        <v>27</v>
      </c>
      <c r="D2521">
        <v>90</v>
      </c>
      <c r="E2521">
        <v>40</v>
      </c>
      <c r="F2521" s="2">
        <v>278.01</v>
      </c>
      <c r="G2521" t="s">
        <v>35</v>
      </c>
      <c r="H2521" s="1">
        <v>45441</v>
      </c>
      <c r="I2521" s="1">
        <v>45472</v>
      </c>
      <c r="J2521" t="s">
        <v>37</v>
      </c>
      <c r="K2521" s="8">
        <f>Table2[[#This Row],[CurrentStock]]*Table2[[#This Row],[UnitPrice]]</f>
        <v>25020.899999999998</v>
      </c>
      <c r="L2521" t="str">
        <f>IF(Table2[[#This Row],[CurrentStock]]&lt;=Table2[[#This Row],[ReorderLevel]], "Reorder Needed", "Okay")</f>
        <v>Okay</v>
      </c>
      <c r="M2521" t="str">
        <f>IF(Table2[[#This Row],[CurrentStock]]-Table2[[#This Row],[ReorderLevel]]&lt;0,Table2[[#This Row],[CurrentStock]]-Table2[[#This Row],[ReorderLevel]],"")</f>
        <v/>
      </c>
      <c r="N2521" t="str">
        <f>IF(Table2[[#This Row],[Stock Gap]]&lt;0, "Understock","Okay")</f>
        <v>Okay</v>
      </c>
      <c r="O2521" s="13" t="str">
        <f>IF(Table2[[#This Row],[Stock Gap]]&lt;0, "Yes", "No")</f>
        <v>No</v>
      </c>
      <c r="P2521" s="13" t="str">
        <f>IF(Table2[[#This Row],[CurrentStock]]&lt;Table2[[#This Row],[ReorderLevel]],"Reorder", "Okay")</f>
        <v>Okay</v>
      </c>
      <c r="Q2521" s="13" t="str">
        <f>IF(Table2[[#This Row],[CurrentStock]]&gt;Table2[[#This Row],[ReorderLevel]]*3, "Overstock", "Okay")</f>
        <v>Okay</v>
      </c>
    </row>
    <row r="2522" spans="1:17" x14ac:dyDescent="0.35">
      <c r="A2522">
        <v>25201</v>
      </c>
      <c r="B2522" t="s">
        <v>11</v>
      </c>
      <c r="C2522" t="s">
        <v>27</v>
      </c>
      <c r="D2522">
        <v>9</v>
      </c>
      <c r="E2522">
        <v>30</v>
      </c>
      <c r="F2522" s="2">
        <v>365.04</v>
      </c>
      <c r="G2522" t="s">
        <v>32</v>
      </c>
      <c r="H2522" s="1">
        <v>45505</v>
      </c>
      <c r="I2522" s="1">
        <v>45513</v>
      </c>
      <c r="J2522" t="s">
        <v>36</v>
      </c>
      <c r="K2522" s="8">
        <f>Table2[[#This Row],[CurrentStock]]*Table2[[#This Row],[UnitPrice]]</f>
        <v>3285.36</v>
      </c>
      <c r="L2522" t="str">
        <f>IF(Table2[[#This Row],[CurrentStock]]&lt;=Table2[[#This Row],[ReorderLevel]], "Reorder Needed", "Okay")</f>
        <v>Reorder Needed</v>
      </c>
      <c r="M2522" s="7">
        <f>IF(Table2[[#This Row],[CurrentStock]]-Table2[[#This Row],[ReorderLevel]]&lt;0,Table2[[#This Row],[CurrentStock]]-Table2[[#This Row],[ReorderLevel]],"")</f>
        <v>-21</v>
      </c>
      <c r="N2522" t="str">
        <f>IF(Table2[[#This Row],[Stock Gap]]&lt;0, "Understock","Okay")</f>
        <v>Understock</v>
      </c>
      <c r="O2522" s="13" t="str">
        <f>IF(Table2[[#This Row],[Stock Gap]]&lt;0, "Yes", "No")</f>
        <v>Yes</v>
      </c>
      <c r="P2522" s="13" t="str">
        <f>IF(Table2[[#This Row],[CurrentStock]]&lt;Table2[[#This Row],[ReorderLevel]],"Reorder", "Okay")</f>
        <v>Reorder</v>
      </c>
      <c r="Q2522" s="13" t="str">
        <f>IF(Table2[[#This Row],[CurrentStock]]&gt;Table2[[#This Row],[ReorderLevel]]*3, "Overstock", "Okay")</f>
        <v>Okay</v>
      </c>
    </row>
    <row r="2523" spans="1:17" x14ac:dyDescent="0.35">
      <c r="A2523">
        <v>50916</v>
      </c>
      <c r="B2523" t="s">
        <v>19</v>
      </c>
      <c r="C2523" t="s">
        <v>28</v>
      </c>
      <c r="D2523">
        <v>305</v>
      </c>
      <c r="E2523">
        <v>50</v>
      </c>
      <c r="F2523" s="2">
        <v>467.63</v>
      </c>
      <c r="G2523" t="s">
        <v>33</v>
      </c>
      <c r="H2523" s="1">
        <v>45516</v>
      </c>
      <c r="I2523" s="1">
        <v>45545</v>
      </c>
      <c r="J2523" t="s">
        <v>37</v>
      </c>
      <c r="K2523" s="8">
        <f>Table2[[#This Row],[CurrentStock]]*Table2[[#This Row],[UnitPrice]]</f>
        <v>142627.15</v>
      </c>
      <c r="L2523" t="str">
        <f>IF(Table2[[#This Row],[CurrentStock]]&lt;=Table2[[#This Row],[ReorderLevel]], "Reorder Needed", "Okay")</f>
        <v>Okay</v>
      </c>
      <c r="M2523" t="str">
        <f>IF(Table2[[#This Row],[CurrentStock]]-Table2[[#This Row],[ReorderLevel]]&lt;0,Table2[[#This Row],[CurrentStock]]-Table2[[#This Row],[ReorderLevel]],"")</f>
        <v/>
      </c>
      <c r="N2523" t="str">
        <f>IF(Table2[[#This Row],[Stock Gap]]&lt;0, "Understock","Okay")</f>
        <v>Okay</v>
      </c>
      <c r="O2523" s="13" t="str">
        <f>IF(Table2[[#This Row],[Stock Gap]]&lt;0, "Yes", "No")</f>
        <v>No</v>
      </c>
      <c r="P2523" s="13" t="str">
        <f>IF(Table2[[#This Row],[CurrentStock]]&lt;Table2[[#This Row],[ReorderLevel]],"Reorder", "Okay")</f>
        <v>Okay</v>
      </c>
      <c r="Q2523" s="13" t="str">
        <f>IF(Table2[[#This Row],[CurrentStock]]&gt;Table2[[#This Row],[ReorderLevel]]*3, "Overstock", "Okay")</f>
        <v>Overstock</v>
      </c>
    </row>
    <row r="2524" spans="1:17" x14ac:dyDescent="0.35">
      <c r="A2524">
        <v>56576</v>
      </c>
      <c r="B2524" t="s">
        <v>23</v>
      </c>
      <c r="C2524" t="s">
        <v>30</v>
      </c>
      <c r="D2524">
        <v>357</v>
      </c>
      <c r="E2524">
        <v>40</v>
      </c>
      <c r="F2524" s="2">
        <v>347.76</v>
      </c>
      <c r="G2524" t="s">
        <v>31</v>
      </c>
      <c r="H2524" s="1">
        <v>45656</v>
      </c>
      <c r="I2524" s="1">
        <v>45689</v>
      </c>
      <c r="J2524" t="s">
        <v>37</v>
      </c>
      <c r="K2524" s="8">
        <f>Table2[[#This Row],[CurrentStock]]*Table2[[#This Row],[UnitPrice]]</f>
        <v>124150.31999999999</v>
      </c>
      <c r="L2524" t="str">
        <f>IF(Table2[[#This Row],[CurrentStock]]&lt;=Table2[[#This Row],[ReorderLevel]], "Reorder Needed", "Okay")</f>
        <v>Okay</v>
      </c>
      <c r="M2524" t="str">
        <f>IF(Table2[[#This Row],[CurrentStock]]-Table2[[#This Row],[ReorderLevel]]&lt;0,Table2[[#This Row],[CurrentStock]]-Table2[[#This Row],[ReorderLevel]],"")</f>
        <v/>
      </c>
      <c r="N2524" t="str">
        <f>IF(Table2[[#This Row],[Stock Gap]]&lt;0, "Understock","Okay")</f>
        <v>Okay</v>
      </c>
      <c r="O2524" s="13" t="str">
        <f>IF(Table2[[#This Row],[Stock Gap]]&lt;0, "Yes", "No")</f>
        <v>No</v>
      </c>
      <c r="P2524" s="13" t="str">
        <f>IF(Table2[[#This Row],[CurrentStock]]&lt;Table2[[#This Row],[ReorderLevel]],"Reorder", "Okay")</f>
        <v>Okay</v>
      </c>
      <c r="Q2524" s="13" t="str">
        <f>IF(Table2[[#This Row],[CurrentStock]]&gt;Table2[[#This Row],[ReorderLevel]]*3, "Overstock", "Okay")</f>
        <v>Overstock</v>
      </c>
    </row>
    <row r="2525" spans="1:17" x14ac:dyDescent="0.35">
      <c r="A2525">
        <v>64626</v>
      </c>
      <c r="B2525" t="s">
        <v>13</v>
      </c>
      <c r="C2525" t="s">
        <v>26</v>
      </c>
      <c r="D2525">
        <v>163</v>
      </c>
      <c r="E2525">
        <v>50</v>
      </c>
      <c r="F2525" s="2">
        <v>341.04</v>
      </c>
      <c r="G2525" t="s">
        <v>34</v>
      </c>
      <c r="H2525" s="1">
        <v>45408</v>
      </c>
      <c r="I2525" s="1">
        <v>45424</v>
      </c>
      <c r="J2525" t="s">
        <v>38</v>
      </c>
      <c r="K2525" s="8">
        <f>Table2[[#This Row],[CurrentStock]]*Table2[[#This Row],[UnitPrice]]</f>
        <v>55589.520000000004</v>
      </c>
      <c r="L2525" t="str">
        <f>IF(Table2[[#This Row],[CurrentStock]]&lt;=Table2[[#This Row],[ReorderLevel]], "Reorder Needed", "Okay")</f>
        <v>Okay</v>
      </c>
      <c r="M2525" t="str">
        <f>IF(Table2[[#This Row],[CurrentStock]]-Table2[[#This Row],[ReorderLevel]]&lt;0,Table2[[#This Row],[CurrentStock]]-Table2[[#This Row],[ReorderLevel]],"")</f>
        <v/>
      </c>
      <c r="N2525" t="str">
        <f>IF(Table2[[#This Row],[Stock Gap]]&lt;0, "Understock","Okay")</f>
        <v>Okay</v>
      </c>
      <c r="O2525" s="13" t="str">
        <f>IF(Table2[[#This Row],[Stock Gap]]&lt;0, "Yes", "No")</f>
        <v>No</v>
      </c>
      <c r="P2525" s="13" t="str">
        <f>IF(Table2[[#This Row],[CurrentStock]]&lt;Table2[[#This Row],[ReorderLevel]],"Reorder", "Okay")</f>
        <v>Okay</v>
      </c>
      <c r="Q2525" s="13" t="str">
        <f>IF(Table2[[#This Row],[CurrentStock]]&gt;Table2[[#This Row],[ReorderLevel]]*3, "Overstock", "Okay")</f>
        <v>Overstock</v>
      </c>
    </row>
    <row r="2526" spans="1:17" x14ac:dyDescent="0.35">
      <c r="A2526">
        <v>24450</v>
      </c>
      <c r="B2526" t="s">
        <v>18</v>
      </c>
      <c r="C2526" t="s">
        <v>27</v>
      </c>
      <c r="D2526">
        <v>16</v>
      </c>
      <c r="E2526">
        <v>150</v>
      </c>
      <c r="F2526" s="2">
        <v>152.47999999999999</v>
      </c>
      <c r="G2526" t="s">
        <v>32</v>
      </c>
      <c r="H2526" s="1">
        <v>45330</v>
      </c>
      <c r="I2526" s="1">
        <v>45336</v>
      </c>
      <c r="J2526" t="s">
        <v>38</v>
      </c>
      <c r="K2526" s="8">
        <f>Table2[[#This Row],[CurrentStock]]*Table2[[#This Row],[UnitPrice]]</f>
        <v>2439.6799999999998</v>
      </c>
      <c r="L2526" t="str">
        <f>IF(Table2[[#This Row],[CurrentStock]]&lt;=Table2[[#This Row],[ReorderLevel]], "Reorder Needed", "Okay")</f>
        <v>Reorder Needed</v>
      </c>
      <c r="M2526" s="7">
        <f>IF(Table2[[#This Row],[CurrentStock]]-Table2[[#This Row],[ReorderLevel]]&lt;0,Table2[[#This Row],[CurrentStock]]-Table2[[#This Row],[ReorderLevel]],"")</f>
        <v>-134</v>
      </c>
      <c r="N2526" t="str">
        <f>IF(Table2[[#This Row],[Stock Gap]]&lt;0, "Understock","Okay")</f>
        <v>Understock</v>
      </c>
      <c r="O2526" s="13" t="str">
        <f>IF(Table2[[#This Row],[Stock Gap]]&lt;0, "Yes", "No")</f>
        <v>Yes</v>
      </c>
      <c r="P2526" s="13" t="str">
        <f>IF(Table2[[#This Row],[CurrentStock]]&lt;Table2[[#This Row],[ReorderLevel]],"Reorder", "Okay")</f>
        <v>Reorder</v>
      </c>
      <c r="Q2526" s="13" t="str">
        <f>IF(Table2[[#This Row],[CurrentStock]]&gt;Table2[[#This Row],[ReorderLevel]]*3, "Overstock", "Okay")</f>
        <v>Okay</v>
      </c>
    </row>
    <row r="2527" spans="1:17" x14ac:dyDescent="0.35">
      <c r="A2527">
        <v>31943</v>
      </c>
      <c r="B2527" t="s">
        <v>25</v>
      </c>
      <c r="C2527" t="s">
        <v>29</v>
      </c>
      <c r="D2527">
        <v>215</v>
      </c>
      <c r="E2527">
        <v>150</v>
      </c>
      <c r="F2527" s="2">
        <v>175.08</v>
      </c>
      <c r="G2527" t="s">
        <v>34</v>
      </c>
      <c r="H2527" s="1">
        <v>45556</v>
      </c>
      <c r="I2527" s="1">
        <v>45587</v>
      </c>
      <c r="J2527" t="s">
        <v>36</v>
      </c>
      <c r="K2527" s="8">
        <f>Table2[[#This Row],[CurrentStock]]*Table2[[#This Row],[UnitPrice]]</f>
        <v>37642.200000000004</v>
      </c>
      <c r="L2527" t="str">
        <f>IF(Table2[[#This Row],[CurrentStock]]&lt;=Table2[[#This Row],[ReorderLevel]], "Reorder Needed", "Okay")</f>
        <v>Okay</v>
      </c>
      <c r="M2527" t="str">
        <f>IF(Table2[[#This Row],[CurrentStock]]-Table2[[#This Row],[ReorderLevel]]&lt;0,Table2[[#This Row],[CurrentStock]]-Table2[[#This Row],[ReorderLevel]],"")</f>
        <v/>
      </c>
      <c r="N2527" t="str">
        <f>IF(Table2[[#This Row],[Stock Gap]]&lt;0, "Understock","Okay")</f>
        <v>Okay</v>
      </c>
      <c r="O2527" s="13" t="str">
        <f>IF(Table2[[#This Row],[Stock Gap]]&lt;0, "Yes", "No")</f>
        <v>No</v>
      </c>
      <c r="P2527" s="13" t="str">
        <f>IF(Table2[[#This Row],[CurrentStock]]&lt;Table2[[#This Row],[ReorderLevel]],"Reorder", "Okay")</f>
        <v>Okay</v>
      </c>
      <c r="Q2527" s="13" t="str">
        <f>IF(Table2[[#This Row],[CurrentStock]]&gt;Table2[[#This Row],[ReorderLevel]]*3, "Overstock", "Okay")</f>
        <v>Okay</v>
      </c>
    </row>
    <row r="2528" spans="1:17" x14ac:dyDescent="0.35">
      <c r="A2528">
        <v>34601</v>
      </c>
      <c r="B2528" t="s">
        <v>25</v>
      </c>
      <c r="C2528" t="s">
        <v>29</v>
      </c>
      <c r="D2528">
        <v>170</v>
      </c>
      <c r="E2528">
        <v>50</v>
      </c>
      <c r="F2528" s="2">
        <v>338.13</v>
      </c>
      <c r="G2528" t="s">
        <v>31</v>
      </c>
      <c r="H2528" s="1">
        <v>45452</v>
      </c>
      <c r="I2528" s="1">
        <v>45483</v>
      </c>
      <c r="J2528" t="s">
        <v>36</v>
      </c>
      <c r="K2528" s="8">
        <f>Table2[[#This Row],[CurrentStock]]*Table2[[#This Row],[UnitPrice]]</f>
        <v>57482.1</v>
      </c>
      <c r="L2528" t="str">
        <f>IF(Table2[[#This Row],[CurrentStock]]&lt;=Table2[[#This Row],[ReorderLevel]], "Reorder Needed", "Okay")</f>
        <v>Okay</v>
      </c>
      <c r="M2528" t="str">
        <f>IF(Table2[[#This Row],[CurrentStock]]-Table2[[#This Row],[ReorderLevel]]&lt;0,Table2[[#This Row],[CurrentStock]]-Table2[[#This Row],[ReorderLevel]],"")</f>
        <v/>
      </c>
      <c r="N2528" t="str">
        <f>IF(Table2[[#This Row],[Stock Gap]]&lt;0, "Understock","Okay")</f>
        <v>Okay</v>
      </c>
      <c r="O2528" s="13" t="str">
        <f>IF(Table2[[#This Row],[Stock Gap]]&lt;0, "Yes", "No")</f>
        <v>No</v>
      </c>
      <c r="P2528" s="13" t="str">
        <f>IF(Table2[[#This Row],[CurrentStock]]&lt;Table2[[#This Row],[ReorderLevel]],"Reorder", "Okay")</f>
        <v>Okay</v>
      </c>
      <c r="Q2528" s="13" t="str">
        <f>IF(Table2[[#This Row],[CurrentStock]]&gt;Table2[[#This Row],[ReorderLevel]]*3, "Overstock", "Okay")</f>
        <v>Overstock</v>
      </c>
    </row>
    <row r="2529" spans="1:17" x14ac:dyDescent="0.35">
      <c r="A2529">
        <v>77581</v>
      </c>
      <c r="B2529" t="s">
        <v>22</v>
      </c>
      <c r="C2529" t="s">
        <v>29</v>
      </c>
      <c r="D2529">
        <v>69</v>
      </c>
      <c r="E2529">
        <v>40</v>
      </c>
      <c r="F2529" s="2">
        <v>315.74</v>
      </c>
      <c r="G2529" t="s">
        <v>34</v>
      </c>
      <c r="H2529" s="1">
        <v>45486</v>
      </c>
      <c r="I2529" s="1">
        <v>45503</v>
      </c>
      <c r="J2529" t="s">
        <v>36</v>
      </c>
      <c r="K2529" s="8">
        <f>Table2[[#This Row],[CurrentStock]]*Table2[[#This Row],[UnitPrice]]</f>
        <v>21786.06</v>
      </c>
      <c r="L2529" t="str">
        <f>IF(Table2[[#This Row],[CurrentStock]]&lt;=Table2[[#This Row],[ReorderLevel]], "Reorder Needed", "Okay")</f>
        <v>Okay</v>
      </c>
      <c r="M2529" t="str">
        <f>IF(Table2[[#This Row],[CurrentStock]]-Table2[[#This Row],[ReorderLevel]]&lt;0,Table2[[#This Row],[CurrentStock]]-Table2[[#This Row],[ReorderLevel]],"")</f>
        <v/>
      </c>
      <c r="N2529" t="str">
        <f>IF(Table2[[#This Row],[Stock Gap]]&lt;0, "Understock","Okay")</f>
        <v>Okay</v>
      </c>
      <c r="O2529" s="13" t="str">
        <f>IF(Table2[[#This Row],[Stock Gap]]&lt;0, "Yes", "No")</f>
        <v>No</v>
      </c>
      <c r="P2529" s="13" t="str">
        <f>IF(Table2[[#This Row],[CurrentStock]]&lt;Table2[[#This Row],[ReorderLevel]],"Reorder", "Okay")</f>
        <v>Okay</v>
      </c>
      <c r="Q2529" s="13" t="str">
        <f>IF(Table2[[#This Row],[CurrentStock]]&gt;Table2[[#This Row],[ReorderLevel]]*3, "Overstock", "Okay")</f>
        <v>Okay</v>
      </c>
    </row>
    <row r="2530" spans="1:17" x14ac:dyDescent="0.35">
      <c r="A2530">
        <v>46516</v>
      </c>
      <c r="B2530" t="s">
        <v>17</v>
      </c>
      <c r="C2530" t="s">
        <v>27</v>
      </c>
      <c r="D2530">
        <v>39</v>
      </c>
      <c r="E2530">
        <v>80</v>
      </c>
      <c r="F2530" s="2">
        <v>250.25</v>
      </c>
      <c r="G2530" t="s">
        <v>31</v>
      </c>
      <c r="H2530" s="1">
        <v>45308</v>
      </c>
      <c r="I2530" s="1">
        <v>45321</v>
      </c>
      <c r="J2530" t="s">
        <v>36</v>
      </c>
      <c r="K2530" s="8">
        <f>Table2[[#This Row],[CurrentStock]]*Table2[[#This Row],[UnitPrice]]</f>
        <v>9759.75</v>
      </c>
      <c r="L2530" t="str">
        <f>IF(Table2[[#This Row],[CurrentStock]]&lt;=Table2[[#This Row],[ReorderLevel]], "Reorder Needed", "Okay")</f>
        <v>Reorder Needed</v>
      </c>
      <c r="M2530" s="7">
        <f>IF(Table2[[#This Row],[CurrentStock]]-Table2[[#This Row],[ReorderLevel]]&lt;0,Table2[[#This Row],[CurrentStock]]-Table2[[#This Row],[ReorderLevel]],"")</f>
        <v>-41</v>
      </c>
      <c r="N2530" t="str">
        <f>IF(Table2[[#This Row],[Stock Gap]]&lt;0, "Understock","Okay")</f>
        <v>Understock</v>
      </c>
      <c r="O2530" s="13" t="str">
        <f>IF(Table2[[#This Row],[Stock Gap]]&lt;0, "Yes", "No")</f>
        <v>Yes</v>
      </c>
      <c r="P2530" s="13" t="str">
        <f>IF(Table2[[#This Row],[CurrentStock]]&lt;Table2[[#This Row],[ReorderLevel]],"Reorder", "Okay")</f>
        <v>Reorder</v>
      </c>
      <c r="Q2530" s="13" t="str">
        <f>IF(Table2[[#This Row],[CurrentStock]]&gt;Table2[[#This Row],[ReorderLevel]]*3, "Overstock", "Okay")</f>
        <v>Okay</v>
      </c>
    </row>
    <row r="2531" spans="1:17" x14ac:dyDescent="0.35">
      <c r="A2531">
        <v>13051</v>
      </c>
      <c r="B2531" t="s">
        <v>20</v>
      </c>
      <c r="C2531" t="s">
        <v>30</v>
      </c>
      <c r="D2531">
        <v>312</v>
      </c>
      <c r="E2531">
        <v>150</v>
      </c>
      <c r="F2531" s="2">
        <v>325.64</v>
      </c>
      <c r="G2531" t="s">
        <v>32</v>
      </c>
      <c r="H2531" s="1">
        <v>45391</v>
      </c>
      <c r="I2531" s="1">
        <v>45398</v>
      </c>
      <c r="J2531" t="s">
        <v>37</v>
      </c>
      <c r="K2531" s="8">
        <f>Table2[[#This Row],[CurrentStock]]*Table2[[#This Row],[UnitPrice]]</f>
        <v>101599.67999999999</v>
      </c>
      <c r="L2531" t="str">
        <f>IF(Table2[[#This Row],[CurrentStock]]&lt;=Table2[[#This Row],[ReorderLevel]], "Reorder Needed", "Okay")</f>
        <v>Okay</v>
      </c>
      <c r="M2531" t="str">
        <f>IF(Table2[[#This Row],[CurrentStock]]-Table2[[#This Row],[ReorderLevel]]&lt;0,Table2[[#This Row],[CurrentStock]]-Table2[[#This Row],[ReorderLevel]],"")</f>
        <v/>
      </c>
      <c r="N2531" t="str">
        <f>IF(Table2[[#This Row],[Stock Gap]]&lt;0, "Understock","Okay")</f>
        <v>Okay</v>
      </c>
      <c r="O2531" s="13" t="str">
        <f>IF(Table2[[#This Row],[Stock Gap]]&lt;0, "Yes", "No")</f>
        <v>No</v>
      </c>
      <c r="P2531" s="13" t="str">
        <f>IF(Table2[[#This Row],[CurrentStock]]&lt;Table2[[#This Row],[ReorderLevel]],"Reorder", "Okay")</f>
        <v>Okay</v>
      </c>
      <c r="Q2531" s="13" t="str">
        <f>IF(Table2[[#This Row],[CurrentStock]]&gt;Table2[[#This Row],[ReorderLevel]]*3, "Overstock", "Okay")</f>
        <v>Okay</v>
      </c>
    </row>
    <row r="2532" spans="1:17" x14ac:dyDescent="0.35">
      <c r="A2532">
        <v>17017</v>
      </c>
      <c r="B2532" t="s">
        <v>23</v>
      </c>
      <c r="C2532" t="s">
        <v>30</v>
      </c>
      <c r="D2532">
        <v>462</v>
      </c>
      <c r="E2532">
        <v>40</v>
      </c>
      <c r="F2532" s="2">
        <v>326.17</v>
      </c>
      <c r="G2532" t="s">
        <v>32</v>
      </c>
      <c r="H2532" s="1">
        <v>45303</v>
      </c>
      <c r="I2532" s="1">
        <v>45310</v>
      </c>
      <c r="J2532" t="s">
        <v>36</v>
      </c>
      <c r="K2532" s="8">
        <f>Table2[[#This Row],[CurrentStock]]*Table2[[#This Row],[UnitPrice]]</f>
        <v>150690.54</v>
      </c>
      <c r="L2532" t="str">
        <f>IF(Table2[[#This Row],[CurrentStock]]&lt;=Table2[[#This Row],[ReorderLevel]], "Reorder Needed", "Okay")</f>
        <v>Okay</v>
      </c>
      <c r="M2532" t="str">
        <f>IF(Table2[[#This Row],[CurrentStock]]-Table2[[#This Row],[ReorderLevel]]&lt;0,Table2[[#This Row],[CurrentStock]]-Table2[[#This Row],[ReorderLevel]],"")</f>
        <v/>
      </c>
      <c r="N2532" t="str">
        <f>IF(Table2[[#This Row],[Stock Gap]]&lt;0, "Understock","Okay")</f>
        <v>Okay</v>
      </c>
      <c r="O2532" s="13" t="str">
        <f>IF(Table2[[#This Row],[Stock Gap]]&lt;0, "Yes", "No")</f>
        <v>No</v>
      </c>
      <c r="P2532" s="13" t="str">
        <f>IF(Table2[[#This Row],[CurrentStock]]&lt;Table2[[#This Row],[ReorderLevel]],"Reorder", "Okay")</f>
        <v>Okay</v>
      </c>
      <c r="Q2532" s="13" t="str">
        <f>IF(Table2[[#This Row],[CurrentStock]]&gt;Table2[[#This Row],[ReorderLevel]]*3, "Overstock", "Okay")</f>
        <v>Overstock</v>
      </c>
    </row>
    <row r="2533" spans="1:17" x14ac:dyDescent="0.35">
      <c r="A2533">
        <v>87568</v>
      </c>
      <c r="B2533" t="s">
        <v>20</v>
      </c>
      <c r="C2533" t="s">
        <v>30</v>
      </c>
      <c r="D2533">
        <v>477</v>
      </c>
      <c r="E2533">
        <v>50</v>
      </c>
      <c r="F2533" s="2">
        <v>11.52</v>
      </c>
      <c r="G2533" t="s">
        <v>35</v>
      </c>
      <c r="H2533" s="1">
        <v>45584</v>
      </c>
      <c r="I2533" s="1">
        <v>45606</v>
      </c>
      <c r="J2533" t="s">
        <v>36</v>
      </c>
      <c r="K2533" s="8">
        <f>Table2[[#This Row],[CurrentStock]]*Table2[[#This Row],[UnitPrice]]</f>
        <v>5495.04</v>
      </c>
      <c r="L2533" t="str">
        <f>IF(Table2[[#This Row],[CurrentStock]]&lt;=Table2[[#This Row],[ReorderLevel]], "Reorder Needed", "Okay")</f>
        <v>Okay</v>
      </c>
      <c r="M2533" t="str">
        <f>IF(Table2[[#This Row],[CurrentStock]]-Table2[[#This Row],[ReorderLevel]]&lt;0,Table2[[#This Row],[CurrentStock]]-Table2[[#This Row],[ReorderLevel]],"")</f>
        <v/>
      </c>
      <c r="N2533" t="str">
        <f>IF(Table2[[#This Row],[Stock Gap]]&lt;0, "Understock","Okay")</f>
        <v>Okay</v>
      </c>
      <c r="O2533" s="13" t="str">
        <f>IF(Table2[[#This Row],[Stock Gap]]&lt;0, "Yes", "No")</f>
        <v>No</v>
      </c>
      <c r="P2533" s="13" t="str">
        <f>IF(Table2[[#This Row],[CurrentStock]]&lt;Table2[[#This Row],[ReorderLevel]],"Reorder", "Okay")</f>
        <v>Okay</v>
      </c>
      <c r="Q2533" s="13" t="str">
        <f>IF(Table2[[#This Row],[CurrentStock]]&gt;Table2[[#This Row],[ReorderLevel]]*3, "Overstock", "Okay")</f>
        <v>Overstock</v>
      </c>
    </row>
    <row r="2534" spans="1:17" x14ac:dyDescent="0.35">
      <c r="A2534">
        <v>59577</v>
      </c>
      <c r="B2534" t="s">
        <v>10</v>
      </c>
      <c r="C2534" t="s">
        <v>26</v>
      </c>
      <c r="D2534">
        <v>15</v>
      </c>
      <c r="E2534">
        <v>50</v>
      </c>
      <c r="F2534" s="2">
        <v>24.97</v>
      </c>
      <c r="G2534" t="s">
        <v>32</v>
      </c>
      <c r="H2534" s="1">
        <v>45420</v>
      </c>
      <c r="I2534" s="1">
        <v>45455</v>
      </c>
      <c r="J2534" t="s">
        <v>38</v>
      </c>
      <c r="K2534" s="8">
        <f>Table2[[#This Row],[CurrentStock]]*Table2[[#This Row],[UnitPrice]]</f>
        <v>374.54999999999995</v>
      </c>
      <c r="L2534" t="str">
        <f>IF(Table2[[#This Row],[CurrentStock]]&lt;=Table2[[#This Row],[ReorderLevel]], "Reorder Needed", "Okay")</f>
        <v>Reorder Needed</v>
      </c>
      <c r="M2534" s="7">
        <f>IF(Table2[[#This Row],[CurrentStock]]-Table2[[#This Row],[ReorderLevel]]&lt;0,Table2[[#This Row],[CurrentStock]]-Table2[[#This Row],[ReorderLevel]],"")</f>
        <v>-35</v>
      </c>
      <c r="N2534" t="str">
        <f>IF(Table2[[#This Row],[Stock Gap]]&lt;0, "Understock","Okay")</f>
        <v>Understock</v>
      </c>
      <c r="O2534" s="13" t="str">
        <f>IF(Table2[[#This Row],[Stock Gap]]&lt;0, "Yes", "No")</f>
        <v>Yes</v>
      </c>
      <c r="P2534" s="13" t="str">
        <f>IF(Table2[[#This Row],[CurrentStock]]&lt;Table2[[#This Row],[ReorderLevel]],"Reorder", "Okay")</f>
        <v>Reorder</v>
      </c>
      <c r="Q2534" s="13" t="str">
        <f>IF(Table2[[#This Row],[CurrentStock]]&gt;Table2[[#This Row],[ReorderLevel]]*3, "Overstock", "Okay")</f>
        <v>Okay</v>
      </c>
    </row>
    <row r="2535" spans="1:17" x14ac:dyDescent="0.35">
      <c r="A2535">
        <v>82607</v>
      </c>
      <c r="B2535" t="s">
        <v>21</v>
      </c>
      <c r="C2535" t="s">
        <v>26</v>
      </c>
      <c r="D2535">
        <v>478</v>
      </c>
      <c r="E2535">
        <v>20</v>
      </c>
      <c r="F2535" s="2">
        <v>296.77</v>
      </c>
      <c r="G2535" t="s">
        <v>31</v>
      </c>
      <c r="H2535" s="1">
        <v>45315</v>
      </c>
      <c r="I2535" s="1">
        <v>45339</v>
      </c>
      <c r="J2535" t="s">
        <v>36</v>
      </c>
      <c r="K2535" s="8">
        <f>Table2[[#This Row],[CurrentStock]]*Table2[[#This Row],[UnitPrice]]</f>
        <v>141856.06</v>
      </c>
      <c r="L2535" t="str">
        <f>IF(Table2[[#This Row],[CurrentStock]]&lt;=Table2[[#This Row],[ReorderLevel]], "Reorder Needed", "Okay")</f>
        <v>Okay</v>
      </c>
      <c r="M2535" t="str">
        <f>IF(Table2[[#This Row],[CurrentStock]]-Table2[[#This Row],[ReorderLevel]]&lt;0,Table2[[#This Row],[CurrentStock]]-Table2[[#This Row],[ReorderLevel]],"")</f>
        <v/>
      </c>
      <c r="N2535" t="str">
        <f>IF(Table2[[#This Row],[Stock Gap]]&lt;0, "Understock","Okay")</f>
        <v>Okay</v>
      </c>
      <c r="O2535" s="13" t="str">
        <f>IF(Table2[[#This Row],[Stock Gap]]&lt;0, "Yes", "No")</f>
        <v>No</v>
      </c>
      <c r="P2535" s="13" t="str">
        <f>IF(Table2[[#This Row],[CurrentStock]]&lt;Table2[[#This Row],[ReorderLevel]],"Reorder", "Okay")</f>
        <v>Okay</v>
      </c>
      <c r="Q2535" s="13" t="str">
        <f>IF(Table2[[#This Row],[CurrentStock]]&gt;Table2[[#This Row],[ReorderLevel]]*3, "Overstock", "Okay")</f>
        <v>Overstock</v>
      </c>
    </row>
    <row r="2536" spans="1:17" x14ac:dyDescent="0.35">
      <c r="A2536">
        <v>51787</v>
      </c>
      <c r="B2536" t="s">
        <v>12</v>
      </c>
      <c r="C2536" t="s">
        <v>28</v>
      </c>
      <c r="D2536">
        <v>111</v>
      </c>
      <c r="E2536">
        <v>150</v>
      </c>
      <c r="F2536" s="2">
        <v>247.35</v>
      </c>
      <c r="G2536" t="s">
        <v>34</v>
      </c>
      <c r="H2536" s="1">
        <v>45359</v>
      </c>
      <c r="I2536" s="1">
        <v>45390</v>
      </c>
      <c r="J2536" t="s">
        <v>36</v>
      </c>
      <c r="K2536" s="8">
        <f>Table2[[#This Row],[CurrentStock]]*Table2[[#This Row],[UnitPrice]]</f>
        <v>27455.85</v>
      </c>
      <c r="L2536" t="str">
        <f>IF(Table2[[#This Row],[CurrentStock]]&lt;=Table2[[#This Row],[ReorderLevel]], "Reorder Needed", "Okay")</f>
        <v>Reorder Needed</v>
      </c>
      <c r="M2536" s="7">
        <f>IF(Table2[[#This Row],[CurrentStock]]-Table2[[#This Row],[ReorderLevel]]&lt;0,Table2[[#This Row],[CurrentStock]]-Table2[[#This Row],[ReorderLevel]],"")</f>
        <v>-39</v>
      </c>
      <c r="N2536" t="str">
        <f>IF(Table2[[#This Row],[Stock Gap]]&lt;0, "Understock","Okay")</f>
        <v>Understock</v>
      </c>
      <c r="O2536" s="13" t="str">
        <f>IF(Table2[[#This Row],[Stock Gap]]&lt;0, "Yes", "No")</f>
        <v>Yes</v>
      </c>
      <c r="P2536" s="13" t="str">
        <f>IF(Table2[[#This Row],[CurrentStock]]&lt;Table2[[#This Row],[ReorderLevel]],"Reorder", "Okay")</f>
        <v>Reorder</v>
      </c>
      <c r="Q2536" s="13" t="str">
        <f>IF(Table2[[#This Row],[CurrentStock]]&gt;Table2[[#This Row],[ReorderLevel]]*3, "Overstock", "Okay")</f>
        <v>Okay</v>
      </c>
    </row>
    <row r="2537" spans="1:17" x14ac:dyDescent="0.35">
      <c r="A2537">
        <v>87093</v>
      </c>
      <c r="B2537" t="s">
        <v>17</v>
      </c>
      <c r="C2537" t="s">
        <v>27</v>
      </c>
      <c r="D2537">
        <v>285</v>
      </c>
      <c r="E2537">
        <v>80</v>
      </c>
      <c r="F2537" s="2">
        <v>416.35</v>
      </c>
      <c r="G2537" t="s">
        <v>34</v>
      </c>
      <c r="H2537" s="1">
        <v>45521</v>
      </c>
      <c r="I2537" s="1">
        <v>45557</v>
      </c>
      <c r="J2537" t="s">
        <v>36</v>
      </c>
      <c r="K2537" s="8">
        <f>Table2[[#This Row],[CurrentStock]]*Table2[[#This Row],[UnitPrice]]</f>
        <v>118659.75</v>
      </c>
      <c r="L2537" t="str">
        <f>IF(Table2[[#This Row],[CurrentStock]]&lt;=Table2[[#This Row],[ReorderLevel]], "Reorder Needed", "Okay")</f>
        <v>Okay</v>
      </c>
      <c r="M2537" t="str">
        <f>IF(Table2[[#This Row],[CurrentStock]]-Table2[[#This Row],[ReorderLevel]]&lt;0,Table2[[#This Row],[CurrentStock]]-Table2[[#This Row],[ReorderLevel]],"")</f>
        <v/>
      </c>
      <c r="N2537" t="str">
        <f>IF(Table2[[#This Row],[Stock Gap]]&lt;0, "Understock","Okay")</f>
        <v>Okay</v>
      </c>
      <c r="O2537" s="13" t="str">
        <f>IF(Table2[[#This Row],[Stock Gap]]&lt;0, "Yes", "No")</f>
        <v>No</v>
      </c>
      <c r="P2537" s="13" t="str">
        <f>IF(Table2[[#This Row],[CurrentStock]]&lt;Table2[[#This Row],[ReorderLevel]],"Reorder", "Okay")</f>
        <v>Okay</v>
      </c>
      <c r="Q2537" s="13" t="str">
        <f>IF(Table2[[#This Row],[CurrentStock]]&gt;Table2[[#This Row],[ReorderLevel]]*3, "Overstock", "Okay")</f>
        <v>Overstock</v>
      </c>
    </row>
    <row r="2538" spans="1:17" x14ac:dyDescent="0.35">
      <c r="A2538">
        <v>47595</v>
      </c>
      <c r="B2538" t="s">
        <v>20</v>
      </c>
      <c r="C2538" t="s">
        <v>30</v>
      </c>
      <c r="D2538">
        <v>364</v>
      </c>
      <c r="E2538">
        <v>50</v>
      </c>
      <c r="F2538" s="2">
        <v>114.06</v>
      </c>
      <c r="G2538" t="s">
        <v>34</v>
      </c>
      <c r="H2538" s="1">
        <v>45642</v>
      </c>
      <c r="I2538" s="1">
        <v>45665</v>
      </c>
      <c r="J2538" t="s">
        <v>36</v>
      </c>
      <c r="K2538" s="8">
        <f>Table2[[#This Row],[CurrentStock]]*Table2[[#This Row],[UnitPrice]]</f>
        <v>41517.840000000004</v>
      </c>
      <c r="L2538" t="str">
        <f>IF(Table2[[#This Row],[CurrentStock]]&lt;=Table2[[#This Row],[ReorderLevel]], "Reorder Needed", "Okay")</f>
        <v>Okay</v>
      </c>
      <c r="M2538" t="str">
        <f>IF(Table2[[#This Row],[CurrentStock]]-Table2[[#This Row],[ReorderLevel]]&lt;0,Table2[[#This Row],[CurrentStock]]-Table2[[#This Row],[ReorderLevel]],"")</f>
        <v/>
      </c>
      <c r="N2538" t="str">
        <f>IF(Table2[[#This Row],[Stock Gap]]&lt;0, "Understock","Okay")</f>
        <v>Okay</v>
      </c>
      <c r="O2538" s="13" t="str">
        <f>IF(Table2[[#This Row],[Stock Gap]]&lt;0, "Yes", "No")</f>
        <v>No</v>
      </c>
      <c r="P2538" s="13" t="str">
        <f>IF(Table2[[#This Row],[CurrentStock]]&lt;Table2[[#This Row],[ReorderLevel]],"Reorder", "Okay")</f>
        <v>Okay</v>
      </c>
      <c r="Q2538" s="13" t="str">
        <f>IF(Table2[[#This Row],[CurrentStock]]&gt;Table2[[#This Row],[ReorderLevel]]*3, "Overstock", "Okay")</f>
        <v>Overstock</v>
      </c>
    </row>
    <row r="2539" spans="1:17" x14ac:dyDescent="0.35">
      <c r="A2539">
        <v>35406</v>
      </c>
      <c r="B2539" t="s">
        <v>22</v>
      </c>
      <c r="C2539" t="s">
        <v>29</v>
      </c>
      <c r="D2539">
        <v>59</v>
      </c>
      <c r="E2539">
        <v>30</v>
      </c>
      <c r="F2539" s="2">
        <v>86.03</v>
      </c>
      <c r="G2539" t="s">
        <v>34</v>
      </c>
      <c r="H2539" s="1">
        <v>45472</v>
      </c>
      <c r="I2539" s="1">
        <v>45492</v>
      </c>
      <c r="J2539" t="s">
        <v>36</v>
      </c>
      <c r="K2539" s="8">
        <f>Table2[[#This Row],[CurrentStock]]*Table2[[#This Row],[UnitPrice]]</f>
        <v>5075.7700000000004</v>
      </c>
      <c r="L2539" t="str">
        <f>IF(Table2[[#This Row],[CurrentStock]]&lt;=Table2[[#This Row],[ReorderLevel]], "Reorder Needed", "Okay")</f>
        <v>Okay</v>
      </c>
      <c r="M2539" t="str">
        <f>IF(Table2[[#This Row],[CurrentStock]]-Table2[[#This Row],[ReorderLevel]]&lt;0,Table2[[#This Row],[CurrentStock]]-Table2[[#This Row],[ReorderLevel]],"")</f>
        <v/>
      </c>
      <c r="N2539" t="str">
        <f>IF(Table2[[#This Row],[Stock Gap]]&lt;0, "Understock","Okay")</f>
        <v>Okay</v>
      </c>
      <c r="O2539" s="13" t="str">
        <f>IF(Table2[[#This Row],[Stock Gap]]&lt;0, "Yes", "No")</f>
        <v>No</v>
      </c>
      <c r="P2539" s="13" t="str">
        <f>IF(Table2[[#This Row],[CurrentStock]]&lt;Table2[[#This Row],[ReorderLevel]],"Reorder", "Okay")</f>
        <v>Okay</v>
      </c>
      <c r="Q2539" s="13" t="str">
        <f>IF(Table2[[#This Row],[CurrentStock]]&gt;Table2[[#This Row],[ReorderLevel]]*3, "Overstock", "Okay")</f>
        <v>Okay</v>
      </c>
    </row>
    <row r="2540" spans="1:17" x14ac:dyDescent="0.35">
      <c r="A2540">
        <v>31803</v>
      </c>
      <c r="B2540" t="s">
        <v>11</v>
      </c>
      <c r="C2540" t="s">
        <v>27</v>
      </c>
      <c r="D2540">
        <v>314</v>
      </c>
      <c r="E2540">
        <v>100</v>
      </c>
      <c r="F2540" s="2">
        <v>383.61</v>
      </c>
      <c r="G2540" t="s">
        <v>34</v>
      </c>
      <c r="H2540" s="1">
        <v>45636</v>
      </c>
      <c r="I2540" s="1">
        <v>45670</v>
      </c>
      <c r="J2540" t="s">
        <v>37</v>
      </c>
      <c r="K2540" s="8">
        <f>Table2[[#This Row],[CurrentStock]]*Table2[[#This Row],[UnitPrice]]</f>
        <v>120453.54000000001</v>
      </c>
      <c r="L2540" t="str">
        <f>IF(Table2[[#This Row],[CurrentStock]]&lt;=Table2[[#This Row],[ReorderLevel]], "Reorder Needed", "Okay")</f>
        <v>Okay</v>
      </c>
      <c r="M2540" t="str">
        <f>IF(Table2[[#This Row],[CurrentStock]]-Table2[[#This Row],[ReorderLevel]]&lt;0,Table2[[#This Row],[CurrentStock]]-Table2[[#This Row],[ReorderLevel]],"")</f>
        <v/>
      </c>
      <c r="N2540" t="str">
        <f>IF(Table2[[#This Row],[Stock Gap]]&lt;0, "Understock","Okay")</f>
        <v>Okay</v>
      </c>
      <c r="O2540" s="13" t="str">
        <f>IF(Table2[[#This Row],[Stock Gap]]&lt;0, "Yes", "No")</f>
        <v>No</v>
      </c>
      <c r="P2540" s="13" t="str">
        <f>IF(Table2[[#This Row],[CurrentStock]]&lt;Table2[[#This Row],[ReorderLevel]],"Reorder", "Okay")</f>
        <v>Okay</v>
      </c>
      <c r="Q2540" s="13" t="str">
        <f>IF(Table2[[#This Row],[CurrentStock]]&gt;Table2[[#This Row],[ReorderLevel]]*3, "Overstock", "Okay")</f>
        <v>Overstock</v>
      </c>
    </row>
    <row r="2541" spans="1:17" x14ac:dyDescent="0.35">
      <c r="A2541">
        <v>25941</v>
      </c>
      <c r="B2541" t="s">
        <v>12</v>
      </c>
      <c r="C2541" t="s">
        <v>28</v>
      </c>
      <c r="D2541">
        <v>180</v>
      </c>
      <c r="E2541">
        <v>80</v>
      </c>
      <c r="F2541" s="2">
        <v>100.15</v>
      </c>
      <c r="G2541" t="s">
        <v>33</v>
      </c>
      <c r="H2541" s="1">
        <v>45560</v>
      </c>
      <c r="I2541" s="1">
        <v>45598</v>
      </c>
      <c r="J2541" t="s">
        <v>36</v>
      </c>
      <c r="K2541" s="8">
        <f>Table2[[#This Row],[CurrentStock]]*Table2[[#This Row],[UnitPrice]]</f>
        <v>18027</v>
      </c>
      <c r="L2541" t="str">
        <f>IF(Table2[[#This Row],[CurrentStock]]&lt;=Table2[[#This Row],[ReorderLevel]], "Reorder Needed", "Okay")</f>
        <v>Okay</v>
      </c>
      <c r="M2541" t="str">
        <f>IF(Table2[[#This Row],[CurrentStock]]-Table2[[#This Row],[ReorderLevel]]&lt;0,Table2[[#This Row],[CurrentStock]]-Table2[[#This Row],[ReorderLevel]],"")</f>
        <v/>
      </c>
      <c r="N2541" t="str">
        <f>IF(Table2[[#This Row],[Stock Gap]]&lt;0, "Understock","Okay")</f>
        <v>Okay</v>
      </c>
      <c r="O2541" s="13" t="str">
        <f>IF(Table2[[#This Row],[Stock Gap]]&lt;0, "Yes", "No")</f>
        <v>No</v>
      </c>
      <c r="P2541" s="13" t="str">
        <f>IF(Table2[[#This Row],[CurrentStock]]&lt;Table2[[#This Row],[ReorderLevel]],"Reorder", "Okay")</f>
        <v>Okay</v>
      </c>
      <c r="Q2541" s="13" t="str">
        <f>IF(Table2[[#This Row],[CurrentStock]]&gt;Table2[[#This Row],[ReorderLevel]]*3, "Overstock", "Okay")</f>
        <v>Okay</v>
      </c>
    </row>
    <row r="2542" spans="1:17" x14ac:dyDescent="0.35">
      <c r="A2542">
        <v>60139</v>
      </c>
      <c r="B2542" t="s">
        <v>16</v>
      </c>
      <c r="C2542" t="s">
        <v>29</v>
      </c>
      <c r="D2542">
        <v>386</v>
      </c>
      <c r="E2542">
        <v>150</v>
      </c>
      <c r="F2542" s="2">
        <v>353.02</v>
      </c>
      <c r="G2542" t="s">
        <v>33</v>
      </c>
      <c r="H2542" s="1">
        <v>45341</v>
      </c>
      <c r="I2542" s="1">
        <v>45355</v>
      </c>
      <c r="J2542" t="s">
        <v>36</v>
      </c>
      <c r="K2542" s="8">
        <f>Table2[[#This Row],[CurrentStock]]*Table2[[#This Row],[UnitPrice]]</f>
        <v>136265.72</v>
      </c>
      <c r="L2542" t="str">
        <f>IF(Table2[[#This Row],[CurrentStock]]&lt;=Table2[[#This Row],[ReorderLevel]], "Reorder Needed", "Okay")</f>
        <v>Okay</v>
      </c>
      <c r="M2542" t="str">
        <f>IF(Table2[[#This Row],[CurrentStock]]-Table2[[#This Row],[ReorderLevel]]&lt;0,Table2[[#This Row],[CurrentStock]]-Table2[[#This Row],[ReorderLevel]],"")</f>
        <v/>
      </c>
      <c r="N2542" t="str">
        <f>IF(Table2[[#This Row],[Stock Gap]]&lt;0, "Understock","Okay")</f>
        <v>Okay</v>
      </c>
      <c r="O2542" s="13" t="str">
        <f>IF(Table2[[#This Row],[Stock Gap]]&lt;0, "Yes", "No")</f>
        <v>No</v>
      </c>
      <c r="P2542" s="13" t="str">
        <f>IF(Table2[[#This Row],[CurrentStock]]&lt;Table2[[#This Row],[ReorderLevel]],"Reorder", "Okay")</f>
        <v>Okay</v>
      </c>
      <c r="Q2542" s="13" t="str">
        <f>IF(Table2[[#This Row],[CurrentStock]]&gt;Table2[[#This Row],[ReorderLevel]]*3, "Overstock", "Okay")</f>
        <v>Okay</v>
      </c>
    </row>
    <row r="2543" spans="1:17" x14ac:dyDescent="0.35">
      <c r="A2543">
        <v>48568</v>
      </c>
      <c r="B2543" t="s">
        <v>19</v>
      </c>
      <c r="C2543" t="s">
        <v>28</v>
      </c>
      <c r="D2543">
        <v>495</v>
      </c>
      <c r="E2543">
        <v>40</v>
      </c>
      <c r="F2543" s="2">
        <v>460.56</v>
      </c>
      <c r="G2543" t="s">
        <v>34</v>
      </c>
      <c r="H2543" s="1">
        <v>45556</v>
      </c>
      <c r="I2543" s="1">
        <v>45564</v>
      </c>
      <c r="J2543" t="s">
        <v>38</v>
      </c>
      <c r="K2543" s="8">
        <f>Table2[[#This Row],[CurrentStock]]*Table2[[#This Row],[UnitPrice]]</f>
        <v>227977.2</v>
      </c>
      <c r="L2543" t="str">
        <f>IF(Table2[[#This Row],[CurrentStock]]&lt;=Table2[[#This Row],[ReorderLevel]], "Reorder Needed", "Okay")</f>
        <v>Okay</v>
      </c>
      <c r="M2543" t="str">
        <f>IF(Table2[[#This Row],[CurrentStock]]-Table2[[#This Row],[ReorderLevel]]&lt;0,Table2[[#This Row],[CurrentStock]]-Table2[[#This Row],[ReorderLevel]],"")</f>
        <v/>
      </c>
      <c r="N2543" t="str">
        <f>IF(Table2[[#This Row],[Stock Gap]]&lt;0, "Understock","Okay")</f>
        <v>Okay</v>
      </c>
      <c r="O2543" s="13" t="str">
        <f>IF(Table2[[#This Row],[Stock Gap]]&lt;0, "Yes", "No")</f>
        <v>No</v>
      </c>
      <c r="P2543" s="13" t="str">
        <f>IF(Table2[[#This Row],[CurrentStock]]&lt;Table2[[#This Row],[ReorderLevel]],"Reorder", "Okay")</f>
        <v>Okay</v>
      </c>
      <c r="Q2543" s="13" t="str">
        <f>IF(Table2[[#This Row],[CurrentStock]]&gt;Table2[[#This Row],[ReorderLevel]]*3, "Overstock", "Okay")</f>
        <v>Overstock</v>
      </c>
    </row>
    <row r="2544" spans="1:17" x14ac:dyDescent="0.35">
      <c r="A2544">
        <v>80561</v>
      </c>
      <c r="B2544" t="s">
        <v>17</v>
      </c>
      <c r="C2544" t="s">
        <v>27</v>
      </c>
      <c r="D2544">
        <v>337</v>
      </c>
      <c r="E2544">
        <v>40</v>
      </c>
      <c r="F2544" s="2">
        <v>302.35000000000002</v>
      </c>
      <c r="G2544" t="s">
        <v>34</v>
      </c>
      <c r="H2544" s="1">
        <v>45499</v>
      </c>
      <c r="I2544" s="1">
        <v>45507</v>
      </c>
      <c r="J2544" t="s">
        <v>38</v>
      </c>
      <c r="K2544" s="8">
        <f>Table2[[#This Row],[CurrentStock]]*Table2[[#This Row],[UnitPrice]]</f>
        <v>101891.95000000001</v>
      </c>
      <c r="L2544" t="str">
        <f>IF(Table2[[#This Row],[CurrentStock]]&lt;=Table2[[#This Row],[ReorderLevel]], "Reorder Needed", "Okay")</f>
        <v>Okay</v>
      </c>
      <c r="M2544" t="str">
        <f>IF(Table2[[#This Row],[CurrentStock]]-Table2[[#This Row],[ReorderLevel]]&lt;0,Table2[[#This Row],[CurrentStock]]-Table2[[#This Row],[ReorderLevel]],"")</f>
        <v/>
      </c>
      <c r="N2544" t="str">
        <f>IF(Table2[[#This Row],[Stock Gap]]&lt;0, "Understock","Okay")</f>
        <v>Okay</v>
      </c>
      <c r="O2544" s="13" t="str">
        <f>IF(Table2[[#This Row],[Stock Gap]]&lt;0, "Yes", "No")</f>
        <v>No</v>
      </c>
      <c r="P2544" s="13" t="str">
        <f>IF(Table2[[#This Row],[CurrentStock]]&lt;Table2[[#This Row],[ReorderLevel]],"Reorder", "Okay")</f>
        <v>Okay</v>
      </c>
      <c r="Q2544" s="13" t="str">
        <f>IF(Table2[[#This Row],[CurrentStock]]&gt;Table2[[#This Row],[ReorderLevel]]*3, "Overstock", "Okay")</f>
        <v>Overstock</v>
      </c>
    </row>
    <row r="2545" spans="1:17" x14ac:dyDescent="0.35">
      <c r="A2545">
        <v>24698</v>
      </c>
      <c r="B2545" t="s">
        <v>12</v>
      </c>
      <c r="C2545" t="s">
        <v>28</v>
      </c>
      <c r="D2545">
        <v>477</v>
      </c>
      <c r="E2545">
        <v>50</v>
      </c>
      <c r="F2545" s="2">
        <v>290.08</v>
      </c>
      <c r="G2545" t="s">
        <v>35</v>
      </c>
      <c r="H2545" s="1">
        <v>45502</v>
      </c>
      <c r="I2545" s="1">
        <v>45513</v>
      </c>
      <c r="J2545" t="s">
        <v>37</v>
      </c>
      <c r="K2545" s="8">
        <f>Table2[[#This Row],[CurrentStock]]*Table2[[#This Row],[UnitPrice]]</f>
        <v>138368.16</v>
      </c>
      <c r="L2545" t="str">
        <f>IF(Table2[[#This Row],[CurrentStock]]&lt;=Table2[[#This Row],[ReorderLevel]], "Reorder Needed", "Okay")</f>
        <v>Okay</v>
      </c>
      <c r="M2545" t="str">
        <f>IF(Table2[[#This Row],[CurrentStock]]-Table2[[#This Row],[ReorderLevel]]&lt;0,Table2[[#This Row],[CurrentStock]]-Table2[[#This Row],[ReorderLevel]],"")</f>
        <v/>
      </c>
      <c r="N2545" t="str">
        <f>IF(Table2[[#This Row],[Stock Gap]]&lt;0, "Understock","Okay")</f>
        <v>Okay</v>
      </c>
      <c r="O2545" s="13" t="str">
        <f>IF(Table2[[#This Row],[Stock Gap]]&lt;0, "Yes", "No")</f>
        <v>No</v>
      </c>
      <c r="P2545" s="13" t="str">
        <f>IF(Table2[[#This Row],[CurrentStock]]&lt;Table2[[#This Row],[ReorderLevel]],"Reorder", "Okay")</f>
        <v>Okay</v>
      </c>
      <c r="Q2545" s="13" t="str">
        <f>IF(Table2[[#This Row],[CurrentStock]]&gt;Table2[[#This Row],[ReorderLevel]]*3, "Overstock", "Okay")</f>
        <v>Overstock</v>
      </c>
    </row>
    <row r="2546" spans="1:17" x14ac:dyDescent="0.35">
      <c r="A2546">
        <v>89908</v>
      </c>
      <c r="B2546" t="s">
        <v>23</v>
      </c>
      <c r="C2546" t="s">
        <v>30</v>
      </c>
      <c r="D2546">
        <v>411</v>
      </c>
      <c r="E2546">
        <v>40</v>
      </c>
      <c r="F2546" s="2">
        <v>18.670000000000002</v>
      </c>
      <c r="G2546" t="s">
        <v>35</v>
      </c>
      <c r="H2546" s="1">
        <v>45576</v>
      </c>
      <c r="I2546" s="1">
        <v>45598</v>
      </c>
      <c r="J2546" t="s">
        <v>36</v>
      </c>
      <c r="K2546" s="8">
        <f>Table2[[#This Row],[CurrentStock]]*Table2[[#This Row],[UnitPrice]]</f>
        <v>7673.3700000000008</v>
      </c>
      <c r="L2546" t="str">
        <f>IF(Table2[[#This Row],[CurrentStock]]&lt;=Table2[[#This Row],[ReorderLevel]], "Reorder Needed", "Okay")</f>
        <v>Okay</v>
      </c>
      <c r="M2546" t="str">
        <f>IF(Table2[[#This Row],[CurrentStock]]-Table2[[#This Row],[ReorderLevel]]&lt;0,Table2[[#This Row],[CurrentStock]]-Table2[[#This Row],[ReorderLevel]],"")</f>
        <v/>
      </c>
      <c r="N2546" t="str">
        <f>IF(Table2[[#This Row],[Stock Gap]]&lt;0, "Understock","Okay")</f>
        <v>Okay</v>
      </c>
      <c r="O2546" s="13" t="str">
        <f>IF(Table2[[#This Row],[Stock Gap]]&lt;0, "Yes", "No")</f>
        <v>No</v>
      </c>
      <c r="P2546" s="13" t="str">
        <f>IF(Table2[[#This Row],[CurrentStock]]&lt;Table2[[#This Row],[ReorderLevel]],"Reorder", "Okay")</f>
        <v>Okay</v>
      </c>
      <c r="Q2546" s="13" t="str">
        <f>IF(Table2[[#This Row],[CurrentStock]]&gt;Table2[[#This Row],[ReorderLevel]]*3, "Overstock", "Okay")</f>
        <v>Overstock</v>
      </c>
    </row>
    <row r="2547" spans="1:17" x14ac:dyDescent="0.35">
      <c r="A2547">
        <v>34502</v>
      </c>
      <c r="B2547" t="s">
        <v>9</v>
      </c>
      <c r="C2547" t="s">
        <v>26</v>
      </c>
      <c r="D2547">
        <v>300</v>
      </c>
      <c r="E2547">
        <v>30</v>
      </c>
      <c r="F2547" s="2">
        <v>256.63</v>
      </c>
      <c r="G2547" t="s">
        <v>35</v>
      </c>
      <c r="H2547" s="1">
        <v>45570</v>
      </c>
      <c r="I2547" s="1">
        <v>45584</v>
      </c>
      <c r="J2547" t="s">
        <v>38</v>
      </c>
      <c r="K2547" s="8">
        <f>Table2[[#This Row],[CurrentStock]]*Table2[[#This Row],[UnitPrice]]</f>
        <v>76989</v>
      </c>
      <c r="L2547" t="str">
        <f>IF(Table2[[#This Row],[CurrentStock]]&lt;=Table2[[#This Row],[ReorderLevel]], "Reorder Needed", "Okay")</f>
        <v>Okay</v>
      </c>
      <c r="M2547" t="str">
        <f>IF(Table2[[#This Row],[CurrentStock]]-Table2[[#This Row],[ReorderLevel]]&lt;0,Table2[[#This Row],[CurrentStock]]-Table2[[#This Row],[ReorderLevel]],"")</f>
        <v/>
      </c>
      <c r="N2547" t="str">
        <f>IF(Table2[[#This Row],[Stock Gap]]&lt;0, "Understock","Okay")</f>
        <v>Okay</v>
      </c>
      <c r="O2547" s="13" t="str">
        <f>IF(Table2[[#This Row],[Stock Gap]]&lt;0, "Yes", "No")</f>
        <v>No</v>
      </c>
      <c r="P2547" s="13" t="str">
        <f>IF(Table2[[#This Row],[CurrentStock]]&lt;Table2[[#This Row],[ReorderLevel]],"Reorder", "Okay")</f>
        <v>Okay</v>
      </c>
      <c r="Q2547" s="13" t="str">
        <f>IF(Table2[[#This Row],[CurrentStock]]&gt;Table2[[#This Row],[ReorderLevel]]*3, "Overstock", "Okay")</f>
        <v>Overstock</v>
      </c>
    </row>
    <row r="2548" spans="1:17" x14ac:dyDescent="0.35">
      <c r="A2548">
        <v>64664</v>
      </c>
      <c r="B2548" t="s">
        <v>13</v>
      </c>
      <c r="C2548" t="s">
        <v>26</v>
      </c>
      <c r="D2548">
        <v>283</v>
      </c>
      <c r="E2548">
        <v>150</v>
      </c>
      <c r="F2548" s="2">
        <v>104.11</v>
      </c>
      <c r="G2548" t="s">
        <v>34</v>
      </c>
      <c r="H2548" s="1">
        <v>45391</v>
      </c>
      <c r="I2548" s="1">
        <v>45399</v>
      </c>
      <c r="J2548" t="s">
        <v>36</v>
      </c>
      <c r="K2548" s="8">
        <f>Table2[[#This Row],[CurrentStock]]*Table2[[#This Row],[UnitPrice]]</f>
        <v>29463.13</v>
      </c>
      <c r="L2548" t="str">
        <f>IF(Table2[[#This Row],[CurrentStock]]&lt;=Table2[[#This Row],[ReorderLevel]], "Reorder Needed", "Okay")</f>
        <v>Okay</v>
      </c>
      <c r="M2548" t="str">
        <f>IF(Table2[[#This Row],[CurrentStock]]-Table2[[#This Row],[ReorderLevel]]&lt;0,Table2[[#This Row],[CurrentStock]]-Table2[[#This Row],[ReorderLevel]],"")</f>
        <v/>
      </c>
      <c r="N2548" t="str">
        <f>IF(Table2[[#This Row],[Stock Gap]]&lt;0, "Understock","Okay")</f>
        <v>Okay</v>
      </c>
      <c r="O2548" s="13" t="str">
        <f>IF(Table2[[#This Row],[Stock Gap]]&lt;0, "Yes", "No")</f>
        <v>No</v>
      </c>
      <c r="P2548" s="13" t="str">
        <f>IF(Table2[[#This Row],[CurrentStock]]&lt;Table2[[#This Row],[ReorderLevel]],"Reorder", "Okay")</f>
        <v>Okay</v>
      </c>
      <c r="Q2548" s="13" t="str">
        <f>IF(Table2[[#This Row],[CurrentStock]]&gt;Table2[[#This Row],[ReorderLevel]]*3, "Overstock", "Okay")</f>
        <v>Okay</v>
      </c>
    </row>
    <row r="2549" spans="1:17" x14ac:dyDescent="0.35">
      <c r="A2549">
        <v>23102</v>
      </c>
      <c r="B2549" t="s">
        <v>13</v>
      </c>
      <c r="C2549" t="s">
        <v>26</v>
      </c>
      <c r="D2549">
        <v>45</v>
      </c>
      <c r="E2549">
        <v>80</v>
      </c>
      <c r="F2549" s="2">
        <v>337.37</v>
      </c>
      <c r="G2549" t="s">
        <v>32</v>
      </c>
      <c r="H2549" s="1">
        <v>45519</v>
      </c>
      <c r="I2549" s="1">
        <v>45540</v>
      </c>
      <c r="J2549" t="s">
        <v>37</v>
      </c>
      <c r="K2549" s="8">
        <f>Table2[[#This Row],[CurrentStock]]*Table2[[#This Row],[UnitPrice]]</f>
        <v>15181.65</v>
      </c>
      <c r="L2549" t="str">
        <f>IF(Table2[[#This Row],[CurrentStock]]&lt;=Table2[[#This Row],[ReorderLevel]], "Reorder Needed", "Okay")</f>
        <v>Reorder Needed</v>
      </c>
      <c r="M2549" s="7">
        <f>IF(Table2[[#This Row],[CurrentStock]]-Table2[[#This Row],[ReorderLevel]]&lt;0,Table2[[#This Row],[CurrentStock]]-Table2[[#This Row],[ReorderLevel]],"")</f>
        <v>-35</v>
      </c>
      <c r="N2549" t="str">
        <f>IF(Table2[[#This Row],[Stock Gap]]&lt;0, "Understock","Okay")</f>
        <v>Understock</v>
      </c>
      <c r="O2549" s="13" t="str">
        <f>IF(Table2[[#This Row],[Stock Gap]]&lt;0, "Yes", "No")</f>
        <v>Yes</v>
      </c>
      <c r="P2549" s="13" t="str">
        <f>IF(Table2[[#This Row],[CurrentStock]]&lt;Table2[[#This Row],[ReorderLevel]],"Reorder", "Okay")</f>
        <v>Reorder</v>
      </c>
      <c r="Q2549" s="13" t="str">
        <f>IF(Table2[[#This Row],[CurrentStock]]&gt;Table2[[#This Row],[ReorderLevel]]*3, "Overstock", "Okay")</f>
        <v>Okay</v>
      </c>
    </row>
    <row r="2550" spans="1:17" x14ac:dyDescent="0.35">
      <c r="A2550">
        <v>92203</v>
      </c>
      <c r="B2550" t="s">
        <v>10</v>
      </c>
      <c r="C2550" t="s">
        <v>26</v>
      </c>
      <c r="D2550">
        <v>211</v>
      </c>
      <c r="E2550">
        <v>40</v>
      </c>
      <c r="F2550" s="2">
        <v>499.68</v>
      </c>
      <c r="G2550" t="s">
        <v>35</v>
      </c>
      <c r="H2550" s="1">
        <v>45400</v>
      </c>
      <c r="I2550" s="1">
        <v>45412</v>
      </c>
      <c r="J2550" t="s">
        <v>36</v>
      </c>
      <c r="K2550" s="8">
        <f>Table2[[#This Row],[CurrentStock]]*Table2[[#This Row],[UnitPrice]]</f>
        <v>105432.48</v>
      </c>
      <c r="L2550" t="str">
        <f>IF(Table2[[#This Row],[CurrentStock]]&lt;=Table2[[#This Row],[ReorderLevel]], "Reorder Needed", "Okay")</f>
        <v>Okay</v>
      </c>
      <c r="M2550" t="str">
        <f>IF(Table2[[#This Row],[CurrentStock]]-Table2[[#This Row],[ReorderLevel]]&lt;0,Table2[[#This Row],[CurrentStock]]-Table2[[#This Row],[ReorderLevel]],"")</f>
        <v/>
      </c>
      <c r="N2550" t="str">
        <f>IF(Table2[[#This Row],[Stock Gap]]&lt;0, "Understock","Okay")</f>
        <v>Okay</v>
      </c>
      <c r="O2550" s="13" t="str">
        <f>IF(Table2[[#This Row],[Stock Gap]]&lt;0, "Yes", "No")</f>
        <v>No</v>
      </c>
      <c r="P2550" s="13" t="str">
        <f>IF(Table2[[#This Row],[CurrentStock]]&lt;Table2[[#This Row],[ReorderLevel]],"Reorder", "Okay")</f>
        <v>Okay</v>
      </c>
      <c r="Q2550" s="13" t="str">
        <f>IF(Table2[[#This Row],[CurrentStock]]&gt;Table2[[#This Row],[ReorderLevel]]*3, "Overstock", "Okay")</f>
        <v>Overstock</v>
      </c>
    </row>
    <row r="2551" spans="1:17" x14ac:dyDescent="0.35">
      <c r="A2551">
        <v>46843</v>
      </c>
      <c r="B2551" t="s">
        <v>17</v>
      </c>
      <c r="C2551" t="s">
        <v>27</v>
      </c>
      <c r="D2551">
        <v>238</v>
      </c>
      <c r="E2551">
        <v>100</v>
      </c>
      <c r="F2551" s="2">
        <v>233.07</v>
      </c>
      <c r="G2551" t="s">
        <v>31</v>
      </c>
      <c r="H2551" s="1">
        <v>45631</v>
      </c>
      <c r="I2551" s="1">
        <v>45668</v>
      </c>
      <c r="J2551" t="s">
        <v>37</v>
      </c>
      <c r="K2551" s="8">
        <f>Table2[[#This Row],[CurrentStock]]*Table2[[#This Row],[UnitPrice]]</f>
        <v>55470.659999999996</v>
      </c>
      <c r="L2551" t="str">
        <f>IF(Table2[[#This Row],[CurrentStock]]&lt;=Table2[[#This Row],[ReorderLevel]], "Reorder Needed", "Okay")</f>
        <v>Okay</v>
      </c>
      <c r="M2551" t="str">
        <f>IF(Table2[[#This Row],[CurrentStock]]-Table2[[#This Row],[ReorderLevel]]&lt;0,Table2[[#This Row],[CurrentStock]]-Table2[[#This Row],[ReorderLevel]],"")</f>
        <v/>
      </c>
      <c r="N2551" t="str">
        <f>IF(Table2[[#This Row],[Stock Gap]]&lt;0, "Understock","Okay")</f>
        <v>Okay</v>
      </c>
      <c r="O2551" s="13" t="str">
        <f>IF(Table2[[#This Row],[Stock Gap]]&lt;0, "Yes", "No")</f>
        <v>No</v>
      </c>
      <c r="P2551" s="13" t="str">
        <f>IF(Table2[[#This Row],[CurrentStock]]&lt;Table2[[#This Row],[ReorderLevel]],"Reorder", "Okay")</f>
        <v>Okay</v>
      </c>
      <c r="Q2551" s="13" t="str">
        <f>IF(Table2[[#This Row],[CurrentStock]]&gt;Table2[[#This Row],[ReorderLevel]]*3, "Overstock", "Okay")</f>
        <v>Okay</v>
      </c>
    </row>
    <row r="2552" spans="1:17" x14ac:dyDescent="0.35">
      <c r="A2552">
        <v>22992</v>
      </c>
      <c r="B2552" t="s">
        <v>22</v>
      </c>
      <c r="C2552" t="s">
        <v>29</v>
      </c>
      <c r="D2552">
        <v>288</v>
      </c>
      <c r="E2552">
        <v>40</v>
      </c>
      <c r="F2552" s="2">
        <v>337.89</v>
      </c>
      <c r="G2552" t="s">
        <v>31</v>
      </c>
      <c r="H2552" s="1">
        <v>45589</v>
      </c>
      <c r="I2552" s="1">
        <v>45615</v>
      </c>
      <c r="J2552" t="s">
        <v>36</v>
      </c>
      <c r="K2552" s="8">
        <f>Table2[[#This Row],[CurrentStock]]*Table2[[#This Row],[UnitPrice]]</f>
        <v>97312.319999999992</v>
      </c>
      <c r="L2552" t="str">
        <f>IF(Table2[[#This Row],[CurrentStock]]&lt;=Table2[[#This Row],[ReorderLevel]], "Reorder Needed", "Okay")</f>
        <v>Okay</v>
      </c>
      <c r="M2552" t="str">
        <f>IF(Table2[[#This Row],[CurrentStock]]-Table2[[#This Row],[ReorderLevel]]&lt;0,Table2[[#This Row],[CurrentStock]]-Table2[[#This Row],[ReorderLevel]],"")</f>
        <v/>
      </c>
      <c r="N2552" t="str">
        <f>IF(Table2[[#This Row],[Stock Gap]]&lt;0, "Understock","Okay")</f>
        <v>Okay</v>
      </c>
      <c r="O2552" s="13" t="str">
        <f>IF(Table2[[#This Row],[Stock Gap]]&lt;0, "Yes", "No")</f>
        <v>No</v>
      </c>
      <c r="P2552" s="13" t="str">
        <f>IF(Table2[[#This Row],[CurrentStock]]&lt;Table2[[#This Row],[ReorderLevel]],"Reorder", "Okay")</f>
        <v>Okay</v>
      </c>
      <c r="Q2552" s="13" t="str">
        <f>IF(Table2[[#This Row],[CurrentStock]]&gt;Table2[[#This Row],[ReorderLevel]]*3, "Overstock", "Okay")</f>
        <v>Overstock</v>
      </c>
    </row>
    <row r="2553" spans="1:17" x14ac:dyDescent="0.35">
      <c r="A2553">
        <v>29703</v>
      </c>
      <c r="B2553" t="s">
        <v>10</v>
      </c>
      <c r="C2553" t="s">
        <v>26</v>
      </c>
      <c r="D2553">
        <v>438</v>
      </c>
      <c r="E2553">
        <v>100</v>
      </c>
      <c r="F2553" s="2">
        <v>84.38</v>
      </c>
      <c r="G2553" t="s">
        <v>32</v>
      </c>
      <c r="H2553" s="1">
        <v>45499</v>
      </c>
      <c r="I2553" s="1">
        <v>45511</v>
      </c>
      <c r="J2553" t="s">
        <v>37</v>
      </c>
      <c r="K2553" s="8">
        <f>Table2[[#This Row],[CurrentStock]]*Table2[[#This Row],[UnitPrice]]</f>
        <v>36958.439999999995</v>
      </c>
      <c r="L2553" t="str">
        <f>IF(Table2[[#This Row],[CurrentStock]]&lt;=Table2[[#This Row],[ReorderLevel]], "Reorder Needed", "Okay")</f>
        <v>Okay</v>
      </c>
      <c r="M2553" t="str">
        <f>IF(Table2[[#This Row],[CurrentStock]]-Table2[[#This Row],[ReorderLevel]]&lt;0,Table2[[#This Row],[CurrentStock]]-Table2[[#This Row],[ReorderLevel]],"")</f>
        <v/>
      </c>
      <c r="N2553" t="str">
        <f>IF(Table2[[#This Row],[Stock Gap]]&lt;0, "Understock","Okay")</f>
        <v>Okay</v>
      </c>
      <c r="O2553" s="13" t="str">
        <f>IF(Table2[[#This Row],[Stock Gap]]&lt;0, "Yes", "No")</f>
        <v>No</v>
      </c>
      <c r="P2553" s="13" t="str">
        <f>IF(Table2[[#This Row],[CurrentStock]]&lt;Table2[[#This Row],[ReorderLevel]],"Reorder", "Okay")</f>
        <v>Okay</v>
      </c>
      <c r="Q2553" s="13" t="str">
        <f>IF(Table2[[#This Row],[CurrentStock]]&gt;Table2[[#This Row],[ReorderLevel]]*3, "Overstock", "Okay")</f>
        <v>Overstock</v>
      </c>
    </row>
    <row r="2554" spans="1:17" x14ac:dyDescent="0.35">
      <c r="A2554">
        <v>85653</v>
      </c>
      <c r="B2554" t="s">
        <v>11</v>
      </c>
      <c r="C2554" t="s">
        <v>27</v>
      </c>
      <c r="D2554">
        <v>183</v>
      </c>
      <c r="E2554">
        <v>50</v>
      </c>
      <c r="F2554" s="2">
        <v>355.14</v>
      </c>
      <c r="G2554" t="s">
        <v>35</v>
      </c>
      <c r="H2554" s="1">
        <v>45479</v>
      </c>
      <c r="I2554" s="1">
        <v>45490</v>
      </c>
      <c r="J2554" t="s">
        <v>37</v>
      </c>
      <c r="K2554" s="8">
        <f>Table2[[#This Row],[CurrentStock]]*Table2[[#This Row],[UnitPrice]]</f>
        <v>64990.619999999995</v>
      </c>
      <c r="L2554" t="str">
        <f>IF(Table2[[#This Row],[CurrentStock]]&lt;=Table2[[#This Row],[ReorderLevel]], "Reorder Needed", "Okay")</f>
        <v>Okay</v>
      </c>
      <c r="M2554" t="str">
        <f>IF(Table2[[#This Row],[CurrentStock]]-Table2[[#This Row],[ReorderLevel]]&lt;0,Table2[[#This Row],[CurrentStock]]-Table2[[#This Row],[ReorderLevel]],"")</f>
        <v/>
      </c>
      <c r="N2554" t="str">
        <f>IF(Table2[[#This Row],[Stock Gap]]&lt;0, "Understock","Okay")</f>
        <v>Okay</v>
      </c>
      <c r="O2554" s="13" t="str">
        <f>IF(Table2[[#This Row],[Stock Gap]]&lt;0, "Yes", "No")</f>
        <v>No</v>
      </c>
      <c r="P2554" s="13" t="str">
        <f>IF(Table2[[#This Row],[CurrentStock]]&lt;Table2[[#This Row],[ReorderLevel]],"Reorder", "Okay")</f>
        <v>Okay</v>
      </c>
      <c r="Q2554" s="13" t="str">
        <f>IF(Table2[[#This Row],[CurrentStock]]&gt;Table2[[#This Row],[ReorderLevel]]*3, "Overstock", "Okay")</f>
        <v>Overstock</v>
      </c>
    </row>
    <row r="2555" spans="1:17" x14ac:dyDescent="0.35">
      <c r="A2555">
        <v>37328</v>
      </c>
      <c r="B2555" t="s">
        <v>24</v>
      </c>
      <c r="C2555" t="s">
        <v>30</v>
      </c>
      <c r="D2555">
        <v>130</v>
      </c>
      <c r="E2555">
        <v>20</v>
      </c>
      <c r="F2555" s="2">
        <v>366.69</v>
      </c>
      <c r="G2555" t="s">
        <v>34</v>
      </c>
      <c r="H2555" s="1">
        <v>45593</v>
      </c>
      <c r="I2555" s="1">
        <v>45619</v>
      </c>
      <c r="J2555" t="s">
        <v>37</v>
      </c>
      <c r="K2555" s="8">
        <f>Table2[[#This Row],[CurrentStock]]*Table2[[#This Row],[UnitPrice]]</f>
        <v>47669.7</v>
      </c>
      <c r="L2555" t="str">
        <f>IF(Table2[[#This Row],[CurrentStock]]&lt;=Table2[[#This Row],[ReorderLevel]], "Reorder Needed", "Okay")</f>
        <v>Okay</v>
      </c>
      <c r="M2555" t="str">
        <f>IF(Table2[[#This Row],[CurrentStock]]-Table2[[#This Row],[ReorderLevel]]&lt;0,Table2[[#This Row],[CurrentStock]]-Table2[[#This Row],[ReorderLevel]],"")</f>
        <v/>
      </c>
      <c r="N2555" t="str">
        <f>IF(Table2[[#This Row],[Stock Gap]]&lt;0, "Understock","Okay")</f>
        <v>Okay</v>
      </c>
      <c r="O2555" s="13" t="str">
        <f>IF(Table2[[#This Row],[Stock Gap]]&lt;0, "Yes", "No")</f>
        <v>No</v>
      </c>
      <c r="P2555" s="13" t="str">
        <f>IF(Table2[[#This Row],[CurrentStock]]&lt;Table2[[#This Row],[ReorderLevel]],"Reorder", "Okay")</f>
        <v>Okay</v>
      </c>
      <c r="Q2555" s="13" t="str">
        <f>IF(Table2[[#This Row],[CurrentStock]]&gt;Table2[[#This Row],[ReorderLevel]]*3, "Overstock", "Okay")</f>
        <v>Overstock</v>
      </c>
    </row>
    <row r="2556" spans="1:17" x14ac:dyDescent="0.35">
      <c r="A2556">
        <v>12703</v>
      </c>
      <c r="B2556" t="s">
        <v>13</v>
      </c>
      <c r="C2556" t="s">
        <v>26</v>
      </c>
      <c r="D2556">
        <v>97</v>
      </c>
      <c r="E2556">
        <v>20</v>
      </c>
      <c r="F2556" s="2">
        <v>342.43</v>
      </c>
      <c r="G2556" t="s">
        <v>31</v>
      </c>
      <c r="H2556" s="1">
        <v>45379</v>
      </c>
      <c r="I2556" s="1">
        <v>45395</v>
      </c>
      <c r="J2556" t="s">
        <v>37</v>
      </c>
      <c r="K2556" s="8">
        <f>Table2[[#This Row],[CurrentStock]]*Table2[[#This Row],[UnitPrice]]</f>
        <v>33215.71</v>
      </c>
      <c r="L2556" t="str">
        <f>IF(Table2[[#This Row],[CurrentStock]]&lt;=Table2[[#This Row],[ReorderLevel]], "Reorder Needed", "Okay")</f>
        <v>Okay</v>
      </c>
      <c r="M2556" t="str">
        <f>IF(Table2[[#This Row],[CurrentStock]]-Table2[[#This Row],[ReorderLevel]]&lt;0,Table2[[#This Row],[CurrentStock]]-Table2[[#This Row],[ReorderLevel]],"")</f>
        <v/>
      </c>
      <c r="N2556" t="str">
        <f>IF(Table2[[#This Row],[Stock Gap]]&lt;0, "Understock","Okay")</f>
        <v>Okay</v>
      </c>
      <c r="O2556" s="13" t="str">
        <f>IF(Table2[[#This Row],[Stock Gap]]&lt;0, "Yes", "No")</f>
        <v>No</v>
      </c>
      <c r="P2556" s="13" t="str">
        <f>IF(Table2[[#This Row],[CurrentStock]]&lt;Table2[[#This Row],[ReorderLevel]],"Reorder", "Okay")</f>
        <v>Okay</v>
      </c>
      <c r="Q2556" s="13" t="str">
        <f>IF(Table2[[#This Row],[CurrentStock]]&gt;Table2[[#This Row],[ReorderLevel]]*3, "Overstock", "Okay")</f>
        <v>Overstock</v>
      </c>
    </row>
    <row r="2557" spans="1:17" x14ac:dyDescent="0.35">
      <c r="A2557">
        <v>66195</v>
      </c>
      <c r="B2557" t="s">
        <v>9</v>
      </c>
      <c r="C2557" t="s">
        <v>26</v>
      </c>
      <c r="D2557">
        <v>211</v>
      </c>
      <c r="E2557">
        <v>20</v>
      </c>
      <c r="F2557" s="2">
        <v>408.22</v>
      </c>
      <c r="G2557" t="s">
        <v>35</v>
      </c>
      <c r="H2557" s="1">
        <v>45330</v>
      </c>
      <c r="I2557" s="1">
        <v>45347</v>
      </c>
      <c r="J2557" t="s">
        <v>38</v>
      </c>
      <c r="K2557" s="8">
        <f>Table2[[#This Row],[CurrentStock]]*Table2[[#This Row],[UnitPrice]]</f>
        <v>86134.420000000013</v>
      </c>
      <c r="L2557" t="str">
        <f>IF(Table2[[#This Row],[CurrentStock]]&lt;=Table2[[#This Row],[ReorderLevel]], "Reorder Needed", "Okay")</f>
        <v>Okay</v>
      </c>
      <c r="M2557" t="str">
        <f>IF(Table2[[#This Row],[CurrentStock]]-Table2[[#This Row],[ReorderLevel]]&lt;0,Table2[[#This Row],[CurrentStock]]-Table2[[#This Row],[ReorderLevel]],"")</f>
        <v/>
      </c>
      <c r="N2557" t="str">
        <f>IF(Table2[[#This Row],[Stock Gap]]&lt;0, "Understock","Okay")</f>
        <v>Okay</v>
      </c>
      <c r="O2557" s="13" t="str">
        <f>IF(Table2[[#This Row],[Stock Gap]]&lt;0, "Yes", "No")</f>
        <v>No</v>
      </c>
      <c r="P2557" s="13" t="str">
        <f>IF(Table2[[#This Row],[CurrentStock]]&lt;Table2[[#This Row],[ReorderLevel]],"Reorder", "Okay")</f>
        <v>Okay</v>
      </c>
      <c r="Q2557" s="13" t="str">
        <f>IF(Table2[[#This Row],[CurrentStock]]&gt;Table2[[#This Row],[ReorderLevel]]*3, "Overstock", "Okay")</f>
        <v>Overstock</v>
      </c>
    </row>
    <row r="2558" spans="1:17" x14ac:dyDescent="0.35">
      <c r="A2558">
        <v>15723</v>
      </c>
      <c r="B2558" t="s">
        <v>19</v>
      </c>
      <c r="C2558" t="s">
        <v>28</v>
      </c>
      <c r="D2558">
        <v>87</v>
      </c>
      <c r="E2558">
        <v>80</v>
      </c>
      <c r="F2558" s="2">
        <v>315.25</v>
      </c>
      <c r="G2558" t="s">
        <v>35</v>
      </c>
      <c r="H2558" s="1">
        <v>45417</v>
      </c>
      <c r="I2558" s="1">
        <v>45443</v>
      </c>
      <c r="J2558" t="s">
        <v>36</v>
      </c>
      <c r="K2558" s="8">
        <f>Table2[[#This Row],[CurrentStock]]*Table2[[#This Row],[UnitPrice]]</f>
        <v>27426.75</v>
      </c>
      <c r="L2558" t="str">
        <f>IF(Table2[[#This Row],[CurrentStock]]&lt;=Table2[[#This Row],[ReorderLevel]], "Reorder Needed", "Okay")</f>
        <v>Okay</v>
      </c>
      <c r="M2558" t="str">
        <f>IF(Table2[[#This Row],[CurrentStock]]-Table2[[#This Row],[ReorderLevel]]&lt;0,Table2[[#This Row],[CurrentStock]]-Table2[[#This Row],[ReorderLevel]],"")</f>
        <v/>
      </c>
      <c r="N2558" t="str">
        <f>IF(Table2[[#This Row],[Stock Gap]]&lt;0, "Understock","Okay")</f>
        <v>Okay</v>
      </c>
      <c r="O2558" s="13" t="str">
        <f>IF(Table2[[#This Row],[Stock Gap]]&lt;0, "Yes", "No")</f>
        <v>No</v>
      </c>
      <c r="P2558" s="13" t="str">
        <f>IF(Table2[[#This Row],[CurrentStock]]&lt;Table2[[#This Row],[ReorderLevel]],"Reorder", "Okay")</f>
        <v>Okay</v>
      </c>
      <c r="Q2558" s="13" t="str">
        <f>IF(Table2[[#This Row],[CurrentStock]]&gt;Table2[[#This Row],[ReorderLevel]]*3, "Overstock", "Okay")</f>
        <v>Okay</v>
      </c>
    </row>
    <row r="2559" spans="1:17" x14ac:dyDescent="0.35">
      <c r="A2559">
        <v>31162</v>
      </c>
      <c r="B2559" t="s">
        <v>18</v>
      </c>
      <c r="C2559" t="s">
        <v>27</v>
      </c>
      <c r="D2559">
        <v>120</v>
      </c>
      <c r="E2559">
        <v>80</v>
      </c>
      <c r="F2559" s="2">
        <v>71.94</v>
      </c>
      <c r="G2559" t="s">
        <v>32</v>
      </c>
      <c r="H2559" s="1">
        <v>45652</v>
      </c>
      <c r="I2559" s="1">
        <v>45674</v>
      </c>
      <c r="J2559" t="s">
        <v>36</v>
      </c>
      <c r="K2559" s="8">
        <f>Table2[[#This Row],[CurrentStock]]*Table2[[#This Row],[UnitPrice]]</f>
        <v>8632.7999999999993</v>
      </c>
      <c r="L2559" t="str">
        <f>IF(Table2[[#This Row],[CurrentStock]]&lt;=Table2[[#This Row],[ReorderLevel]], "Reorder Needed", "Okay")</f>
        <v>Okay</v>
      </c>
      <c r="M2559" t="str">
        <f>IF(Table2[[#This Row],[CurrentStock]]-Table2[[#This Row],[ReorderLevel]]&lt;0,Table2[[#This Row],[CurrentStock]]-Table2[[#This Row],[ReorderLevel]],"")</f>
        <v/>
      </c>
      <c r="N2559" t="str">
        <f>IF(Table2[[#This Row],[Stock Gap]]&lt;0, "Understock","Okay")</f>
        <v>Okay</v>
      </c>
      <c r="O2559" s="13" t="str">
        <f>IF(Table2[[#This Row],[Stock Gap]]&lt;0, "Yes", "No")</f>
        <v>No</v>
      </c>
      <c r="P2559" s="13" t="str">
        <f>IF(Table2[[#This Row],[CurrentStock]]&lt;Table2[[#This Row],[ReorderLevel]],"Reorder", "Okay")</f>
        <v>Okay</v>
      </c>
      <c r="Q2559" s="13" t="str">
        <f>IF(Table2[[#This Row],[CurrentStock]]&gt;Table2[[#This Row],[ReorderLevel]]*3, "Overstock", "Okay")</f>
        <v>Okay</v>
      </c>
    </row>
    <row r="2560" spans="1:17" x14ac:dyDescent="0.35">
      <c r="A2560">
        <v>87195</v>
      </c>
      <c r="B2560" t="s">
        <v>9</v>
      </c>
      <c r="C2560" t="s">
        <v>26</v>
      </c>
      <c r="D2560">
        <v>35</v>
      </c>
      <c r="E2560">
        <v>100</v>
      </c>
      <c r="F2560" s="2">
        <v>242.69</v>
      </c>
      <c r="G2560" t="s">
        <v>33</v>
      </c>
      <c r="H2560" s="1">
        <v>45539</v>
      </c>
      <c r="I2560" s="1">
        <v>45562</v>
      </c>
      <c r="J2560" t="s">
        <v>37</v>
      </c>
      <c r="K2560" s="8">
        <f>Table2[[#This Row],[CurrentStock]]*Table2[[#This Row],[UnitPrice]]</f>
        <v>8494.15</v>
      </c>
      <c r="L2560" t="str">
        <f>IF(Table2[[#This Row],[CurrentStock]]&lt;=Table2[[#This Row],[ReorderLevel]], "Reorder Needed", "Okay")</f>
        <v>Reorder Needed</v>
      </c>
      <c r="M2560" s="7">
        <f>IF(Table2[[#This Row],[CurrentStock]]-Table2[[#This Row],[ReorderLevel]]&lt;0,Table2[[#This Row],[CurrentStock]]-Table2[[#This Row],[ReorderLevel]],"")</f>
        <v>-65</v>
      </c>
      <c r="N2560" t="str">
        <f>IF(Table2[[#This Row],[Stock Gap]]&lt;0, "Understock","Okay")</f>
        <v>Understock</v>
      </c>
      <c r="O2560" s="13" t="str">
        <f>IF(Table2[[#This Row],[Stock Gap]]&lt;0, "Yes", "No")</f>
        <v>Yes</v>
      </c>
      <c r="P2560" s="13" t="str">
        <f>IF(Table2[[#This Row],[CurrentStock]]&lt;Table2[[#This Row],[ReorderLevel]],"Reorder", "Okay")</f>
        <v>Reorder</v>
      </c>
      <c r="Q2560" s="13" t="str">
        <f>IF(Table2[[#This Row],[CurrentStock]]&gt;Table2[[#This Row],[ReorderLevel]]*3, "Overstock", "Okay")</f>
        <v>Okay</v>
      </c>
    </row>
    <row r="2561" spans="1:17" x14ac:dyDescent="0.35">
      <c r="A2561">
        <v>35931</v>
      </c>
      <c r="B2561" t="s">
        <v>16</v>
      </c>
      <c r="C2561" t="s">
        <v>29</v>
      </c>
      <c r="D2561">
        <v>98</v>
      </c>
      <c r="E2561">
        <v>50</v>
      </c>
      <c r="F2561" s="2">
        <v>152.97</v>
      </c>
      <c r="G2561" t="s">
        <v>34</v>
      </c>
      <c r="H2561" s="1">
        <v>45490</v>
      </c>
      <c r="I2561" s="1">
        <v>45497</v>
      </c>
      <c r="J2561" t="s">
        <v>36</v>
      </c>
      <c r="K2561" s="8">
        <f>Table2[[#This Row],[CurrentStock]]*Table2[[#This Row],[UnitPrice]]</f>
        <v>14991.06</v>
      </c>
      <c r="L2561" t="str">
        <f>IF(Table2[[#This Row],[CurrentStock]]&lt;=Table2[[#This Row],[ReorderLevel]], "Reorder Needed", "Okay")</f>
        <v>Okay</v>
      </c>
      <c r="M2561" t="str">
        <f>IF(Table2[[#This Row],[CurrentStock]]-Table2[[#This Row],[ReorderLevel]]&lt;0,Table2[[#This Row],[CurrentStock]]-Table2[[#This Row],[ReorderLevel]],"")</f>
        <v/>
      </c>
      <c r="N2561" t="str">
        <f>IF(Table2[[#This Row],[Stock Gap]]&lt;0, "Understock","Okay")</f>
        <v>Okay</v>
      </c>
      <c r="O2561" s="13" t="str">
        <f>IF(Table2[[#This Row],[Stock Gap]]&lt;0, "Yes", "No")</f>
        <v>No</v>
      </c>
      <c r="P2561" s="13" t="str">
        <f>IF(Table2[[#This Row],[CurrentStock]]&lt;Table2[[#This Row],[ReorderLevel]],"Reorder", "Okay")</f>
        <v>Okay</v>
      </c>
      <c r="Q2561" s="13" t="str">
        <f>IF(Table2[[#This Row],[CurrentStock]]&gt;Table2[[#This Row],[ReorderLevel]]*3, "Overstock", "Okay")</f>
        <v>Okay</v>
      </c>
    </row>
    <row r="2562" spans="1:17" x14ac:dyDescent="0.35">
      <c r="A2562">
        <v>20605</v>
      </c>
      <c r="B2562" t="s">
        <v>13</v>
      </c>
      <c r="C2562" t="s">
        <v>26</v>
      </c>
      <c r="D2562">
        <v>290</v>
      </c>
      <c r="E2562">
        <v>50</v>
      </c>
      <c r="F2562" s="2">
        <v>143.25</v>
      </c>
      <c r="G2562" t="s">
        <v>33</v>
      </c>
      <c r="H2562" s="1">
        <v>45485</v>
      </c>
      <c r="I2562" s="1">
        <v>45503</v>
      </c>
      <c r="J2562" t="s">
        <v>36</v>
      </c>
      <c r="K2562" s="8">
        <f>Table2[[#This Row],[CurrentStock]]*Table2[[#This Row],[UnitPrice]]</f>
        <v>41542.5</v>
      </c>
      <c r="L2562" t="str">
        <f>IF(Table2[[#This Row],[CurrentStock]]&lt;=Table2[[#This Row],[ReorderLevel]], "Reorder Needed", "Okay")</f>
        <v>Okay</v>
      </c>
      <c r="M2562" t="str">
        <f>IF(Table2[[#This Row],[CurrentStock]]-Table2[[#This Row],[ReorderLevel]]&lt;0,Table2[[#This Row],[CurrentStock]]-Table2[[#This Row],[ReorderLevel]],"")</f>
        <v/>
      </c>
      <c r="N2562" t="str">
        <f>IF(Table2[[#This Row],[Stock Gap]]&lt;0, "Understock","Okay")</f>
        <v>Okay</v>
      </c>
      <c r="O2562" s="13" t="str">
        <f>IF(Table2[[#This Row],[Stock Gap]]&lt;0, "Yes", "No")</f>
        <v>No</v>
      </c>
      <c r="P2562" s="13" t="str">
        <f>IF(Table2[[#This Row],[CurrentStock]]&lt;Table2[[#This Row],[ReorderLevel]],"Reorder", "Okay")</f>
        <v>Okay</v>
      </c>
      <c r="Q2562" s="13" t="str">
        <f>IF(Table2[[#This Row],[CurrentStock]]&gt;Table2[[#This Row],[ReorderLevel]]*3, "Overstock", "Okay")</f>
        <v>Overstock</v>
      </c>
    </row>
    <row r="2563" spans="1:17" x14ac:dyDescent="0.35">
      <c r="A2563">
        <v>87195</v>
      </c>
      <c r="B2563" t="s">
        <v>16</v>
      </c>
      <c r="C2563" t="s">
        <v>29</v>
      </c>
      <c r="D2563">
        <v>48</v>
      </c>
      <c r="E2563">
        <v>150</v>
      </c>
      <c r="F2563" s="2">
        <v>89.7</v>
      </c>
      <c r="G2563" t="s">
        <v>31</v>
      </c>
      <c r="H2563" s="1">
        <v>45530</v>
      </c>
      <c r="I2563" s="1">
        <v>45551</v>
      </c>
      <c r="J2563" t="s">
        <v>37</v>
      </c>
      <c r="K2563" s="8">
        <f>Table2[[#This Row],[CurrentStock]]*Table2[[#This Row],[UnitPrice]]</f>
        <v>4305.6000000000004</v>
      </c>
      <c r="L2563" t="str">
        <f>IF(Table2[[#This Row],[CurrentStock]]&lt;=Table2[[#This Row],[ReorderLevel]], "Reorder Needed", "Okay")</f>
        <v>Reorder Needed</v>
      </c>
      <c r="M2563" s="7">
        <f>IF(Table2[[#This Row],[CurrentStock]]-Table2[[#This Row],[ReorderLevel]]&lt;0,Table2[[#This Row],[CurrentStock]]-Table2[[#This Row],[ReorderLevel]],"")</f>
        <v>-102</v>
      </c>
      <c r="N2563" t="str">
        <f>IF(Table2[[#This Row],[Stock Gap]]&lt;0, "Understock","Okay")</f>
        <v>Understock</v>
      </c>
      <c r="O2563" s="13" t="str">
        <f>IF(Table2[[#This Row],[Stock Gap]]&lt;0, "Yes", "No")</f>
        <v>Yes</v>
      </c>
      <c r="P2563" s="13" t="str">
        <f>IF(Table2[[#This Row],[CurrentStock]]&lt;Table2[[#This Row],[ReorderLevel]],"Reorder", "Okay")</f>
        <v>Reorder</v>
      </c>
      <c r="Q2563" s="13" t="str">
        <f>IF(Table2[[#This Row],[CurrentStock]]&gt;Table2[[#This Row],[ReorderLevel]]*3, "Overstock", "Okay")</f>
        <v>Okay</v>
      </c>
    </row>
    <row r="2564" spans="1:17" x14ac:dyDescent="0.35">
      <c r="A2564">
        <v>58745</v>
      </c>
      <c r="B2564" t="s">
        <v>14</v>
      </c>
      <c r="C2564" t="s">
        <v>28</v>
      </c>
      <c r="D2564">
        <v>382</v>
      </c>
      <c r="E2564">
        <v>150</v>
      </c>
      <c r="F2564" s="2">
        <v>142.02000000000001</v>
      </c>
      <c r="G2564" t="s">
        <v>32</v>
      </c>
      <c r="H2564" s="1">
        <v>45576</v>
      </c>
      <c r="I2564" s="1">
        <v>45607</v>
      </c>
      <c r="J2564" t="s">
        <v>37</v>
      </c>
      <c r="K2564" s="8">
        <f>Table2[[#This Row],[CurrentStock]]*Table2[[#This Row],[UnitPrice]]</f>
        <v>54251.640000000007</v>
      </c>
      <c r="L2564" t="str">
        <f>IF(Table2[[#This Row],[CurrentStock]]&lt;=Table2[[#This Row],[ReorderLevel]], "Reorder Needed", "Okay")</f>
        <v>Okay</v>
      </c>
      <c r="M2564" t="str">
        <f>IF(Table2[[#This Row],[CurrentStock]]-Table2[[#This Row],[ReorderLevel]]&lt;0,Table2[[#This Row],[CurrentStock]]-Table2[[#This Row],[ReorderLevel]],"")</f>
        <v/>
      </c>
      <c r="N2564" t="str">
        <f>IF(Table2[[#This Row],[Stock Gap]]&lt;0, "Understock","Okay")</f>
        <v>Okay</v>
      </c>
      <c r="O2564" s="13" t="str">
        <f>IF(Table2[[#This Row],[Stock Gap]]&lt;0, "Yes", "No")</f>
        <v>No</v>
      </c>
      <c r="P2564" s="13" t="str">
        <f>IF(Table2[[#This Row],[CurrentStock]]&lt;Table2[[#This Row],[ReorderLevel]],"Reorder", "Okay")</f>
        <v>Okay</v>
      </c>
      <c r="Q2564" s="13" t="str">
        <f>IF(Table2[[#This Row],[CurrentStock]]&gt;Table2[[#This Row],[ReorderLevel]]*3, "Overstock", "Okay")</f>
        <v>Okay</v>
      </c>
    </row>
    <row r="2565" spans="1:17" x14ac:dyDescent="0.35">
      <c r="A2565">
        <v>94482</v>
      </c>
      <c r="B2565" t="s">
        <v>9</v>
      </c>
      <c r="C2565" t="s">
        <v>26</v>
      </c>
      <c r="D2565">
        <v>175</v>
      </c>
      <c r="E2565">
        <v>100</v>
      </c>
      <c r="F2565" s="2">
        <v>244.78</v>
      </c>
      <c r="G2565" t="s">
        <v>34</v>
      </c>
      <c r="H2565" s="1">
        <v>45540</v>
      </c>
      <c r="I2565" s="1">
        <v>45556</v>
      </c>
      <c r="J2565" t="s">
        <v>36</v>
      </c>
      <c r="K2565" s="8">
        <f>Table2[[#This Row],[CurrentStock]]*Table2[[#This Row],[UnitPrice]]</f>
        <v>42836.5</v>
      </c>
      <c r="L2565" t="str">
        <f>IF(Table2[[#This Row],[CurrentStock]]&lt;=Table2[[#This Row],[ReorderLevel]], "Reorder Needed", "Okay")</f>
        <v>Okay</v>
      </c>
      <c r="M2565" t="str">
        <f>IF(Table2[[#This Row],[CurrentStock]]-Table2[[#This Row],[ReorderLevel]]&lt;0,Table2[[#This Row],[CurrentStock]]-Table2[[#This Row],[ReorderLevel]],"")</f>
        <v/>
      </c>
      <c r="N2565" t="str">
        <f>IF(Table2[[#This Row],[Stock Gap]]&lt;0, "Understock","Okay")</f>
        <v>Okay</v>
      </c>
      <c r="O2565" s="13" t="str">
        <f>IF(Table2[[#This Row],[Stock Gap]]&lt;0, "Yes", "No")</f>
        <v>No</v>
      </c>
      <c r="P2565" s="13" t="str">
        <f>IF(Table2[[#This Row],[CurrentStock]]&lt;Table2[[#This Row],[ReorderLevel]],"Reorder", "Okay")</f>
        <v>Okay</v>
      </c>
      <c r="Q2565" s="13" t="str">
        <f>IF(Table2[[#This Row],[CurrentStock]]&gt;Table2[[#This Row],[ReorderLevel]]*3, "Overstock", "Okay")</f>
        <v>Okay</v>
      </c>
    </row>
    <row r="2566" spans="1:17" x14ac:dyDescent="0.35">
      <c r="A2566">
        <v>29564</v>
      </c>
      <c r="B2566" t="s">
        <v>24</v>
      </c>
      <c r="C2566" t="s">
        <v>30</v>
      </c>
      <c r="D2566">
        <v>122</v>
      </c>
      <c r="E2566">
        <v>20</v>
      </c>
      <c r="F2566" s="2">
        <v>165.04</v>
      </c>
      <c r="G2566" t="s">
        <v>31</v>
      </c>
      <c r="H2566" s="1">
        <v>45449</v>
      </c>
      <c r="I2566" s="1">
        <v>45479</v>
      </c>
      <c r="J2566" t="s">
        <v>38</v>
      </c>
      <c r="K2566" s="8">
        <f>Table2[[#This Row],[CurrentStock]]*Table2[[#This Row],[UnitPrice]]</f>
        <v>20134.879999999997</v>
      </c>
      <c r="L2566" t="str">
        <f>IF(Table2[[#This Row],[CurrentStock]]&lt;=Table2[[#This Row],[ReorderLevel]], "Reorder Needed", "Okay")</f>
        <v>Okay</v>
      </c>
      <c r="M2566" t="str">
        <f>IF(Table2[[#This Row],[CurrentStock]]-Table2[[#This Row],[ReorderLevel]]&lt;0,Table2[[#This Row],[CurrentStock]]-Table2[[#This Row],[ReorderLevel]],"")</f>
        <v/>
      </c>
      <c r="N2566" t="str">
        <f>IF(Table2[[#This Row],[Stock Gap]]&lt;0, "Understock","Okay")</f>
        <v>Okay</v>
      </c>
      <c r="O2566" s="13" t="str">
        <f>IF(Table2[[#This Row],[Stock Gap]]&lt;0, "Yes", "No")</f>
        <v>No</v>
      </c>
      <c r="P2566" s="13" t="str">
        <f>IF(Table2[[#This Row],[CurrentStock]]&lt;Table2[[#This Row],[ReorderLevel]],"Reorder", "Okay")</f>
        <v>Okay</v>
      </c>
      <c r="Q2566" s="13" t="str">
        <f>IF(Table2[[#This Row],[CurrentStock]]&gt;Table2[[#This Row],[ReorderLevel]]*3, "Overstock", "Okay")</f>
        <v>Overstock</v>
      </c>
    </row>
    <row r="2567" spans="1:17" x14ac:dyDescent="0.35">
      <c r="A2567">
        <v>78071</v>
      </c>
      <c r="B2567" t="s">
        <v>22</v>
      </c>
      <c r="C2567" t="s">
        <v>29</v>
      </c>
      <c r="D2567">
        <v>414</v>
      </c>
      <c r="E2567">
        <v>100</v>
      </c>
      <c r="F2567" s="2">
        <v>258.27</v>
      </c>
      <c r="G2567" t="s">
        <v>31</v>
      </c>
      <c r="H2567" s="1">
        <v>45621</v>
      </c>
      <c r="I2567" s="1">
        <v>45634</v>
      </c>
      <c r="J2567" t="s">
        <v>38</v>
      </c>
      <c r="K2567" s="8">
        <f>Table2[[#This Row],[CurrentStock]]*Table2[[#This Row],[UnitPrice]]</f>
        <v>106923.78</v>
      </c>
      <c r="L2567" t="str">
        <f>IF(Table2[[#This Row],[CurrentStock]]&lt;=Table2[[#This Row],[ReorderLevel]], "Reorder Needed", "Okay")</f>
        <v>Okay</v>
      </c>
      <c r="M2567" t="str">
        <f>IF(Table2[[#This Row],[CurrentStock]]-Table2[[#This Row],[ReorderLevel]]&lt;0,Table2[[#This Row],[CurrentStock]]-Table2[[#This Row],[ReorderLevel]],"")</f>
        <v/>
      </c>
      <c r="N2567" t="str">
        <f>IF(Table2[[#This Row],[Stock Gap]]&lt;0, "Understock","Okay")</f>
        <v>Okay</v>
      </c>
      <c r="O2567" s="13" t="str">
        <f>IF(Table2[[#This Row],[Stock Gap]]&lt;0, "Yes", "No")</f>
        <v>No</v>
      </c>
      <c r="P2567" s="13" t="str">
        <f>IF(Table2[[#This Row],[CurrentStock]]&lt;Table2[[#This Row],[ReorderLevel]],"Reorder", "Okay")</f>
        <v>Okay</v>
      </c>
      <c r="Q2567" s="13" t="str">
        <f>IF(Table2[[#This Row],[CurrentStock]]&gt;Table2[[#This Row],[ReorderLevel]]*3, "Overstock", "Okay")</f>
        <v>Overstock</v>
      </c>
    </row>
    <row r="2568" spans="1:17" x14ac:dyDescent="0.35">
      <c r="A2568">
        <v>99694</v>
      </c>
      <c r="B2568" t="s">
        <v>20</v>
      </c>
      <c r="C2568" t="s">
        <v>30</v>
      </c>
      <c r="D2568">
        <v>60</v>
      </c>
      <c r="E2568">
        <v>40</v>
      </c>
      <c r="F2568" s="2">
        <v>115.77</v>
      </c>
      <c r="G2568" t="s">
        <v>35</v>
      </c>
      <c r="H2568" s="1">
        <v>45578</v>
      </c>
      <c r="I2568" s="1">
        <v>45583</v>
      </c>
      <c r="J2568" t="s">
        <v>36</v>
      </c>
      <c r="K2568" s="8">
        <f>Table2[[#This Row],[CurrentStock]]*Table2[[#This Row],[UnitPrice]]</f>
        <v>6946.2</v>
      </c>
      <c r="L2568" t="str">
        <f>IF(Table2[[#This Row],[CurrentStock]]&lt;=Table2[[#This Row],[ReorderLevel]], "Reorder Needed", "Okay")</f>
        <v>Okay</v>
      </c>
      <c r="M2568" t="str">
        <f>IF(Table2[[#This Row],[CurrentStock]]-Table2[[#This Row],[ReorderLevel]]&lt;0,Table2[[#This Row],[CurrentStock]]-Table2[[#This Row],[ReorderLevel]],"")</f>
        <v/>
      </c>
      <c r="N2568" t="str">
        <f>IF(Table2[[#This Row],[Stock Gap]]&lt;0, "Understock","Okay")</f>
        <v>Okay</v>
      </c>
      <c r="O2568" s="13" t="str">
        <f>IF(Table2[[#This Row],[Stock Gap]]&lt;0, "Yes", "No")</f>
        <v>No</v>
      </c>
      <c r="P2568" s="13" t="str">
        <f>IF(Table2[[#This Row],[CurrentStock]]&lt;Table2[[#This Row],[ReorderLevel]],"Reorder", "Okay")</f>
        <v>Okay</v>
      </c>
      <c r="Q2568" s="13" t="str">
        <f>IF(Table2[[#This Row],[CurrentStock]]&gt;Table2[[#This Row],[ReorderLevel]]*3, "Overstock", "Okay")</f>
        <v>Okay</v>
      </c>
    </row>
    <row r="2569" spans="1:17" x14ac:dyDescent="0.35">
      <c r="A2569">
        <v>29715</v>
      </c>
      <c r="B2569" t="s">
        <v>19</v>
      </c>
      <c r="C2569" t="s">
        <v>28</v>
      </c>
      <c r="D2569">
        <v>290</v>
      </c>
      <c r="E2569">
        <v>150</v>
      </c>
      <c r="F2569" s="2">
        <v>219.68</v>
      </c>
      <c r="G2569" t="s">
        <v>35</v>
      </c>
      <c r="H2569" s="1">
        <v>45630</v>
      </c>
      <c r="I2569" s="1">
        <v>45662</v>
      </c>
      <c r="J2569" t="s">
        <v>36</v>
      </c>
      <c r="K2569" s="8">
        <f>Table2[[#This Row],[CurrentStock]]*Table2[[#This Row],[UnitPrice]]</f>
        <v>63707.200000000004</v>
      </c>
      <c r="L2569" t="str">
        <f>IF(Table2[[#This Row],[CurrentStock]]&lt;=Table2[[#This Row],[ReorderLevel]], "Reorder Needed", "Okay")</f>
        <v>Okay</v>
      </c>
      <c r="M2569" t="str">
        <f>IF(Table2[[#This Row],[CurrentStock]]-Table2[[#This Row],[ReorderLevel]]&lt;0,Table2[[#This Row],[CurrentStock]]-Table2[[#This Row],[ReorderLevel]],"")</f>
        <v/>
      </c>
      <c r="N2569" t="str">
        <f>IF(Table2[[#This Row],[Stock Gap]]&lt;0, "Understock","Okay")</f>
        <v>Okay</v>
      </c>
      <c r="O2569" s="13" t="str">
        <f>IF(Table2[[#This Row],[Stock Gap]]&lt;0, "Yes", "No")</f>
        <v>No</v>
      </c>
      <c r="P2569" s="13" t="str">
        <f>IF(Table2[[#This Row],[CurrentStock]]&lt;Table2[[#This Row],[ReorderLevel]],"Reorder", "Okay")</f>
        <v>Okay</v>
      </c>
      <c r="Q2569" s="13" t="str">
        <f>IF(Table2[[#This Row],[CurrentStock]]&gt;Table2[[#This Row],[ReorderLevel]]*3, "Overstock", "Okay")</f>
        <v>Okay</v>
      </c>
    </row>
    <row r="2570" spans="1:17" x14ac:dyDescent="0.35">
      <c r="A2570">
        <v>85761</v>
      </c>
      <c r="B2570" t="s">
        <v>12</v>
      </c>
      <c r="C2570" t="s">
        <v>28</v>
      </c>
      <c r="D2570">
        <v>479</v>
      </c>
      <c r="E2570">
        <v>40</v>
      </c>
      <c r="F2570" s="2">
        <v>471.97</v>
      </c>
      <c r="G2570" t="s">
        <v>34</v>
      </c>
      <c r="H2570" s="1">
        <v>45503</v>
      </c>
      <c r="I2570" s="1">
        <v>45509</v>
      </c>
      <c r="J2570" t="s">
        <v>37</v>
      </c>
      <c r="K2570" s="8">
        <f>Table2[[#This Row],[CurrentStock]]*Table2[[#This Row],[UnitPrice]]</f>
        <v>226073.63</v>
      </c>
      <c r="L2570" t="str">
        <f>IF(Table2[[#This Row],[CurrentStock]]&lt;=Table2[[#This Row],[ReorderLevel]], "Reorder Needed", "Okay")</f>
        <v>Okay</v>
      </c>
      <c r="M2570" t="str">
        <f>IF(Table2[[#This Row],[CurrentStock]]-Table2[[#This Row],[ReorderLevel]]&lt;0,Table2[[#This Row],[CurrentStock]]-Table2[[#This Row],[ReorderLevel]],"")</f>
        <v/>
      </c>
      <c r="N2570" t="str">
        <f>IF(Table2[[#This Row],[Stock Gap]]&lt;0, "Understock","Okay")</f>
        <v>Okay</v>
      </c>
      <c r="O2570" s="13" t="str">
        <f>IF(Table2[[#This Row],[Stock Gap]]&lt;0, "Yes", "No")</f>
        <v>No</v>
      </c>
      <c r="P2570" s="13" t="str">
        <f>IF(Table2[[#This Row],[CurrentStock]]&lt;Table2[[#This Row],[ReorderLevel]],"Reorder", "Okay")</f>
        <v>Okay</v>
      </c>
      <c r="Q2570" s="13" t="str">
        <f>IF(Table2[[#This Row],[CurrentStock]]&gt;Table2[[#This Row],[ReorderLevel]]*3, "Overstock", "Okay")</f>
        <v>Overstock</v>
      </c>
    </row>
    <row r="2571" spans="1:17" x14ac:dyDescent="0.35">
      <c r="A2571">
        <v>24155</v>
      </c>
      <c r="B2571" t="s">
        <v>17</v>
      </c>
      <c r="C2571" t="s">
        <v>27</v>
      </c>
      <c r="D2571">
        <v>431</v>
      </c>
      <c r="E2571">
        <v>30</v>
      </c>
      <c r="F2571" s="2">
        <v>498.86</v>
      </c>
      <c r="G2571" t="s">
        <v>31</v>
      </c>
      <c r="H2571" s="1">
        <v>45310</v>
      </c>
      <c r="I2571" s="1">
        <v>45348</v>
      </c>
      <c r="J2571" t="s">
        <v>37</v>
      </c>
      <c r="K2571" s="8">
        <f>Table2[[#This Row],[CurrentStock]]*Table2[[#This Row],[UnitPrice]]</f>
        <v>215008.66</v>
      </c>
      <c r="L2571" t="str">
        <f>IF(Table2[[#This Row],[CurrentStock]]&lt;=Table2[[#This Row],[ReorderLevel]], "Reorder Needed", "Okay")</f>
        <v>Okay</v>
      </c>
      <c r="M2571" t="str">
        <f>IF(Table2[[#This Row],[CurrentStock]]-Table2[[#This Row],[ReorderLevel]]&lt;0,Table2[[#This Row],[CurrentStock]]-Table2[[#This Row],[ReorderLevel]],"")</f>
        <v/>
      </c>
      <c r="N2571" t="str">
        <f>IF(Table2[[#This Row],[Stock Gap]]&lt;0, "Understock","Okay")</f>
        <v>Okay</v>
      </c>
      <c r="O2571" s="13" t="str">
        <f>IF(Table2[[#This Row],[Stock Gap]]&lt;0, "Yes", "No")</f>
        <v>No</v>
      </c>
      <c r="P2571" s="13" t="str">
        <f>IF(Table2[[#This Row],[CurrentStock]]&lt;Table2[[#This Row],[ReorderLevel]],"Reorder", "Okay")</f>
        <v>Okay</v>
      </c>
      <c r="Q2571" s="13" t="str">
        <f>IF(Table2[[#This Row],[CurrentStock]]&gt;Table2[[#This Row],[ReorderLevel]]*3, "Overstock", "Okay")</f>
        <v>Overstock</v>
      </c>
    </row>
    <row r="2572" spans="1:17" x14ac:dyDescent="0.35">
      <c r="A2572">
        <v>91855</v>
      </c>
      <c r="B2572" t="s">
        <v>18</v>
      </c>
      <c r="C2572" t="s">
        <v>27</v>
      </c>
      <c r="D2572">
        <v>133</v>
      </c>
      <c r="E2572">
        <v>40</v>
      </c>
      <c r="F2572" s="2">
        <v>483.18</v>
      </c>
      <c r="G2572" t="s">
        <v>35</v>
      </c>
      <c r="H2572" s="1">
        <v>45377</v>
      </c>
      <c r="I2572" s="1">
        <v>45392</v>
      </c>
      <c r="J2572" t="s">
        <v>36</v>
      </c>
      <c r="K2572" s="8">
        <f>Table2[[#This Row],[CurrentStock]]*Table2[[#This Row],[UnitPrice]]</f>
        <v>64262.94</v>
      </c>
      <c r="L2572" t="str">
        <f>IF(Table2[[#This Row],[CurrentStock]]&lt;=Table2[[#This Row],[ReorderLevel]], "Reorder Needed", "Okay")</f>
        <v>Okay</v>
      </c>
      <c r="M2572" t="str">
        <f>IF(Table2[[#This Row],[CurrentStock]]-Table2[[#This Row],[ReorderLevel]]&lt;0,Table2[[#This Row],[CurrentStock]]-Table2[[#This Row],[ReorderLevel]],"")</f>
        <v/>
      </c>
      <c r="N2572" t="str">
        <f>IF(Table2[[#This Row],[Stock Gap]]&lt;0, "Understock","Okay")</f>
        <v>Okay</v>
      </c>
      <c r="O2572" s="13" t="str">
        <f>IF(Table2[[#This Row],[Stock Gap]]&lt;0, "Yes", "No")</f>
        <v>No</v>
      </c>
      <c r="P2572" s="13" t="str">
        <f>IF(Table2[[#This Row],[CurrentStock]]&lt;Table2[[#This Row],[ReorderLevel]],"Reorder", "Okay")</f>
        <v>Okay</v>
      </c>
      <c r="Q2572" s="13" t="str">
        <f>IF(Table2[[#This Row],[CurrentStock]]&gt;Table2[[#This Row],[ReorderLevel]]*3, "Overstock", "Okay")</f>
        <v>Overstock</v>
      </c>
    </row>
    <row r="2573" spans="1:17" x14ac:dyDescent="0.35">
      <c r="A2573">
        <v>72970</v>
      </c>
      <c r="B2573" t="s">
        <v>25</v>
      </c>
      <c r="C2573" t="s">
        <v>29</v>
      </c>
      <c r="D2573">
        <v>349</v>
      </c>
      <c r="E2573">
        <v>40</v>
      </c>
      <c r="F2573" s="2">
        <v>310.94</v>
      </c>
      <c r="G2573" t="s">
        <v>35</v>
      </c>
      <c r="H2573" s="1">
        <v>45594</v>
      </c>
      <c r="I2573" s="1">
        <v>45627</v>
      </c>
      <c r="J2573" t="s">
        <v>36</v>
      </c>
      <c r="K2573" s="8">
        <f>Table2[[#This Row],[CurrentStock]]*Table2[[#This Row],[UnitPrice]]</f>
        <v>108518.06</v>
      </c>
      <c r="L2573" t="str">
        <f>IF(Table2[[#This Row],[CurrentStock]]&lt;=Table2[[#This Row],[ReorderLevel]], "Reorder Needed", "Okay")</f>
        <v>Okay</v>
      </c>
      <c r="M2573" t="str">
        <f>IF(Table2[[#This Row],[CurrentStock]]-Table2[[#This Row],[ReorderLevel]]&lt;0,Table2[[#This Row],[CurrentStock]]-Table2[[#This Row],[ReorderLevel]],"")</f>
        <v/>
      </c>
      <c r="N2573" t="str">
        <f>IF(Table2[[#This Row],[Stock Gap]]&lt;0, "Understock","Okay")</f>
        <v>Okay</v>
      </c>
      <c r="O2573" s="13" t="str">
        <f>IF(Table2[[#This Row],[Stock Gap]]&lt;0, "Yes", "No")</f>
        <v>No</v>
      </c>
      <c r="P2573" s="13" t="str">
        <f>IF(Table2[[#This Row],[CurrentStock]]&lt;Table2[[#This Row],[ReorderLevel]],"Reorder", "Okay")</f>
        <v>Okay</v>
      </c>
      <c r="Q2573" s="13" t="str">
        <f>IF(Table2[[#This Row],[CurrentStock]]&gt;Table2[[#This Row],[ReorderLevel]]*3, "Overstock", "Okay")</f>
        <v>Overstock</v>
      </c>
    </row>
    <row r="2574" spans="1:17" x14ac:dyDescent="0.35">
      <c r="A2574">
        <v>52605</v>
      </c>
      <c r="B2574" t="s">
        <v>18</v>
      </c>
      <c r="C2574" t="s">
        <v>27</v>
      </c>
      <c r="D2574">
        <v>222</v>
      </c>
      <c r="E2574">
        <v>40</v>
      </c>
      <c r="F2574" s="2">
        <v>354.71</v>
      </c>
      <c r="G2574" t="s">
        <v>34</v>
      </c>
      <c r="H2574" s="1">
        <v>45528</v>
      </c>
      <c r="I2574" s="1">
        <v>45554</v>
      </c>
      <c r="J2574" t="s">
        <v>37</v>
      </c>
      <c r="K2574" s="8">
        <f>Table2[[#This Row],[CurrentStock]]*Table2[[#This Row],[UnitPrice]]</f>
        <v>78745.62</v>
      </c>
      <c r="L2574" t="str">
        <f>IF(Table2[[#This Row],[CurrentStock]]&lt;=Table2[[#This Row],[ReorderLevel]], "Reorder Needed", "Okay")</f>
        <v>Okay</v>
      </c>
      <c r="M2574" t="str">
        <f>IF(Table2[[#This Row],[CurrentStock]]-Table2[[#This Row],[ReorderLevel]]&lt;0,Table2[[#This Row],[CurrentStock]]-Table2[[#This Row],[ReorderLevel]],"")</f>
        <v/>
      </c>
      <c r="N2574" t="str">
        <f>IF(Table2[[#This Row],[Stock Gap]]&lt;0, "Understock","Okay")</f>
        <v>Okay</v>
      </c>
      <c r="O2574" s="13" t="str">
        <f>IF(Table2[[#This Row],[Stock Gap]]&lt;0, "Yes", "No")</f>
        <v>No</v>
      </c>
      <c r="P2574" s="13" t="str">
        <f>IF(Table2[[#This Row],[CurrentStock]]&lt;Table2[[#This Row],[ReorderLevel]],"Reorder", "Okay")</f>
        <v>Okay</v>
      </c>
      <c r="Q2574" s="13" t="str">
        <f>IF(Table2[[#This Row],[CurrentStock]]&gt;Table2[[#This Row],[ReorderLevel]]*3, "Overstock", "Okay")</f>
        <v>Overstock</v>
      </c>
    </row>
    <row r="2575" spans="1:17" x14ac:dyDescent="0.35">
      <c r="A2575">
        <v>68989</v>
      </c>
      <c r="B2575" t="s">
        <v>16</v>
      </c>
      <c r="C2575" t="s">
        <v>29</v>
      </c>
      <c r="D2575">
        <v>43</v>
      </c>
      <c r="E2575">
        <v>150</v>
      </c>
      <c r="F2575" s="2">
        <v>133.38999999999999</v>
      </c>
      <c r="G2575" t="s">
        <v>33</v>
      </c>
      <c r="H2575" s="1">
        <v>45421</v>
      </c>
      <c r="I2575" s="1">
        <v>45442</v>
      </c>
      <c r="J2575" t="s">
        <v>36</v>
      </c>
      <c r="K2575" s="8">
        <f>Table2[[#This Row],[CurrentStock]]*Table2[[#This Row],[UnitPrice]]</f>
        <v>5735.7699999999995</v>
      </c>
      <c r="L2575" t="str">
        <f>IF(Table2[[#This Row],[CurrentStock]]&lt;=Table2[[#This Row],[ReorderLevel]], "Reorder Needed", "Okay")</f>
        <v>Reorder Needed</v>
      </c>
      <c r="M2575" s="7">
        <f>IF(Table2[[#This Row],[CurrentStock]]-Table2[[#This Row],[ReorderLevel]]&lt;0,Table2[[#This Row],[CurrentStock]]-Table2[[#This Row],[ReorderLevel]],"")</f>
        <v>-107</v>
      </c>
      <c r="N2575" t="str">
        <f>IF(Table2[[#This Row],[Stock Gap]]&lt;0, "Understock","Okay")</f>
        <v>Understock</v>
      </c>
      <c r="O2575" s="13" t="str">
        <f>IF(Table2[[#This Row],[Stock Gap]]&lt;0, "Yes", "No")</f>
        <v>Yes</v>
      </c>
      <c r="P2575" s="13" t="str">
        <f>IF(Table2[[#This Row],[CurrentStock]]&lt;Table2[[#This Row],[ReorderLevel]],"Reorder", "Okay")</f>
        <v>Reorder</v>
      </c>
      <c r="Q2575" s="13" t="str">
        <f>IF(Table2[[#This Row],[CurrentStock]]&gt;Table2[[#This Row],[ReorderLevel]]*3, "Overstock", "Okay")</f>
        <v>Okay</v>
      </c>
    </row>
    <row r="2576" spans="1:17" x14ac:dyDescent="0.35">
      <c r="A2576">
        <v>30661</v>
      </c>
      <c r="B2576" t="s">
        <v>11</v>
      </c>
      <c r="C2576" t="s">
        <v>27</v>
      </c>
      <c r="D2576">
        <v>162</v>
      </c>
      <c r="E2576">
        <v>150</v>
      </c>
      <c r="F2576" s="2">
        <v>385.92</v>
      </c>
      <c r="G2576" t="s">
        <v>31</v>
      </c>
      <c r="H2576" s="1">
        <v>45652</v>
      </c>
      <c r="I2576" s="1">
        <v>45687</v>
      </c>
      <c r="J2576" t="s">
        <v>36</v>
      </c>
      <c r="K2576" s="8">
        <f>Table2[[#This Row],[CurrentStock]]*Table2[[#This Row],[UnitPrice]]</f>
        <v>62519.040000000001</v>
      </c>
      <c r="L2576" t="str">
        <f>IF(Table2[[#This Row],[CurrentStock]]&lt;=Table2[[#This Row],[ReorderLevel]], "Reorder Needed", "Okay")</f>
        <v>Okay</v>
      </c>
      <c r="M2576" t="str">
        <f>IF(Table2[[#This Row],[CurrentStock]]-Table2[[#This Row],[ReorderLevel]]&lt;0,Table2[[#This Row],[CurrentStock]]-Table2[[#This Row],[ReorderLevel]],"")</f>
        <v/>
      </c>
      <c r="N2576" t="str">
        <f>IF(Table2[[#This Row],[Stock Gap]]&lt;0, "Understock","Okay")</f>
        <v>Okay</v>
      </c>
      <c r="O2576" s="13" t="str">
        <f>IF(Table2[[#This Row],[Stock Gap]]&lt;0, "Yes", "No")</f>
        <v>No</v>
      </c>
      <c r="P2576" s="13" t="str">
        <f>IF(Table2[[#This Row],[CurrentStock]]&lt;Table2[[#This Row],[ReorderLevel]],"Reorder", "Okay")</f>
        <v>Okay</v>
      </c>
      <c r="Q2576" s="13" t="str">
        <f>IF(Table2[[#This Row],[CurrentStock]]&gt;Table2[[#This Row],[ReorderLevel]]*3, "Overstock", "Okay")</f>
        <v>Okay</v>
      </c>
    </row>
    <row r="2577" spans="1:17" x14ac:dyDescent="0.35">
      <c r="A2577">
        <v>68491</v>
      </c>
      <c r="B2577" t="s">
        <v>14</v>
      </c>
      <c r="C2577" t="s">
        <v>28</v>
      </c>
      <c r="D2577">
        <v>33</v>
      </c>
      <c r="E2577">
        <v>40</v>
      </c>
      <c r="F2577" s="2">
        <v>184.81</v>
      </c>
      <c r="G2577" t="s">
        <v>35</v>
      </c>
      <c r="H2577" s="1">
        <v>45584</v>
      </c>
      <c r="I2577" s="1">
        <v>45607</v>
      </c>
      <c r="J2577" t="s">
        <v>37</v>
      </c>
      <c r="K2577" s="8">
        <f>Table2[[#This Row],[CurrentStock]]*Table2[[#This Row],[UnitPrice]]</f>
        <v>6098.7300000000005</v>
      </c>
      <c r="L2577" t="str">
        <f>IF(Table2[[#This Row],[CurrentStock]]&lt;=Table2[[#This Row],[ReorderLevel]], "Reorder Needed", "Okay")</f>
        <v>Reorder Needed</v>
      </c>
      <c r="M2577" s="7">
        <f>IF(Table2[[#This Row],[CurrentStock]]-Table2[[#This Row],[ReorderLevel]]&lt;0,Table2[[#This Row],[CurrentStock]]-Table2[[#This Row],[ReorderLevel]],"")</f>
        <v>-7</v>
      </c>
      <c r="N2577" t="str">
        <f>IF(Table2[[#This Row],[Stock Gap]]&lt;0, "Understock","Okay")</f>
        <v>Understock</v>
      </c>
      <c r="O2577" s="13" t="str">
        <f>IF(Table2[[#This Row],[Stock Gap]]&lt;0, "Yes", "No")</f>
        <v>Yes</v>
      </c>
      <c r="P2577" s="13" t="str">
        <f>IF(Table2[[#This Row],[CurrentStock]]&lt;Table2[[#This Row],[ReorderLevel]],"Reorder", "Okay")</f>
        <v>Reorder</v>
      </c>
      <c r="Q2577" s="13" t="str">
        <f>IF(Table2[[#This Row],[CurrentStock]]&gt;Table2[[#This Row],[ReorderLevel]]*3, "Overstock", "Okay")</f>
        <v>Okay</v>
      </c>
    </row>
    <row r="2578" spans="1:17" x14ac:dyDescent="0.35">
      <c r="A2578">
        <v>20002</v>
      </c>
      <c r="B2578" t="s">
        <v>22</v>
      </c>
      <c r="C2578" t="s">
        <v>29</v>
      </c>
      <c r="D2578">
        <v>457</v>
      </c>
      <c r="E2578">
        <v>80</v>
      </c>
      <c r="F2578" s="2">
        <v>461.27</v>
      </c>
      <c r="G2578" t="s">
        <v>31</v>
      </c>
      <c r="H2578" s="1">
        <v>45651</v>
      </c>
      <c r="I2578" s="1">
        <v>45663</v>
      </c>
      <c r="J2578" t="s">
        <v>38</v>
      </c>
      <c r="K2578" s="8">
        <f>Table2[[#This Row],[CurrentStock]]*Table2[[#This Row],[UnitPrice]]</f>
        <v>210800.38999999998</v>
      </c>
      <c r="L2578" t="str">
        <f>IF(Table2[[#This Row],[CurrentStock]]&lt;=Table2[[#This Row],[ReorderLevel]], "Reorder Needed", "Okay")</f>
        <v>Okay</v>
      </c>
      <c r="M2578" t="str">
        <f>IF(Table2[[#This Row],[CurrentStock]]-Table2[[#This Row],[ReorderLevel]]&lt;0,Table2[[#This Row],[CurrentStock]]-Table2[[#This Row],[ReorderLevel]],"")</f>
        <v/>
      </c>
      <c r="N2578" t="str">
        <f>IF(Table2[[#This Row],[Stock Gap]]&lt;0, "Understock","Okay")</f>
        <v>Okay</v>
      </c>
      <c r="O2578" s="13" t="str">
        <f>IF(Table2[[#This Row],[Stock Gap]]&lt;0, "Yes", "No")</f>
        <v>No</v>
      </c>
      <c r="P2578" s="13" t="str">
        <f>IF(Table2[[#This Row],[CurrentStock]]&lt;Table2[[#This Row],[ReorderLevel]],"Reorder", "Okay")</f>
        <v>Okay</v>
      </c>
      <c r="Q2578" s="13" t="str">
        <f>IF(Table2[[#This Row],[CurrentStock]]&gt;Table2[[#This Row],[ReorderLevel]]*3, "Overstock", "Okay")</f>
        <v>Overstock</v>
      </c>
    </row>
    <row r="2579" spans="1:17" x14ac:dyDescent="0.35">
      <c r="A2579">
        <v>84232</v>
      </c>
      <c r="B2579" t="s">
        <v>11</v>
      </c>
      <c r="C2579" t="s">
        <v>27</v>
      </c>
      <c r="D2579">
        <v>156</v>
      </c>
      <c r="E2579">
        <v>20</v>
      </c>
      <c r="F2579" s="2">
        <v>51.58</v>
      </c>
      <c r="G2579" t="s">
        <v>33</v>
      </c>
      <c r="H2579" s="1">
        <v>45609</v>
      </c>
      <c r="I2579" s="1">
        <v>45643</v>
      </c>
      <c r="J2579" t="s">
        <v>37</v>
      </c>
      <c r="K2579" s="8">
        <f>Table2[[#This Row],[CurrentStock]]*Table2[[#This Row],[UnitPrice]]</f>
        <v>8046.48</v>
      </c>
      <c r="L2579" t="str">
        <f>IF(Table2[[#This Row],[CurrentStock]]&lt;=Table2[[#This Row],[ReorderLevel]], "Reorder Needed", "Okay")</f>
        <v>Okay</v>
      </c>
      <c r="M2579" t="str">
        <f>IF(Table2[[#This Row],[CurrentStock]]-Table2[[#This Row],[ReorderLevel]]&lt;0,Table2[[#This Row],[CurrentStock]]-Table2[[#This Row],[ReorderLevel]],"")</f>
        <v/>
      </c>
      <c r="N2579" t="str">
        <f>IF(Table2[[#This Row],[Stock Gap]]&lt;0, "Understock","Okay")</f>
        <v>Okay</v>
      </c>
      <c r="O2579" s="13" t="str">
        <f>IF(Table2[[#This Row],[Stock Gap]]&lt;0, "Yes", "No")</f>
        <v>No</v>
      </c>
      <c r="P2579" s="13" t="str">
        <f>IF(Table2[[#This Row],[CurrentStock]]&lt;Table2[[#This Row],[ReorderLevel]],"Reorder", "Okay")</f>
        <v>Okay</v>
      </c>
      <c r="Q2579" s="13" t="str">
        <f>IF(Table2[[#This Row],[CurrentStock]]&gt;Table2[[#This Row],[ReorderLevel]]*3, "Overstock", "Okay")</f>
        <v>Overstock</v>
      </c>
    </row>
    <row r="2580" spans="1:17" x14ac:dyDescent="0.35">
      <c r="A2580">
        <v>87365</v>
      </c>
      <c r="B2580" t="s">
        <v>20</v>
      </c>
      <c r="C2580" t="s">
        <v>30</v>
      </c>
      <c r="D2580">
        <v>51</v>
      </c>
      <c r="E2580">
        <v>20</v>
      </c>
      <c r="F2580" s="2">
        <v>252.53</v>
      </c>
      <c r="G2580" t="s">
        <v>35</v>
      </c>
      <c r="H2580" s="1">
        <v>45542</v>
      </c>
      <c r="I2580" s="1">
        <v>45562</v>
      </c>
      <c r="J2580" t="s">
        <v>36</v>
      </c>
      <c r="K2580" s="8">
        <f>Table2[[#This Row],[CurrentStock]]*Table2[[#This Row],[UnitPrice]]</f>
        <v>12879.03</v>
      </c>
      <c r="L2580" t="str">
        <f>IF(Table2[[#This Row],[CurrentStock]]&lt;=Table2[[#This Row],[ReorderLevel]], "Reorder Needed", "Okay")</f>
        <v>Okay</v>
      </c>
      <c r="M2580" t="str">
        <f>IF(Table2[[#This Row],[CurrentStock]]-Table2[[#This Row],[ReorderLevel]]&lt;0,Table2[[#This Row],[CurrentStock]]-Table2[[#This Row],[ReorderLevel]],"")</f>
        <v/>
      </c>
      <c r="N2580" t="str">
        <f>IF(Table2[[#This Row],[Stock Gap]]&lt;0, "Understock","Okay")</f>
        <v>Okay</v>
      </c>
      <c r="O2580" s="13" t="str">
        <f>IF(Table2[[#This Row],[Stock Gap]]&lt;0, "Yes", "No")</f>
        <v>No</v>
      </c>
      <c r="P2580" s="13" t="str">
        <f>IF(Table2[[#This Row],[CurrentStock]]&lt;Table2[[#This Row],[ReorderLevel]],"Reorder", "Okay")</f>
        <v>Okay</v>
      </c>
      <c r="Q2580" s="13" t="str">
        <f>IF(Table2[[#This Row],[CurrentStock]]&gt;Table2[[#This Row],[ReorderLevel]]*3, "Overstock", "Okay")</f>
        <v>Okay</v>
      </c>
    </row>
    <row r="2581" spans="1:17" x14ac:dyDescent="0.35">
      <c r="A2581">
        <v>53739</v>
      </c>
      <c r="B2581" t="s">
        <v>20</v>
      </c>
      <c r="C2581" t="s">
        <v>30</v>
      </c>
      <c r="D2581">
        <v>291</v>
      </c>
      <c r="E2581">
        <v>150</v>
      </c>
      <c r="F2581" s="2">
        <v>463.82</v>
      </c>
      <c r="G2581" t="s">
        <v>35</v>
      </c>
      <c r="H2581" s="1">
        <v>45372</v>
      </c>
      <c r="I2581" s="1">
        <v>45396</v>
      </c>
      <c r="J2581" t="s">
        <v>36</v>
      </c>
      <c r="K2581" s="8">
        <f>Table2[[#This Row],[CurrentStock]]*Table2[[#This Row],[UnitPrice]]</f>
        <v>134971.62</v>
      </c>
      <c r="L2581" t="str">
        <f>IF(Table2[[#This Row],[CurrentStock]]&lt;=Table2[[#This Row],[ReorderLevel]], "Reorder Needed", "Okay")</f>
        <v>Okay</v>
      </c>
      <c r="M2581" t="str">
        <f>IF(Table2[[#This Row],[CurrentStock]]-Table2[[#This Row],[ReorderLevel]]&lt;0,Table2[[#This Row],[CurrentStock]]-Table2[[#This Row],[ReorderLevel]],"")</f>
        <v/>
      </c>
      <c r="N2581" t="str">
        <f>IF(Table2[[#This Row],[Stock Gap]]&lt;0, "Understock","Okay")</f>
        <v>Okay</v>
      </c>
      <c r="O2581" s="13" t="str">
        <f>IF(Table2[[#This Row],[Stock Gap]]&lt;0, "Yes", "No")</f>
        <v>No</v>
      </c>
      <c r="P2581" s="13" t="str">
        <f>IF(Table2[[#This Row],[CurrentStock]]&lt;Table2[[#This Row],[ReorderLevel]],"Reorder", "Okay")</f>
        <v>Okay</v>
      </c>
      <c r="Q2581" s="13" t="str">
        <f>IF(Table2[[#This Row],[CurrentStock]]&gt;Table2[[#This Row],[ReorderLevel]]*3, "Overstock", "Okay")</f>
        <v>Okay</v>
      </c>
    </row>
    <row r="2582" spans="1:17" x14ac:dyDescent="0.35">
      <c r="A2582">
        <v>85440</v>
      </c>
      <c r="B2582" t="s">
        <v>12</v>
      </c>
      <c r="C2582" t="s">
        <v>28</v>
      </c>
      <c r="D2582">
        <v>66</v>
      </c>
      <c r="E2582">
        <v>100</v>
      </c>
      <c r="F2582" s="2">
        <v>185.29</v>
      </c>
      <c r="G2582" t="s">
        <v>32</v>
      </c>
      <c r="H2582" s="1">
        <v>45489</v>
      </c>
      <c r="I2582" s="1">
        <v>45496</v>
      </c>
      <c r="J2582" t="s">
        <v>36</v>
      </c>
      <c r="K2582" s="8">
        <f>Table2[[#This Row],[CurrentStock]]*Table2[[#This Row],[UnitPrice]]</f>
        <v>12229.14</v>
      </c>
      <c r="L2582" t="str">
        <f>IF(Table2[[#This Row],[CurrentStock]]&lt;=Table2[[#This Row],[ReorderLevel]], "Reorder Needed", "Okay")</f>
        <v>Reorder Needed</v>
      </c>
      <c r="M2582" s="7">
        <f>IF(Table2[[#This Row],[CurrentStock]]-Table2[[#This Row],[ReorderLevel]]&lt;0,Table2[[#This Row],[CurrentStock]]-Table2[[#This Row],[ReorderLevel]],"")</f>
        <v>-34</v>
      </c>
      <c r="N2582" t="str">
        <f>IF(Table2[[#This Row],[Stock Gap]]&lt;0, "Understock","Okay")</f>
        <v>Understock</v>
      </c>
      <c r="O2582" s="13" t="str">
        <f>IF(Table2[[#This Row],[Stock Gap]]&lt;0, "Yes", "No")</f>
        <v>Yes</v>
      </c>
      <c r="P2582" s="13" t="str">
        <f>IF(Table2[[#This Row],[CurrentStock]]&lt;Table2[[#This Row],[ReorderLevel]],"Reorder", "Okay")</f>
        <v>Reorder</v>
      </c>
      <c r="Q2582" s="13" t="str">
        <f>IF(Table2[[#This Row],[CurrentStock]]&gt;Table2[[#This Row],[ReorderLevel]]*3, "Overstock", "Okay")</f>
        <v>Okay</v>
      </c>
    </row>
    <row r="2583" spans="1:17" x14ac:dyDescent="0.35">
      <c r="A2583">
        <v>98022</v>
      </c>
      <c r="B2583" t="s">
        <v>24</v>
      </c>
      <c r="C2583" t="s">
        <v>30</v>
      </c>
      <c r="D2583">
        <v>437</v>
      </c>
      <c r="E2583">
        <v>50</v>
      </c>
      <c r="F2583" s="2">
        <v>56.39</v>
      </c>
      <c r="G2583" t="s">
        <v>35</v>
      </c>
      <c r="H2583" s="1">
        <v>45585</v>
      </c>
      <c r="I2583" s="1">
        <v>45607</v>
      </c>
      <c r="J2583" t="s">
        <v>37</v>
      </c>
      <c r="K2583" s="8">
        <f>Table2[[#This Row],[CurrentStock]]*Table2[[#This Row],[UnitPrice]]</f>
        <v>24642.43</v>
      </c>
      <c r="L2583" t="str">
        <f>IF(Table2[[#This Row],[CurrentStock]]&lt;=Table2[[#This Row],[ReorderLevel]], "Reorder Needed", "Okay")</f>
        <v>Okay</v>
      </c>
      <c r="M2583" t="str">
        <f>IF(Table2[[#This Row],[CurrentStock]]-Table2[[#This Row],[ReorderLevel]]&lt;0,Table2[[#This Row],[CurrentStock]]-Table2[[#This Row],[ReorderLevel]],"")</f>
        <v/>
      </c>
      <c r="N2583" t="str">
        <f>IF(Table2[[#This Row],[Stock Gap]]&lt;0, "Understock","Okay")</f>
        <v>Okay</v>
      </c>
      <c r="O2583" s="13" t="str">
        <f>IF(Table2[[#This Row],[Stock Gap]]&lt;0, "Yes", "No")</f>
        <v>No</v>
      </c>
      <c r="P2583" s="13" t="str">
        <f>IF(Table2[[#This Row],[CurrentStock]]&lt;Table2[[#This Row],[ReorderLevel]],"Reorder", "Okay")</f>
        <v>Okay</v>
      </c>
      <c r="Q2583" s="13" t="str">
        <f>IF(Table2[[#This Row],[CurrentStock]]&gt;Table2[[#This Row],[ReorderLevel]]*3, "Overstock", "Okay")</f>
        <v>Overstock</v>
      </c>
    </row>
    <row r="2584" spans="1:17" x14ac:dyDescent="0.35">
      <c r="A2584">
        <v>95346</v>
      </c>
      <c r="B2584" t="s">
        <v>11</v>
      </c>
      <c r="C2584" t="s">
        <v>27</v>
      </c>
      <c r="D2584">
        <v>191</v>
      </c>
      <c r="E2584">
        <v>80</v>
      </c>
      <c r="F2584" s="2">
        <v>124.73</v>
      </c>
      <c r="G2584" t="s">
        <v>34</v>
      </c>
      <c r="H2584" s="1">
        <v>45516</v>
      </c>
      <c r="I2584" s="1">
        <v>45542</v>
      </c>
      <c r="J2584" t="s">
        <v>38</v>
      </c>
      <c r="K2584" s="8">
        <f>Table2[[#This Row],[CurrentStock]]*Table2[[#This Row],[UnitPrice]]</f>
        <v>23823.43</v>
      </c>
      <c r="L2584" t="str">
        <f>IF(Table2[[#This Row],[CurrentStock]]&lt;=Table2[[#This Row],[ReorderLevel]], "Reorder Needed", "Okay")</f>
        <v>Okay</v>
      </c>
      <c r="M2584" t="str">
        <f>IF(Table2[[#This Row],[CurrentStock]]-Table2[[#This Row],[ReorderLevel]]&lt;0,Table2[[#This Row],[CurrentStock]]-Table2[[#This Row],[ReorderLevel]],"")</f>
        <v/>
      </c>
      <c r="N2584" t="str">
        <f>IF(Table2[[#This Row],[Stock Gap]]&lt;0, "Understock","Okay")</f>
        <v>Okay</v>
      </c>
      <c r="O2584" s="13" t="str">
        <f>IF(Table2[[#This Row],[Stock Gap]]&lt;0, "Yes", "No")</f>
        <v>No</v>
      </c>
      <c r="P2584" s="13" t="str">
        <f>IF(Table2[[#This Row],[CurrentStock]]&lt;Table2[[#This Row],[ReorderLevel]],"Reorder", "Okay")</f>
        <v>Okay</v>
      </c>
      <c r="Q2584" s="13" t="str">
        <f>IF(Table2[[#This Row],[CurrentStock]]&gt;Table2[[#This Row],[ReorderLevel]]*3, "Overstock", "Okay")</f>
        <v>Okay</v>
      </c>
    </row>
    <row r="2585" spans="1:17" x14ac:dyDescent="0.35">
      <c r="A2585">
        <v>53322</v>
      </c>
      <c r="B2585" t="s">
        <v>25</v>
      </c>
      <c r="C2585" t="s">
        <v>29</v>
      </c>
      <c r="D2585">
        <v>344</v>
      </c>
      <c r="E2585">
        <v>100</v>
      </c>
      <c r="F2585" s="2">
        <v>172.33</v>
      </c>
      <c r="G2585" t="s">
        <v>34</v>
      </c>
      <c r="H2585" s="1">
        <v>45642</v>
      </c>
      <c r="I2585" s="1">
        <v>45663</v>
      </c>
      <c r="J2585" t="s">
        <v>37</v>
      </c>
      <c r="K2585" s="8">
        <f>Table2[[#This Row],[CurrentStock]]*Table2[[#This Row],[UnitPrice]]</f>
        <v>59281.520000000004</v>
      </c>
      <c r="L2585" t="str">
        <f>IF(Table2[[#This Row],[CurrentStock]]&lt;=Table2[[#This Row],[ReorderLevel]], "Reorder Needed", "Okay")</f>
        <v>Okay</v>
      </c>
      <c r="M2585" t="str">
        <f>IF(Table2[[#This Row],[CurrentStock]]-Table2[[#This Row],[ReorderLevel]]&lt;0,Table2[[#This Row],[CurrentStock]]-Table2[[#This Row],[ReorderLevel]],"")</f>
        <v/>
      </c>
      <c r="N2585" t="str">
        <f>IF(Table2[[#This Row],[Stock Gap]]&lt;0, "Understock","Okay")</f>
        <v>Okay</v>
      </c>
      <c r="O2585" s="13" t="str">
        <f>IF(Table2[[#This Row],[Stock Gap]]&lt;0, "Yes", "No")</f>
        <v>No</v>
      </c>
      <c r="P2585" s="13" t="str">
        <f>IF(Table2[[#This Row],[CurrentStock]]&lt;Table2[[#This Row],[ReorderLevel]],"Reorder", "Okay")</f>
        <v>Okay</v>
      </c>
      <c r="Q2585" s="13" t="str">
        <f>IF(Table2[[#This Row],[CurrentStock]]&gt;Table2[[#This Row],[ReorderLevel]]*3, "Overstock", "Okay")</f>
        <v>Overstock</v>
      </c>
    </row>
    <row r="2586" spans="1:17" x14ac:dyDescent="0.35">
      <c r="A2586">
        <v>49767</v>
      </c>
      <c r="B2586" t="s">
        <v>16</v>
      </c>
      <c r="C2586" t="s">
        <v>29</v>
      </c>
      <c r="D2586">
        <v>67</v>
      </c>
      <c r="E2586">
        <v>40</v>
      </c>
      <c r="F2586" s="2">
        <v>159.53</v>
      </c>
      <c r="G2586" t="s">
        <v>31</v>
      </c>
      <c r="H2586" s="1">
        <v>45368</v>
      </c>
      <c r="I2586" s="1">
        <v>45399</v>
      </c>
      <c r="J2586" t="s">
        <v>36</v>
      </c>
      <c r="K2586" s="8">
        <f>Table2[[#This Row],[CurrentStock]]*Table2[[#This Row],[UnitPrice]]</f>
        <v>10688.51</v>
      </c>
      <c r="L2586" t="str">
        <f>IF(Table2[[#This Row],[CurrentStock]]&lt;=Table2[[#This Row],[ReorderLevel]], "Reorder Needed", "Okay")</f>
        <v>Okay</v>
      </c>
      <c r="M2586" t="str">
        <f>IF(Table2[[#This Row],[CurrentStock]]-Table2[[#This Row],[ReorderLevel]]&lt;0,Table2[[#This Row],[CurrentStock]]-Table2[[#This Row],[ReorderLevel]],"")</f>
        <v/>
      </c>
      <c r="N2586" t="str">
        <f>IF(Table2[[#This Row],[Stock Gap]]&lt;0, "Understock","Okay")</f>
        <v>Okay</v>
      </c>
      <c r="O2586" s="13" t="str">
        <f>IF(Table2[[#This Row],[Stock Gap]]&lt;0, "Yes", "No")</f>
        <v>No</v>
      </c>
      <c r="P2586" s="13" t="str">
        <f>IF(Table2[[#This Row],[CurrentStock]]&lt;Table2[[#This Row],[ReorderLevel]],"Reorder", "Okay")</f>
        <v>Okay</v>
      </c>
      <c r="Q2586" s="13" t="str">
        <f>IF(Table2[[#This Row],[CurrentStock]]&gt;Table2[[#This Row],[ReorderLevel]]*3, "Overstock", "Okay")</f>
        <v>Okay</v>
      </c>
    </row>
    <row r="2587" spans="1:17" x14ac:dyDescent="0.35">
      <c r="A2587">
        <v>70510</v>
      </c>
      <c r="B2587" t="s">
        <v>21</v>
      </c>
      <c r="C2587" t="s">
        <v>26</v>
      </c>
      <c r="D2587">
        <v>241</v>
      </c>
      <c r="E2587">
        <v>150</v>
      </c>
      <c r="F2587" s="2">
        <v>84.02</v>
      </c>
      <c r="G2587" t="s">
        <v>31</v>
      </c>
      <c r="H2587" s="1">
        <v>45604</v>
      </c>
      <c r="I2587" s="1">
        <v>45619</v>
      </c>
      <c r="J2587" t="s">
        <v>38</v>
      </c>
      <c r="K2587" s="8">
        <f>Table2[[#This Row],[CurrentStock]]*Table2[[#This Row],[UnitPrice]]</f>
        <v>20248.82</v>
      </c>
      <c r="L2587" t="str">
        <f>IF(Table2[[#This Row],[CurrentStock]]&lt;=Table2[[#This Row],[ReorderLevel]], "Reorder Needed", "Okay")</f>
        <v>Okay</v>
      </c>
      <c r="M2587" t="str">
        <f>IF(Table2[[#This Row],[CurrentStock]]-Table2[[#This Row],[ReorderLevel]]&lt;0,Table2[[#This Row],[CurrentStock]]-Table2[[#This Row],[ReorderLevel]],"")</f>
        <v/>
      </c>
      <c r="N2587" t="str">
        <f>IF(Table2[[#This Row],[Stock Gap]]&lt;0, "Understock","Okay")</f>
        <v>Okay</v>
      </c>
      <c r="O2587" s="13" t="str">
        <f>IF(Table2[[#This Row],[Stock Gap]]&lt;0, "Yes", "No")</f>
        <v>No</v>
      </c>
      <c r="P2587" s="13" t="str">
        <f>IF(Table2[[#This Row],[CurrentStock]]&lt;Table2[[#This Row],[ReorderLevel]],"Reorder", "Okay")</f>
        <v>Okay</v>
      </c>
      <c r="Q2587" s="13" t="str">
        <f>IF(Table2[[#This Row],[CurrentStock]]&gt;Table2[[#This Row],[ReorderLevel]]*3, "Overstock", "Okay")</f>
        <v>Okay</v>
      </c>
    </row>
    <row r="2588" spans="1:17" x14ac:dyDescent="0.35">
      <c r="A2588">
        <v>39402</v>
      </c>
      <c r="B2588" t="s">
        <v>19</v>
      </c>
      <c r="C2588" t="s">
        <v>28</v>
      </c>
      <c r="D2588">
        <v>331</v>
      </c>
      <c r="E2588">
        <v>40</v>
      </c>
      <c r="F2588" s="2">
        <v>80.09</v>
      </c>
      <c r="G2588" t="s">
        <v>34</v>
      </c>
      <c r="H2588" s="1">
        <v>45583</v>
      </c>
      <c r="I2588" s="1">
        <v>45589</v>
      </c>
      <c r="J2588" t="s">
        <v>36</v>
      </c>
      <c r="K2588" s="8">
        <f>Table2[[#This Row],[CurrentStock]]*Table2[[#This Row],[UnitPrice]]</f>
        <v>26509.79</v>
      </c>
      <c r="L2588" t="str">
        <f>IF(Table2[[#This Row],[CurrentStock]]&lt;=Table2[[#This Row],[ReorderLevel]], "Reorder Needed", "Okay")</f>
        <v>Okay</v>
      </c>
      <c r="M2588" t="str">
        <f>IF(Table2[[#This Row],[CurrentStock]]-Table2[[#This Row],[ReorderLevel]]&lt;0,Table2[[#This Row],[CurrentStock]]-Table2[[#This Row],[ReorderLevel]],"")</f>
        <v/>
      </c>
      <c r="N2588" t="str">
        <f>IF(Table2[[#This Row],[Stock Gap]]&lt;0, "Understock","Okay")</f>
        <v>Okay</v>
      </c>
      <c r="O2588" s="13" t="str">
        <f>IF(Table2[[#This Row],[Stock Gap]]&lt;0, "Yes", "No")</f>
        <v>No</v>
      </c>
      <c r="P2588" s="13" t="str">
        <f>IF(Table2[[#This Row],[CurrentStock]]&lt;Table2[[#This Row],[ReorderLevel]],"Reorder", "Okay")</f>
        <v>Okay</v>
      </c>
      <c r="Q2588" s="13" t="str">
        <f>IF(Table2[[#This Row],[CurrentStock]]&gt;Table2[[#This Row],[ReorderLevel]]*3, "Overstock", "Okay")</f>
        <v>Overstock</v>
      </c>
    </row>
    <row r="2589" spans="1:17" x14ac:dyDescent="0.35">
      <c r="A2589">
        <v>22767</v>
      </c>
      <c r="B2589" t="s">
        <v>20</v>
      </c>
      <c r="C2589" t="s">
        <v>30</v>
      </c>
      <c r="D2589">
        <v>248</v>
      </c>
      <c r="E2589">
        <v>30</v>
      </c>
      <c r="F2589" s="2">
        <v>445.6</v>
      </c>
      <c r="G2589" t="s">
        <v>32</v>
      </c>
      <c r="H2589" s="1">
        <v>45293</v>
      </c>
      <c r="I2589" s="1">
        <v>45309</v>
      </c>
      <c r="J2589" t="s">
        <v>37</v>
      </c>
      <c r="K2589" s="8">
        <f>Table2[[#This Row],[CurrentStock]]*Table2[[#This Row],[UnitPrice]]</f>
        <v>110508.8</v>
      </c>
      <c r="L2589" t="str">
        <f>IF(Table2[[#This Row],[CurrentStock]]&lt;=Table2[[#This Row],[ReorderLevel]], "Reorder Needed", "Okay")</f>
        <v>Okay</v>
      </c>
      <c r="M2589" t="str">
        <f>IF(Table2[[#This Row],[CurrentStock]]-Table2[[#This Row],[ReorderLevel]]&lt;0,Table2[[#This Row],[CurrentStock]]-Table2[[#This Row],[ReorderLevel]],"")</f>
        <v/>
      </c>
      <c r="N2589" t="str">
        <f>IF(Table2[[#This Row],[Stock Gap]]&lt;0, "Understock","Okay")</f>
        <v>Okay</v>
      </c>
      <c r="O2589" s="13" t="str">
        <f>IF(Table2[[#This Row],[Stock Gap]]&lt;0, "Yes", "No")</f>
        <v>No</v>
      </c>
      <c r="P2589" s="13" t="str">
        <f>IF(Table2[[#This Row],[CurrentStock]]&lt;Table2[[#This Row],[ReorderLevel]],"Reorder", "Okay")</f>
        <v>Okay</v>
      </c>
      <c r="Q2589" s="13" t="str">
        <f>IF(Table2[[#This Row],[CurrentStock]]&gt;Table2[[#This Row],[ReorderLevel]]*3, "Overstock", "Okay")</f>
        <v>Overstock</v>
      </c>
    </row>
    <row r="2590" spans="1:17" x14ac:dyDescent="0.35">
      <c r="A2590">
        <v>34806</v>
      </c>
      <c r="B2590" t="s">
        <v>24</v>
      </c>
      <c r="C2590" t="s">
        <v>30</v>
      </c>
      <c r="D2590">
        <v>397</v>
      </c>
      <c r="E2590">
        <v>30</v>
      </c>
      <c r="F2590" s="2">
        <v>214.05</v>
      </c>
      <c r="G2590" t="s">
        <v>31</v>
      </c>
      <c r="H2590" s="1">
        <v>45347</v>
      </c>
      <c r="I2590" s="1">
        <v>45355</v>
      </c>
      <c r="J2590" t="s">
        <v>38</v>
      </c>
      <c r="K2590" s="8">
        <f>Table2[[#This Row],[CurrentStock]]*Table2[[#This Row],[UnitPrice]]</f>
        <v>84977.85</v>
      </c>
      <c r="L2590" t="str">
        <f>IF(Table2[[#This Row],[CurrentStock]]&lt;=Table2[[#This Row],[ReorderLevel]], "Reorder Needed", "Okay")</f>
        <v>Okay</v>
      </c>
      <c r="M2590" t="str">
        <f>IF(Table2[[#This Row],[CurrentStock]]-Table2[[#This Row],[ReorderLevel]]&lt;0,Table2[[#This Row],[CurrentStock]]-Table2[[#This Row],[ReorderLevel]],"")</f>
        <v/>
      </c>
      <c r="N2590" t="str">
        <f>IF(Table2[[#This Row],[Stock Gap]]&lt;0, "Understock","Okay")</f>
        <v>Okay</v>
      </c>
      <c r="O2590" s="13" t="str">
        <f>IF(Table2[[#This Row],[Stock Gap]]&lt;0, "Yes", "No")</f>
        <v>No</v>
      </c>
      <c r="P2590" s="13" t="str">
        <f>IF(Table2[[#This Row],[CurrentStock]]&lt;Table2[[#This Row],[ReorderLevel]],"Reorder", "Okay")</f>
        <v>Okay</v>
      </c>
      <c r="Q2590" s="13" t="str">
        <f>IF(Table2[[#This Row],[CurrentStock]]&gt;Table2[[#This Row],[ReorderLevel]]*3, "Overstock", "Okay")</f>
        <v>Overstock</v>
      </c>
    </row>
    <row r="2591" spans="1:17" x14ac:dyDescent="0.35">
      <c r="A2591">
        <v>21612</v>
      </c>
      <c r="B2591" t="s">
        <v>19</v>
      </c>
      <c r="C2591" t="s">
        <v>28</v>
      </c>
      <c r="D2591">
        <v>385</v>
      </c>
      <c r="E2591">
        <v>50</v>
      </c>
      <c r="F2591" s="2">
        <v>480.05</v>
      </c>
      <c r="G2591" t="s">
        <v>33</v>
      </c>
      <c r="H2591" s="1">
        <v>45359</v>
      </c>
      <c r="I2591" s="1">
        <v>45385</v>
      </c>
      <c r="J2591" t="s">
        <v>36</v>
      </c>
      <c r="K2591" s="8">
        <f>Table2[[#This Row],[CurrentStock]]*Table2[[#This Row],[UnitPrice]]</f>
        <v>184819.25</v>
      </c>
      <c r="L2591" t="str">
        <f>IF(Table2[[#This Row],[CurrentStock]]&lt;=Table2[[#This Row],[ReorderLevel]], "Reorder Needed", "Okay")</f>
        <v>Okay</v>
      </c>
      <c r="M2591" t="str">
        <f>IF(Table2[[#This Row],[CurrentStock]]-Table2[[#This Row],[ReorderLevel]]&lt;0,Table2[[#This Row],[CurrentStock]]-Table2[[#This Row],[ReorderLevel]],"")</f>
        <v/>
      </c>
      <c r="N2591" t="str">
        <f>IF(Table2[[#This Row],[Stock Gap]]&lt;0, "Understock","Okay")</f>
        <v>Okay</v>
      </c>
      <c r="O2591" s="13" t="str">
        <f>IF(Table2[[#This Row],[Stock Gap]]&lt;0, "Yes", "No")</f>
        <v>No</v>
      </c>
      <c r="P2591" s="13" t="str">
        <f>IF(Table2[[#This Row],[CurrentStock]]&lt;Table2[[#This Row],[ReorderLevel]],"Reorder", "Okay")</f>
        <v>Okay</v>
      </c>
      <c r="Q2591" s="13" t="str">
        <f>IF(Table2[[#This Row],[CurrentStock]]&gt;Table2[[#This Row],[ReorderLevel]]*3, "Overstock", "Okay")</f>
        <v>Overstock</v>
      </c>
    </row>
    <row r="2592" spans="1:17" x14ac:dyDescent="0.35">
      <c r="A2592">
        <v>72093</v>
      </c>
      <c r="B2592" t="s">
        <v>23</v>
      </c>
      <c r="C2592" t="s">
        <v>30</v>
      </c>
      <c r="D2592">
        <v>199</v>
      </c>
      <c r="E2592">
        <v>20</v>
      </c>
      <c r="F2592" s="2">
        <v>224.73</v>
      </c>
      <c r="G2592" t="s">
        <v>35</v>
      </c>
      <c r="H2592" s="1">
        <v>45406</v>
      </c>
      <c r="I2592" s="1">
        <v>45414</v>
      </c>
      <c r="J2592" t="s">
        <v>38</v>
      </c>
      <c r="K2592" s="8">
        <f>Table2[[#This Row],[CurrentStock]]*Table2[[#This Row],[UnitPrice]]</f>
        <v>44721.27</v>
      </c>
      <c r="L2592" t="str">
        <f>IF(Table2[[#This Row],[CurrentStock]]&lt;=Table2[[#This Row],[ReorderLevel]], "Reorder Needed", "Okay")</f>
        <v>Okay</v>
      </c>
      <c r="M2592" t="str">
        <f>IF(Table2[[#This Row],[CurrentStock]]-Table2[[#This Row],[ReorderLevel]]&lt;0,Table2[[#This Row],[CurrentStock]]-Table2[[#This Row],[ReorderLevel]],"")</f>
        <v/>
      </c>
      <c r="N2592" t="str">
        <f>IF(Table2[[#This Row],[Stock Gap]]&lt;0, "Understock","Okay")</f>
        <v>Okay</v>
      </c>
      <c r="O2592" s="13" t="str">
        <f>IF(Table2[[#This Row],[Stock Gap]]&lt;0, "Yes", "No")</f>
        <v>No</v>
      </c>
      <c r="P2592" s="13" t="str">
        <f>IF(Table2[[#This Row],[CurrentStock]]&lt;Table2[[#This Row],[ReorderLevel]],"Reorder", "Okay")</f>
        <v>Okay</v>
      </c>
      <c r="Q2592" s="13" t="str">
        <f>IF(Table2[[#This Row],[CurrentStock]]&gt;Table2[[#This Row],[ReorderLevel]]*3, "Overstock", "Okay")</f>
        <v>Overstock</v>
      </c>
    </row>
    <row r="2593" spans="1:17" x14ac:dyDescent="0.35">
      <c r="A2593">
        <v>59851</v>
      </c>
      <c r="B2593" t="s">
        <v>17</v>
      </c>
      <c r="C2593" t="s">
        <v>27</v>
      </c>
      <c r="D2593">
        <v>25</v>
      </c>
      <c r="E2593">
        <v>20</v>
      </c>
      <c r="F2593" s="2">
        <v>439.45</v>
      </c>
      <c r="G2593" t="s">
        <v>35</v>
      </c>
      <c r="H2593" s="1">
        <v>45436</v>
      </c>
      <c r="I2593" s="1">
        <v>45444</v>
      </c>
      <c r="J2593" t="s">
        <v>38</v>
      </c>
      <c r="K2593" s="8">
        <f>Table2[[#This Row],[CurrentStock]]*Table2[[#This Row],[UnitPrice]]</f>
        <v>10986.25</v>
      </c>
      <c r="L2593" t="str">
        <f>IF(Table2[[#This Row],[CurrentStock]]&lt;=Table2[[#This Row],[ReorderLevel]], "Reorder Needed", "Okay")</f>
        <v>Okay</v>
      </c>
      <c r="M2593" t="str">
        <f>IF(Table2[[#This Row],[CurrentStock]]-Table2[[#This Row],[ReorderLevel]]&lt;0,Table2[[#This Row],[CurrentStock]]-Table2[[#This Row],[ReorderLevel]],"")</f>
        <v/>
      </c>
      <c r="N2593" t="str">
        <f>IF(Table2[[#This Row],[Stock Gap]]&lt;0, "Understock","Okay")</f>
        <v>Okay</v>
      </c>
      <c r="O2593" s="13" t="str">
        <f>IF(Table2[[#This Row],[Stock Gap]]&lt;0, "Yes", "No")</f>
        <v>No</v>
      </c>
      <c r="P2593" s="13" t="str">
        <f>IF(Table2[[#This Row],[CurrentStock]]&lt;Table2[[#This Row],[ReorderLevel]],"Reorder", "Okay")</f>
        <v>Okay</v>
      </c>
      <c r="Q2593" s="13" t="str">
        <f>IF(Table2[[#This Row],[CurrentStock]]&gt;Table2[[#This Row],[ReorderLevel]]*3, "Overstock", "Okay")</f>
        <v>Okay</v>
      </c>
    </row>
    <row r="2594" spans="1:17" x14ac:dyDescent="0.35">
      <c r="A2594">
        <v>13756</v>
      </c>
      <c r="B2594" t="s">
        <v>19</v>
      </c>
      <c r="C2594" t="s">
        <v>28</v>
      </c>
      <c r="D2594">
        <v>280</v>
      </c>
      <c r="E2594">
        <v>80</v>
      </c>
      <c r="F2594" s="2">
        <v>273.02999999999997</v>
      </c>
      <c r="G2594" t="s">
        <v>32</v>
      </c>
      <c r="H2594" s="1">
        <v>45292</v>
      </c>
      <c r="I2594" s="1">
        <v>45297</v>
      </c>
      <c r="J2594" t="s">
        <v>37</v>
      </c>
      <c r="K2594" s="8">
        <f>Table2[[#This Row],[CurrentStock]]*Table2[[#This Row],[UnitPrice]]</f>
        <v>76448.399999999994</v>
      </c>
      <c r="L2594" t="str">
        <f>IF(Table2[[#This Row],[CurrentStock]]&lt;=Table2[[#This Row],[ReorderLevel]], "Reorder Needed", "Okay")</f>
        <v>Okay</v>
      </c>
      <c r="M2594" t="str">
        <f>IF(Table2[[#This Row],[CurrentStock]]-Table2[[#This Row],[ReorderLevel]]&lt;0,Table2[[#This Row],[CurrentStock]]-Table2[[#This Row],[ReorderLevel]],"")</f>
        <v/>
      </c>
      <c r="N2594" t="str">
        <f>IF(Table2[[#This Row],[Stock Gap]]&lt;0, "Understock","Okay")</f>
        <v>Okay</v>
      </c>
      <c r="O2594" s="13" t="str">
        <f>IF(Table2[[#This Row],[Stock Gap]]&lt;0, "Yes", "No")</f>
        <v>No</v>
      </c>
      <c r="P2594" s="13" t="str">
        <f>IF(Table2[[#This Row],[CurrentStock]]&lt;Table2[[#This Row],[ReorderLevel]],"Reorder", "Okay")</f>
        <v>Okay</v>
      </c>
      <c r="Q2594" s="13" t="str">
        <f>IF(Table2[[#This Row],[CurrentStock]]&gt;Table2[[#This Row],[ReorderLevel]]*3, "Overstock", "Okay")</f>
        <v>Overstock</v>
      </c>
    </row>
    <row r="2595" spans="1:17" x14ac:dyDescent="0.35">
      <c r="A2595">
        <v>89921</v>
      </c>
      <c r="B2595" t="s">
        <v>14</v>
      </c>
      <c r="C2595" t="s">
        <v>28</v>
      </c>
      <c r="D2595">
        <v>44</v>
      </c>
      <c r="E2595">
        <v>150</v>
      </c>
      <c r="F2595" s="2">
        <v>284.02</v>
      </c>
      <c r="G2595" t="s">
        <v>35</v>
      </c>
      <c r="H2595" s="1">
        <v>45524</v>
      </c>
      <c r="I2595" s="1">
        <v>45545</v>
      </c>
      <c r="J2595" t="s">
        <v>37</v>
      </c>
      <c r="K2595" s="8">
        <f>Table2[[#This Row],[CurrentStock]]*Table2[[#This Row],[UnitPrice]]</f>
        <v>12496.88</v>
      </c>
      <c r="L2595" t="str">
        <f>IF(Table2[[#This Row],[CurrentStock]]&lt;=Table2[[#This Row],[ReorderLevel]], "Reorder Needed", "Okay")</f>
        <v>Reorder Needed</v>
      </c>
      <c r="M2595" s="7">
        <f>IF(Table2[[#This Row],[CurrentStock]]-Table2[[#This Row],[ReorderLevel]]&lt;0,Table2[[#This Row],[CurrentStock]]-Table2[[#This Row],[ReorderLevel]],"")</f>
        <v>-106</v>
      </c>
      <c r="N2595" t="str">
        <f>IF(Table2[[#This Row],[Stock Gap]]&lt;0, "Understock","Okay")</f>
        <v>Understock</v>
      </c>
      <c r="O2595" s="13" t="str">
        <f>IF(Table2[[#This Row],[Stock Gap]]&lt;0, "Yes", "No")</f>
        <v>Yes</v>
      </c>
      <c r="P2595" s="13" t="str">
        <f>IF(Table2[[#This Row],[CurrentStock]]&lt;Table2[[#This Row],[ReorderLevel]],"Reorder", "Okay")</f>
        <v>Reorder</v>
      </c>
      <c r="Q2595" s="13" t="str">
        <f>IF(Table2[[#This Row],[CurrentStock]]&gt;Table2[[#This Row],[ReorderLevel]]*3, "Overstock", "Okay")</f>
        <v>Okay</v>
      </c>
    </row>
    <row r="2596" spans="1:17" x14ac:dyDescent="0.35">
      <c r="A2596">
        <v>95783</v>
      </c>
      <c r="B2596" t="s">
        <v>16</v>
      </c>
      <c r="C2596" t="s">
        <v>29</v>
      </c>
      <c r="D2596">
        <v>156</v>
      </c>
      <c r="E2596">
        <v>80</v>
      </c>
      <c r="F2596" s="2">
        <v>20.36</v>
      </c>
      <c r="G2596" t="s">
        <v>31</v>
      </c>
      <c r="H2596" s="1">
        <v>45322</v>
      </c>
      <c r="I2596" s="1">
        <v>45334</v>
      </c>
      <c r="J2596" t="s">
        <v>37</v>
      </c>
      <c r="K2596" s="8">
        <f>Table2[[#This Row],[CurrentStock]]*Table2[[#This Row],[UnitPrice]]</f>
        <v>3176.16</v>
      </c>
      <c r="L2596" t="str">
        <f>IF(Table2[[#This Row],[CurrentStock]]&lt;=Table2[[#This Row],[ReorderLevel]], "Reorder Needed", "Okay")</f>
        <v>Okay</v>
      </c>
      <c r="M2596" t="str">
        <f>IF(Table2[[#This Row],[CurrentStock]]-Table2[[#This Row],[ReorderLevel]]&lt;0,Table2[[#This Row],[CurrentStock]]-Table2[[#This Row],[ReorderLevel]],"")</f>
        <v/>
      </c>
      <c r="N2596" t="str">
        <f>IF(Table2[[#This Row],[Stock Gap]]&lt;0, "Understock","Okay")</f>
        <v>Okay</v>
      </c>
      <c r="O2596" s="13" t="str">
        <f>IF(Table2[[#This Row],[Stock Gap]]&lt;0, "Yes", "No")</f>
        <v>No</v>
      </c>
      <c r="P2596" s="13" t="str">
        <f>IF(Table2[[#This Row],[CurrentStock]]&lt;Table2[[#This Row],[ReorderLevel]],"Reorder", "Okay")</f>
        <v>Okay</v>
      </c>
      <c r="Q2596" s="13" t="str">
        <f>IF(Table2[[#This Row],[CurrentStock]]&gt;Table2[[#This Row],[ReorderLevel]]*3, "Overstock", "Okay")</f>
        <v>Okay</v>
      </c>
    </row>
    <row r="2597" spans="1:17" x14ac:dyDescent="0.35">
      <c r="A2597">
        <v>20273</v>
      </c>
      <c r="B2597" t="s">
        <v>11</v>
      </c>
      <c r="C2597" t="s">
        <v>27</v>
      </c>
      <c r="D2597">
        <v>142</v>
      </c>
      <c r="E2597">
        <v>50</v>
      </c>
      <c r="F2597" s="2">
        <v>195.52</v>
      </c>
      <c r="G2597" t="s">
        <v>33</v>
      </c>
      <c r="H2597" s="1">
        <v>45641</v>
      </c>
      <c r="I2597" s="1">
        <v>45664</v>
      </c>
      <c r="J2597" t="s">
        <v>36</v>
      </c>
      <c r="K2597" s="8">
        <f>Table2[[#This Row],[CurrentStock]]*Table2[[#This Row],[UnitPrice]]</f>
        <v>27763.84</v>
      </c>
      <c r="L2597" t="str">
        <f>IF(Table2[[#This Row],[CurrentStock]]&lt;=Table2[[#This Row],[ReorderLevel]], "Reorder Needed", "Okay")</f>
        <v>Okay</v>
      </c>
      <c r="M2597" t="str">
        <f>IF(Table2[[#This Row],[CurrentStock]]-Table2[[#This Row],[ReorderLevel]]&lt;0,Table2[[#This Row],[CurrentStock]]-Table2[[#This Row],[ReorderLevel]],"")</f>
        <v/>
      </c>
      <c r="N2597" t="str">
        <f>IF(Table2[[#This Row],[Stock Gap]]&lt;0, "Understock","Okay")</f>
        <v>Okay</v>
      </c>
      <c r="O2597" s="13" t="str">
        <f>IF(Table2[[#This Row],[Stock Gap]]&lt;0, "Yes", "No")</f>
        <v>No</v>
      </c>
      <c r="P2597" s="13" t="str">
        <f>IF(Table2[[#This Row],[CurrentStock]]&lt;Table2[[#This Row],[ReorderLevel]],"Reorder", "Okay")</f>
        <v>Okay</v>
      </c>
      <c r="Q2597" s="13" t="str">
        <f>IF(Table2[[#This Row],[CurrentStock]]&gt;Table2[[#This Row],[ReorderLevel]]*3, "Overstock", "Okay")</f>
        <v>Okay</v>
      </c>
    </row>
    <row r="2598" spans="1:17" x14ac:dyDescent="0.35">
      <c r="A2598">
        <v>57025</v>
      </c>
      <c r="B2598" t="s">
        <v>9</v>
      </c>
      <c r="C2598" t="s">
        <v>26</v>
      </c>
      <c r="D2598">
        <v>139</v>
      </c>
      <c r="E2598">
        <v>100</v>
      </c>
      <c r="F2598" s="2">
        <v>34.020000000000003</v>
      </c>
      <c r="G2598" t="s">
        <v>33</v>
      </c>
      <c r="H2598" s="1">
        <v>45652</v>
      </c>
      <c r="I2598" s="1">
        <v>45680</v>
      </c>
      <c r="J2598" t="s">
        <v>37</v>
      </c>
      <c r="K2598" s="8">
        <f>Table2[[#This Row],[CurrentStock]]*Table2[[#This Row],[UnitPrice]]</f>
        <v>4728.7800000000007</v>
      </c>
      <c r="L2598" t="str">
        <f>IF(Table2[[#This Row],[CurrentStock]]&lt;=Table2[[#This Row],[ReorderLevel]], "Reorder Needed", "Okay")</f>
        <v>Okay</v>
      </c>
      <c r="M2598" t="str">
        <f>IF(Table2[[#This Row],[CurrentStock]]-Table2[[#This Row],[ReorderLevel]]&lt;0,Table2[[#This Row],[CurrentStock]]-Table2[[#This Row],[ReorderLevel]],"")</f>
        <v/>
      </c>
      <c r="N2598" t="str">
        <f>IF(Table2[[#This Row],[Stock Gap]]&lt;0, "Understock","Okay")</f>
        <v>Okay</v>
      </c>
      <c r="O2598" s="13" t="str">
        <f>IF(Table2[[#This Row],[Stock Gap]]&lt;0, "Yes", "No")</f>
        <v>No</v>
      </c>
      <c r="P2598" s="13" t="str">
        <f>IF(Table2[[#This Row],[CurrentStock]]&lt;Table2[[#This Row],[ReorderLevel]],"Reorder", "Okay")</f>
        <v>Okay</v>
      </c>
      <c r="Q2598" s="13" t="str">
        <f>IF(Table2[[#This Row],[CurrentStock]]&gt;Table2[[#This Row],[ReorderLevel]]*3, "Overstock", "Okay")</f>
        <v>Okay</v>
      </c>
    </row>
    <row r="2599" spans="1:17" x14ac:dyDescent="0.35">
      <c r="A2599">
        <v>70910</v>
      </c>
      <c r="B2599" t="s">
        <v>18</v>
      </c>
      <c r="C2599" t="s">
        <v>27</v>
      </c>
      <c r="D2599">
        <v>231</v>
      </c>
      <c r="E2599">
        <v>100</v>
      </c>
      <c r="F2599" s="2">
        <v>204.36</v>
      </c>
      <c r="G2599" t="s">
        <v>34</v>
      </c>
      <c r="H2599" s="1">
        <v>45361</v>
      </c>
      <c r="I2599" s="1">
        <v>45378</v>
      </c>
      <c r="J2599" t="s">
        <v>37</v>
      </c>
      <c r="K2599" s="8">
        <f>Table2[[#This Row],[CurrentStock]]*Table2[[#This Row],[UnitPrice]]</f>
        <v>47207.16</v>
      </c>
      <c r="L2599" t="str">
        <f>IF(Table2[[#This Row],[CurrentStock]]&lt;=Table2[[#This Row],[ReorderLevel]], "Reorder Needed", "Okay")</f>
        <v>Okay</v>
      </c>
      <c r="M2599" t="str">
        <f>IF(Table2[[#This Row],[CurrentStock]]-Table2[[#This Row],[ReorderLevel]]&lt;0,Table2[[#This Row],[CurrentStock]]-Table2[[#This Row],[ReorderLevel]],"")</f>
        <v/>
      </c>
      <c r="N2599" t="str">
        <f>IF(Table2[[#This Row],[Stock Gap]]&lt;0, "Understock","Okay")</f>
        <v>Okay</v>
      </c>
      <c r="O2599" s="13" t="str">
        <f>IF(Table2[[#This Row],[Stock Gap]]&lt;0, "Yes", "No")</f>
        <v>No</v>
      </c>
      <c r="P2599" s="13" t="str">
        <f>IF(Table2[[#This Row],[CurrentStock]]&lt;Table2[[#This Row],[ReorderLevel]],"Reorder", "Okay")</f>
        <v>Okay</v>
      </c>
      <c r="Q2599" s="13" t="str">
        <f>IF(Table2[[#This Row],[CurrentStock]]&gt;Table2[[#This Row],[ReorderLevel]]*3, "Overstock", "Okay")</f>
        <v>Okay</v>
      </c>
    </row>
    <row r="2600" spans="1:17" x14ac:dyDescent="0.35">
      <c r="A2600">
        <v>72678</v>
      </c>
      <c r="B2600" t="s">
        <v>20</v>
      </c>
      <c r="C2600" t="s">
        <v>30</v>
      </c>
      <c r="D2600">
        <v>401</v>
      </c>
      <c r="E2600">
        <v>100</v>
      </c>
      <c r="F2600" s="2">
        <v>46.63</v>
      </c>
      <c r="G2600" t="s">
        <v>35</v>
      </c>
      <c r="H2600" s="1">
        <v>45323</v>
      </c>
      <c r="I2600" s="1">
        <v>45334</v>
      </c>
      <c r="J2600" t="s">
        <v>38</v>
      </c>
      <c r="K2600" s="8">
        <f>Table2[[#This Row],[CurrentStock]]*Table2[[#This Row],[UnitPrice]]</f>
        <v>18698.63</v>
      </c>
      <c r="L2600" t="str">
        <f>IF(Table2[[#This Row],[CurrentStock]]&lt;=Table2[[#This Row],[ReorderLevel]], "Reorder Needed", "Okay")</f>
        <v>Okay</v>
      </c>
      <c r="M2600" t="str">
        <f>IF(Table2[[#This Row],[CurrentStock]]-Table2[[#This Row],[ReorderLevel]]&lt;0,Table2[[#This Row],[CurrentStock]]-Table2[[#This Row],[ReorderLevel]],"")</f>
        <v/>
      </c>
      <c r="N2600" t="str">
        <f>IF(Table2[[#This Row],[Stock Gap]]&lt;0, "Understock","Okay")</f>
        <v>Okay</v>
      </c>
      <c r="O2600" s="13" t="str">
        <f>IF(Table2[[#This Row],[Stock Gap]]&lt;0, "Yes", "No")</f>
        <v>No</v>
      </c>
      <c r="P2600" s="13" t="str">
        <f>IF(Table2[[#This Row],[CurrentStock]]&lt;Table2[[#This Row],[ReorderLevel]],"Reorder", "Okay")</f>
        <v>Okay</v>
      </c>
      <c r="Q2600" s="13" t="str">
        <f>IF(Table2[[#This Row],[CurrentStock]]&gt;Table2[[#This Row],[ReorderLevel]]*3, "Overstock", "Okay")</f>
        <v>Overstock</v>
      </c>
    </row>
    <row r="2601" spans="1:17" x14ac:dyDescent="0.35">
      <c r="A2601">
        <v>64345</v>
      </c>
      <c r="B2601" t="s">
        <v>20</v>
      </c>
      <c r="C2601" t="s">
        <v>30</v>
      </c>
      <c r="D2601">
        <v>433</v>
      </c>
      <c r="E2601">
        <v>80</v>
      </c>
      <c r="F2601" s="2">
        <v>368.48</v>
      </c>
      <c r="G2601" t="s">
        <v>32</v>
      </c>
      <c r="H2601" s="1">
        <v>45633</v>
      </c>
      <c r="I2601" s="1">
        <v>45659</v>
      </c>
      <c r="J2601" t="s">
        <v>37</v>
      </c>
      <c r="K2601" s="8">
        <f>Table2[[#This Row],[CurrentStock]]*Table2[[#This Row],[UnitPrice]]</f>
        <v>159551.84</v>
      </c>
      <c r="L2601" t="str">
        <f>IF(Table2[[#This Row],[CurrentStock]]&lt;=Table2[[#This Row],[ReorderLevel]], "Reorder Needed", "Okay")</f>
        <v>Okay</v>
      </c>
      <c r="M2601" t="str">
        <f>IF(Table2[[#This Row],[CurrentStock]]-Table2[[#This Row],[ReorderLevel]]&lt;0,Table2[[#This Row],[CurrentStock]]-Table2[[#This Row],[ReorderLevel]],"")</f>
        <v/>
      </c>
      <c r="N2601" t="str">
        <f>IF(Table2[[#This Row],[Stock Gap]]&lt;0, "Understock","Okay")</f>
        <v>Okay</v>
      </c>
      <c r="O2601" s="13" t="str">
        <f>IF(Table2[[#This Row],[Stock Gap]]&lt;0, "Yes", "No")</f>
        <v>No</v>
      </c>
      <c r="P2601" s="13" t="str">
        <f>IF(Table2[[#This Row],[CurrentStock]]&lt;Table2[[#This Row],[ReorderLevel]],"Reorder", "Okay")</f>
        <v>Okay</v>
      </c>
      <c r="Q2601" s="13" t="str">
        <f>IF(Table2[[#This Row],[CurrentStock]]&gt;Table2[[#This Row],[ReorderLevel]]*3, "Overstock", "Okay")</f>
        <v>Overstock</v>
      </c>
    </row>
    <row r="2602" spans="1:17" x14ac:dyDescent="0.35">
      <c r="A2602">
        <v>26923</v>
      </c>
      <c r="B2602" t="s">
        <v>11</v>
      </c>
      <c r="C2602" t="s">
        <v>27</v>
      </c>
      <c r="D2602">
        <v>374</v>
      </c>
      <c r="E2602">
        <v>20</v>
      </c>
      <c r="F2602" s="2">
        <v>153.81</v>
      </c>
      <c r="G2602" t="s">
        <v>32</v>
      </c>
      <c r="H2602" s="1">
        <v>45583</v>
      </c>
      <c r="I2602" s="1">
        <v>45618</v>
      </c>
      <c r="J2602" t="s">
        <v>37</v>
      </c>
      <c r="K2602" s="8">
        <f>Table2[[#This Row],[CurrentStock]]*Table2[[#This Row],[UnitPrice]]</f>
        <v>57524.94</v>
      </c>
      <c r="L2602" t="str">
        <f>IF(Table2[[#This Row],[CurrentStock]]&lt;=Table2[[#This Row],[ReorderLevel]], "Reorder Needed", "Okay")</f>
        <v>Okay</v>
      </c>
      <c r="M2602" t="str">
        <f>IF(Table2[[#This Row],[CurrentStock]]-Table2[[#This Row],[ReorderLevel]]&lt;0,Table2[[#This Row],[CurrentStock]]-Table2[[#This Row],[ReorderLevel]],"")</f>
        <v/>
      </c>
      <c r="N2602" t="str">
        <f>IF(Table2[[#This Row],[Stock Gap]]&lt;0, "Understock","Okay")</f>
        <v>Okay</v>
      </c>
      <c r="O2602" s="13" t="str">
        <f>IF(Table2[[#This Row],[Stock Gap]]&lt;0, "Yes", "No")</f>
        <v>No</v>
      </c>
      <c r="P2602" s="13" t="str">
        <f>IF(Table2[[#This Row],[CurrentStock]]&lt;Table2[[#This Row],[ReorderLevel]],"Reorder", "Okay")</f>
        <v>Okay</v>
      </c>
      <c r="Q2602" s="13" t="str">
        <f>IF(Table2[[#This Row],[CurrentStock]]&gt;Table2[[#This Row],[ReorderLevel]]*3, "Overstock", "Okay")</f>
        <v>Overstock</v>
      </c>
    </row>
    <row r="2603" spans="1:17" x14ac:dyDescent="0.35">
      <c r="A2603">
        <v>16716</v>
      </c>
      <c r="B2603" t="s">
        <v>21</v>
      </c>
      <c r="C2603" t="s">
        <v>26</v>
      </c>
      <c r="D2603">
        <v>317</v>
      </c>
      <c r="E2603">
        <v>150</v>
      </c>
      <c r="F2603" s="2">
        <v>337.57</v>
      </c>
      <c r="G2603" t="s">
        <v>34</v>
      </c>
      <c r="H2603" s="1">
        <v>45416</v>
      </c>
      <c r="I2603" s="1">
        <v>45438</v>
      </c>
      <c r="J2603" t="s">
        <v>36</v>
      </c>
      <c r="K2603" s="8">
        <f>Table2[[#This Row],[CurrentStock]]*Table2[[#This Row],[UnitPrice]]</f>
        <v>107009.69</v>
      </c>
      <c r="L2603" t="str">
        <f>IF(Table2[[#This Row],[CurrentStock]]&lt;=Table2[[#This Row],[ReorderLevel]], "Reorder Needed", "Okay")</f>
        <v>Okay</v>
      </c>
      <c r="M2603" t="str">
        <f>IF(Table2[[#This Row],[CurrentStock]]-Table2[[#This Row],[ReorderLevel]]&lt;0,Table2[[#This Row],[CurrentStock]]-Table2[[#This Row],[ReorderLevel]],"")</f>
        <v/>
      </c>
      <c r="N2603" t="str">
        <f>IF(Table2[[#This Row],[Stock Gap]]&lt;0, "Understock","Okay")</f>
        <v>Okay</v>
      </c>
      <c r="O2603" s="13" t="str">
        <f>IF(Table2[[#This Row],[Stock Gap]]&lt;0, "Yes", "No")</f>
        <v>No</v>
      </c>
      <c r="P2603" s="13" t="str">
        <f>IF(Table2[[#This Row],[CurrentStock]]&lt;Table2[[#This Row],[ReorderLevel]],"Reorder", "Okay")</f>
        <v>Okay</v>
      </c>
      <c r="Q2603" s="13" t="str">
        <f>IF(Table2[[#This Row],[CurrentStock]]&gt;Table2[[#This Row],[ReorderLevel]]*3, "Overstock", "Okay")</f>
        <v>Okay</v>
      </c>
    </row>
    <row r="2604" spans="1:17" x14ac:dyDescent="0.35">
      <c r="A2604">
        <v>22170</v>
      </c>
      <c r="B2604" t="s">
        <v>24</v>
      </c>
      <c r="C2604" t="s">
        <v>30</v>
      </c>
      <c r="D2604">
        <v>56</v>
      </c>
      <c r="E2604">
        <v>150</v>
      </c>
      <c r="F2604" s="2">
        <v>110.71</v>
      </c>
      <c r="G2604" t="s">
        <v>35</v>
      </c>
      <c r="H2604" s="1">
        <v>45333</v>
      </c>
      <c r="I2604" s="1">
        <v>45338</v>
      </c>
      <c r="J2604" t="s">
        <v>37</v>
      </c>
      <c r="K2604" s="8">
        <f>Table2[[#This Row],[CurrentStock]]*Table2[[#This Row],[UnitPrice]]</f>
        <v>6199.7599999999993</v>
      </c>
      <c r="L2604" t="str">
        <f>IF(Table2[[#This Row],[CurrentStock]]&lt;=Table2[[#This Row],[ReorderLevel]], "Reorder Needed", "Okay")</f>
        <v>Reorder Needed</v>
      </c>
      <c r="M2604" s="7">
        <f>IF(Table2[[#This Row],[CurrentStock]]-Table2[[#This Row],[ReorderLevel]]&lt;0,Table2[[#This Row],[CurrentStock]]-Table2[[#This Row],[ReorderLevel]],"")</f>
        <v>-94</v>
      </c>
      <c r="N2604" t="str">
        <f>IF(Table2[[#This Row],[Stock Gap]]&lt;0, "Understock","Okay")</f>
        <v>Understock</v>
      </c>
      <c r="O2604" s="13" t="str">
        <f>IF(Table2[[#This Row],[Stock Gap]]&lt;0, "Yes", "No")</f>
        <v>Yes</v>
      </c>
      <c r="P2604" s="13" t="str">
        <f>IF(Table2[[#This Row],[CurrentStock]]&lt;Table2[[#This Row],[ReorderLevel]],"Reorder", "Okay")</f>
        <v>Reorder</v>
      </c>
      <c r="Q2604" s="13" t="str">
        <f>IF(Table2[[#This Row],[CurrentStock]]&gt;Table2[[#This Row],[ReorderLevel]]*3, "Overstock", "Okay")</f>
        <v>Okay</v>
      </c>
    </row>
    <row r="2605" spans="1:17" x14ac:dyDescent="0.35">
      <c r="A2605">
        <v>66153</v>
      </c>
      <c r="B2605" t="s">
        <v>24</v>
      </c>
      <c r="C2605" t="s">
        <v>30</v>
      </c>
      <c r="D2605">
        <v>474</v>
      </c>
      <c r="E2605">
        <v>30</v>
      </c>
      <c r="F2605" s="2">
        <v>407.41</v>
      </c>
      <c r="G2605" t="s">
        <v>33</v>
      </c>
      <c r="H2605" s="1">
        <v>45427</v>
      </c>
      <c r="I2605" s="1">
        <v>45454</v>
      </c>
      <c r="J2605" t="s">
        <v>37</v>
      </c>
      <c r="K2605" s="8">
        <f>Table2[[#This Row],[CurrentStock]]*Table2[[#This Row],[UnitPrice]]</f>
        <v>193112.34000000003</v>
      </c>
      <c r="L2605" t="str">
        <f>IF(Table2[[#This Row],[CurrentStock]]&lt;=Table2[[#This Row],[ReorderLevel]], "Reorder Needed", "Okay")</f>
        <v>Okay</v>
      </c>
      <c r="M2605" t="str">
        <f>IF(Table2[[#This Row],[CurrentStock]]-Table2[[#This Row],[ReorderLevel]]&lt;0,Table2[[#This Row],[CurrentStock]]-Table2[[#This Row],[ReorderLevel]],"")</f>
        <v/>
      </c>
      <c r="N2605" t="str">
        <f>IF(Table2[[#This Row],[Stock Gap]]&lt;0, "Understock","Okay")</f>
        <v>Okay</v>
      </c>
      <c r="O2605" s="13" t="str">
        <f>IF(Table2[[#This Row],[Stock Gap]]&lt;0, "Yes", "No")</f>
        <v>No</v>
      </c>
      <c r="P2605" s="13" t="str">
        <f>IF(Table2[[#This Row],[CurrentStock]]&lt;Table2[[#This Row],[ReorderLevel]],"Reorder", "Okay")</f>
        <v>Okay</v>
      </c>
      <c r="Q2605" s="13" t="str">
        <f>IF(Table2[[#This Row],[CurrentStock]]&gt;Table2[[#This Row],[ReorderLevel]]*3, "Overstock", "Okay")</f>
        <v>Overstock</v>
      </c>
    </row>
    <row r="2606" spans="1:17" x14ac:dyDescent="0.35">
      <c r="A2606">
        <v>62169</v>
      </c>
      <c r="B2606" t="s">
        <v>19</v>
      </c>
      <c r="C2606" t="s">
        <v>28</v>
      </c>
      <c r="D2606">
        <v>429</v>
      </c>
      <c r="E2606">
        <v>100</v>
      </c>
      <c r="F2606" s="2">
        <v>129</v>
      </c>
      <c r="G2606" t="s">
        <v>34</v>
      </c>
      <c r="H2606" s="1">
        <v>45554</v>
      </c>
      <c r="I2606" s="1">
        <v>45569</v>
      </c>
      <c r="J2606" t="s">
        <v>37</v>
      </c>
      <c r="K2606" s="8">
        <f>Table2[[#This Row],[CurrentStock]]*Table2[[#This Row],[UnitPrice]]</f>
        <v>55341</v>
      </c>
      <c r="L2606" t="str">
        <f>IF(Table2[[#This Row],[CurrentStock]]&lt;=Table2[[#This Row],[ReorderLevel]], "Reorder Needed", "Okay")</f>
        <v>Okay</v>
      </c>
      <c r="M2606" t="str">
        <f>IF(Table2[[#This Row],[CurrentStock]]-Table2[[#This Row],[ReorderLevel]]&lt;0,Table2[[#This Row],[CurrentStock]]-Table2[[#This Row],[ReorderLevel]],"")</f>
        <v/>
      </c>
      <c r="N2606" t="str">
        <f>IF(Table2[[#This Row],[Stock Gap]]&lt;0, "Understock","Okay")</f>
        <v>Okay</v>
      </c>
      <c r="O2606" s="13" t="str">
        <f>IF(Table2[[#This Row],[Stock Gap]]&lt;0, "Yes", "No")</f>
        <v>No</v>
      </c>
      <c r="P2606" s="13" t="str">
        <f>IF(Table2[[#This Row],[CurrentStock]]&lt;Table2[[#This Row],[ReorderLevel]],"Reorder", "Okay")</f>
        <v>Okay</v>
      </c>
      <c r="Q2606" s="13" t="str">
        <f>IF(Table2[[#This Row],[CurrentStock]]&gt;Table2[[#This Row],[ReorderLevel]]*3, "Overstock", "Okay")</f>
        <v>Overstock</v>
      </c>
    </row>
    <row r="2607" spans="1:17" x14ac:dyDescent="0.35">
      <c r="A2607">
        <v>57631</v>
      </c>
      <c r="B2607" t="s">
        <v>24</v>
      </c>
      <c r="C2607" t="s">
        <v>30</v>
      </c>
      <c r="D2607">
        <v>66</v>
      </c>
      <c r="E2607">
        <v>20</v>
      </c>
      <c r="F2607" s="2">
        <v>279.92</v>
      </c>
      <c r="G2607" t="s">
        <v>33</v>
      </c>
      <c r="H2607" s="1">
        <v>45475</v>
      </c>
      <c r="I2607" s="1">
        <v>45495</v>
      </c>
      <c r="J2607" t="s">
        <v>38</v>
      </c>
      <c r="K2607" s="8">
        <f>Table2[[#This Row],[CurrentStock]]*Table2[[#This Row],[UnitPrice]]</f>
        <v>18474.72</v>
      </c>
      <c r="L2607" t="str">
        <f>IF(Table2[[#This Row],[CurrentStock]]&lt;=Table2[[#This Row],[ReorderLevel]], "Reorder Needed", "Okay")</f>
        <v>Okay</v>
      </c>
      <c r="M2607" t="str">
        <f>IF(Table2[[#This Row],[CurrentStock]]-Table2[[#This Row],[ReorderLevel]]&lt;0,Table2[[#This Row],[CurrentStock]]-Table2[[#This Row],[ReorderLevel]],"")</f>
        <v/>
      </c>
      <c r="N2607" t="str">
        <f>IF(Table2[[#This Row],[Stock Gap]]&lt;0, "Understock","Okay")</f>
        <v>Okay</v>
      </c>
      <c r="O2607" s="13" t="str">
        <f>IF(Table2[[#This Row],[Stock Gap]]&lt;0, "Yes", "No")</f>
        <v>No</v>
      </c>
      <c r="P2607" s="13" t="str">
        <f>IF(Table2[[#This Row],[CurrentStock]]&lt;Table2[[#This Row],[ReorderLevel]],"Reorder", "Okay")</f>
        <v>Okay</v>
      </c>
      <c r="Q2607" s="13" t="str">
        <f>IF(Table2[[#This Row],[CurrentStock]]&gt;Table2[[#This Row],[ReorderLevel]]*3, "Overstock", "Okay")</f>
        <v>Overstock</v>
      </c>
    </row>
    <row r="2608" spans="1:17" x14ac:dyDescent="0.35">
      <c r="A2608">
        <v>45059</v>
      </c>
      <c r="B2608" t="s">
        <v>19</v>
      </c>
      <c r="C2608" t="s">
        <v>28</v>
      </c>
      <c r="D2608">
        <v>454</v>
      </c>
      <c r="E2608">
        <v>150</v>
      </c>
      <c r="F2608" s="2">
        <v>361.87</v>
      </c>
      <c r="G2608" t="s">
        <v>31</v>
      </c>
      <c r="H2608" s="1">
        <v>45309</v>
      </c>
      <c r="I2608" s="1">
        <v>45332</v>
      </c>
      <c r="J2608" t="s">
        <v>38</v>
      </c>
      <c r="K2608" s="8">
        <f>Table2[[#This Row],[CurrentStock]]*Table2[[#This Row],[UnitPrice]]</f>
        <v>164288.98000000001</v>
      </c>
      <c r="L2608" t="str">
        <f>IF(Table2[[#This Row],[CurrentStock]]&lt;=Table2[[#This Row],[ReorderLevel]], "Reorder Needed", "Okay")</f>
        <v>Okay</v>
      </c>
      <c r="M2608" t="str">
        <f>IF(Table2[[#This Row],[CurrentStock]]-Table2[[#This Row],[ReorderLevel]]&lt;0,Table2[[#This Row],[CurrentStock]]-Table2[[#This Row],[ReorderLevel]],"")</f>
        <v/>
      </c>
      <c r="N2608" t="str">
        <f>IF(Table2[[#This Row],[Stock Gap]]&lt;0, "Understock","Okay")</f>
        <v>Okay</v>
      </c>
      <c r="O2608" s="13" t="str">
        <f>IF(Table2[[#This Row],[Stock Gap]]&lt;0, "Yes", "No")</f>
        <v>No</v>
      </c>
      <c r="P2608" s="13" t="str">
        <f>IF(Table2[[#This Row],[CurrentStock]]&lt;Table2[[#This Row],[ReorderLevel]],"Reorder", "Okay")</f>
        <v>Okay</v>
      </c>
      <c r="Q2608" s="13" t="str">
        <f>IF(Table2[[#This Row],[CurrentStock]]&gt;Table2[[#This Row],[ReorderLevel]]*3, "Overstock", "Okay")</f>
        <v>Overstock</v>
      </c>
    </row>
    <row r="2609" spans="1:17" x14ac:dyDescent="0.35">
      <c r="A2609">
        <v>91951</v>
      </c>
      <c r="B2609" t="s">
        <v>14</v>
      </c>
      <c r="C2609" t="s">
        <v>28</v>
      </c>
      <c r="D2609">
        <v>245</v>
      </c>
      <c r="E2609">
        <v>20</v>
      </c>
      <c r="F2609" s="2">
        <v>230.91</v>
      </c>
      <c r="G2609" t="s">
        <v>31</v>
      </c>
      <c r="H2609" s="1">
        <v>45340</v>
      </c>
      <c r="I2609" s="1">
        <v>45372</v>
      </c>
      <c r="J2609" t="s">
        <v>36</v>
      </c>
      <c r="K2609" s="8">
        <f>Table2[[#This Row],[CurrentStock]]*Table2[[#This Row],[UnitPrice]]</f>
        <v>56572.95</v>
      </c>
      <c r="L2609" t="str">
        <f>IF(Table2[[#This Row],[CurrentStock]]&lt;=Table2[[#This Row],[ReorderLevel]], "Reorder Needed", "Okay")</f>
        <v>Okay</v>
      </c>
      <c r="M2609" t="str">
        <f>IF(Table2[[#This Row],[CurrentStock]]-Table2[[#This Row],[ReorderLevel]]&lt;0,Table2[[#This Row],[CurrentStock]]-Table2[[#This Row],[ReorderLevel]],"")</f>
        <v/>
      </c>
      <c r="N2609" t="str">
        <f>IF(Table2[[#This Row],[Stock Gap]]&lt;0, "Understock","Okay")</f>
        <v>Okay</v>
      </c>
      <c r="O2609" s="13" t="str">
        <f>IF(Table2[[#This Row],[Stock Gap]]&lt;0, "Yes", "No")</f>
        <v>No</v>
      </c>
      <c r="P2609" s="13" t="str">
        <f>IF(Table2[[#This Row],[CurrentStock]]&lt;Table2[[#This Row],[ReorderLevel]],"Reorder", "Okay")</f>
        <v>Okay</v>
      </c>
      <c r="Q2609" s="13" t="str">
        <f>IF(Table2[[#This Row],[CurrentStock]]&gt;Table2[[#This Row],[ReorderLevel]]*3, "Overstock", "Okay")</f>
        <v>Overstock</v>
      </c>
    </row>
    <row r="2610" spans="1:17" x14ac:dyDescent="0.35">
      <c r="A2610">
        <v>79445</v>
      </c>
      <c r="B2610" t="s">
        <v>21</v>
      </c>
      <c r="C2610" t="s">
        <v>26</v>
      </c>
      <c r="D2610">
        <v>291</v>
      </c>
      <c r="E2610">
        <v>40</v>
      </c>
      <c r="F2610" s="2">
        <v>292.60000000000002</v>
      </c>
      <c r="G2610" t="s">
        <v>35</v>
      </c>
      <c r="H2610" s="1">
        <v>45378</v>
      </c>
      <c r="I2610" s="1">
        <v>45384</v>
      </c>
      <c r="J2610" t="s">
        <v>36</v>
      </c>
      <c r="K2610" s="8">
        <f>Table2[[#This Row],[CurrentStock]]*Table2[[#This Row],[UnitPrice]]</f>
        <v>85146.6</v>
      </c>
      <c r="L2610" t="str">
        <f>IF(Table2[[#This Row],[CurrentStock]]&lt;=Table2[[#This Row],[ReorderLevel]], "Reorder Needed", "Okay")</f>
        <v>Okay</v>
      </c>
      <c r="M2610" t="str">
        <f>IF(Table2[[#This Row],[CurrentStock]]-Table2[[#This Row],[ReorderLevel]]&lt;0,Table2[[#This Row],[CurrentStock]]-Table2[[#This Row],[ReorderLevel]],"")</f>
        <v/>
      </c>
      <c r="N2610" t="str">
        <f>IF(Table2[[#This Row],[Stock Gap]]&lt;0, "Understock","Okay")</f>
        <v>Okay</v>
      </c>
      <c r="O2610" s="13" t="str">
        <f>IF(Table2[[#This Row],[Stock Gap]]&lt;0, "Yes", "No")</f>
        <v>No</v>
      </c>
      <c r="P2610" s="13" t="str">
        <f>IF(Table2[[#This Row],[CurrentStock]]&lt;Table2[[#This Row],[ReorderLevel]],"Reorder", "Okay")</f>
        <v>Okay</v>
      </c>
      <c r="Q2610" s="13" t="str">
        <f>IF(Table2[[#This Row],[CurrentStock]]&gt;Table2[[#This Row],[ReorderLevel]]*3, "Overstock", "Okay")</f>
        <v>Overstock</v>
      </c>
    </row>
    <row r="2611" spans="1:17" x14ac:dyDescent="0.35">
      <c r="A2611">
        <v>49502</v>
      </c>
      <c r="B2611" t="s">
        <v>13</v>
      </c>
      <c r="C2611" t="s">
        <v>26</v>
      </c>
      <c r="D2611">
        <v>481</v>
      </c>
      <c r="E2611">
        <v>50</v>
      </c>
      <c r="F2611" s="2">
        <v>71.56</v>
      </c>
      <c r="G2611" t="s">
        <v>35</v>
      </c>
      <c r="H2611" s="1">
        <v>45381</v>
      </c>
      <c r="I2611" s="1">
        <v>45395</v>
      </c>
      <c r="J2611" t="s">
        <v>37</v>
      </c>
      <c r="K2611" s="8">
        <f>Table2[[#This Row],[CurrentStock]]*Table2[[#This Row],[UnitPrice]]</f>
        <v>34420.36</v>
      </c>
      <c r="L2611" t="str">
        <f>IF(Table2[[#This Row],[CurrentStock]]&lt;=Table2[[#This Row],[ReorderLevel]], "Reorder Needed", "Okay")</f>
        <v>Okay</v>
      </c>
      <c r="M2611" t="str">
        <f>IF(Table2[[#This Row],[CurrentStock]]-Table2[[#This Row],[ReorderLevel]]&lt;0,Table2[[#This Row],[CurrentStock]]-Table2[[#This Row],[ReorderLevel]],"")</f>
        <v/>
      </c>
      <c r="N2611" t="str">
        <f>IF(Table2[[#This Row],[Stock Gap]]&lt;0, "Understock","Okay")</f>
        <v>Okay</v>
      </c>
      <c r="O2611" s="13" t="str">
        <f>IF(Table2[[#This Row],[Stock Gap]]&lt;0, "Yes", "No")</f>
        <v>No</v>
      </c>
      <c r="P2611" s="13" t="str">
        <f>IF(Table2[[#This Row],[CurrentStock]]&lt;Table2[[#This Row],[ReorderLevel]],"Reorder", "Okay")</f>
        <v>Okay</v>
      </c>
      <c r="Q2611" s="13" t="str">
        <f>IF(Table2[[#This Row],[CurrentStock]]&gt;Table2[[#This Row],[ReorderLevel]]*3, "Overstock", "Okay")</f>
        <v>Overstock</v>
      </c>
    </row>
    <row r="2612" spans="1:17" x14ac:dyDescent="0.35">
      <c r="A2612">
        <v>22842</v>
      </c>
      <c r="B2612" t="s">
        <v>12</v>
      </c>
      <c r="C2612" t="s">
        <v>28</v>
      </c>
      <c r="D2612">
        <v>276</v>
      </c>
      <c r="E2612">
        <v>100</v>
      </c>
      <c r="F2612" s="2">
        <v>208.9</v>
      </c>
      <c r="G2612" t="s">
        <v>33</v>
      </c>
      <c r="H2612" s="1">
        <v>45328</v>
      </c>
      <c r="I2612" s="1">
        <v>45346</v>
      </c>
      <c r="J2612" t="s">
        <v>36</v>
      </c>
      <c r="K2612" s="8">
        <f>Table2[[#This Row],[CurrentStock]]*Table2[[#This Row],[UnitPrice]]</f>
        <v>57656.4</v>
      </c>
      <c r="L2612" t="str">
        <f>IF(Table2[[#This Row],[CurrentStock]]&lt;=Table2[[#This Row],[ReorderLevel]], "Reorder Needed", "Okay")</f>
        <v>Okay</v>
      </c>
      <c r="M2612" t="str">
        <f>IF(Table2[[#This Row],[CurrentStock]]-Table2[[#This Row],[ReorderLevel]]&lt;0,Table2[[#This Row],[CurrentStock]]-Table2[[#This Row],[ReorderLevel]],"")</f>
        <v/>
      </c>
      <c r="N2612" t="str">
        <f>IF(Table2[[#This Row],[Stock Gap]]&lt;0, "Understock","Okay")</f>
        <v>Okay</v>
      </c>
      <c r="O2612" s="13" t="str">
        <f>IF(Table2[[#This Row],[Stock Gap]]&lt;0, "Yes", "No")</f>
        <v>No</v>
      </c>
      <c r="P2612" s="13" t="str">
        <f>IF(Table2[[#This Row],[CurrentStock]]&lt;Table2[[#This Row],[ReorderLevel]],"Reorder", "Okay")</f>
        <v>Okay</v>
      </c>
      <c r="Q2612" s="13" t="str">
        <f>IF(Table2[[#This Row],[CurrentStock]]&gt;Table2[[#This Row],[ReorderLevel]]*3, "Overstock", "Okay")</f>
        <v>Okay</v>
      </c>
    </row>
    <row r="2613" spans="1:17" x14ac:dyDescent="0.35">
      <c r="A2613">
        <v>32623</v>
      </c>
      <c r="B2613" t="s">
        <v>10</v>
      </c>
      <c r="C2613" t="s">
        <v>26</v>
      </c>
      <c r="D2613">
        <v>416</v>
      </c>
      <c r="E2613">
        <v>40</v>
      </c>
      <c r="F2613" s="2">
        <v>381.92</v>
      </c>
      <c r="G2613" t="s">
        <v>31</v>
      </c>
      <c r="H2613" s="1">
        <v>45634</v>
      </c>
      <c r="I2613" s="1">
        <v>45665</v>
      </c>
      <c r="J2613" t="s">
        <v>38</v>
      </c>
      <c r="K2613" s="8">
        <f>Table2[[#This Row],[CurrentStock]]*Table2[[#This Row],[UnitPrice]]</f>
        <v>158878.72</v>
      </c>
      <c r="L2613" t="str">
        <f>IF(Table2[[#This Row],[CurrentStock]]&lt;=Table2[[#This Row],[ReorderLevel]], "Reorder Needed", "Okay")</f>
        <v>Okay</v>
      </c>
      <c r="M2613" t="str">
        <f>IF(Table2[[#This Row],[CurrentStock]]-Table2[[#This Row],[ReorderLevel]]&lt;0,Table2[[#This Row],[CurrentStock]]-Table2[[#This Row],[ReorderLevel]],"")</f>
        <v/>
      </c>
      <c r="N2613" t="str">
        <f>IF(Table2[[#This Row],[Stock Gap]]&lt;0, "Understock","Okay")</f>
        <v>Okay</v>
      </c>
      <c r="O2613" s="13" t="str">
        <f>IF(Table2[[#This Row],[Stock Gap]]&lt;0, "Yes", "No")</f>
        <v>No</v>
      </c>
      <c r="P2613" s="13" t="str">
        <f>IF(Table2[[#This Row],[CurrentStock]]&lt;Table2[[#This Row],[ReorderLevel]],"Reorder", "Okay")</f>
        <v>Okay</v>
      </c>
      <c r="Q2613" s="13" t="str">
        <f>IF(Table2[[#This Row],[CurrentStock]]&gt;Table2[[#This Row],[ReorderLevel]]*3, "Overstock", "Okay")</f>
        <v>Overstock</v>
      </c>
    </row>
    <row r="2614" spans="1:17" x14ac:dyDescent="0.35">
      <c r="A2614">
        <v>58296</v>
      </c>
      <c r="B2614" t="s">
        <v>24</v>
      </c>
      <c r="C2614" t="s">
        <v>30</v>
      </c>
      <c r="D2614">
        <v>395</v>
      </c>
      <c r="E2614">
        <v>150</v>
      </c>
      <c r="F2614" s="2">
        <v>163.96</v>
      </c>
      <c r="G2614" t="s">
        <v>35</v>
      </c>
      <c r="H2614" s="1">
        <v>45415</v>
      </c>
      <c r="I2614" s="1">
        <v>45423</v>
      </c>
      <c r="J2614" t="s">
        <v>36</v>
      </c>
      <c r="K2614" s="8">
        <f>Table2[[#This Row],[CurrentStock]]*Table2[[#This Row],[UnitPrice]]</f>
        <v>64764.200000000004</v>
      </c>
      <c r="L2614" t="str">
        <f>IF(Table2[[#This Row],[CurrentStock]]&lt;=Table2[[#This Row],[ReorderLevel]], "Reorder Needed", "Okay")</f>
        <v>Okay</v>
      </c>
      <c r="M2614" t="str">
        <f>IF(Table2[[#This Row],[CurrentStock]]-Table2[[#This Row],[ReorderLevel]]&lt;0,Table2[[#This Row],[CurrentStock]]-Table2[[#This Row],[ReorderLevel]],"")</f>
        <v/>
      </c>
      <c r="N2614" t="str">
        <f>IF(Table2[[#This Row],[Stock Gap]]&lt;0, "Understock","Okay")</f>
        <v>Okay</v>
      </c>
      <c r="O2614" s="13" t="str">
        <f>IF(Table2[[#This Row],[Stock Gap]]&lt;0, "Yes", "No")</f>
        <v>No</v>
      </c>
      <c r="P2614" s="13" t="str">
        <f>IF(Table2[[#This Row],[CurrentStock]]&lt;Table2[[#This Row],[ReorderLevel]],"Reorder", "Okay")</f>
        <v>Okay</v>
      </c>
      <c r="Q2614" s="13" t="str">
        <f>IF(Table2[[#This Row],[CurrentStock]]&gt;Table2[[#This Row],[ReorderLevel]]*3, "Overstock", "Okay")</f>
        <v>Okay</v>
      </c>
    </row>
    <row r="2615" spans="1:17" x14ac:dyDescent="0.35">
      <c r="A2615">
        <v>52012</v>
      </c>
      <c r="B2615" t="s">
        <v>24</v>
      </c>
      <c r="C2615" t="s">
        <v>30</v>
      </c>
      <c r="D2615">
        <v>12</v>
      </c>
      <c r="E2615">
        <v>150</v>
      </c>
      <c r="F2615" s="2">
        <v>53.13</v>
      </c>
      <c r="G2615" t="s">
        <v>35</v>
      </c>
      <c r="H2615" s="1">
        <v>45491</v>
      </c>
      <c r="I2615" s="1">
        <v>45529</v>
      </c>
      <c r="J2615" t="s">
        <v>37</v>
      </c>
      <c r="K2615" s="8">
        <f>Table2[[#This Row],[CurrentStock]]*Table2[[#This Row],[UnitPrice]]</f>
        <v>637.56000000000006</v>
      </c>
      <c r="L2615" t="str">
        <f>IF(Table2[[#This Row],[CurrentStock]]&lt;=Table2[[#This Row],[ReorderLevel]], "Reorder Needed", "Okay")</f>
        <v>Reorder Needed</v>
      </c>
      <c r="M2615" s="7">
        <f>IF(Table2[[#This Row],[CurrentStock]]-Table2[[#This Row],[ReorderLevel]]&lt;0,Table2[[#This Row],[CurrentStock]]-Table2[[#This Row],[ReorderLevel]],"")</f>
        <v>-138</v>
      </c>
      <c r="N2615" t="str">
        <f>IF(Table2[[#This Row],[Stock Gap]]&lt;0, "Understock","Okay")</f>
        <v>Understock</v>
      </c>
      <c r="O2615" s="13" t="str">
        <f>IF(Table2[[#This Row],[Stock Gap]]&lt;0, "Yes", "No")</f>
        <v>Yes</v>
      </c>
      <c r="P2615" s="13" t="str">
        <f>IF(Table2[[#This Row],[CurrentStock]]&lt;Table2[[#This Row],[ReorderLevel]],"Reorder", "Okay")</f>
        <v>Reorder</v>
      </c>
      <c r="Q2615" s="13" t="str">
        <f>IF(Table2[[#This Row],[CurrentStock]]&gt;Table2[[#This Row],[ReorderLevel]]*3, "Overstock", "Okay")</f>
        <v>Okay</v>
      </c>
    </row>
    <row r="2616" spans="1:17" x14ac:dyDescent="0.35">
      <c r="A2616">
        <v>84992</v>
      </c>
      <c r="B2616" t="s">
        <v>15</v>
      </c>
      <c r="C2616" t="s">
        <v>29</v>
      </c>
      <c r="D2616">
        <v>43</v>
      </c>
      <c r="E2616">
        <v>80</v>
      </c>
      <c r="F2616" s="2">
        <v>196.41</v>
      </c>
      <c r="G2616" t="s">
        <v>32</v>
      </c>
      <c r="H2616" s="1">
        <v>45430</v>
      </c>
      <c r="I2616" s="1">
        <v>45448</v>
      </c>
      <c r="J2616" t="s">
        <v>38</v>
      </c>
      <c r="K2616" s="8">
        <f>Table2[[#This Row],[CurrentStock]]*Table2[[#This Row],[UnitPrice]]</f>
        <v>8445.6299999999992</v>
      </c>
      <c r="L2616" t="str">
        <f>IF(Table2[[#This Row],[CurrentStock]]&lt;=Table2[[#This Row],[ReorderLevel]], "Reorder Needed", "Okay")</f>
        <v>Reorder Needed</v>
      </c>
      <c r="M2616" s="7">
        <f>IF(Table2[[#This Row],[CurrentStock]]-Table2[[#This Row],[ReorderLevel]]&lt;0,Table2[[#This Row],[CurrentStock]]-Table2[[#This Row],[ReorderLevel]],"")</f>
        <v>-37</v>
      </c>
      <c r="N2616" t="str">
        <f>IF(Table2[[#This Row],[Stock Gap]]&lt;0, "Understock","Okay")</f>
        <v>Understock</v>
      </c>
      <c r="O2616" s="13" t="str">
        <f>IF(Table2[[#This Row],[Stock Gap]]&lt;0, "Yes", "No")</f>
        <v>Yes</v>
      </c>
      <c r="P2616" s="13" t="str">
        <f>IF(Table2[[#This Row],[CurrentStock]]&lt;Table2[[#This Row],[ReorderLevel]],"Reorder", "Okay")</f>
        <v>Reorder</v>
      </c>
      <c r="Q2616" s="13" t="str">
        <f>IF(Table2[[#This Row],[CurrentStock]]&gt;Table2[[#This Row],[ReorderLevel]]*3, "Overstock", "Okay")</f>
        <v>Okay</v>
      </c>
    </row>
    <row r="2617" spans="1:17" x14ac:dyDescent="0.35">
      <c r="A2617">
        <v>34172</v>
      </c>
      <c r="B2617" t="s">
        <v>19</v>
      </c>
      <c r="C2617" t="s">
        <v>28</v>
      </c>
      <c r="D2617">
        <v>48</v>
      </c>
      <c r="E2617">
        <v>40</v>
      </c>
      <c r="F2617" s="2">
        <v>381.22</v>
      </c>
      <c r="G2617" t="s">
        <v>35</v>
      </c>
      <c r="H2617" s="1">
        <v>45619</v>
      </c>
      <c r="I2617" s="1">
        <v>45655</v>
      </c>
      <c r="J2617" t="s">
        <v>37</v>
      </c>
      <c r="K2617" s="8">
        <f>Table2[[#This Row],[CurrentStock]]*Table2[[#This Row],[UnitPrice]]</f>
        <v>18298.560000000001</v>
      </c>
      <c r="L2617" t="str">
        <f>IF(Table2[[#This Row],[CurrentStock]]&lt;=Table2[[#This Row],[ReorderLevel]], "Reorder Needed", "Okay")</f>
        <v>Okay</v>
      </c>
      <c r="M2617" t="str">
        <f>IF(Table2[[#This Row],[CurrentStock]]-Table2[[#This Row],[ReorderLevel]]&lt;0,Table2[[#This Row],[CurrentStock]]-Table2[[#This Row],[ReorderLevel]],"")</f>
        <v/>
      </c>
      <c r="N2617" t="str">
        <f>IF(Table2[[#This Row],[Stock Gap]]&lt;0, "Understock","Okay")</f>
        <v>Okay</v>
      </c>
      <c r="O2617" s="13" t="str">
        <f>IF(Table2[[#This Row],[Stock Gap]]&lt;0, "Yes", "No")</f>
        <v>No</v>
      </c>
      <c r="P2617" s="13" t="str">
        <f>IF(Table2[[#This Row],[CurrentStock]]&lt;Table2[[#This Row],[ReorderLevel]],"Reorder", "Okay")</f>
        <v>Okay</v>
      </c>
      <c r="Q2617" s="13" t="str">
        <f>IF(Table2[[#This Row],[CurrentStock]]&gt;Table2[[#This Row],[ReorderLevel]]*3, "Overstock", "Okay")</f>
        <v>Okay</v>
      </c>
    </row>
    <row r="2618" spans="1:17" x14ac:dyDescent="0.35">
      <c r="A2618">
        <v>66068</v>
      </c>
      <c r="B2618" t="s">
        <v>19</v>
      </c>
      <c r="C2618" t="s">
        <v>28</v>
      </c>
      <c r="D2618">
        <v>187</v>
      </c>
      <c r="E2618">
        <v>20</v>
      </c>
      <c r="F2618" s="2">
        <v>192.13</v>
      </c>
      <c r="G2618" t="s">
        <v>32</v>
      </c>
      <c r="H2618" s="1">
        <v>45314</v>
      </c>
      <c r="I2618" s="1">
        <v>45332</v>
      </c>
      <c r="J2618" t="s">
        <v>38</v>
      </c>
      <c r="K2618" s="8">
        <f>Table2[[#This Row],[CurrentStock]]*Table2[[#This Row],[UnitPrice]]</f>
        <v>35928.31</v>
      </c>
      <c r="L2618" t="str">
        <f>IF(Table2[[#This Row],[CurrentStock]]&lt;=Table2[[#This Row],[ReorderLevel]], "Reorder Needed", "Okay")</f>
        <v>Okay</v>
      </c>
      <c r="M2618" t="str">
        <f>IF(Table2[[#This Row],[CurrentStock]]-Table2[[#This Row],[ReorderLevel]]&lt;0,Table2[[#This Row],[CurrentStock]]-Table2[[#This Row],[ReorderLevel]],"")</f>
        <v/>
      </c>
      <c r="N2618" t="str">
        <f>IF(Table2[[#This Row],[Stock Gap]]&lt;0, "Understock","Okay")</f>
        <v>Okay</v>
      </c>
      <c r="O2618" s="13" t="str">
        <f>IF(Table2[[#This Row],[Stock Gap]]&lt;0, "Yes", "No")</f>
        <v>No</v>
      </c>
      <c r="P2618" s="13" t="str">
        <f>IF(Table2[[#This Row],[CurrentStock]]&lt;Table2[[#This Row],[ReorderLevel]],"Reorder", "Okay")</f>
        <v>Okay</v>
      </c>
      <c r="Q2618" s="13" t="str">
        <f>IF(Table2[[#This Row],[CurrentStock]]&gt;Table2[[#This Row],[ReorderLevel]]*3, "Overstock", "Okay")</f>
        <v>Overstock</v>
      </c>
    </row>
    <row r="2619" spans="1:17" x14ac:dyDescent="0.35">
      <c r="A2619">
        <v>99376</v>
      </c>
      <c r="B2619" t="s">
        <v>24</v>
      </c>
      <c r="C2619" t="s">
        <v>30</v>
      </c>
      <c r="D2619">
        <v>23</v>
      </c>
      <c r="E2619">
        <v>80</v>
      </c>
      <c r="F2619" s="2">
        <v>212.65</v>
      </c>
      <c r="G2619" t="s">
        <v>33</v>
      </c>
      <c r="H2619" s="1">
        <v>45437</v>
      </c>
      <c r="I2619" s="1">
        <v>45445</v>
      </c>
      <c r="J2619" t="s">
        <v>38</v>
      </c>
      <c r="K2619" s="8">
        <f>Table2[[#This Row],[CurrentStock]]*Table2[[#This Row],[UnitPrice]]</f>
        <v>4890.95</v>
      </c>
      <c r="L2619" t="str">
        <f>IF(Table2[[#This Row],[CurrentStock]]&lt;=Table2[[#This Row],[ReorderLevel]], "Reorder Needed", "Okay")</f>
        <v>Reorder Needed</v>
      </c>
      <c r="M2619" s="7">
        <f>IF(Table2[[#This Row],[CurrentStock]]-Table2[[#This Row],[ReorderLevel]]&lt;0,Table2[[#This Row],[CurrentStock]]-Table2[[#This Row],[ReorderLevel]],"")</f>
        <v>-57</v>
      </c>
      <c r="N2619" t="str">
        <f>IF(Table2[[#This Row],[Stock Gap]]&lt;0, "Understock","Okay")</f>
        <v>Understock</v>
      </c>
      <c r="O2619" s="13" t="str">
        <f>IF(Table2[[#This Row],[Stock Gap]]&lt;0, "Yes", "No")</f>
        <v>Yes</v>
      </c>
      <c r="P2619" s="13" t="str">
        <f>IF(Table2[[#This Row],[CurrentStock]]&lt;Table2[[#This Row],[ReorderLevel]],"Reorder", "Okay")</f>
        <v>Reorder</v>
      </c>
      <c r="Q2619" s="13" t="str">
        <f>IF(Table2[[#This Row],[CurrentStock]]&gt;Table2[[#This Row],[ReorderLevel]]*3, "Overstock", "Okay")</f>
        <v>Okay</v>
      </c>
    </row>
    <row r="2620" spans="1:17" x14ac:dyDescent="0.35">
      <c r="A2620">
        <v>89951</v>
      </c>
      <c r="B2620" t="s">
        <v>21</v>
      </c>
      <c r="C2620" t="s">
        <v>26</v>
      </c>
      <c r="D2620">
        <v>124</v>
      </c>
      <c r="E2620">
        <v>50</v>
      </c>
      <c r="F2620" s="2">
        <v>311.08</v>
      </c>
      <c r="G2620" t="s">
        <v>31</v>
      </c>
      <c r="H2620" s="1">
        <v>45615</v>
      </c>
      <c r="I2620" s="1">
        <v>45630</v>
      </c>
      <c r="J2620" t="s">
        <v>38</v>
      </c>
      <c r="K2620" s="8">
        <f>Table2[[#This Row],[CurrentStock]]*Table2[[#This Row],[UnitPrice]]</f>
        <v>38573.919999999998</v>
      </c>
      <c r="L2620" t="str">
        <f>IF(Table2[[#This Row],[CurrentStock]]&lt;=Table2[[#This Row],[ReorderLevel]], "Reorder Needed", "Okay")</f>
        <v>Okay</v>
      </c>
      <c r="M2620" t="str">
        <f>IF(Table2[[#This Row],[CurrentStock]]-Table2[[#This Row],[ReorderLevel]]&lt;0,Table2[[#This Row],[CurrentStock]]-Table2[[#This Row],[ReorderLevel]],"")</f>
        <v/>
      </c>
      <c r="N2620" t="str">
        <f>IF(Table2[[#This Row],[Stock Gap]]&lt;0, "Understock","Okay")</f>
        <v>Okay</v>
      </c>
      <c r="O2620" s="13" t="str">
        <f>IF(Table2[[#This Row],[Stock Gap]]&lt;0, "Yes", "No")</f>
        <v>No</v>
      </c>
      <c r="P2620" s="13" t="str">
        <f>IF(Table2[[#This Row],[CurrentStock]]&lt;Table2[[#This Row],[ReorderLevel]],"Reorder", "Okay")</f>
        <v>Okay</v>
      </c>
      <c r="Q2620" s="13" t="str">
        <f>IF(Table2[[#This Row],[CurrentStock]]&gt;Table2[[#This Row],[ReorderLevel]]*3, "Overstock", "Okay")</f>
        <v>Okay</v>
      </c>
    </row>
    <row r="2621" spans="1:17" x14ac:dyDescent="0.35">
      <c r="A2621">
        <v>94860</v>
      </c>
      <c r="B2621" t="s">
        <v>15</v>
      </c>
      <c r="C2621" t="s">
        <v>29</v>
      </c>
      <c r="D2621">
        <v>435</v>
      </c>
      <c r="E2621">
        <v>50</v>
      </c>
      <c r="F2621" s="2">
        <v>372.17</v>
      </c>
      <c r="G2621" t="s">
        <v>32</v>
      </c>
      <c r="H2621" s="1">
        <v>45591</v>
      </c>
      <c r="I2621" s="1">
        <v>45628</v>
      </c>
      <c r="J2621" t="s">
        <v>36</v>
      </c>
      <c r="K2621" s="8">
        <f>Table2[[#This Row],[CurrentStock]]*Table2[[#This Row],[UnitPrice]]</f>
        <v>161893.95000000001</v>
      </c>
      <c r="L2621" t="str">
        <f>IF(Table2[[#This Row],[CurrentStock]]&lt;=Table2[[#This Row],[ReorderLevel]], "Reorder Needed", "Okay")</f>
        <v>Okay</v>
      </c>
      <c r="M2621" t="str">
        <f>IF(Table2[[#This Row],[CurrentStock]]-Table2[[#This Row],[ReorderLevel]]&lt;0,Table2[[#This Row],[CurrentStock]]-Table2[[#This Row],[ReorderLevel]],"")</f>
        <v/>
      </c>
      <c r="N2621" t="str">
        <f>IF(Table2[[#This Row],[Stock Gap]]&lt;0, "Understock","Okay")</f>
        <v>Okay</v>
      </c>
      <c r="O2621" s="13" t="str">
        <f>IF(Table2[[#This Row],[Stock Gap]]&lt;0, "Yes", "No")</f>
        <v>No</v>
      </c>
      <c r="P2621" s="13" t="str">
        <f>IF(Table2[[#This Row],[CurrentStock]]&lt;Table2[[#This Row],[ReorderLevel]],"Reorder", "Okay")</f>
        <v>Okay</v>
      </c>
      <c r="Q2621" s="13" t="str">
        <f>IF(Table2[[#This Row],[CurrentStock]]&gt;Table2[[#This Row],[ReorderLevel]]*3, "Overstock", "Okay")</f>
        <v>Overstock</v>
      </c>
    </row>
    <row r="2622" spans="1:17" x14ac:dyDescent="0.35">
      <c r="A2622">
        <v>85652</v>
      </c>
      <c r="B2622" t="s">
        <v>15</v>
      </c>
      <c r="C2622" t="s">
        <v>29</v>
      </c>
      <c r="D2622">
        <v>242</v>
      </c>
      <c r="E2622">
        <v>50</v>
      </c>
      <c r="F2622" s="2">
        <v>257.64999999999998</v>
      </c>
      <c r="G2622" t="s">
        <v>34</v>
      </c>
      <c r="H2622" s="1">
        <v>45346</v>
      </c>
      <c r="I2622" s="1">
        <v>45366</v>
      </c>
      <c r="J2622" t="s">
        <v>38</v>
      </c>
      <c r="K2622" s="8">
        <f>Table2[[#This Row],[CurrentStock]]*Table2[[#This Row],[UnitPrice]]</f>
        <v>62351.299999999996</v>
      </c>
      <c r="L2622" t="str">
        <f>IF(Table2[[#This Row],[CurrentStock]]&lt;=Table2[[#This Row],[ReorderLevel]], "Reorder Needed", "Okay")</f>
        <v>Okay</v>
      </c>
      <c r="M2622" t="str">
        <f>IF(Table2[[#This Row],[CurrentStock]]-Table2[[#This Row],[ReorderLevel]]&lt;0,Table2[[#This Row],[CurrentStock]]-Table2[[#This Row],[ReorderLevel]],"")</f>
        <v/>
      </c>
      <c r="N2622" t="str">
        <f>IF(Table2[[#This Row],[Stock Gap]]&lt;0, "Understock","Okay")</f>
        <v>Okay</v>
      </c>
      <c r="O2622" s="13" t="str">
        <f>IF(Table2[[#This Row],[Stock Gap]]&lt;0, "Yes", "No")</f>
        <v>No</v>
      </c>
      <c r="P2622" s="13" t="str">
        <f>IF(Table2[[#This Row],[CurrentStock]]&lt;Table2[[#This Row],[ReorderLevel]],"Reorder", "Okay")</f>
        <v>Okay</v>
      </c>
      <c r="Q2622" s="13" t="str">
        <f>IF(Table2[[#This Row],[CurrentStock]]&gt;Table2[[#This Row],[ReorderLevel]]*3, "Overstock", "Okay")</f>
        <v>Overstock</v>
      </c>
    </row>
    <row r="2623" spans="1:17" x14ac:dyDescent="0.35">
      <c r="A2623">
        <v>51534</v>
      </c>
      <c r="B2623" t="s">
        <v>9</v>
      </c>
      <c r="C2623" t="s">
        <v>26</v>
      </c>
      <c r="D2623">
        <v>276</v>
      </c>
      <c r="E2623">
        <v>100</v>
      </c>
      <c r="F2623" s="2">
        <v>476.12</v>
      </c>
      <c r="G2623" t="s">
        <v>35</v>
      </c>
      <c r="H2623" s="1">
        <v>45321</v>
      </c>
      <c r="I2623" s="1">
        <v>45348</v>
      </c>
      <c r="J2623" t="s">
        <v>37</v>
      </c>
      <c r="K2623" s="8">
        <f>Table2[[#This Row],[CurrentStock]]*Table2[[#This Row],[UnitPrice]]</f>
        <v>131409.12</v>
      </c>
      <c r="L2623" t="str">
        <f>IF(Table2[[#This Row],[CurrentStock]]&lt;=Table2[[#This Row],[ReorderLevel]], "Reorder Needed", "Okay")</f>
        <v>Okay</v>
      </c>
      <c r="M2623" t="str">
        <f>IF(Table2[[#This Row],[CurrentStock]]-Table2[[#This Row],[ReorderLevel]]&lt;0,Table2[[#This Row],[CurrentStock]]-Table2[[#This Row],[ReorderLevel]],"")</f>
        <v/>
      </c>
      <c r="N2623" t="str">
        <f>IF(Table2[[#This Row],[Stock Gap]]&lt;0, "Understock","Okay")</f>
        <v>Okay</v>
      </c>
      <c r="O2623" s="13" t="str">
        <f>IF(Table2[[#This Row],[Stock Gap]]&lt;0, "Yes", "No")</f>
        <v>No</v>
      </c>
      <c r="P2623" s="13" t="str">
        <f>IF(Table2[[#This Row],[CurrentStock]]&lt;Table2[[#This Row],[ReorderLevel]],"Reorder", "Okay")</f>
        <v>Okay</v>
      </c>
      <c r="Q2623" s="13" t="str">
        <f>IF(Table2[[#This Row],[CurrentStock]]&gt;Table2[[#This Row],[ReorderLevel]]*3, "Overstock", "Okay")</f>
        <v>Okay</v>
      </c>
    </row>
    <row r="2624" spans="1:17" x14ac:dyDescent="0.35">
      <c r="A2624">
        <v>17938</v>
      </c>
      <c r="B2624" t="s">
        <v>20</v>
      </c>
      <c r="C2624" t="s">
        <v>30</v>
      </c>
      <c r="D2624">
        <v>241</v>
      </c>
      <c r="E2624">
        <v>80</v>
      </c>
      <c r="F2624" s="2">
        <v>497.55</v>
      </c>
      <c r="G2624" t="s">
        <v>32</v>
      </c>
      <c r="H2624" s="1">
        <v>45330</v>
      </c>
      <c r="I2624" s="1">
        <v>45351</v>
      </c>
      <c r="J2624" t="s">
        <v>37</v>
      </c>
      <c r="K2624" s="8">
        <f>Table2[[#This Row],[CurrentStock]]*Table2[[#This Row],[UnitPrice]]</f>
        <v>119909.55</v>
      </c>
      <c r="L2624" t="str">
        <f>IF(Table2[[#This Row],[CurrentStock]]&lt;=Table2[[#This Row],[ReorderLevel]], "Reorder Needed", "Okay")</f>
        <v>Okay</v>
      </c>
      <c r="M2624" t="str">
        <f>IF(Table2[[#This Row],[CurrentStock]]-Table2[[#This Row],[ReorderLevel]]&lt;0,Table2[[#This Row],[CurrentStock]]-Table2[[#This Row],[ReorderLevel]],"")</f>
        <v/>
      </c>
      <c r="N2624" t="str">
        <f>IF(Table2[[#This Row],[Stock Gap]]&lt;0, "Understock","Okay")</f>
        <v>Okay</v>
      </c>
      <c r="O2624" s="13" t="str">
        <f>IF(Table2[[#This Row],[Stock Gap]]&lt;0, "Yes", "No")</f>
        <v>No</v>
      </c>
      <c r="P2624" s="13" t="str">
        <f>IF(Table2[[#This Row],[CurrentStock]]&lt;Table2[[#This Row],[ReorderLevel]],"Reorder", "Okay")</f>
        <v>Okay</v>
      </c>
      <c r="Q2624" s="13" t="str">
        <f>IF(Table2[[#This Row],[CurrentStock]]&gt;Table2[[#This Row],[ReorderLevel]]*3, "Overstock", "Okay")</f>
        <v>Overstock</v>
      </c>
    </row>
    <row r="2625" spans="1:17" x14ac:dyDescent="0.35">
      <c r="A2625">
        <v>84755</v>
      </c>
      <c r="B2625" t="s">
        <v>14</v>
      </c>
      <c r="C2625" t="s">
        <v>28</v>
      </c>
      <c r="D2625">
        <v>478</v>
      </c>
      <c r="E2625">
        <v>150</v>
      </c>
      <c r="F2625" s="2">
        <v>449.64</v>
      </c>
      <c r="G2625" t="s">
        <v>31</v>
      </c>
      <c r="H2625" s="1">
        <v>45363</v>
      </c>
      <c r="I2625" s="1">
        <v>45373</v>
      </c>
      <c r="J2625" t="s">
        <v>36</v>
      </c>
      <c r="K2625" s="8">
        <f>Table2[[#This Row],[CurrentStock]]*Table2[[#This Row],[UnitPrice]]</f>
        <v>214927.91999999998</v>
      </c>
      <c r="L2625" t="str">
        <f>IF(Table2[[#This Row],[CurrentStock]]&lt;=Table2[[#This Row],[ReorderLevel]], "Reorder Needed", "Okay")</f>
        <v>Okay</v>
      </c>
      <c r="M2625" t="str">
        <f>IF(Table2[[#This Row],[CurrentStock]]-Table2[[#This Row],[ReorderLevel]]&lt;0,Table2[[#This Row],[CurrentStock]]-Table2[[#This Row],[ReorderLevel]],"")</f>
        <v/>
      </c>
      <c r="N2625" t="str">
        <f>IF(Table2[[#This Row],[Stock Gap]]&lt;0, "Understock","Okay")</f>
        <v>Okay</v>
      </c>
      <c r="O2625" s="13" t="str">
        <f>IF(Table2[[#This Row],[Stock Gap]]&lt;0, "Yes", "No")</f>
        <v>No</v>
      </c>
      <c r="P2625" s="13" t="str">
        <f>IF(Table2[[#This Row],[CurrentStock]]&lt;Table2[[#This Row],[ReorderLevel]],"Reorder", "Okay")</f>
        <v>Okay</v>
      </c>
      <c r="Q2625" s="13" t="str">
        <f>IF(Table2[[#This Row],[CurrentStock]]&gt;Table2[[#This Row],[ReorderLevel]]*3, "Overstock", "Okay")</f>
        <v>Overstock</v>
      </c>
    </row>
    <row r="2626" spans="1:17" x14ac:dyDescent="0.35">
      <c r="A2626">
        <v>77719</v>
      </c>
      <c r="B2626" t="s">
        <v>20</v>
      </c>
      <c r="C2626" t="s">
        <v>30</v>
      </c>
      <c r="D2626">
        <v>291</v>
      </c>
      <c r="E2626">
        <v>40</v>
      </c>
      <c r="F2626" s="2">
        <v>185.26</v>
      </c>
      <c r="G2626" t="s">
        <v>31</v>
      </c>
      <c r="H2626" s="1">
        <v>45371</v>
      </c>
      <c r="I2626" s="1">
        <v>45377</v>
      </c>
      <c r="J2626" t="s">
        <v>36</v>
      </c>
      <c r="K2626" s="8">
        <f>Table2[[#This Row],[CurrentStock]]*Table2[[#This Row],[UnitPrice]]</f>
        <v>53910.659999999996</v>
      </c>
      <c r="L2626" t="str">
        <f>IF(Table2[[#This Row],[CurrentStock]]&lt;=Table2[[#This Row],[ReorderLevel]], "Reorder Needed", "Okay")</f>
        <v>Okay</v>
      </c>
      <c r="M2626" t="str">
        <f>IF(Table2[[#This Row],[CurrentStock]]-Table2[[#This Row],[ReorderLevel]]&lt;0,Table2[[#This Row],[CurrentStock]]-Table2[[#This Row],[ReorderLevel]],"")</f>
        <v/>
      </c>
      <c r="N2626" t="str">
        <f>IF(Table2[[#This Row],[Stock Gap]]&lt;0, "Understock","Okay")</f>
        <v>Okay</v>
      </c>
      <c r="O2626" s="13" t="str">
        <f>IF(Table2[[#This Row],[Stock Gap]]&lt;0, "Yes", "No")</f>
        <v>No</v>
      </c>
      <c r="P2626" s="13" t="str">
        <f>IF(Table2[[#This Row],[CurrentStock]]&lt;Table2[[#This Row],[ReorderLevel]],"Reorder", "Okay")</f>
        <v>Okay</v>
      </c>
      <c r="Q2626" s="13" t="str">
        <f>IF(Table2[[#This Row],[CurrentStock]]&gt;Table2[[#This Row],[ReorderLevel]]*3, "Overstock", "Okay")</f>
        <v>Overstock</v>
      </c>
    </row>
    <row r="2627" spans="1:17" x14ac:dyDescent="0.35">
      <c r="A2627">
        <v>77117</v>
      </c>
      <c r="B2627" t="s">
        <v>14</v>
      </c>
      <c r="C2627" t="s">
        <v>28</v>
      </c>
      <c r="D2627">
        <v>6</v>
      </c>
      <c r="E2627">
        <v>30</v>
      </c>
      <c r="F2627" s="2">
        <v>58.39</v>
      </c>
      <c r="G2627" t="s">
        <v>31</v>
      </c>
      <c r="H2627" s="1">
        <v>45528</v>
      </c>
      <c r="I2627" s="1">
        <v>45544</v>
      </c>
      <c r="J2627" t="s">
        <v>37</v>
      </c>
      <c r="K2627" s="8">
        <f>Table2[[#This Row],[CurrentStock]]*Table2[[#This Row],[UnitPrice]]</f>
        <v>350.34000000000003</v>
      </c>
      <c r="L2627" t="str">
        <f>IF(Table2[[#This Row],[CurrentStock]]&lt;=Table2[[#This Row],[ReorderLevel]], "Reorder Needed", "Okay")</f>
        <v>Reorder Needed</v>
      </c>
      <c r="M2627" s="7">
        <f>IF(Table2[[#This Row],[CurrentStock]]-Table2[[#This Row],[ReorderLevel]]&lt;0,Table2[[#This Row],[CurrentStock]]-Table2[[#This Row],[ReorderLevel]],"")</f>
        <v>-24</v>
      </c>
      <c r="N2627" t="str">
        <f>IF(Table2[[#This Row],[Stock Gap]]&lt;0, "Understock","Okay")</f>
        <v>Understock</v>
      </c>
      <c r="O2627" s="13" t="str">
        <f>IF(Table2[[#This Row],[Stock Gap]]&lt;0, "Yes", "No")</f>
        <v>Yes</v>
      </c>
      <c r="P2627" s="13" t="str">
        <f>IF(Table2[[#This Row],[CurrentStock]]&lt;Table2[[#This Row],[ReorderLevel]],"Reorder", "Okay")</f>
        <v>Reorder</v>
      </c>
      <c r="Q2627" s="13" t="str">
        <f>IF(Table2[[#This Row],[CurrentStock]]&gt;Table2[[#This Row],[ReorderLevel]]*3, "Overstock", "Okay")</f>
        <v>Okay</v>
      </c>
    </row>
    <row r="2628" spans="1:17" x14ac:dyDescent="0.35">
      <c r="A2628">
        <v>99179</v>
      </c>
      <c r="B2628" t="s">
        <v>20</v>
      </c>
      <c r="C2628" t="s">
        <v>30</v>
      </c>
      <c r="D2628">
        <v>113</v>
      </c>
      <c r="E2628">
        <v>100</v>
      </c>
      <c r="F2628" s="2">
        <v>462.3</v>
      </c>
      <c r="G2628" t="s">
        <v>34</v>
      </c>
      <c r="H2628" s="1">
        <v>45608</v>
      </c>
      <c r="I2628" s="1">
        <v>45616</v>
      </c>
      <c r="J2628" t="s">
        <v>36</v>
      </c>
      <c r="K2628" s="8">
        <f>Table2[[#This Row],[CurrentStock]]*Table2[[#This Row],[UnitPrice]]</f>
        <v>52239.9</v>
      </c>
      <c r="L2628" t="str">
        <f>IF(Table2[[#This Row],[CurrentStock]]&lt;=Table2[[#This Row],[ReorderLevel]], "Reorder Needed", "Okay")</f>
        <v>Okay</v>
      </c>
      <c r="M2628" t="str">
        <f>IF(Table2[[#This Row],[CurrentStock]]-Table2[[#This Row],[ReorderLevel]]&lt;0,Table2[[#This Row],[CurrentStock]]-Table2[[#This Row],[ReorderLevel]],"")</f>
        <v/>
      </c>
      <c r="N2628" t="str">
        <f>IF(Table2[[#This Row],[Stock Gap]]&lt;0, "Understock","Okay")</f>
        <v>Okay</v>
      </c>
      <c r="O2628" s="13" t="str">
        <f>IF(Table2[[#This Row],[Stock Gap]]&lt;0, "Yes", "No")</f>
        <v>No</v>
      </c>
      <c r="P2628" s="13" t="str">
        <f>IF(Table2[[#This Row],[CurrentStock]]&lt;Table2[[#This Row],[ReorderLevel]],"Reorder", "Okay")</f>
        <v>Okay</v>
      </c>
      <c r="Q2628" s="13" t="str">
        <f>IF(Table2[[#This Row],[CurrentStock]]&gt;Table2[[#This Row],[ReorderLevel]]*3, "Overstock", "Okay")</f>
        <v>Okay</v>
      </c>
    </row>
    <row r="2629" spans="1:17" x14ac:dyDescent="0.35">
      <c r="A2629">
        <v>52124</v>
      </c>
      <c r="B2629" t="s">
        <v>12</v>
      </c>
      <c r="C2629" t="s">
        <v>28</v>
      </c>
      <c r="D2629">
        <v>304</v>
      </c>
      <c r="E2629">
        <v>30</v>
      </c>
      <c r="F2629" s="2">
        <v>104.18</v>
      </c>
      <c r="G2629" t="s">
        <v>33</v>
      </c>
      <c r="H2629" s="1">
        <v>45307</v>
      </c>
      <c r="I2629" s="1">
        <v>45332</v>
      </c>
      <c r="J2629" t="s">
        <v>37</v>
      </c>
      <c r="K2629" s="8">
        <f>Table2[[#This Row],[CurrentStock]]*Table2[[#This Row],[UnitPrice]]</f>
        <v>31670.720000000001</v>
      </c>
      <c r="L2629" t="str">
        <f>IF(Table2[[#This Row],[CurrentStock]]&lt;=Table2[[#This Row],[ReorderLevel]], "Reorder Needed", "Okay")</f>
        <v>Okay</v>
      </c>
      <c r="M2629" t="str">
        <f>IF(Table2[[#This Row],[CurrentStock]]-Table2[[#This Row],[ReorderLevel]]&lt;0,Table2[[#This Row],[CurrentStock]]-Table2[[#This Row],[ReorderLevel]],"")</f>
        <v/>
      </c>
      <c r="N2629" t="str">
        <f>IF(Table2[[#This Row],[Stock Gap]]&lt;0, "Understock","Okay")</f>
        <v>Okay</v>
      </c>
      <c r="O2629" s="13" t="str">
        <f>IF(Table2[[#This Row],[Stock Gap]]&lt;0, "Yes", "No")</f>
        <v>No</v>
      </c>
      <c r="P2629" s="13" t="str">
        <f>IF(Table2[[#This Row],[CurrentStock]]&lt;Table2[[#This Row],[ReorderLevel]],"Reorder", "Okay")</f>
        <v>Okay</v>
      </c>
      <c r="Q2629" s="13" t="str">
        <f>IF(Table2[[#This Row],[CurrentStock]]&gt;Table2[[#This Row],[ReorderLevel]]*3, "Overstock", "Okay")</f>
        <v>Overstock</v>
      </c>
    </row>
    <row r="2630" spans="1:17" x14ac:dyDescent="0.35">
      <c r="A2630">
        <v>42059</v>
      </c>
      <c r="B2630" t="s">
        <v>10</v>
      </c>
      <c r="C2630" t="s">
        <v>26</v>
      </c>
      <c r="D2630">
        <v>75</v>
      </c>
      <c r="E2630">
        <v>50</v>
      </c>
      <c r="F2630" s="2">
        <v>386.72</v>
      </c>
      <c r="G2630" t="s">
        <v>33</v>
      </c>
      <c r="H2630" s="1">
        <v>45559</v>
      </c>
      <c r="I2630" s="1">
        <v>45588</v>
      </c>
      <c r="J2630" t="s">
        <v>37</v>
      </c>
      <c r="K2630" s="8">
        <f>Table2[[#This Row],[CurrentStock]]*Table2[[#This Row],[UnitPrice]]</f>
        <v>29004.000000000004</v>
      </c>
      <c r="L2630" t="str">
        <f>IF(Table2[[#This Row],[CurrentStock]]&lt;=Table2[[#This Row],[ReorderLevel]], "Reorder Needed", "Okay")</f>
        <v>Okay</v>
      </c>
      <c r="M2630" t="str">
        <f>IF(Table2[[#This Row],[CurrentStock]]-Table2[[#This Row],[ReorderLevel]]&lt;0,Table2[[#This Row],[CurrentStock]]-Table2[[#This Row],[ReorderLevel]],"")</f>
        <v/>
      </c>
      <c r="N2630" t="str">
        <f>IF(Table2[[#This Row],[Stock Gap]]&lt;0, "Understock","Okay")</f>
        <v>Okay</v>
      </c>
      <c r="O2630" s="13" t="str">
        <f>IF(Table2[[#This Row],[Stock Gap]]&lt;0, "Yes", "No")</f>
        <v>No</v>
      </c>
      <c r="P2630" s="13" t="str">
        <f>IF(Table2[[#This Row],[CurrentStock]]&lt;Table2[[#This Row],[ReorderLevel]],"Reorder", "Okay")</f>
        <v>Okay</v>
      </c>
      <c r="Q2630" s="13" t="str">
        <f>IF(Table2[[#This Row],[CurrentStock]]&gt;Table2[[#This Row],[ReorderLevel]]*3, "Overstock", "Okay")</f>
        <v>Okay</v>
      </c>
    </row>
    <row r="2631" spans="1:17" x14ac:dyDescent="0.35">
      <c r="A2631">
        <v>25834</v>
      </c>
      <c r="B2631" t="s">
        <v>13</v>
      </c>
      <c r="C2631" t="s">
        <v>26</v>
      </c>
      <c r="D2631">
        <v>33</v>
      </c>
      <c r="E2631">
        <v>80</v>
      </c>
      <c r="F2631" s="2">
        <v>19.309999999999999</v>
      </c>
      <c r="G2631" t="s">
        <v>35</v>
      </c>
      <c r="H2631" s="1">
        <v>45522</v>
      </c>
      <c r="I2631" s="1">
        <v>45554</v>
      </c>
      <c r="J2631" t="s">
        <v>37</v>
      </c>
      <c r="K2631" s="8">
        <f>Table2[[#This Row],[CurrentStock]]*Table2[[#This Row],[UnitPrice]]</f>
        <v>637.2299999999999</v>
      </c>
      <c r="L2631" t="str">
        <f>IF(Table2[[#This Row],[CurrentStock]]&lt;=Table2[[#This Row],[ReorderLevel]], "Reorder Needed", "Okay")</f>
        <v>Reorder Needed</v>
      </c>
      <c r="M2631" s="7">
        <f>IF(Table2[[#This Row],[CurrentStock]]-Table2[[#This Row],[ReorderLevel]]&lt;0,Table2[[#This Row],[CurrentStock]]-Table2[[#This Row],[ReorderLevel]],"")</f>
        <v>-47</v>
      </c>
      <c r="N2631" t="str">
        <f>IF(Table2[[#This Row],[Stock Gap]]&lt;0, "Understock","Okay")</f>
        <v>Understock</v>
      </c>
      <c r="O2631" s="13" t="str">
        <f>IF(Table2[[#This Row],[Stock Gap]]&lt;0, "Yes", "No")</f>
        <v>Yes</v>
      </c>
      <c r="P2631" s="13" t="str">
        <f>IF(Table2[[#This Row],[CurrentStock]]&lt;Table2[[#This Row],[ReorderLevel]],"Reorder", "Okay")</f>
        <v>Reorder</v>
      </c>
      <c r="Q2631" s="13" t="str">
        <f>IF(Table2[[#This Row],[CurrentStock]]&gt;Table2[[#This Row],[ReorderLevel]]*3, "Overstock", "Okay")</f>
        <v>Okay</v>
      </c>
    </row>
    <row r="2632" spans="1:17" x14ac:dyDescent="0.35">
      <c r="A2632">
        <v>81484</v>
      </c>
      <c r="B2632" t="s">
        <v>12</v>
      </c>
      <c r="C2632" t="s">
        <v>28</v>
      </c>
      <c r="D2632">
        <v>158</v>
      </c>
      <c r="E2632">
        <v>30</v>
      </c>
      <c r="F2632" s="2">
        <v>162.11000000000001</v>
      </c>
      <c r="G2632" t="s">
        <v>33</v>
      </c>
      <c r="H2632" s="1">
        <v>45381</v>
      </c>
      <c r="I2632" s="1">
        <v>45416</v>
      </c>
      <c r="J2632" t="s">
        <v>37</v>
      </c>
      <c r="K2632" s="8">
        <f>Table2[[#This Row],[CurrentStock]]*Table2[[#This Row],[UnitPrice]]</f>
        <v>25613.38</v>
      </c>
      <c r="L2632" t="str">
        <f>IF(Table2[[#This Row],[CurrentStock]]&lt;=Table2[[#This Row],[ReorderLevel]], "Reorder Needed", "Okay")</f>
        <v>Okay</v>
      </c>
      <c r="M2632" t="str">
        <f>IF(Table2[[#This Row],[CurrentStock]]-Table2[[#This Row],[ReorderLevel]]&lt;0,Table2[[#This Row],[CurrentStock]]-Table2[[#This Row],[ReorderLevel]],"")</f>
        <v/>
      </c>
      <c r="N2632" t="str">
        <f>IF(Table2[[#This Row],[Stock Gap]]&lt;0, "Understock","Okay")</f>
        <v>Okay</v>
      </c>
      <c r="O2632" s="13" t="str">
        <f>IF(Table2[[#This Row],[Stock Gap]]&lt;0, "Yes", "No")</f>
        <v>No</v>
      </c>
      <c r="P2632" s="13" t="str">
        <f>IF(Table2[[#This Row],[CurrentStock]]&lt;Table2[[#This Row],[ReorderLevel]],"Reorder", "Okay")</f>
        <v>Okay</v>
      </c>
      <c r="Q2632" s="13" t="str">
        <f>IF(Table2[[#This Row],[CurrentStock]]&gt;Table2[[#This Row],[ReorderLevel]]*3, "Overstock", "Okay")</f>
        <v>Overstock</v>
      </c>
    </row>
    <row r="2633" spans="1:17" x14ac:dyDescent="0.35">
      <c r="A2633">
        <v>92368</v>
      </c>
      <c r="B2633" t="s">
        <v>23</v>
      </c>
      <c r="C2633" t="s">
        <v>30</v>
      </c>
      <c r="D2633">
        <v>208</v>
      </c>
      <c r="E2633">
        <v>30</v>
      </c>
      <c r="F2633" s="2">
        <v>415.24</v>
      </c>
      <c r="G2633" t="s">
        <v>33</v>
      </c>
      <c r="H2633" s="1">
        <v>45648</v>
      </c>
      <c r="I2633" s="1">
        <v>45661</v>
      </c>
      <c r="J2633" t="s">
        <v>38</v>
      </c>
      <c r="K2633" s="8">
        <f>Table2[[#This Row],[CurrentStock]]*Table2[[#This Row],[UnitPrice]]</f>
        <v>86369.919999999998</v>
      </c>
      <c r="L2633" t="str">
        <f>IF(Table2[[#This Row],[CurrentStock]]&lt;=Table2[[#This Row],[ReorderLevel]], "Reorder Needed", "Okay")</f>
        <v>Okay</v>
      </c>
      <c r="M2633" t="str">
        <f>IF(Table2[[#This Row],[CurrentStock]]-Table2[[#This Row],[ReorderLevel]]&lt;0,Table2[[#This Row],[CurrentStock]]-Table2[[#This Row],[ReorderLevel]],"")</f>
        <v/>
      </c>
      <c r="N2633" t="str">
        <f>IF(Table2[[#This Row],[Stock Gap]]&lt;0, "Understock","Okay")</f>
        <v>Okay</v>
      </c>
      <c r="O2633" s="13" t="str">
        <f>IF(Table2[[#This Row],[Stock Gap]]&lt;0, "Yes", "No")</f>
        <v>No</v>
      </c>
      <c r="P2633" s="13" t="str">
        <f>IF(Table2[[#This Row],[CurrentStock]]&lt;Table2[[#This Row],[ReorderLevel]],"Reorder", "Okay")</f>
        <v>Okay</v>
      </c>
      <c r="Q2633" s="13" t="str">
        <f>IF(Table2[[#This Row],[CurrentStock]]&gt;Table2[[#This Row],[ReorderLevel]]*3, "Overstock", "Okay")</f>
        <v>Overstock</v>
      </c>
    </row>
    <row r="2634" spans="1:17" x14ac:dyDescent="0.35">
      <c r="A2634">
        <v>55788</v>
      </c>
      <c r="B2634" t="s">
        <v>14</v>
      </c>
      <c r="C2634" t="s">
        <v>28</v>
      </c>
      <c r="D2634">
        <v>361</v>
      </c>
      <c r="E2634">
        <v>40</v>
      </c>
      <c r="F2634" s="2">
        <v>123.95</v>
      </c>
      <c r="G2634" t="s">
        <v>32</v>
      </c>
      <c r="H2634" s="1">
        <v>45419</v>
      </c>
      <c r="I2634" s="1">
        <v>45431</v>
      </c>
      <c r="J2634" t="s">
        <v>36</v>
      </c>
      <c r="K2634" s="8">
        <f>Table2[[#This Row],[CurrentStock]]*Table2[[#This Row],[UnitPrice]]</f>
        <v>44745.950000000004</v>
      </c>
      <c r="L2634" t="str">
        <f>IF(Table2[[#This Row],[CurrentStock]]&lt;=Table2[[#This Row],[ReorderLevel]], "Reorder Needed", "Okay")</f>
        <v>Okay</v>
      </c>
      <c r="M2634" t="str">
        <f>IF(Table2[[#This Row],[CurrentStock]]-Table2[[#This Row],[ReorderLevel]]&lt;0,Table2[[#This Row],[CurrentStock]]-Table2[[#This Row],[ReorderLevel]],"")</f>
        <v/>
      </c>
      <c r="N2634" t="str">
        <f>IF(Table2[[#This Row],[Stock Gap]]&lt;0, "Understock","Okay")</f>
        <v>Okay</v>
      </c>
      <c r="O2634" s="13" t="str">
        <f>IF(Table2[[#This Row],[Stock Gap]]&lt;0, "Yes", "No")</f>
        <v>No</v>
      </c>
      <c r="P2634" s="13" t="str">
        <f>IF(Table2[[#This Row],[CurrentStock]]&lt;Table2[[#This Row],[ReorderLevel]],"Reorder", "Okay")</f>
        <v>Okay</v>
      </c>
      <c r="Q2634" s="13" t="str">
        <f>IF(Table2[[#This Row],[CurrentStock]]&gt;Table2[[#This Row],[ReorderLevel]]*3, "Overstock", "Okay")</f>
        <v>Overstock</v>
      </c>
    </row>
    <row r="2635" spans="1:17" x14ac:dyDescent="0.35">
      <c r="A2635">
        <v>73535</v>
      </c>
      <c r="B2635" t="s">
        <v>21</v>
      </c>
      <c r="C2635" t="s">
        <v>26</v>
      </c>
      <c r="D2635">
        <v>392</v>
      </c>
      <c r="E2635">
        <v>40</v>
      </c>
      <c r="F2635" s="2">
        <v>263.64999999999998</v>
      </c>
      <c r="G2635" t="s">
        <v>32</v>
      </c>
      <c r="H2635" s="1">
        <v>45520</v>
      </c>
      <c r="I2635" s="1">
        <v>45549</v>
      </c>
      <c r="J2635" t="s">
        <v>36</v>
      </c>
      <c r="K2635" s="8">
        <f>Table2[[#This Row],[CurrentStock]]*Table2[[#This Row],[UnitPrice]]</f>
        <v>103350.79999999999</v>
      </c>
      <c r="L2635" t="str">
        <f>IF(Table2[[#This Row],[CurrentStock]]&lt;=Table2[[#This Row],[ReorderLevel]], "Reorder Needed", "Okay")</f>
        <v>Okay</v>
      </c>
      <c r="M2635" t="str">
        <f>IF(Table2[[#This Row],[CurrentStock]]-Table2[[#This Row],[ReorderLevel]]&lt;0,Table2[[#This Row],[CurrentStock]]-Table2[[#This Row],[ReorderLevel]],"")</f>
        <v/>
      </c>
      <c r="N2635" t="str">
        <f>IF(Table2[[#This Row],[Stock Gap]]&lt;0, "Understock","Okay")</f>
        <v>Okay</v>
      </c>
      <c r="O2635" s="13" t="str">
        <f>IF(Table2[[#This Row],[Stock Gap]]&lt;0, "Yes", "No")</f>
        <v>No</v>
      </c>
      <c r="P2635" s="13" t="str">
        <f>IF(Table2[[#This Row],[CurrentStock]]&lt;Table2[[#This Row],[ReorderLevel]],"Reorder", "Okay")</f>
        <v>Okay</v>
      </c>
      <c r="Q2635" s="13" t="str">
        <f>IF(Table2[[#This Row],[CurrentStock]]&gt;Table2[[#This Row],[ReorderLevel]]*3, "Overstock", "Okay")</f>
        <v>Overstock</v>
      </c>
    </row>
    <row r="2636" spans="1:17" x14ac:dyDescent="0.35">
      <c r="A2636">
        <v>25475</v>
      </c>
      <c r="B2636" t="s">
        <v>21</v>
      </c>
      <c r="C2636" t="s">
        <v>26</v>
      </c>
      <c r="D2636">
        <v>160</v>
      </c>
      <c r="E2636">
        <v>150</v>
      </c>
      <c r="F2636" s="2">
        <v>281.70999999999998</v>
      </c>
      <c r="G2636" t="s">
        <v>32</v>
      </c>
      <c r="H2636" s="1">
        <v>45565</v>
      </c>
      <c r="I2636" s="1">
        <v>45602</v>
      </c>
      <c r="J2636" t="s">
        <v>37</v>
      </c>
      <c r="K2636" s="8">
        <f>Table2[[#This Row],[CurrentStock]]*Table2[[#This Row],[UnitPrice]]</f>
        <v>45073.599999999999</v>
      </c>
      <c r="L2636" t="str">
        <f>IF(Table2[[#This Row],[CurrentStock]]&lt;=Table2[[#This Row],[ReorderLevel]], "Reorder Needed", "Okay")</f>
        <v>Okay</v>
      </c>
      <c r="M2636" t="str">
        <f>IF(Table2[[#This Row],[CurrentStock]]-Table2[[#This Row],[ReorderLevel]]&lt;0,Table2[[#This Row],[CurrentStock]]-Table2[[#This Row],[ReorderLevel]],"")</f>
        <v/>
      </c>
      <c r="N2636" t="str">
        <f>IF(Table2[[#This Row],[Stock Gap]]&lt;0, "Understock","Okay")</f>
        <v>Okay</v>
      </c>
      <c r="O2636" s="13" t="str">
        <f>IF(Table2[[#This Row],[Stock Gap]]&lt;0, "Yes", "No")</f>
        <v>No</v>
      </c>
      <c r="P2636" s="13" t="str">
        <f>IF(Table2[[#This Row],[CurrentStock]]&lt;Table2[[#This Row],[ReorderLevel]],"Reorder", "Okay")</f>
        <v>Okay</v>
      </c>
      <c r="Q2636" s="13" t="str">
        <f>IF(Table2[[#This Row],[CurrentStock]]&gt;Table2[[#This Row],[ReorderLevel]]*3, "Overstock", "Okay")</f>
        <v>Okay</v>
      </c>
    </row>
    <row r="2637" spans="1:17" x14ac:dyDescent="0.35">
      <c r="A2637">
        <v>50185</v>
      </c>
      <c r="B2637" t="s">
        <v>15</v>
      </c>
      <c r="C2637" t="s">
        <v>29</v>
      </c>
      <c r="D2637">
        <v>163</v>
      </c>
      <c r="E2637">
        <v>150</v>
      </c>
      <c r="F2637" s="2">
        <v>357.4</v>
      </c>
      <c r="G2637" t="s">
        <v>34</v>
      </c>
      <c r="H2637" s="1">
        <v>45595</v>
      </c>
      <c r="I2637" s="1">
        <v>45629</v>
      </c>
      <c r="J2637" t="s">
        <v>37</v>
      </c>
      <c r="K2637" s="8">
        <f>Table2[[#This Row],[CurrentStock]]*Table2[[#This Row],[UnitPrice]]</f>
        <v>58256.2</v>
      </c>
      <c r="L2637" t="str">
        <f>IF(Table2[[#This Row],[CurrentStock]]&lt;=Table2[[#This Row],[ReorderLevel]], "Reorder Needed", "Okay")</f>
        <v>Okay</v>
      </c>
      <c r="M2637" t="str">
        <f>IF(Table2[[#This Row],[CurrentStock]]-Table2[[#This Row],[ReorderLevel]]&lt;0,Table2[[#This Row],[CurrentStock]]-Table2[[#This Row],[ReorderLevel]],"")</f>
        <v/>
      </c>
      <c r="N2637" t="str">
        <f>IF(Table2[[#This Row],[Stock Gap]]&lt;0, "Understock","Okay")</f>
        <v>Okay</v>
      </c>
      <c r="O2637" s="13" t="str">
        <f>IF(Table2[[#This Row],[Stock Gap]]&lt;0, "Yes", "No")</f>
        <v>No</v>
      </c>
      <c r="P2637" s="13" t="str">
        <f>IF(Table2[[#This Row],[CurrentStock]]&lt;Table2[[#This Row],[ReorderLevel]],"Reorder", "Okay")</f>
        <v>Okay</v>
      </c>
      <c r="Q2637" s="13" t="str">
        <f>IF(Table2[[#This Row],[CurrentStock]]&gt;Table2[[#This Row],[ReorderLevel]]*3, "Overstock", "Okay")</f>
        <v>Okay</v>
      </c>
    </row>
    <row r="2638" spans="1:17" x14ac:dyDescent="0.35">
      <c r="A2638">
        <v>73690</v>
      </c>
      <c r="B2638" t="s">
        <v>14</v>
      </c>
      <c r="C2638" t="s">
        <v>28</v>
      </c>
      <c r="D2638">
        <v>315</v>
      </c>
      <c r="E2638">
        <v>150</v>
      </c>
      <c r="F2638" s="2">
        <v>151.78</v>
      </c>
      <c r="G2638" t="s">
        <v>35</v>
      </c>
      <c r="H2638" s="1">
        <v>45306</v>
      </c>
      <c r="I2638" s="1">
        <v>45339</v>
      </c>
      <c r="J2638" t="s">
        <v>38</v>
      </c>
      <c r="K2638" s="8">
        <f>Table2[[#This Row],[CurrentStock]]*Table2[[#This Row],[UnitPrice]]</f>
        <v>47810.7</v>
      </c>
      <c r="L2638" t="str">
        <f>IF(Table2[[#This Row],[CurrentStock]]&lt;=Table2[[#This Row],[ReorderLevel]], "Reorder Needed", "Okay")</f>
        <v>Okay</v>
      </c>
      <c r="M2638" t="str">
        <f>IF(Table2[[#This Row],[CurrentStock]]-Table2[[#This Row],[ReorderLevel]]&lt;0,Table2[[#This Row],[CurrentStock]]-Table2[[#This Row],[ReorderLevel]],"")</f>
        <v/>
      </c>
      <c r="N2638" t="str">
        <f>IF(Table2[[#This Row],[Stock Gap]]&lt;0, "Understock","Okay")</f>
        <v>Okay</v>
      </c>
      <c r="O2638" s="13" t="str">
        <f>IF(Table2[[#This Row],[Stock Gap]]&lt;0, "Yes", "No")</f>
        <v>No</v>
      </c>
      <c r="P2638" s="13" t="str">
        <f>IF(Table2[[#This Row],[CurrentStock]]&lt;Table2[[#This Row],[ReorderLevel]],"Reorder", "Okay")</f>
        <v>Okay</v>
      </c>
      <c r="Q2638" s="13" t="str">
        <f>IF(Table2[[#This Row],[CurrentStock]]&gt;Table2[[#This Row],[ReorderLevel]]*3, "Overstock", "Okay")</f>
        <v>Okay</v>
      </c>
    </row>
    <row r="2639" spans="1:17" x14ac:dyDescent="0.35">
      <c r="A2639">
        <v>38210</v>
      </c>
      <c r="B2639" t="s">
        <v>11</v>
      </c>
      <c r="C2639" t="s">
        <v>27</v>
      </c>
      <c r="D2639">
        <v>10</v>
      </c>
      <c r="E2639">
        <v>20</v>
      </c>
      <c r="F2639" s="2">
        <v>113.91</v>
      </c>
      <c r="G2639" t="s">
        <v>34</v>
      </c>
      <c r="H2639" s="1">
        <v>45494</v>
      </c>
      <c r="I2639" s="1">
        <v>45506</v>
      </c>
      <c r="J2639" t="s">
        <v>37</v>
      </c>
      <c r="K2639" s="8">
        <f>Table2[[#This Row],[CurrentStock]]*Table2[[#This Row],[UnitPrice]]</f>
        <v>1139.0999999999999</v>
      </c>
      <c r="L2639" t="str">
        <f>IF(Table2[[#This Row],[CurrentStock]]&lt;=Table2[[#This Row],[ReorderLevel]], "Reorder Needed", "Okay")</f>
        <v>Reorder Needed</v>
      </c>
      <c r="M2639" s="7">
        <f>IF(Table2[[#This Row],[CurrentStock]]-Table2[[#This Row],[ReorderLevel]]&lt;0,Table2[[#This Row],[CurrentStock]]-Table2[[#This Row],[ReorderLevel]],"")</f>
        <v>-10</v>
      </c>
      <c r="N2639" t="str">
        <f>IF(Table2[[#This Row],[Stock Gap]]&lt;0, "Understock","Okay")</f>
        <v>Understock</v>
      </c>
      <c r="O2639" s="13" t="str">
        <f>IF(Table2[[#This Row],[Stock Gap]]&lt;0, "Yes", "No")</f>
        <v>Yes</v>
      </c>
      <c r="P2639" s="13" t="str">
        <f>IF(Table2[[#This Row],[CurrentStock]]&lt;Table2[[#This Row],[ReorderLevel]],"Reorder", "Okay")</f>
        <v>Reorder</v>
      </c>
      <c r="Q2639" s="13" t="str">
        <f>IF(Table2[[#This Row],[CurrentStock]]&gt;Table2[[#This Row],[ReorderLevel]]*3, "Overstock", "Okay")</f>
        <v>Okay</v>
      </c>
    </row>
    <row r="2640" spans="1:17" x14ac:dyDescent="0.35">
      <c r="A2640">
        <v>53861</v>
      </c>
      <c r="B2640" t="s">
        <v>17</v>
      </c>
      <c r="C2640" t="s">
        <v>27</v>
      </c>
      <c r="D2640">
        <v>465</v>
      </c>
      <c r="E2640">
        <v>20</v>
      </c>
      <c r="F2640" s="2">
        <v>369.95</v>
      </c>
      <c r="G2640" t="s">
        <v>35</v>
      </c>
      <c r="H2640" s="1">
        <v>45557</v>
      </c>
      <c r="I2640" s="1">
        <v>45575</v>
      </c>
      <c r="J2640" t="s">
        <v>37</v>
      </c>
      <c r="K2640" s="8">
        <f>Table2[[#This Row],[CurrentStock]]*Table2[[#This Row],[UnitPrice]]</f>
        <v>172026.75</v>
      </c>
      <c r="L2640" t="str">
        <f>IF(Table2[[#This Row],[CurrentStock]]&lt;=Table2[[#This Row],[ReorderLevel]], "Reorder Needed", "Okay")</f>
        <v>Okay</v>
      </c>
      <c r="M2640" t="str">
        <f>IF(Table2[[#This Row],[CurrentStock]]-Table2[[#This Row],[ReorderLevel]]&lt;0,Table2[[#This Row],[CurrentStock]]-Table2[[#This Row],[ReorderLevel]],"")</f>
        <v/>
      </c>
      <c r="N2640" t="str">
        <f>IF(Table2[[#This Row],[Stock Gap]]&lt;0, "Understock","Okay")</f>
        <v>Okay</v>
      </c>
      <c r="O2640" s="13" t="str">
        <f>IF(Table2[[#This Row],[Stock Gap]]&lt;0, "Yes", "No")</f>
        <v>No</v>
      </c>
      <c r="P2640" s="13" t="str">
        <f>IF(Table2[[#This Row],[CurrentStock]]&lt;Table2[[#This Row],[ReorderLevel]],"Reorder", "Okay")</f>
        <v>Okay</v>
      </c>
      <c r="Q2640" s="13" t="str">
        <f>IF(Table2[[#This Row],[CurrentStock]]&gt;Table2[[#This Row],[ReorderLevel]]*3, "Overstock", "Okay")</f>
        <v>Overstock</v>
      </c>
    </row>
    <row r="2641" spans="1:17" x14ac:dyDescent="0.35">
      <c r="A2641">
        <v>53114</v>
      </c>
      <c r="B2641" t="s">
        <v>15</v>
      </c>
      <c r="C2641" t="s">
        <v>29</v>
      </c>
      <c r="D2641">
        <v>419</v>
      </c>
      <c r="E2641">
        <v>50</v>
      </c>
      <c r="F2641" s="2">
        <v>225.07</v>
      </c>
      <c r="G2641" t="s">
        <v>31</v>
      </c>
      <c r="H2641" s="1">
        <v>45545</v>
      </c>
      <c r="I2641" s="1">
        <v>45557</v>
      </c>
      <c r="J2641" t="s">
        <v>38</v>
      </c>
      <c r="K2641" s="8">
        <f>Table2[[#This Row],[CurrentStock]]*Table2[[#This Row],[UnitPrice]]</f>
        <v>94304.33</v>
      </c>
      <c r="L2641" t="str">
        <f>IF(Table2[[#This Row],[CurrentStock]]&lt;=Table2[[#This Row],[ReorderLevel]], "Reorder Needed", "Okay")</f>
        <v>Okay</v>
      </c>
      <c r="M2641" t="str">
        <f>IF(Table2[[#This Row],[CurrentStock]]-Table2[[#This Row],[ReorderLevel]]&lt;0,Table2[[#This Row],[CurrentStock]]-Table2[[#This Row],[ReorderLevel]],"")</f>
        <v/>
      </c>
      <c r="N2641" t="str">
        <f>IF(Table2[[#This Row],[Stock Gap]]&lt;0, "Understock","Okay")</f>
        <v>Okay</v>
      </c>
      <c r="O2641" s="13" t="str">
        <f>IF(Table2[[#This Row],[Stock Gap]]&lt;0, "Yes", "No")</f>
        <v>No</v>
      </c>
      <c r="P2641" s="13" t="str">
        <f>IF(Table2[[#This Row],[CurrentStock]]&lt;Table2[[#This Row],[ReorderLevel]],"Reorder", "Okay")</f>
        <v>Okay</v>
      </c>
      <c r="Q2641" s="13" t="str">
        <f>IF(Table2[[#This Row],[CurrentStock]]&gt;Table2[[#This Row],[ReorderLevel]]*3, "Overstock", "Okay")</f>
        <v>Overstock</v>
      </c>
    </row>
    <row r="2642" spans="1:17" x14ac:dyDescent="0.35">
      <c r="A2642">
        <v>17386</v>
      </c>
      <c r="B2642" t="s">
        <v>11</v>
      </c>
      <c r="C2642" t="s">
        <v>27</v>
      </c>
      <c r="D2642">
        <v>429</v>
      </c>
      <c r="E2642">
        <v>30</v>
      </c>
      <c r="F2642" s="2">
        <v>306.16000000000003</v>
      </c>
      <c r="G2642" t="s">
        <v>32</v>
      </c>
      <c r="H2642" s="1">
        <v>45491</v>
      </c>
      <c r="I2642" s="1">
        <v>45517</v>
      </c>
      <c r="J2642" t="s">
        <v>36</v>
      </c>
      <c r="K2642" s="8">
        <f>Table2[[#This Row],[CurrentStock]]*Table2[[#This Row],[UnitPrice]]</f>
        <v>131342.64000000001</v>
      </c>
      <c r="L2642" t="str">
        <f>IF(Table2[[#This Row],[CurrentStock]]&lt;=Table2[[#This Row],[ReorderLevel]], "Reorder Needed", "Okay")</f>
        <v>Okay</v>
      </c>
      <c r="M2642" t="str">
        <f>IF(Table2[[#This Row],[CurrentStock]]-Table2[[#This Row],[ReorderLevel]]&lt;0,Table2[[#This Row],[CurrentStock]]-Table2[[#This Row],[ReorderLevel]],"")</f>
        <v/>
      </c>
      <c r="N2642" t="str">
        <f>IF(Table2[[#This Row],[Stock Gap]]&lt;0, "Understock","Okay")</f>
        <v>Okay</v>
      </c>
      <c r="O2642" s="13" t="str">
        <f>IF(Table2[[#This Row],[Stock Gap]]&lt;0, "Yes", "No")</f>
        <v>No</v>
      </c>
      <c r="P2642" s="13" t="str">
        <f>IF(Table2[[#This Row],[CurrentStock]]&lt;Table2[[#This Row],[ReorderLevel]],"Reorder", "Okay")</f>
        <v>Okay</v>
      </c>
      <c r="Q2642" s="13" t="str">
        <f>IF(Table2[[#This Row],[CurrentStock]]&gt;Table2[[#This Row],[ReorderLevel]]*3, "Overstock", "Okay")</f>
        <v>Overstock</v>
      </c>
    </row>
    <row r="2643" spans="1:17" x14ac:dyDescent="0.35">
      <c r="A2643">
        <v>57369</v>
      </c>
      <c r="B2643" t="s">
        <v>22</v>
      </c>
      <c r="C2643" t="s">
        <v>29</v>
      </c>
      <c r="D2643">
        <v>144</v>
      </c>
      <c r="E2643">
        <v>40</v>
      </c>
      <c r="F2643" s="2">
        <v>357.81</v>
      </c>
      <c r="G2643" t="s">
        <v>35</v>
      </c>
      <c r="H2643" s="1">
        <v>45630</v>
      </c>
      <c r="I2643" s="1">
        <v>45648</v>
      </c>
      <c r="J2643" t="s">
        <v>37</v>
      </c>
      <c r="K2643" s="8">
        <f>Table2[[#This Row],[CurrentStock]]*Table2[[#This Row],[UnitPrice]]</f>
        <v>51524.639999999999</v>
      </c>
      <c r="L2643" t="str">
        <f>IF(Table2[[#This Row],[CurrentStock]]&lt;=Table2[[#This Row],[ReorderLevel]], "Reorder Needed", "Okay")</f>
        <v>Okay</v>
      </c>
      <c r="M2643" t="str">
        <f>IF(Table2[[#This Row],[CurrentStock]]-Table2[[#This Row],[ReorderLevel]]&lt;0,Table2[[#This Row],[CurrentStock]]-Table2[[#This Row],[ReorderLevel]],"")</f>
        <v/>
      </c>
      <c r="N2643" t="str">
        <f>IF(Table2[[#This Row],[Stock Gap]]&lt;0, "Understock","Okay")</f>
        <v>Okay</v>
      </c>
      <c r="O2643" s="13" t="str">
        <f>IF(Table2[[#This Row],[Stock Gap]]&lt;0, "Yes", "No")</f>
        <v>No</v>
      </c>
      <c r="P2643" s="13" t="str">
        <f>IF(Table2[[#This Row],[CurrentStock]]&lt;Table2[[#This Row],[ReorderLevel]],"Reorder", "Okay")</f>
        <v>Okay</v>
      </c>
      <c r="Q2643" s="13" t="str">
        <f>IF(Table2[[#This Row],[CurrentStock]]&gt;Table2[[#This Row],[ReorderLevel]]*3, "Overstock", "Okay")</f>
        <v>Overstock</v>
      </c>
    </row>
    <row r="2644" spans="1:17" x14ac:dyDescent="0.35">
      <c r="A2644">
        <v>94961</v>
      </c>
      <c r="B2644" t="s">
        <v>15</v>
      </c>
      <c r="C2644" t="s">
        <v>29</v>
      </c>
      <c r="D2644">
        <v>393</v>
      </c>
      <c r="E2644">
        <v>150</v>
      </c>
      <c r="F2644" s="2">
        <v>73.25</v>
      </c>
      <c r="G2644" t="s">
        <v>33</v>
      </c>
      <c r="H2644" s="1">
        <v>45496</v>
      </c>
      <c r="I2644" s="1">
        <v>45530</v>
      </c>
      <c r="J2644" t="s">
        <v>37</v>
      </c>
      <c r="K2644" s="8">
        <f>Table2[[#This Row],[CurrentStock]]*Table2[[#This Row],[UnitPrice]]</f>
        <v>28787.25</v>
      </c>
      <c r="L2644" t="str">
        <f>IF(Table2[[#This Row],[CurrentStock]]&lt;=Table2[[#This Row],[ReorderLevel]], "Reorder Needed", "Okay")</f>
        <v>Okay</v>
      </c>
      <c r="M2644" t="str">
        <f>IF(Table2[[#This Row],[CurrentStock]]-Table2[[#This Row],[ReorderLevel]]&lt;0,Table2[[#This Row],[CurrentStock]]-Table2[[#This Row],[ReorderLevel]],"")</f>
        <v/>
      </c>
      <c r="N2644" t="str">
        <f>IF(Table2[[#This Row],[Stock Gap]]&lt;0, "Understock","Okay")</f>
        <v>Okay</v>
      </c>
      <c r="O2644" s="13" t="str">
        <f>IF(Table2[[#This Row],[Stock Gap]]&lt;0, "Yes", "No")</f>
        <v>No</v>
      </c>
      <c r="P2644" s="13" t="str">
        <f>IF(Table2[[#This Row],[CurrentStock]]&lt;Table2[[#This Row],[ReorderLevel]],"Reorder", "Okay")</f>
        <v>Okay</v>
      </c>
      <c r="Q2644" s="13" t="str">
        <f>IF(Table2[[#This Row],[CurrentStock]]&gt;Table2[[#This Row],[ReorderLevel]]*3, "Overstock", "Okay")</f>
        <v>Okay</v>
      </c>
    </row>
    <row r="2645" spans="1:17" x14ac:dyDescent="0.35">
      <c r="A2645">
        <v>53162</v>
      </c>
      <c r="B2645" t="s">
        <v>21</v>
      </c>
      <c r="C2645" t="s">
        <v>26</v>
      </c>
      <c r="D2645">
        <v>372</v>
      </c>
      <c r="E2645">
        <v>50</v>
      </c>
      <c r="F2645" s="2">
        <v>428.23</v>
      </c>
      <c r="G2645" t="s">
        <v>35</v>
      </c>
      <c r="H2645" s="1">
        <v>45553</v>
      </c>
      <c r="I2645" s="1">
        <v>45585</v>
      </c>
      <c r="J2645" t="s">
        <v>37</v>
      </c>
      <c r="K2645" s="8">
        <f>Table2[[#This Row],[CurrentStock]]*Table2[[#This Row],[UnitPrice]]</f>
        <v>159301.56</v>
      </c>
      <c r="L2645" t="str">
        <f>IF(Table2[[#This Row],[CurrentStock]]&lt;=Table2[[#This Row],[ReorderLevel]], "Reorder Needed", "Okay")</f>
        <v>Okay</v>
      </c>
      <c r="M2645" t="str">
        <f>IF(Table2[[#This Row],[CurrentStock]]-Table2[[#This Row],[ReorderLevel]]&lt;0,Table2[[#This Row],[CurrentStock]]-Table2[[#This Row],[ReorderLevel]],"")</f>
        <v/>
      </c>
      <c r="N2645" t="str">
        <f>IF(Table2[[#This Row],[Stock Gap]]&lt;0, "Understock","Okay")</f>
        <v>Okay</v>
      </c>
      <c r="O2645" s="13" t="str">
        <f>IF(Table2[[#This Row],[Stock Gap]]&lt;0, "Yes", "No")</f>
        <v>No</v>
      </c>
      <c r="P2645" s="13" t="str">
        <f>IF(Table2[[#This Row],[CurrentStock]]&lt;Table2[[#This Row],[ReorderLevel]],"Reorder", "Okay")</f>
        <v>Okay</v>
      </c>
      <c r="Q2645" s="13" t="str">
        <f>IF(Table2[[#This Row],[CurrentStock]]&gt;Table2[[#This Row],[ReorderLevel]]*3, "Overstock", "Okay")</f>
        <v>Overstock</v>
      </c>
    </row>
    <row r="2646" spans="1:17" x14ac:dyDescent="0.35">
      <c r="A2646">
        <v>94194</v>
      </c>
      <c r="B2646" t="s">
        <v>12</v>
      </c>
      <c r="C2646" t="s">
        <v>28</v>
      </c>
      <c r="D2646">
        <v>43</v>
      </c>
      <c r="E2646">
        <v>150</v>
      </c>
      <c r="F2646" s="2">
        <v>360.63</v>
      </c>
      <c r="G2646" t="s">
        <v>33</v>
      </c>
      <c r="H2646" s="1">
        <v>45576</v>
      </c>
      <c r="I2646" s="1">
        <v>45586</v>
      </c>
      <c r="J2646" t="s">
        <v>36</v>
      </c>
      <c r="K2646" s="8">
        <f>Table2[[#This Row],[CurrentStock]]*Table2[[#This Row],[UnitPrice]]</f>
        <v>15507.09</v>
      </c>
      <c r="L2646" t="str">
        <f>IF(Table2[[#This Row],[CurrentStock]]&lt;=Table2[[#This Row],[ReorderLevel]], "Reorder Needed", "Okay")</f>
        <v>Reorder Needed</v>
      </c>
      <c r="M2646" s="7">
        <f>IF(Table2[[#This Row],[CurrentStock]]-Table2[[#This Row],[ReorderLevel]]&lt;0,Table2[[#This Row],[CurrentStock]]-Table2[[#This Row],[ReorderLevel]],"")</f>
        <v>-107</v>
      </c>
      <c r="N2646" t="str">
        <f>IF(Table2[[#This Row],[Stock Gap]]&lt;0, "Understock","Okay")</f>
        <v>Understock</v>
      </c>
      <c r="O2646" s="13" t="str">
        <f>IF(Table2[[#This Row],[Stock Gap]]&lt;0, "Yes", "No")</f>
        <v>Yes</v>
      </c>
      <c r="P2646" s="13" t="str">
        <f>IF(Table2[[#This Row],[CurrentStock]]&lt;Table2[[#This Row],[ReorderLevel]],"Reorder", "Okay")</f>
        <v>Reorder</v>
      </c>
      <c r="Q2646" s="13" t="str">
        <f>IF(Table2[[#This Row],[CurrentStock]]&gt;Table2[[#This Row],[ReorderLevel]]*3, "Overstock", "Okay")</f>
        <v>Okay</v>
      </c>
    </row>
    <row r="2647" spans="1:17" x14ac:dyDescent="0.35">
      <c r="A2647">
        <v>65881</v>
      </c>
      <c r="B2647" t="s">
        <v>11</v>
      </c>
      <c r="C2647" t="s">
        <v>27</v>
      </c>
      <c r="D2647">
        <v>335</v>
      </c>
      <c r="E2647">
        <v>20</v>
      </c>
      <c r="F2647" s="2">
        <v>83.59</v>
      </c>
      <c r="G2647" t="s">
        <v>35</v>
      </c>
      <c r="H2647" s="1">
        <v>45334</v>
      </c>
      <c r="I2647" s="1">
        <v>45363</v>
      </c>
      <c r="J2647" t="s">
        <v>38</v>
      </c>
      <c r="K2647" s="8">
        <f>Table2[[#This Row],[CurrentStock]]*Table2[[#This Row],[UnitPrice]]</f>
        <v>28002.65</v>
      </c>
      <c r="L2647" t="str">
        <f>IF(Table2[[#This Row],[CurrentStock]]&lt;=Table2[[#This Row],[ReorderLevel]], "Reorder Needed", "Okay")</f>
        <v>Okay</v>
      </c>
      <c r="M2647" t="str">
        <f>IF(Table2[[#This Row],[CurrentStock]]-Table2[[#This Row],[ReorderLevel]]&lt;0,Table2[[#This Row],[CurrentStock]]-Table2[[#This Row],[ReorderLevel]],"")</f>
        <v/>
      </c>
      <c r="N2647" t="str">
        <f>IF(Table2[[#This Row],[Stock Gap]]&lt;0, "Understock","Okay")</f>
        <v>Okay</v>
      </c>
      <c r="O2647" s="13" t="str">
        <f>IF(Table2[[#This Row],[Stock Gap]]&lt;0, "Yes", "No")</f>
        <v>No</v>
      </c>
      <c r="P2647" s="13" t="str">
        <f>IF(Table2[[#This Row],[CurrentStock]]&lt;Table2[[#This Row],[ReorderLevel]],"Reorder", "Okay")</f>
        <v>Okay</v>
      </c>
      <c r="Q2647" s="13" t="str">
        <f>IF(Table2[[#This Row],[CurrentStock]]&gt;Table2[[#This Row],[ReorderLevel]]*3, "Overstock", "Okay")</f>
        <v>Overstock</v>
      </c>
    </row>
    <row r="2648" spans="1:17" x14ac:dyDescent="0.35">
      <c r="A2648">
        <v>28206</v>
      </c>
      <c r="B2648" t="s">
        <v>17</v>
      </c>
      <c r="C2648" t="s">
        <v>27</v>
      </c>
      <c r="D2648">
        <v>33</v>
      </c>
      <c r="E2648">
        <v>40</v>
      </c>
      <c r="F2648" s="2">
        <v>102.31</v>
      </c>
      <c r="G2648" t="s">
        <v>32</v>
      </c>
      <c r="H2648" s="1">
        <v>45645</v>
      </c>
      <c r="I2648" s="1">
        <v>45661</v>
      </c>
      <c r="J2648" t="s">
        <v>36</v>
      </c>
      <c r="K2648" s="8">
        <f>Table2[[#This Row],[CurrentStock]]*Table2[[#This Row],[UnitPrice]]</f>
        <v>3376.23</v>
      </c>
      <c r="L2648" t="str">
        <f>IF(Table2[[#This Row],[CurrentStock]]&lt;=Table2[[#This Row],[ReorderLevel]], "Reorder Needed", "Okay")</f>
        <v>Reorder Needed</v>
      </c>
      <c r="M2648" s="7">
        <f>IF(Table2[[#This Row],[CurrentStock]]-Table2[[#This Row],[ReorderLevel]]&lt;0,Table2[[#This Row],[CurrentStock]]-Table2[[#This Row],[ReorderLevel]],"")</f>
        <v>-7</v>
      </c>
      <c r="N2648" t="str">
        <f>IF(Table2[[#This Row],[Stock Gap]]&lt;0, "Understock","Okay")</f>
        <v>Understock</v>
      </c>
      <c r="O2648" s="13" t="str">
        <f>IF(Table2[[#This Row],[Stock Gap]]&lt;0, "Yes", "No")</f>
        <v>Yes</v>
      </c>
      <c r="P2648" s="13" t="str">
        <f>IF(Table2[[#This Row],[CurrentStock]]&lt;Table2[[#This Row],[ReorderLevel]],"Reorder", "Okay")</f>
        <v>Reorder</v>
      </c>
      <c r="Q2648" s="13" t="str">
        <f>IF(Table2[[#This Row],[CurrentStock]]&gt;Table2[[#This Row],[ReorderLevel]]*3, "Overstock", "Okay")</f>
        <v>Okay</v>
      </c>
    </row>
    <row r="2649" spans="1:17" x14ac:dyDescent="0.35">
      <c r="A2649">
        <v>66938</v>
      </c>
      <c r="B2649" t="s">
        <v>20</v>
      </c>
      <c r="C2649" t="s">
        <v>30</v>
      </c>
      <c r="D2649">
        <v>291</v>
      </c>
      <c r="E2649">
        <v>100</v>
      </c>
      <c r="F2649" s="2">
        <v>21.06</v>
      </c>
      <c r="G2649" t="s">
        <v>33</v>
      </c>
      <c r="H2649" s="1">
        <v>45442</v>
      </c>
      <c r="I2649" s="1">
        <v>45462</v>
      </c>
      <c r="J2649" t="s">
        <v>37</v>
      </c>
      <c r="K2649" s="8">
        <f>Table2[[#This Row],[CurrentStock]]*Table2[[#This Row],[UnitPrice]]</f>
        <v>6128.46</v>
      </c>
      <c r="L2649" t="str">
        <f>IF(Table2[[#This Row],[CurrentStock]]&lt;=Table2[[#This Row],[ReorderLevel]], "Reorder Needed", "Okay")</f>
        <v>Okay</v>
      </c>
      <c r="M2649" t="str">
        <f>IF(Table2[[#This Row],[CurrentStock]]-Table2[[#This Row],[ReorderLevel]]&lt;0,Table2[[#This Row],[CurrentStock]]-Table2[[#This Row],[ReorderLevel]],"")</f>
        <v/>
      </c>
      <c r="N2649" t="str">
        <f>IF(Table2[[#This Row],[Stock Gap]]&lt;0, "Understock","Okay")</f>
        <v>Okay</v>
      </c>
      <c r="O2649" s="13" t="str">
        <f>IF(Table2[[#This Row],[Stock Gap]]&lt;0, "Yes", "No")</f>
        <v>No</v>
      </c>
      <c r="P2649" s="13" t="str">
        <f>IF(Table2[[#This Row],[CurrentStock]]&lt;Table2[[#This Row],[ReorderLevel]],"Reorder", "Okay")</f>
        <v>Okay</v>
      </c>
      <c r="Q2649" s="13" t="str">
        <f>IF(Table2[[#This Row],[CurrentStock]]&gt;Table2[[#This Row],[ReorderLevel]]*3, "Overstock", "Okay")</f>
        <v>Okay</v>
      </c>
    </row>
    <row r="2650" spans="1:17" x14ac:dyDescent="0.35">
      <c r="A2650">
        <v>25993</v>
      </c>
      <c r="B2650" t="s">
        <v>11</v>
      </c>
      <c r="C2650" t="s">
        <v>27</v>
      </c>
      <c r="D2650">
        <v>343</v>
      </c>
      <c r="E2650">
        <v>30</v>
      </c>
      <c r="F2650" s="2">
        <v>17.829999999999998</v>
      </c>
      <c r="G2650" t="s">
        <v>33</v>
      </c>
      <c r="H2650" s="1">
        <v>45641</v>
      </c>
      <c r="I2650" s="1">
        <v>45659</v>
      </c>
      <c r="J2650" t="s">
        <v>37</v>
      </c>
      <c r="K2650" s="8">
        <f>Table2[[#This Row],[CurrentStock]]*Table2[[#This Row],[UnitPrice]]</f>
        <v>6115.69</v>
      </c>
      <c r="L2650" t="str">
        <f>IF(Table2[[#This Row],[CurrentStock]]&lt;=Table2[[#This Row],[ReorderLevel]], "Reorder Needed", "Okay")</f>
        <v>Okay</v>
      </c>
      <c r="M2650" t="str">
        <f>IF(Table2[[#This Row],[CurrentStock]]-Table2[[#This Row],[ReorderLevel]]&lt;0,Table2[[#This Row],[CurrentStock]]-Table2[[#This Row],[ReorderLevel]],"")</f>
        <v/>
      </c>
      <c r="N2650" t="str">
        <f>IF(Table2[[#This Row],[Stock Gap]]&lt;0, "Understock","Okay")</f>
        <v>Okay</v>
      </c>
      <c r="O2650" s="13" t="str">
        <f>IF(Table2[[#This Row],[Stock Gap]]&lt;0, "Yes", "No")</f>
        <v>No</v>
      </c>
      <c r="P2650" s="13" t="str">
        <f>IF(Table2[[#This Row],[CurrentStock]]&lt;Table2[[#This Row],[ReorderLevel]],"Reorder", "Okay")</f>
        <v>Okay</v>
      </c>
      <c r="Q2650" s="13" t="str">
        <f>IF(Table2[[#This Row],[CurrentStock]]&gt;Table2[[#This Row],[ReorderLevel]]*3, "Overstock", "Okay")</f>
        <v>Overstock</v>
      </c>
    </row>
    <row r="2651" spans="1:17" x14ac:dyDescent="0.35">
      <c r="A2651">
        <v>86553</v>
      </c>
      <c r="B2651" t="s">
        <v>9</v>
      </c>
      <c r="C2651" t="s">
        <v>26</v>
      </c>
      <c r="D2651">
        <v>476</v>
      </c>
      <c r="E2651">
        <v>150</v>
      </c>
      <c r="F2651" s="2">
        <v>315.06</v>
      </c>
      <c r="G2651" t="s">
        <v>35</v>
      </c>
      <c r="H2651" s="1">
        <v>45379</v>
      </c>
      <c r="I2651" s="1">
        <v>45413</v>
      </c>
      <c r="J2651" t="s">
        <v>38</v>
      </c>
      <c r="K2651" s="8">
        <f>Table2[[#This Row],[CurrentStock]]*Table2[[#This Row],[UnitPrice]]</f>
        <v>149968.56</v>
      </c>
      <c r="L2651" t="str">
        <f>IF(Table2[[#This Row],[CurrentStock]]&lt;=Table2[[#This Row],[ReorderLevel]], "Reorder Needed", "Okay")</f>
        <v>Okay</v>
      </c>
      <c r="M2651" t="str">
        <f>IF(Table2[[#This Row],[CurrentStock]]-Table2[[#This Row],[ReorderLevel]]&lt;0,Table2[[#This Row],[CurrentStock]]-Table2[[#This Row],[ReorderLevel]],"")</f>
        <v/>
      </c>
      <c r="N2651" t="str">
        <f>IF(Table2[[#This Row],[Stock Gap]]&lt;0, "Understock","Okay")</f>
        <v>Okay</v>
      </c>
      <c r="O2651" s="13" t="str">
        <f>IF(Table2[[#This Row],[Stock Gap]]&lt;0, "Yes", "No")</f>
        <v>No</v>
      </c>
      <c r="P2651" s="13" t="str">
        <f>IF(Table2[[#This Row],[CurrentStock]]&lt;Table2[[#This Row],[ReorderLevel]],"Reorder", "Okay")</f>
        <v>Okay</v>
      </c>
      <c r="Q2651" s="13" t="str">
        <f>IF(Table2[[#This Row],[CurrentStock]]&gt;Table2[[#This Row],[ReorderLevel]]*3, "Overstock", "Okay")</f>
        <v>Overstock</v>
      </c>
    </row>
    <row r="2652" spans="1:17" x14ac:dyDescent="0.35">
      <c r="A2652">
        <v>29784</v>
      </c>
      <c r="B2652" t="s">
        <v>24</v>
      </c>
      <c r="C2652" t="s">
        <v>30</v>
      </c>
      <c r="D2652">
        <v>398</v>
      </c>
      <c r="E2652">
        <v>20</v>
      </c>
      <c r="F2652" s="2">
        <v>159.41</v>
      </c>
      <c r="G2652" t="s">
        <v>33</v>
      </c>
      <c r="H2652" s="1">
        <v>45422</v>
      </c>
      <c r="I2652" s="1">
        <v>45456</v>
      </c>
      <c r="J2652" t="s">
        <v>37</v>
      </c>
      <c r="K2652" s="8">
        <f>Table2[[#This Row],[CurrentStock]]*Table2[[#This Row],[UnitPrice]]</f>
        <v>63445.18</v>
      </c>
      <c r="L2652" t="str">
        <f>IF(Table2[[#This Row],[CurrentStock]]&lt;=Table2[[#This Row],[ReorderLevel]], "Reorder Needed", "Okay")</f>
        <v>Okay</v>
      </c>
      <c r="M2652" t="str">
        <f>IF(Table2[[#This Row],[CurrentStock]]-Table2[[#This Row],[ReorderLevel]]&lt;0,Table2[[#This Row],[CurrentStock]]-Table2[[#This Row],[ReorderLevel]],"")</f>
        <v/>
      </c>
      <c r="N2652" t="str">
        <f>IF(Table2[[#This Row],[Stock Gap]]&lt;0, "Understock","Okay")</f>
        <v>Okay</v>
      </c>
      <c r="O2652" s="13" t="str">
        <f>IF(Table2[[#This Row],[Stock Gap]]&lt;0, "Yes", "No")</f>
        <v>No</v>
      </c>
      <c r="P2652" s="13" t="str">
        <f>IF(Table2[[#This Row],[CurrentStock]]&lt;Table2[[#This Row],[ReorderLevel]],"Reorder", "Okay")</f>
        <v>Okay</v>
      </c>
      <c r="Q2652" s="13" t="str">
        <f>IF(Table2[[#This Row],[CurrentStock]]&gt;Table2[[#This Row],[ReorderLevel]]*3, "Overstock", "Okay")</f>
        <v>Overstock</v>
      </c>
    </row>
    <row r="2653" spans="1:17" x14ac:dyDescent="0.35">
      <c r="A2653">
        <v>69317</v>
      </c>
      <c r="B2653" t="s">
        <v>17</v>
      </c>
      <c r="C2653" t="s">
        <v>27</v>
      </c>
      <c r="D2653">
        <v>366</v>
      </c>
      <c r="E2653">
        <v>150</v>
      </c>
      <c r="F2653" s="2">
        <v>457.95</v>
      </c>
      <c r="G2653" t="s">
        <v>33</v>
      </c>
      <c r="H2653" s="1">
        <v>45311</v>
      </c>
      <c r="I2653" s="1">
        <v>45332</v>
      </c>
      <c r="J2653" t="s">
        <v>38</v>
      </c>
      <c r="K2653" s="8">
        <f>Table2[[#This Row],[CurrentStock]]*Table2[[#This Row],[UnitPrice]]</f>
        <v>167609.69999999998</v>
      </c>
      <c r="L2653" t="str">
        <f>IF(Table2[[#This Row],[CurrentStock]]&lt;=Table2[[#This Row],[ReorderLevel]], "Reorder Needed", "Okay")</f>
        <v>Okay</v>
      </c>
      <c r="M2653" t="str">
        <f>IF(Table2[[#This Row],[CurrentStock]]-Table2[[#This Row],[ReorderLevel]]&lt;0,Table2[[#This Row],[CurrentStock]]-Table2[[#This Row],[ReorderLevel]],"")</f>
        <v/>
      </c>
      <c r="N2653" t="str">
        <f>IF(Table2[[#This Row],[Stock Gap]]&lt;0, "Understock","Okay")</f>
        <v>Okay</v>
      </c>
      <c r="O2653" s="13" t="str">
        <f>IF(Table2[[#This Row],[Stock Gap]]&lt;0, "Yes", "No")</f>
        <v>No</v>
      </c>
      <c r="P2653" s="13" t="str">
        <f>IF(Table2[[#This Row],[CurrentStock]]&lt;Table2[[#This Row],[ReorderLevel]],"Reorder", "Okay")</f>
        <v>Okay</v>
      </c>
      <c r="Q2653" s="13" t="str">
        <f>IF(Table2[[#This Row],[CurrentStock]]&gt;Table2[[#This Row],[ReorderLevel]]*3, "Overstock", "Okay")</f>
        <v>Okay</v>
      </c>
    </row>
    <row r="2654" spans="1:17" x14ac:dyDescent="0.35">
      <c r="A2654">
        <v>18338</v>
      </c>
      <c r="B2654" t="s">
        <v>19</v>
      </c>
      <c r="C2654" t="s">
        <v>28</v>
      </c>
      <c r="D2654">
        <v>367</v>
      </c>
      <c r="E2654">
        <v>40</v>
      </c>
      <c r="F2654" s="2">
        <v>249.78</v>
      </c>
      <c r="G2654" t="s">
        <v>35</v>
      </c>
      <c r="H2654" s="1">
        <v>45639</v>
      </c>
      <c r="I2654" s="1">
        <v>45665</v>
      </c>
      <c r="J2654" t="s">
        <v>38</v>
      </c>
      <c r="K2654" s="8">
        <f>Table2[[#This Row],[CurrentStock]]*Table2[[#This Row],[UnitPrice]]</f>
        <v>91669.26</v>
      </c>
      <c r="L2654" t="str">
        <f>IF(Table2[[#This Row],[CurrentStock]]&lt;=Table2[[#This Row],[ReorderLevel]], "Reorder Needed", "Okay")</f>
        <v>Okay</v>
      </c>
      <c r="M2654" t="str">
        <f>IF(Table2[[#This Row],[CurrentStock]]-Table2[[#This Row],[ReorderLevel]]&lt;0,Table2[[#This Row],[CurrentStock]]-Table2[[#This Row],[ReorderLevel]],"")</f>
        <v/>
      </c>
      <c r="N2654" t="str">
        <f>IF(Table2[[#This Row],[Stock Gap]]&lt;0, "Understock","Okay")</f>
        <v>Okay</v>
      </c>
      <c r="O2654" s="13" t="str">
        <f>IF(Table2[[#This Row],[Stock Gap]]&lt;0, "Yes", "No")</f>
        <v>No</v>
      </c>
      <c r="P2654" s="13" t="str">
        <f>IF(Table2[[#This Row],[CurrentStock]]&lt;Table2[[#This Row],[ReorderLevel]],"Reorder", "Okay")</f>
        <v>Okay</v>
      </c>
      <c r="Q2654" s="13" t="str">
        <f>IF(Table2[[#This Row],[CurrentStock]]&gt;Table2[[#This Row],[ReorderLevel]]*3, "Overstock", "Okay")</f>
        <v>Overstock</v>
      </c>
    </row>
    <row r="2655" spans="1:17" x14ac:dyDescent="0.35">
      <c r="A2655">
        <v>17139</v>
      </c>
      <c r="B2655" t="s">
        <v>15</v>
      </c>
      <c r="C2655" t="s">
        <v>29</v>
      </c>
      <c r="D2655">
        <v>52</v>
      </c>
      <c r="E2655">
        <v>20</v>
      </c>
      <c r="F2655" s="2">
        <v>27.33</v>
      </c>
      <c r="G2655" t="s">
        <v>31</v>
      </c>
      <c r="H2655" s="1">
        <v>45578</v>
      </c>
      <c r="I2655" s="1">
        <v>45593</v>
      </c>
      <c r="J2655" t="s">
        <v>37</v>
      </c>
      <c r="K2655" s="8">
        <f>Table2[[#This Row],[CurrentStock]]*Table2[[#This Row],[UnitPrice]]</f>
        <v>1421.1599999999999</v>
      </c>
      <c r="L2655" t="str">
        <f>IF(Table2[[#This Row],[CurrentStock]]&lt;=Table2[[#This Row],[ReorderLevel]], "Reorder Needed", "Okay")</f>
        <v>Okay</v>
      </c>
      <c r="M2655" t="str">
        <f>IF(Table2[[#This Row],[CurrentStock]]-Table2[[#This Row],[ReorderLevel]]&lt;0,Table2[[#This Row],[CurrentStock]]-Table2[[#This Row],[ReorderLevel]],"")</f>
        <v/>
      </c>
      <c r="N2655" t="str">
        <f>IF(Table2[[#This Row],[Stock Gap]]&lt;0, "Understock","Okay")</f>
        <v>Okay</v>
      </c>
      <c r="O2655" s="13" t="str">
        <f>IF(Table2[[#This Row],[Stock Gap]]&lt;0, "Yes", "No")</f>
        <v>No</v>
      </c>
      <c r="P2655" s="13" t="str">
        <f>IF(Table2[[#This Row],[CurrentStock]]&lt;Table2[[#This Row],[ReorderLevel]],"Reorder", "Okay")</f>
        <v>Okay</v>
      </c>
      <c r="Q2655" s="13" t="str">
        <f>IF(Table2[[#This Row],[CurrentStock]]&gt;Table2[[#This Row],[ReorderLevel]]*3, "Overstock", "Okay")</f>
        <v>Okay</v>
      </c>
    </row>
    <row r="2656" spans="1:17" x14ac:dyDescent="0.35">
      <c r="A2656">
        <v>23333</v>
      </c>
      <c r="B2656" t="s">
        <v>17</v>
      </c>
      <c r="C2656" t="s">
        <v>27</v>
      </c>
      <c r="D2656">
        <v>302</v>
      </c>
      <c r="E2656">
        <v>50</v>
      </c>
      <c r="F2656" s="2">
        <v>404.24</v>
      </c>
      <c r="G2656" t="s">
        <v>35</v>
      </c>
      <c r="H2656" s="1">
        <v>45574</v>
      </c>
      <c r="I2656" s="1">
        <v>45608</v>
      </c>
      <c r="J2656" t="s">
        <v>36</v>
      </c>
      <c r="K2656" s="8">
        <f>Table2[[#This Row],[CurrentStock]]*Table2[[#This Row],[UnitPrice]]</f>
        <v>122080.48</v>
      </c>
      <c r="L2656" t="str">
        <f>IF(Table2[[#This Row],[CurrentStock]]&lt;=Table2[[#This Row],[ReorderLevel]], "Reorder Needed", "Okay")</f>
        <v>Okay</v>
      </c>
      <c r="M2656" t="str">
        <f>IF(Table2[[#This Row],[CurrentStock]]-Table2[[#This Row],[ReorderLevel]]&lt;0,Table2[[#This Row],[CurrentStock]]-Table2[[#This Row],[ReorderLevel]],"")</f>
        <v/>
      </c>
      <c r="N2656" t="str">
        <f>IF(Table2[[#This Row],[Stock Gap]]&lt;0, "Understock","Okay")</f>
        <v>Okay</v>
      </c>
      <c r="O2656" s="13" t="str">
        <f>IF(Table2[[#This Row],[Stock Gap]]&lt;0, "Yes", "No")</f>
        <v>No</v>
      </c>
      <c r="P2656" s="13" t="str">
        <f>IF(Table2[[#This Row],[CurrentStock]]&lt;Table2[[#This Row],[ReorderLevel]],"Reorder", "Okay")</f>
        <v>Okay</v>
      </c>
      <c r="Q2656" s="13" t="str">
        <f>IF(Table2[[#This Row],[CurrentStock]]&gt;Table2[[#This Row],[ReorderLevel]]*3, "Overstock", "Okay")</f>
        <v>Overstock</v>
      </c>
    </row>
    <row r="2657" spans="1:17" x14ac:dyDescent="0.35">
      <c r="A2657">
        <v>75210</v>
      </c>
      <c r="B2657" t="s">
        <v>24</v>
      </c>
      <c r="C2657" t="s">
        <v>30</v>
      </c>
      <c r="D2657">
        <v>46</v>
      </c>
      <c r="E2657">
        <v>40</v>
      </c>
      <c r="F2657" s="2">
        <v>475.95</v>
      </c>
      <c r="G2657" t="s">
        <v>32</v>
      </c>
      <c r="H2657" s="1">
        <v>45436</v>
      </c>
      <c r="I2657" s="1">
        <v>45451</v>
      </c>
      <c r="J2657" t="s">
        <v>36</v>
      </c>
      <c r="K2657" s="8">
        <f>Table2[[#This Row],[CurrentStock]]*Table2[[#This Row],[UnitPrice]]</f>
        <v>21893.7</v>
      </c>
      <c r="L2657" t="str">
        <f>IF(Table2[[#This Row],[CurrentStock]]&lt;=Table2[[#This Row],[ReorderLevel]], "Reorder Needed", "Okay")</f>
        <v>Okay</v>
      </c>
      <c r="M2657" t="str">
        <f>IF(Table2[[#This Row],[CurrentStock]]-Table2[[#This Row],[ReorderLevel]]&lt;0,Table2[[#This Row],[CurrentStock]]-Table2[[#This Row],[ReorderLevel]],"")</f>
        <v/>
      </c>
      <c r="N2657" t="str">
        <f>IF(Table2[[#This Row],[Stock Gap]]&lt;0, "Understock","Okay")</f>
        <v>Okay</v>
      </c>
      <c r="O2657" s="13" t="str">
        <f>IF(Table2[[#This Row],[Stock Gap]]&lt;0, "Yes", "No")</f>
        <v>No</v>
      </c>
      <c r="P2657" s="13" t="str">
        <f>IF(Table2[[#This Row],[CurrentStock]]&lt;Table2[[#This Row],[ReorderLevel]],"Reorder", "Okay")</f>
        <v>Okay</v>
      </c>
      <c r="Q2657" s="13" t="str">
        <f>IF(Table2[[#This Row],[CurrentStock]]&gt;Table2[[#This Row],[ReorderLevel]]*3, "Overstock", "Okay")</f>
        <v>Okay</v>
      </c>
    </row>
    <row r="2658" spans="1:17" x14ac:dyDescent="0.35">
      <c r="A2658">
        <v>70712</v>
      </c>
      <c r="B2658" t="s">
        <v>11</v>
      </c>
      <c r="C2658" t="s">
        <v>27</v>
      </c>
      <c r="D2658">
        <v>164</v>
      </c>
      <c r="E2658">
        <v>100</v>
      </c>
      <c r="F2658" s="2">
        <v>361.84</v>
      </c>
      <c r="G2658" t="s">
        <v>33</v>
      </c>
      <c r="H2658" s="1">
        <v>45618</v>
      </c>
      <c r="I2658" s="1">
        <v>45629</v>
      </c>
      <c r="J2658" t="s">
        <v>37</v>
      </c>
      <c r="K2658" s="8">
        <f>Table2[[#This Row],[CurrentStock]]*Table2[[#This Row],[UnitPrice]]</f>
        <v>59341.759999999995</v>
      </c>
      <c r="L2658" t="str">
        <f>IF(Table2[[#This Row],[CurrentStock]]&lt;=Table2[[#This Row],[ReorderLevel]], "Reorder Needed", "Okay")</f>
        <v>Okay</v>
      </c>
      <c r="M2658" t="str">
        <f>IF(Table2[[#This Row],[CurrentStock]]-Table2[[#This Row],[ReorderLevel]]&lt;0,Table2[[#This Row],[CurrentStock]]-Table2[[#This Row],[ReorderLevel]],"")</f>
        <v/>
      </c>
      <c r="N2658" t="str">
        <f>IF(Table2[[#This Row],[Stock Gap]]&lt;0, "Understock","Okay")</f>
        <v>Okay</v>
      </c>
      <c r="O2658" s="13" t="str">
        <f>IF(Table2[[#This Row],[Stock Gap]]&lt;0, "Yes", "No")</f>
        <v>No</v>
      </c>
      <c r="P2658" s="13" t="str">
        <f>IF(Table2[[#This Row],[CurrentStock]]&lt;Table2[[#This Row],[ReorderLevel]],"Reorder", "Okay")</f>
        <v>Okay</v>
      </c>
      <c r="Q2658" s="13" t="str">
        <f>IF(Table2[[#This Row],[CurrentStock]]&gt;Table2[[#This Row],[ReorderLevel]]*3, "Overstock", "Okay")</f>
        <v>Okay</v>
      </c>
    </row>
    <row r="2659" spans="1:17" x14ac:dyDescent="0.35">
      <c r="A2659">
        <v>18048</v>
      </c>
      <c r="B2659" t="s">
        <v>13</v>
      </c>
      <c r="C2659" t="s">
        <v>26</v>
      </c>
      <c r="D2659">
        <v>492</v>
      </c>
      <c r="E2659">
        <v>40</v>
      </c>
      <c r="F2659" s="2">
        <v>85.75</v>
      </c>
      <c r="G2659" t="s">
        <v>31</v>
      </c>
      <c r="H2659" s="1">
        <v>45600</v>
      </c>
      <c r="I2659" s="1">
        <v>45618</v>
      </c>
      <c r="J2659" t="s">
        <v>36</v>
      </c>
      <c r="K2659" s="8">
        <f>Table2[[#This Row],[CurrentStock]]*Table2[[#This Row],[UnitPrice]]</f>
        <v>42189</v>
      </c>
      <c r="L2659" t="str">
        <f>IF(Table2[[#This Row],[CurrentStock]]&lt;=Table2[[#This Row],[ReorderLevel]], "Reorder Needed", "Okay")</f>
        <v>Okay</v>
      </c>
      <c r="M2659" t="str">
        <f>IF(Table2[[#This Row],[CurrentStock]]-Table2[[#This Row],[ReorderLevel]]&lt;0,Table2[[#This Row],[CurrentStock]]-Table2[[#This Row],[ReorderLevel]],"")</f>
        <v/>
      </c>
      <c r="N2659" t="str">
        <f>IF(Table2[[#This Row],[Stock Gap]]&lt;0, "Understock","Okay")</f>
        <v>Okay</v>
      </c>
      <c r="O2659" s="13" t="str">
        <f>IF(Table2[[#This Row],[Stock Gap]]&lt;0, "Yes", "No")</f>
        <v>No</v>
      </c>
      <c r="P2659" s="13" t="str">
        <f>IF(Table2[[#This Row],[CurrentStock]]&lt;Table2[[#This Row],[ReorderLevel]],"Reorder", "Okay")</f>
        <v>Okay</v>
      </c>
      <c r="Q2659" s="13" t="str">
        <f>IF(Table2[[#This Row],[CurrentStock]]&gt;Table2[[#This Row],[ReorderLevel]]*3, "Overstock", "Okay")</f>
        <v>Overstock</v>
      </c>
    </row>
    <row r="2660" spans="1:17" x14ac:dyDescent="0.35">
      <c r="A2660">
        <v>24975</v>
      </c>
      <c r="B2660" t="s">
        <v>14</v>
      </c>
      <c r="C2660" t="s">
        <v>28</v>
      </c>
      <c r="D2660">
        <v>409</v>
      </c>
      <c r="E2660">
        <v>40</v>
      </c>
      <c r="F2660" s="2">
        <v>486.6</v>
      </c>
      <c r="G2660" t="s">
        <v>32</v>
      </c>
      <c r="H2660" s="1">
        <v>45461</v>
      </c>
      <c r="I2660" s="1">
        <v>45493</v>
      </c>
      <c r="J2660" t="s">
        <v>38</v>
      </c>
      <c r="K2660" s="8">
        <f>Table2[[#This Row],[CurrentStock]]*Table2[[#This Row],[UnitPrice]]</f>
        <v>199019.40000000002</v>
      </c>
      <c r="L2660" t="str">
        <f>IF(Table2[[#This Row],[CurrentStock]]&lt;=Table2[[#This Row],[ReorderLevel]], "Reorder Needed", "Okay")</f>
        <v>Okay</v>
      </c>
      <c r="M2660" t="str">
        <f>IF(Table2[[#This Row],[CurrentStock]]-Table2[[#This Row],[ReorderLevel]]&lt;0,Table2[[#This Row],[CurrentStock]]-Table2[[#This Row],[ReorderLevel]],"")</f>
        <v/>
      </c>
      <c r="N2660" t="str">
        <f>IF(Table2[[#This Row],[Stock Gap]]&lt;0, "Understock","Okay")</f>
        <v>Okay</v>
      </c>
      <c r="O2660" s="13" t="str">
        <f>IF(Table2[[#This Row],[Stock Gap]]&lt;0, "Yes", "No")</f>
        <v>No</v>
      </c>
      <c r="P2660" s="13" t="str">
        <f>IF(Table2[[#This Row],[CurrentStock]]&lt;Table2[[#This Row],[ReorderLevel]],"Reorder", "Okay")</f>
        <v>Okay</v>
      </c>
      <c r="Q2660" s="13" t="str">
        <f>IF(Table2[[#This Row],[CurrentStock]]&gt;Table2[[#This Row],[ReorderLevel]]*3, "Overstock", "Okay")</f>
        <v>Overstock</v>
      </c>
    </row>
    <row r="2661" spans="1:17" x14ac:dyDescent="0.35">
      <c r="A2661">
        <v>71264</v>
      </c>
      <c r="B2661" t="s">
        <v>20</v>
      </c>
      <c r="C2661" t="s">
        <v>30</v>
      </c>
      <c r="D2661">
        <v>243</v>
      </c>
      <c r="E2661">
        <v>40</v>
      </c>
      <c r="F2661" s="2">
        <v>18.02</v>
      </c>
      <c r="G2661" t="s">
        <v>35</v>
      </c>
      <c r="H2661" s="1">
        <v>45581</v>
      </c>
      <c r="I2661" s="1">
        <v>45592</v>
      </c>
      <c r="J2661" t="s">
        <v>38</v>
      </c>
      <c r="K2661" s="8">
        <f>Table2[[#This Row],[CurrentStock]]*Table2[[#This Row],[UnitPrice]]</f>
        <v>4378.8599999999997</v>
      </c>
      <c r="L2661" t="str">
        <f>IF(Table2[[#This Row],[CurrentStock]]&lt;=Table2[[#This Row],[ReorderLevel]], "Reorder Needed", "Okay")</f>
        <v>Okay</v>
      </c>
      <c r="M2661" t="str">
        <f>IF(Table2[[#This Row],[CurrentStock]]-Table2[[#This Row],[ReorderLevel]]&lt;0,Table2[[#This Row],[CurrentStock]]-Table2[[#This Row],[ReorderLevel]],"")</f>
        <v/>
      </c>
      <c r="N2661" t="str">
        <f>IF(Table2[[#This Row],[Stock Gap]]&lt;0, "Understock","Okay")</f>
        <v>Okay</v>
      </c>
      <c r="O2661" s="13" t="str">
        <f>IF(Table2[[#This Row],[Stock Gap]]&lt;0, "Yes", "No")</f>
        <v>No</v>
      </c>
      <c r="P2661" s="13" t="str">
        <f>IF(Table2[[#This Row],[CurrentStock]]&lt;Table2[[#This Row],[ReorderLevel]],"Reorder", "Okay")</f>
        <v>Okay</v>
      </c>
      <c r="Q2661" s="13" t="str">
        <f>IF(Table2[[#This Row],[CurrentStock]]&gt;Table2[[#This Row],[ReorderLevel]]*3, "Overstock", "Okay")</f>
        <v>Overstock</v>
      </c>
    </row>
    <row r="2662" spans="1:17" x14ac:dyDescent="0.35">
      <c r="A2662">
        <v>14424</v>
      </c>
      <c r="B2662" t="s">
        <v>15</v>
      </c>
      <c r="C2662" t="s">
        <v>29</v>
      </c>
      <c r="D2662">
        <v>328</v>
      </c>
      <c r="E2662">
        <v>80</v>
      </c>
      <c r="F2662" s="2">
        <v>249.84</v>
      </c>
      <c r="G2662" t="s">
        <v>33</v>
      </c>
      <c r="H2662" s="1">
        <v>45491</v>
      </c>
      <c r="I2662" s="1">
        <v>45504</v>
      </c>
      <c r="J2662" t="s">
        <v>38</v>
      </c>
      <c r="K2662" s="8">
        <f>Table2[[#This Row],[CurrentStock]]*Table2[[#This Row],[UnitPrice]]</f>
        <v>81947.520000000004</v>
      </c>
      <c r="L2662" t="str">
        <f>IF(Table2[[#This Row],[CurrentStock]]&lt;=Table2[[#This Row],[ReorderLevel]], "Reorder Needed", "Okay")</f>
        <v>Okay</v>
      </c>
      <c r="M2662" t="str">
        <f>IF(Table2[[#This Row],[CurrentStock]]-Table2[[#This Row],[ReorderLevel]]&lt;0,Table2[[#This Row],[CurrentStock]]-Table2[[#This Row],[ReorderLevel]],"")</f>
        <v/>
      </c>
      <c r="N2662" t="str">
        <f>IF(Table2[[#This Row],[Stock Gap]]&lt;0, "Understock","Okay")</f>
        <v>Okay</v>
      </c>
      <c r="O2662" s="13" t="str">
        <f>IF(Table2[[#This Row],[Stock Gap]]&lt;0, "Yes", "No")</f>
        <v>No</v>
      </c>
      <c r="P2662" s="13" t="str">
        <f>IF(Table2[[#This Row],[CurrentStock]]&lt;Table2[[#This Row],[ReorderLevel]],"Reorder", "Okay")</f>
        <v>Okay</v>
      </c>
      <c r="Q2662" s="13" t="str">
        <f>IF(Table2[[#This Row],[CurrentStock]]&gt;Table2[[#This Row],[ReorderLevel]]*3, "Overstock", "Okay")</f>
        <v>Overstock</v>
      </c>
    </row>
    <row r="2663" spans="1:17" x14ac:dyDescent="0.35">
      <c r="A2663">
        <v>62445</v>
      </c>
      <c r="B2663" t="s">
        <v>18</v>
      </c>
      <c r="C2663" t="s">
        <v>27</v>
      </c>
      <c r="D2663">
        <v>485</v>
      </c>
      <c r="E2663">
        <v>80</v>
      </c>
      <c r="F2663" s="2">
        <v>193.06</v>
      </c>
      <c r="G2663" t="s">
        <v>31</v>
      </c>
      <c r="H2663" s="1">
        <v>45499</v>
      </c>
      <c r="I2663" s="1">
        <v>45520</v>
      </c>
      <c r="J2663" t="s">
        <v>36</v>
      </c>
      <c r="K2663" s="8">
        <f>Table2[[#This Row],[CurrentStock]]*Table2[[#This Row],[UnitPrice]]</f>
        <v>93634.1</v>
      </c>
      <c r="L2663" t="str">
        <f>IF(Table2[[#This Row],[CurrentStock]]&lt;=Table2[[#This Row],[ReorderLevel]], "Reorder Needed", "Okay")</f>
        <v>Okay</v>
      </c>
      <c r="M2663" t="str">
        <f>IF(Table2[[#This Row],[CurrentStock]]-Table2[[#This Row],[ReorderLevel]]&lt;0,Table2[[#This Row],[CurrentStock]]-Table2[[#This Row],[ReorderLevel]],"")</f>
        <v/>
      </c>
      <c r="N2663" t="str">
        <f>IF(Table2[[#This Row],[Stock Gap]]&lt;0, "Understock","Okay")</f>
        <v>Okay</v>
      </c>
      <c r="O2663" s="13" t="str">
        <f>IF(Table2[[#This Row],[Stock Gap]]&lt;0, "Yes", "No")</f>
        <v>No</v>
      </c>
      <c r="P2663" s="13" t="str">
        <f>IF(Table2[[#This Row],[CurrentStock]]&lt;Table2[[#This Row],[ReorderLevel]],"Reorder", "Okay")</f>
        <v>Okay</v>
      </c>
      <c r="Q2663" s="13" t="str">
        <f>IF(Table2[[#This Row],[CurrentStock]]&gt;Table2[[#This Row],[ReorderLevel]]*3, "Overstock", "Okay")</f>
        <v>Overstock</v>
      </c>
    </row>
    <row r="2664" spans="1:17" x14ac:dyDescent="0.35">
      <c r="A2664">
        <v>62287</v>
      </c>
      <c r="B2664" t="s">
        <v>15</v>
      </c>
      <c r="C2664" t="s">
        <v>29</v>
      </c>
      <c r="D2664">
        <v>247</v>
      </c>
      <c r="E2664">
        <v>30</v>
      </c>
      <c r="F2664" s="2">
        <v>269.44</v>
      </c>
      <c r="G2664" t="s">
        <v>35</v>
      </c>
      <c r="H2664" s="1">
        <v>45574</v>
      </c>
      <c r="I2664" s="1">
        <v>45580</v>
      </c>
      <c r="J2664" t="s">
        <v>37</v>
      </c>
      <c r="K2664" s="8">
        <f>Table2[[#This Row],[CurrentStock]]*Table2[[#This Row],[UnitPrice]]</f>
        <v>66551.679999999993</v>
      </c>
      <c r="L2664" t="str">
        <f>IF(Table2[[#This Row],[CurrentStock]]&lt;=Table2[[#This Row],[ReorderLevel]], "Reorder Needed", "Okay")</f>
        <v>Okay</v>
      </c>
      <c r="M2664" t="str">
        <f>IF(Table2[[#This Row],[CurrentStock]]-Table2[[#This Row],[ReorderLevel]]&lt;0,Table2[[#This Row],[CurrentStock]]-Table2[[#This Row],[ReorderLevel]],"")</f>
        <v/>
      </c>
      <c r="N2664" t="str">
        <f>IF(Table2[[#This Row],[Stock Gap]]&lt;0, "Understock","Okay")</f>
        <v>Okay</v>
      </c>
      <c r="O2664" s="13" t="str">
        <f>IF(Table2[[#This Row],[Stock Gap]]&lt;0, "Yes", "No")</f>
        <v>No</v>
      </c>
      <c r="P2664" s="13" t="str">
        <f>IF(Table2[[#This Row],[CurrentStock]]&lt;Table2[[#This Row],[ReorderLevel]],"Reorder", "Okay")</f>
        <v>Okay</v>
      </c>
      <c r="Q2664" s="13" t="str">
        <f>IF(Table2[[#This Row],[CurrentStock]]&gt;Table2[[#This Row],[ReorderLevel]]*3, "Overstock", "Okay")</f>
        <v>Overstock</v>
      </c>
    </row>
    <row r="2665" spans="1:17" x14ac:dyDescent="0.35">
      <c r="A2665">
        <v>53953</v>
      </c>
      <c r="B2665" t="s">
        <v>16</v>
      </c>
      <c r="C2665" t="s">
        <v>29</v>
      </c>
      <c r="D2665">
        <v>238</v>
      </c>
      <c r="E2665">
        <v>80</v>
      </c>
      <c r="F2665" s="2">
        <v>95.23</v>
      </c>
      <c r="G2665" t="s">
        <v>33</v>
      </c>
      <c r="H2665" s="1">
        <v>45570</v>
      </c>
      <c r="I2665" s="1">
        <v>45607</v>
      </c>
      <c r="J2665" t="s">
        <v>37</v>
      </c>
      <c r="K2665" s="8">
        <f>Table2[[#This Row],[CurrentStock]]*Table2[[#This Row],[UnitPrice]]</f>
        <v>22664.74</v>
      </c>
      <c r="L2665" t="str">
        <f>IF(Table2[[#This Row],[CurrentStock]]&lt;=Table2[[#This Row],[ReorderLevel]], "Reorder Needed", "Okay")</f>
        <v>Okay</v>
      </c>
      <c r="M2665" t="str">
        <f>IF(Table2[[#This Row],[CurrentStock]]-Table2[[#This Row],[ReorderLevel]]&lt;0,Table2[[#This Row],[CurrentStock]]-Table2[[#This Row],[ReorderLevel]],"")</f>
        <v/>
      </c>
      <c r="N2665" t="str">
        <f>IF(Table2[[#This Row],[Stock Gap]]&lt;0, "Understock","Okay")</f>
        <v>Okay</v>
      </c>
      <c r="O2665" s="13" t="str">
        <f>IF(Table2[[#This Row],[Stock Gap]]&lt;0, "Yes", "No")</f>
        <v>No</v>
      </c>
      <c r="P2665" s="13" t="str">
        <f>IF(Table2[[#This Row],[CurrentStock]]&lt;Table2[[#This Row],[ReorderLevel]],"Reorder", "Okay")</f>
        <v>Okay</v>
      </c>
      <c r="Q2665" s="13" t="str">
        <f>IF(Table2[[#This Row],[CurrentStock]]&gt;Table2[[#This Row],[ReorderLevel]]*3, "Overstock", "Okay")</f>
        <v>Okay</v>
      </c>
    </row>
    <row r="2666" spans="1:17" x14ac:dyDescent="0.35">
      <c r="A2666">
        <v>39681</v>
      </c>
      <c r="B2666" t="s">
        <v>17</v>
      </c>
      <c r="C2666" t="s">
        <v>27</v>
      </c>
      <c r="D2666">
        <v>285</v>
      </c>
      <c r="E2666">
        <v>80</v>
      </c>
      <c r="F2666" s="2">
        <v>48.64</v>
      </c>
      <c r="G2666" t="s">
        <v>33</v>
      </c>
      <c r="H2666" s="1">
        <v>45474</v>
      </c>
      <c r="I2666" s="1">
        <v>45485</v>
      </c>
      <c r="J2666" t="s">
        <v>38</v>
      </c>
      <c r="K2666" s="8">
        <f>Table2[[#This Row],[CurrentStock]]*Table2[[#This Row],[UnitPrice]]</f>
        <v>13862.4</v>
      </c>
      <c r="L2666" t="str">
        <f>IF(Table2[[#This Row],[CurrentStock]]&lt;=Table2[[#This Row],[ReorderLevel]], "Reorder Needed", "Okay")</f>
        <v>Okay</v>
      </c>
      <c r="M2666" t="str">
        <f>IF(Table2[[#This Row],[CurrentStock]]-Table2[[#This Row],[ReorderLevel]]&lt;0,Table2[[#This Row],[CurrentStock]]-Table2[[#This Row],[ReorderLevel]],"")</f>
        <v/>
      </c>
      <c r="N2666" t="str">
        <f>IF(Table2[[#This Row],[Stock Gap]]&lt;0, "Understock","Okay")</f>
        <v>Okay</v>
      </c>
      <c r="O2666" s="13" t="str">
        <f>IF(Table2[[#This Row],[Stock Gap]]&lt;0, "Yes", "No")</f>
        <v>No</v>
      </c>
      <c r="P2666" s="13" t="str">
        <f>IF(Table2[[#This Row],[CurrentStock]]&lt;Table2[[#This Row],[ReorderLevel]],"Reorder", "Okay")</f>
        <v>Okay</v>
      </c>
      <c r="Q2666" s="13" t="str">
        <f>IF(Table2[[#This Row],[CurrentStock]]&gt;Table2[[#This Row],[ReorderLevel]]*3, "Overstock", "Okay")</f>
        <v>Overstock</v>
      </c>
    </row>
    <row r="2667" spans="1:17" x14ac:dyDescent="0.35">
      <c r="A2667">
        <v>80459</v>
      </c>
      <c r="B2667" t="s">
        <v>21</v>
      </c>
      <c r="C2667" t="s">
        <v>26</v>
      </c>
      <c r="D2667">
        <v>416</v>
      </c>
      <c r="E2667">
        <v>20</v>
      </c>
      <c r="F2667" s="2">
        <v>395.28</v>
      </c>
      <c r="G2667" t="s">
        <v>31</v>
      </c>
      <c r="H2667" s="1">
        <v>45529</v>
      </c>
      <c r="I2667" s="1">
        <v>45560</v>
      </c>
      <c r="J2667" t="s">
        <v>36</v>
      </c>
      <c r="K2667" s="8">
        <f>Table2[[#This Row],[CurrentStock]]*Table2[[#This Row],[UnitPrice]]</f>
        <v>164436.47999999998</v>
      </c>
      <c r="L2667" t="str">
        <f>IF(Table2[[#This Row],[CurrentStock]]&lt;=Table2[[#This Row],[ReorderLevel]], "Reorder Needed", "Okay")</f>
        <v>Okay</v>
      </c>
      <c r="M2667" t="str">
        <f>IF(Table2[[#This Row],[CurrentStock]]-Table2[[#This Row],[ReorderLevel]]&lt;0,Table2[[#This Row],[CurrentStock]]-Table2[[#This Row],[ReorderLevel]],"")</f>
        <v/>
      </c>
      <c r="N2667" t="str">
        <f>IF(Table2[[#This Row],[Stock Gap]]&lt;0, "Understock","Okay")</f>
        <v>Okay</v>
      </c>
      <c r="O2667" s="13" t="str">
        <f>IF(Table2[[#This Row],[Stock Gap]]&lt;0, "Yes", "No")</f>
        <v>No</v>
      </c>
      <c r="P2667" s="13" t="str">
        <f>IF(Table2[[#This Row],[CurrentStock]]&lt;Table2[[#This Row],[ReorderLevel]],"Reorder", "Okay")</f>
        <v>Okay</v>
      </c>
      <c r="Q2667" s="13" t="str">
        <f>IF(Table2[[#This Row],[CurrentStock]]&gt;Table2[[#This Row],[ReorderLevel]]*3, "Overstock", "Okay")</f>
        <v>Overstock</v>
      </c>
    </row>
    <row r="2668" spans="1:17" x14ac:dyDescent="0.35">
      <c r="A2668">
        <v>16221</v>
      </c>
      <c r="B2668" t="s">
        <v>12</v>
      </c>
      <c r="C2668" t="s">
        <v>28</v>
      </c>
      <c r="D2668">
        <v>7</v>
      </c>
      <c r="E2668">
        <v>50</v>
      </c>
      <c r="F2668" s="2">
        <v>195.5</v>
      </c>
      <c r="G2668" t="s">
        <v>33</v>
      </c>
      <c r="H2668" s="1">
        <v>45332</v>
      </c>
      <c r="I2668" s="1">
        <v>45358</v>
      </c>
      <c r="J2668" t="s">
        <v>38</v>
      </c>
      <c r="K2668" s="8">
        <f>Table2[[#This Row],[CurrentStock]]*Table2[[#This Row],[UnitPrice]]</f>
        <v>1368.5</v>
      </c>
      <c r="L2668" t="str">
        <f>IF(Table2[[#This Row],[CurrentStock]]&lt;=Table2[[#This Row],[ReorderLevel]], "Reorder Needed", "Okay")</f>
        <v>Reorder Needed</v>
      </c>
      <c r="M2668" s="7">
        <f>IF(Table2[[#This Row],[CurrentStock]]-Table2[[#This Row],[ReorderLevel]]&lt;0,Table2[[#This Row],[CurrentStock]]-Table2[[#This Row],[ReorderLevel]],"")</f>
        <v>-43</v>
      </c>
      <c r="N2668" t="str">
        <f>IF(Table2[[#This Row],[Stock Gap]]&lt;0, "Understock","Okay")</f>
        <v>Understock</v>
      </c>
      <c r="O2668" s="13" t="str">
        <f>IF(Table2[[#This Row],[Stock Gap]]&lt;0, "Yes", "No")</f>
        <v>Yes</v>
      </c>
      <c r="P2668" s="13" t="str">
        <f>IF(Table2[[#This Row],[CurrentStock]]&lt;Table2[[#This Row],[ReorderLevel]],"Reorder", "Okay")</f>
        <v>Reorder</v>
      </c>
      <c r="Q2668" s="13" t="str">
        <f>IF(Table2[[#This Row],[CurrentStock]]&gt;Table2[[#This Row],[ReorderLevel]]*3, "Overstock", "Okay")</f>
        <v>Okay</v>
      </c>
    </row>
    <row r="2669" spans="1:17" x14ac:dyDescent="0.35">
      <c r="A2669">
        <v>28898</v>
      </c>
      <c r="B2669" t="s">
        <v>11</v>
      </c>
      <c r="C2669" t="s">
        <v>27</v>
      </c>
      <c r="D2669">
        <v>424</v>
      </c>
      <c r="E2669">
        <v>30</v>
      </c>
      <c r="F2669" s="2">
        <v>256.29000000000002</v>
      </c>
      <c r="G2669" t="s">
        <v>33</v>
      </c>
      <c r="H2669" s="1">
        <v>45597</v>
      </c>
      <c r="I2669" s="1">
        <v>45618</v>
      </c>
      <c r="J2669" t="s">
        <v>37</v>
      </c>
      <c r="K2669" s="8">
        <f>Table2[[#This Row],[CurrentStock]]*Table2[[#This Row],[UnitPrice]]</f>
        <v>108666.96</v>
      </c>
      <c r="L2669" t="str">
        <f>IF(Table2[[#This Row],[CurrentStock]]&lt;=Table2[[#This Row],[ReorderLevel]], "Reorder Needed", "Okay")</f>
        <v>Okay</v>
      </c>
      <c r="M2669" t="str">
        <f>IF(Table2[[#This Row],[CurrentStock]]-Table2[[#This Row],[ReorderLevel]]&lt;0,Table2[[#This Row],[CurrentStock]]-Table2[[#This Row],[ReorderLevel]],"")</f>
        <v/>
      </c>
      <c r="N2669" t="str">
        <f>IF(Table2[[#This Row],[Stock Gap]]&lt;0, "Understock","Okay")</f>
        <v>Okay</v>
      </c>
      <c r="O2669" s="13" t="str">
        <f>IF(Table2[[#This Row],[Stock Gap]]&lt;0, "Yes", "No")</f>
        <v>No</v>
      </c>
      <c r="P2669" s="13" t="str">
        <f>IF(Table2[[#This Row],[CurrentStock]]&lt;Table2[[#This Row],[ReorderLevel]],"Reorder", "Okay")</f>
        <v>Okay</v>
      </c>
      <c r="Q2669" s="13" t="str">
        <f>IF(Table2[[#This Row],[CurrentStock]]&gt;Table2[[#This Row],[ReorderLevel]]*3, "Overstock", "Okay")</f>
        <v>Overstock</v>
      </c>
    </row>
    <row r="2670" spans="1:17" x14ac:dyDescent="0.35">
      <c r="A2670">
        <v>19837</v>
      </c>
      <c r="B2670" t="s">
        <v>17</v>
      </c>
      <c r="C2670" t="s">
        <v>27</v>
      </c>
      <c r="D2670">
        <v>134</v>
      </c>
      <c r="E2670">
        <v>30</v>
      </c>
      <c r="F2670" s="2">
        <v>410.42</v>
      </c>
      <c r="G2670" t="s">
        <v>33</v>
      </c>
      <c r="H2670" s="1">
        <v>45500</v>
      </c>
      <c r="I2670" s="1">
        <v>45516</v>
      </c>
      <c r="J2670" t="s">
        <v>37</v>
      </c>
      <c r="K2670" s="8">
        <f>Table2[[#This Row],[CurrentStock]]*Table2[[#This Row],[UnitPrice]]</f>
        <v>54996.28</v>
      </c>
      <c r="L2670" t="str">
        <f>IF(Table2[[#This Row],[CurrentStock]]&lt;=Table2[[#This Row],[ReorderLevel]], "Reorder Needed", "Okay")</f>
        <v>Okay</v>
      </c>
      <c r="M2670" t="str">
        <f>IF(Table2[[#This Row],[CurrentStock]]-Table2[[#This Row],[ReorderLevel]]&lt;0,Table2[[#This Row],[CurrentStock]]-Table2[[#This Row],[ReorderLevel]],"")</f>
        <v/>
      </c>
      <c r="N2670" t="str">
        <f>IF(Table2[[#This Row],[Stock Gap]]&lt;0, "Understock","Okay")</f>
        <v>Okay</v>
      </c>
      <c r="O2670" s="13" t="str">
        <f>IF(Table2[[#This Row],[Stock Gap]]&lt;0, "Yes", "No")</f>
        <v>No</v>
      </c>
      <c r="P2670" s="13" t="str">
        <f>IF(Table2[[#This Row],[CurrentStock]]&lt;Table2[[#This Row],[ReorderLevel]],"Reorder", "Okay")</f>
        <v>Okay</v>
      </c>
      <c r="Q2670" s="13" t="str">
        <f>IF(Table2[[#This Row],[CurrentStock]]&gt;Table2[[#This Row],[ReorderLevel]]*3, "Overstock", "Okay")</f>
        <v>Overstock</v>
      </c>
    </row>
    <row r="2671" spans="1:17" x14ac:dyDescent="0.35">
      <c r="A2671">
        <v>15044</v>
      </c>
      <c r="B2671" t="s">
        <v>11</v>
      </c>
      <c r="C2671" t="s">
        <v>27</v>
      </c>
      <c r="D2671">
        <v>139</v>
      </c>
      <c r="E2671">
        <v>40</v>
      </c>
      <c r="F2671" s="2">
        <v>285.82</v>
      </c>
      <c r="G2671" t="s">
        <v>33</v>
      </c>
      <c r="H2671" s="1">
        <v>45608</v>
      </c>
      <c r="I2671" s="1">
        <v>45625</v>
      </c>
      <c r="J2671" t="s">
        <v>36</v>
      </c>
      <c r="K2671" s="8">
        <f>Table2[[#This Row],[CurrentStock]]*Table2[[#This Row],[UnitPrice]]</f>
        <v>39728.979999999996</v>
      </c>
      <c r="L2671" t="str">
        <f>IF(Table2[[#This Row],[CurrentStock]]&lt;=Table2[[#This Row],[ReorderLevel]], "Reorder Needed", "Okay")</f>
        <v>Okay</v>
      </c>
      <c r="M2671" t="str">
        <f>IF(Table2[[#This Row],[CurrentStock]]-Table2[[#This Row],[ReorderLevel]]&lt;0,Table2[[#This Row],[CurrentStock]]-Table2[[#This Row],[ReorderLevel]],"")</f>
        <v/>
      </c>
      <c r="N2671" t="str">
        <f>IF(Table2[[#This Row],[Stock Gap]]&lt;0, "Understock","Okay")</f>
        <v>Okay</v>
      </c>
      <c r="O2671" s="13" t="str">
        <f>IF(Table2[[#This Row],[Stock Gap]]&lt;0, "Yes", "No")</f>
        <v>No</v>
      </c>
      <c r="P2671" s="13" t="str">
        <f>IF(Table2[[#This Row],[CurrentStock]]&lt;Table2[[#This Row],[ReorderLevel]],"Reorder", "Okay")</f>
        <v>Okay</v>
      </c>
      <c r="Q2671" s="13" t="str">
        <f>IF(Table2[[#This Row],[CurrentStock]]&gt;Table2[[#This Row],[ReorderLevel]]*3, "Overstock", "Okay")</f>
        <v>Overstock</v>
      </c>
    </row>
    <row r="2672" spans="1:17" x14ac:dyDescent="0.35">
      <c r="A2672">
        <v>47589</v>
      </c>
      <c r="B2672" t="s">
        <v>18</v>
      </c>
      <c r="C2672" t="s">
        <v>27</v>
      </c>
      <c r="D2672">
        <v>93</v>
      </c>
      <c r="E2672">
        <v>150</v>
      </c>
      <c r="F2672" s="2">
        <v>77.66</v>
      </c>
      <c r="G2672" t="s">
        <v>33</v>
      </c>
      <c r="H2672" s="1">
        <v>45301</v>
      </c>
      <c r="I2672" s="1">
        <v>45339</v>
      </c>
      <c r="J2672" t="s">
        <v>36</v>
      </c>
      <c r="K2672" s="8">
        <f>Table2[[#This Row],[CurrentStock]]*Table2[[#This Row],[UnitPrice]]</f>
        <v>7222.38</v>
      </c>
      <c r="L2672" t="str">
        <f>IF(Table2[[#This Row],[CurrentStock]]&lt;=Table2[[#This Row],[ReorderLevel]], "Reorder Needed", "Okay")</f>
        <v>Reorder Needed</v>
      </c>
      <c r="M2672" s="7">
        <f>IF(Table2[[#This Row],[CurrentStock]]-Table2[[#This Row],[ReorderLevel]]&lt;0,Table2[[#This Row],[CurrentStock]]-Table2[[#This Row],[ReorderLevel]],"")</f>
        <v>-57</v>
      </c>
      <c r="N2672" t="str">
        <f>IF(Table2[[#This Row],[Stock Gap]]&lt;0, "Understock","Okay")</f>
        <v>Understock</v>
      </c>
      <c r="O2672" s="13" t="str">
        <f>IF(Table2[[#This Row],[Stock Gap]]&lt;0, "Yes", "No")</f>
        <v>Yes</v>
      </c>
      <c r="P2672" s="13" t="str">
        <f>IF(Table2[[#This Row],[CurrentStock]]&lt;Table2[[#This Row],[ReorderLevel]],"Reorder", "Okay")</f>
        <v>Reorder</v>
      </c>
      <c r="Q2672" s="13" t="str">
        <f>IF(Table2[[#This Row],[CurrentStock]]&gt;Table2[[#This Row],[ReorderLevel]]*3, "Overstock", "Okay")</f>
        <v>Okay</v>
      </c>
    </row>
    <row r="2673" spans="1:17" x14ac:dyDescent="0.35">
      <c r="A2673">
        <v>77178</v>
      </c>
      <c r="B2673" t="s">
        <v>22</v>
      </c>
      <c r="C2673" t="s">
        <v>29</v>
      </c>
      <c r="D2673">
        <v>202</v>
      </c>
      <c r="E2673">
        <v>100</v>
      </c>
      <c r="F2673" s="2">
        <v>187.15</v>
      </c>
      <c r="G2673" t="s">
        <v>35</v>
      </c>
      <c r="H2673" s="1">
        <v>45487</v>
      </c>
      <c r="I2673" s="1">
        <v>45493</v>
      </c>
      <c r="J2673" t="s">
        <v>36</v>
      </c>
      <c r="K2673" s="8">
        <f>Table2[[#This Row],[CurrentStock]]*Table2[[#This Row],[UnitPrice]]</f>
        <v>37804.300000000003</v>
      </c>
      <c r="L2673" t="str">
        <f>IF(Table2[[#This Row],[CurrentStock]]&lt;=Table2[[#This Row],[ReorderLevel]], "Reorder Needed", "Okay")</f>
        <v>Okay</v>
      </c>
      <c r="M2673" t="str">
        <f>IF(Table2[[#This Row],[CurrentStock]]-Table2[[#This Row],[ReorderLevel]]&lt;0,Table2[[#This Row],[CurrentStock]]-Table2[[#This Row],[ReorderLevel]],"")</f>
        <v/>
      </c>
      <c r="N2673" t="str">
        <f>IF(Table2[[#This Row],[Stock Gap]]&lt;0, "Understock","Okay")</f>
        <v>Okay</v>
      </c>
      <c r="O2673" s="13" t="str">
        <f>IF(Table2[[#This Row],[Stock Gap]]&lt;0, "Yes", "No")</f>
        <v>No</v>
      </c>
      <c r="P2673" s="13" t="str">
        <f>IF(Table2[[#This Row],[CurrentStock]]&lt;Table2[[#This Row],[ReorderLevel]],"Reorder", "Okay")</f>
        <v>Okay</v>
      </c>
      <c r="Q2673" s="13" t="str">
        <f>IF(Table2[[#This Row],[CurrentStock]]&gt;Table2[[#This Row],[ReorderLevel]]*3, "Overstock", "Okay")</f>
        <v>Okay</v>
      </c>
    </row>
    <row r="2674" spans="1:17" x14ac:dyDescent="0.35">
      <c r="A2674">
        <v>30100</v>
      </c>
      <c r="B2674" t="s">
        <v>9</v>
      </c>
      <c r="C2674" t="s">
        <v>26</v>
      </c>
      <c r="D2674">
        <v>382</v>
      </c>
      <c r="E2674">
        <v>20</v>
      </c>
      <c r="F2674" s="2">
        <v>462.7</v>
      </c>
      <c r="G2674" t="s">
        <v>33</v>
      </c>
      <c r="H2674" s="1">
        <v>45373</v>
      </c>
      <c r="I2674" s="1">
        <v>45380</v>
      </c>
      <c r="J2674" t="s">
        <v>36</v>
      </c>
      <c r="K2674" s="8">
        <f>Table2[[#This Row],[CurrentStock]]*Table2[[#This Row],[UnitPrice]]</f>
        <v>176751.4</v>
      </c>
      <c r="L2674" t="str">
        <f>IF(Table2[[#This Row],[CurrentStock]]&lt;=Table2[[#This Row],[ReorderLevel]], "Reorder Needed", "Okay")</f>
        <v>Okay</v>
      </c>
      <c r="M2674" t="str">
        <f>IF(Table2[[#This Row],[CurrentStock]]-Table2[[#This Row],[ReorderLevel]]&lt;0,Table2[[#This Row],[CurrentStock]]-Table2[[#This Row],[ReorderLevel]],"")</f>
        <v/>
      </c>
      <c r="N2674" t="str">
        <f>IF(Table2[[#This Row],[Stock Gap]]&lt;0, "Understock","Okay")</f>
        <v>Okay</v>
      </c>
      <c r="O2674" s="13" t="str">
        <f>IF(Table2[[#This Row],[Stock Gap]]&lt;0, "Yes", "No")</f>
        <v>No</v>
      </c>
      <c r="P2674" s="13" t="str">
        <f>IF(Table2[[#This Row],[CurrentStock]]&lt;Table2[[#This Row],[ReorderLevel]],"Reorder", "Okay")</f>
        <v>Okay</v>
      </c>
      <c r="Q2674" s="13" t="str">
        <f>IF(Table2[[#This Row],[CurrentStock]]&gt;Table2[[#This Row],[ReorderLevel]]*3, "Overstock", "Okay")</f>
        <v>Overstock</v>
      </c>
    </row>
    <row r="2675" spans="1:17" x14ac:dyDescent="0.35">
      <c r="A2675">
        <v>15922</v>
      </c>
      <c r="B2675" t="s">
        <v>13</v>
      </c>
      <c r="C2675" t="s">
        <v>26</v>
      </c>
      <c r="D2675">
        <v>431</v>
      </c>
      <c r="E2675">
        <v>30</v>
      </c>
      <c r="F2675" s="2">
        <v>393.43</v>
      </c>
      <c r="G2675" t="s">
        <v>34</v>
      </c>
      <c r="H2675" s="1">
        <v>45345</v>
      </c>
      <c r="I2675" s="1">
        <v>45353</v>
      </c>
      <c r="J2675" t="s">
        <v>36</v>
      </c>
      <c r="K2675" s="8">
        <f>Table2[[#This Row],[CurrentStock]]*Table2[[#This Row],[UnitPrice]]</f>
        <v>169568.33000000002</v>
      </c>
      <c r="L2675" t="str">
        <f>IF(Table2[[#This Row],[CurrentStock]]&lt;=Table2[[#This Row],[ReorderLevel]], "Reorder Needed", "Okay")</f>
        <v>Okay</v>
      </c>
      <c r="M2675" t="str">
        <f>IF(Table2[[#This Row],[CurrentStock]]-Table2[[#This Row],[ReorderLevel]]&lt;0,Table2[[#This Row],[CurrentStock]]-Table2[[#This Row],[ReorderLevel]],"")</f>
        <v/>
      </c>
      <c r="N2675" t="str">
        <f>IF(Table2[[#This Row],[Stock Gap]]&lt;0, "Understock","Okay")</f>
        <v>Okay</v>
      </c>
      <c r="O2675" s="13" t="str">
        <f>IF(Table2[[#This Row],[Stock Gap]]&lt;0, "Yes", "No")</f>
        <v>No</v>
      </c>
      <c r="P2675" s="13" t="str">
        <f>IF(Table2[[#This Row],[CurrentStock]]&lt;Table2[[#This Row],[ReorderLevel]],"Reorder", "Okay")</f>
        <v>Okay</v>
      </c>
      <c r="Q2675" s="13" t="str">
        <f>IF(Table2[[#This Row],[CurrentStock]]&gt;Table2[[#This Row],[ReorderLevel]]*3, "Overstock", "Okay")</f>
        <v>Overstock</v>
      </c>
    </row>
    <row r="2676" spans="1:17" x14ac:dyDescent="0.35">
      <c r="A2676">
        <v>62384</v>
      </c>
      <c r="B2676" t="s">
        <v>18</v>
      </c>
      <c r="C2676" t="s">
        <v>27</v>
      </c>
      <c r="D2676">
        <v>190</v>
      </c>
      <c r="E2676">
        <v>150</v>
      </c>
      <c r="F2676" s="2">
        <v>73.3</v>
      </c>
      <c r="G2676" t="s">
        <v>35</v>
      </c>
      <c r="H2676" s="1">
        <v>45301</v>
      </c>
      <c r="I2676" s="1">
        <v>45312</v>
      </c>
      <c r="J2676" t="s">
        <v>38</v>
      </c>
      <c r="K2676" s="8">
        <f>Table2[[#This Row],[CurrentStock]]*Table2[[#This Row],[UnitPrice]]</f>
        <v>13927</v>
      </c>
      <c r="L2676" t="str">
        <f>IF(Table2[[#This Row],[CurrentStock]]&lt;=Table2[[#This Row],[ReorderLevel]], "Reorder Needed", "Okay")</f>
        <v>Okay</v>
      </c>
      <c r="M2676" t="str">
        <f>IF(Table2[[#This Row],[CurrentStock]]-Table2[[#This Row],[ReorderLevel]]&lt;0,Table2[[#This Row],[CurrentStock]]-Table2[[#This Row],[ReorderLevel]],"")</f>
        <v/>
      </c>
      <c r="N2676" t="str">
        <f>IF(Table2[[#This Row],[Stock Gap]]&lt;0, "Understock","Okay")</f>
        <v>Okay</v>
      </c>
      <c r="O2676" s="13" t="str">
        <f>IF(Table2[[#This Row],[Stock Gap]]&lt;0, "Yes", "No")</f>
        <v>No</v>
      </c>
      <c r="P2676" s="13" t="str">
        <f>IF(Table2[[#This Row],[CurrentStock]]&lt;Table2[[#This Row],[ReorderLevel]],"Reorder", "Okay")</f>
        <v>Okay</v>
      </c>
      <c r="Q2676" s="13" t="str">
        <f>IF(Table2[[#This Row],[CurrentStock]]&gt;Table2[[#This Row],[ReorderLevel]]*3, "Overstock", "Okay")</f>
        <v>Okay</v>
      </c>
    </row>
    <row r="2677" spans="1:17" x14ac:dyDescent="0.35">
      <c r="A2677">
        <v>17661</v>
      </c>
      <c r="B2677" t="s">
        <v>25</v>
      </c>
      <c r="C2677" t="s">
        <v>29</v>
      </c>
      <c r="D2677">
        <v>118</v>
      </c>
      <c r="E2677">
        <v>50</v>
      </c>
      <c r="F2677" s="2">
        <v>292.64999999999998</v>
      </c>
      <c r="G2677" t="s">
        <v>33</v>
      </c>
      <c r="H2677" s="1">
        <v>45459</v>
      </c>
      <c r="I2677" s="1">
        <v>45491</v>
      </c>
      <c r="J2677" t="s">
        <v>37</v>
      </c>
      <c r="K2677" s="8">
        <f>Table2[[#This Row],[CurrentStock]]*Table2[[#This Row],[UnitPrice]]</f>
        <v>34532.699999999997</v>
      </c>
      <c r="L2677" t="str">
        <f>IF(Table2[[#This Row],[CurrentStock]]&lt;=Table2[[#This Row],[ReorderLevel]], "Reorder Needed", "Okay")</f>
        <v>Okay</v>
      </c>
      <c r="M2677" t="str">
        <f>IF(Table2[[#This Row],[CurrentStock]]-Table2[[#This Row],[ReorderLevel]]&lt;0,Table2[[#This Row],[CurrentStock]]-Table2[[#This Row],[ReorderLevel]],"")</f>
        <v/>
      </c>
      <c r="N2677" t="str">
        <f>IF(Table2[[#This Row],[Stock Gap]]&lt;0, "Understock","Okay")</f>
        <v>Okay</v>
      </c>
      <c r="O2677" s="13" t="str">
        <f>IF(Table2[[#This Row],[Stock Gap]]&lt;0, "Yes", "No")</f>
        <v>No</v>
      </c>
      <c r="P2677" s="13" t="str">
        <f>IF(Table2[[#This Row],[CurrentStock]]&lt;Table2[[#This Row],[ReorderLevel]],"Reorder", "Okay")</f>
        <v>Okay</v>
      </c>
      <c r="Q2677" s="13" t="str">
        <f>IF(Table2[[#This Row],[CurrentStock]]&gt;Table2[[#This Row],[ReorderLevel]]*3, "Overstock", "Okay")</f>
        <v>Okay</v>
      </c>
    </row>
    <row r="2678" spans="1:17" x14ac:dyDescent="0.35">
      <c r="A2678">
        <v>28565</v>
      </c>
      <c r="B2678" t="s">
        <v>10</v>
      </c>
      <c r="C2678" t="s">
        <v>26</v>
      </c>
      <c r="D2678">
        <v>314</v>
      </c>
      <c r="E2678">
        <v>40</v>
      </c>
      <c r="F2678" s="2">
        <v>249.07</v>
      </c>
      <c r="G2678" t="s">
        <v>32</v>
      </c>
      <c r="H2678" s="1">
        <v>45357</v>
      </c>
      <c r="I2678" s="1">
        <v>45370</v>
      </c>
      <c r="J2678" t="s">
        <v>36</v>
      </c>
      <c r="K2678" s="8">
        <f>Table2[[#This Row],[CurrentStock]]*Table2[[#This Row],[UnitPrice]]</f>
        <v>78207.98</v>
      </c>
      <c r="L2678" t="str">
        <f>IF(Table2[[#This Row],[CurrentStock]]&lt;=Table2[[#This Row],[ReorderLevel]], "Reorder Needed", "Okay")</f>
        <v>Okay</v>
      </c>
      <c r="M2678" t="str">
        <f>IF(Table2[[#This Row],[CurrentStock]]-Table2[[#This Row],[ReorderLevel]]&lt;0,Table2[[#This Row],[CurrentStock]]-Table2[[#This Row],[ReorderLevel]],"")</f>
        <v/>
      </c>
      <c r="N2678" t="str">
        <f>IF(Table2[[#This Row],[Stock Gap]]&lt;0, "Understock","Okay")</f>
        <v>Okay</v>
      </c>
      <c r="O2678" s="13" t="str">
        <f>IF(Table2[[#This Row],[Stock Gap]]&lt;0, "Yes", "No")</f>
        <v>No</v>
      </c>
      <c r="P2678" s="13" t="str">
        <f>IF(Table2[[#This Row],[CurrentStock]]&lt;Table2[[#This Row],[ReorderLevel]],"Reorder", "Okay")</f>
        <v>Okay</v>
      </c>
      <c r="Q2678" s="13" t="str">
        <f>IF(Table2[[#This Row],[CurrentStock]]&gt;Table2[[#This Row],[ReorderLevel]]*3, "Overstock", "Okay")</f>
        <v>Overstock</v>
      </c>
    </row>
    <row r="2679" spans="1:17" x14ac:dyDescent="0.35">
      <c r="A2679">
        <v>50584</v>
      </c>
      <c r="B2679" t="s">
        <v>14</v>
      </c>
      <c r="C2679" t="s">
        <v>28</v>
      </c>
      <c r="D2679">
        <v>457</v>
      </c>
      <c r="E2679">
        <v>80</v>
      </c>
      <c r="F2679" s="2">
        <v>342.68</v>
      </c>
      <c r="G2679" t="s">
        <v>35</v>
      </c>
      <c r="H2679" s="1">
        <v>45378</v>
      </c>
      <c r="I2679" s="1">
        <v>45415</v>
      </c>
      <c r="J2679" t="s">
        <v>36</v>
      </c>
      <c r="K2679" s="8">
        <f>Table2[[#This Row],[CurrentStock]]*Table2[[#This Row],[UnitPrice]]</f>
        <v>156604.76</v>
      </c>
      <c r="L2679" t="str">
        <f>IF(Table2[[#This Row],[CurrentStock]]&lt;=Table2[[#This Row],[ReorderLevel]], "Reorder Needed", "Okay")</f>
        <v>Okay</v>
      </c>
      <c r="M2679" t="str">
        <f>IF(Table2[[#This Row],[CurrentStock]]-Table2[[#This Row],[ReorderLevel]]&lt;0,Table2[[#This Row],[CurrentStock]]-Table2[[#This Row],[ReorderLevel]],"")</f>
        <v/>
      </c>
      <c r="N2679" t="str">
        <f>IF(Table2[[#This Row],[Stock Gap]]&lt;0, "Understock","Okay")</f>
        <v>Okay</v>
      </c>
      <c r="O2679" s="13" t="str">
        <f>IF(Table2[[#This Row],[Stock Gap]]&lt;0, "Yes", "No")</f>
        <v>No</v>
      </c>
      <c r="P2679" s="13" t="str">
        <f>IF(Table2[[#This Row],[CurrentStock]]&lt;Table2[[#This Row],[ReorderLevel]],"Reorder", "Okay")</f>
        <v>Okay</v>
      </c>
      <c r="Q2679" s="13" t="str">
        <f>IF(Table2[[#This Row],[CurrentStock]]&gt;Table2[[#This Row],[ReorderLevel]]*3, "Overstock", "Okay")</f>
        <v>Overstock</v>
      </c>
    </row>
    <row r="2680" spans="1:17" x14ac:dyDescent="0.35">
      <c r="A2680">
        <v>79810</v>
      </c>
      <c r="B2680" t="s">
        <v>21</v>
      </c>
      <c r="C2680" t="s">
        <v>26</v>
      </c>
      <c r="D2680">
        <v>326</v>
      </c>
      <c r="E2680">
        <v>30</v>
      </c>
      <c r="F2680" s="2">
        <v>171.49</v>
      </c>
      <c r="G2680" t="s">
        <v>33</v>
      </c>
      <c r="H2680" s="1">
        <v>45541</v>
      </c>
      <c r="I2680" s="1">
        <v>45571</v>
      </c>
      <c r="J2680" t="s">
        <v>38</v>
      </c>
      <c r="K2680" s="8">
        <f>Table2[[#This Row],[CurrentStock]]*Table2[[#This Row],[UnitPrice]]</f>
        <v>55905.740000000005</v>
      </c>
      <c r="L2680" t="str">
        <f>IF(Table2[[#This Row],[CurrentStock]]&lt;=Table2[[#This Row],[ReorderLevel]], "Reorder Needed", "Okay")</f>
        <v>Okay</v>
      </c>
      <c r="M2680" t="str">
        <f>IF(Table2[[#This Row],[CurrentStock]]-Table2[[#This Row],[ReorderLevel]]&lt;0,Table2[[#This Row],[CurrentStock]]-Table2[[#This Row],[ReorderLevel]],"")</f>
        <v/>
      </c>
      <c r="N2680" t="str">
        <f>IF(Table2[[#This Row],[Stock Gap]]&lt;0, "Understock","Okay")</f>
        <v>Okay</v>
      </c>
      <c r="O2680" s="13" t="str">
        <f>IF(Table2[[#This Row],[Stock Gap]]&lt;0, "Yes", "No")</f>
        <v>No</v>
      </c>
      <c r="P2680" s="13" t="str">
        <f>IF(Table2[[#This Row],[CurrentStock]]&lt;Table2[[#This Row],[ReorderLevel]],"Reorder", "Okay")</f>
        <v>Okay</v>
      </c>
      <c r="Q2680" s="13" t="str">
        <f>IF(Table2[[#This Row],[CurrentStock]]&gt;Table2[[#This Row],[ReorderLevel]]*3, "Overstock", "Okay")</f>
        <v>Overstock</v>
      </c>
    </row>
    <row r="2681" spans="1:17" x14ac:dyDescent="0.35">
      <c r="A2681">
        <v>23348</v>
      </c>
      <c r="B2681" t="s">
        <v>17</v>
      </c>
      <c r="C2681" t="s">
        <v>27</v>
      </c>
      <c r="D2681">
        <v>496</v>
      </c>
      <c r="E2681">
        <v>80</v>
      </c>
      <c r="F2681" s="2">
        <v>202.62</v>
      </c>
      <c r="G2681" t="s">
        <v>34</v>
      </c>
      <c r="H2681" s="1">
        <v>45464</v>
      </c>
      <c r="I2681" s="1">
        <v>45477</v>
      </c>
      <c r="J2681" t="s">
        <v>38</v>
      </c>
      <c r="K2681" s="8">
        <f>Table2[[#This Row],[CurrentStock]]*Table2[[#This Row],[UnitPrice]]</f>
        <v>100499.52</v>
      </c>
      <c r="L2681" t="str">
        <f>IF(Table2[[#This Row],[CurrentStock]]&lt;=Table2[[#This Row],[ReorderLevel]], "Reorder Needed", "Okay")</f>
        <v>Okay</v>
      </c>
      <c r="M2681" t="str">
        <f>IF(Table2[[#This Row],[CurrentStock]]-Table2[[#This Row],[ReorderLevel]]&lt;0,Table2[[#This Row],[CurrentStock]]-Table2[[#This Row],[ReorderLevel]],"")</f>
        <v/>
      </c>
      <c r="N2681" t="str">
        <f>IF(Table2[[#This Row],[Stock Gap]]&lt;0, "Understock","Okay")</f>
        <v>Okay</v>
      </c>
      <c r="O2681" s="13" t="str">
        <f>IF(Table2[[#This Row],[Stock Gap]]&lt;0, "Yes", "No")</f>
        <v>No</v>
      </c>
      <c r="P2681" s="13" t="str">
        <f>IF(Table2[[#This Row],[CurrentStock]]&lt;Table2[[#This Row],[ReorderLevel]],"Reorder", "Okay")</f>
        <v>Okay</v>
      </c>
      <c r="Q2681" s="13" t="str">
        <f>IF(Table2[[#This Row],[CurrentStock]]&gt;Table2[[#This Row],[ReorderLevel]]*3, "Overstock", "Okay")</f>
        <v>Overstock</v>
      </c>
    </row>
    <row r="2682" spans="1:17" x14ac:dyDescent="0.35">
      <c r="A2682">
        <v>18752</v>
      </c>
      <c r="B2682" t="s">
        <v>12</v>
      </c>
      <c r="C2682" t="s">
        <v>28</v>
      </c>
      <c r="D2682">
        <v>104</v>
      </c>
      <c r="E2682">
        <v>80</v>
      </c>
      <c r="F2682" s="2">
        <v>41.97</v>
      </c>
      <c r="G2682" t="s">
        <v>32</v>
      </c>
      <c r="H2682" s="1">
        <v>45555</v>
      </c>
      <c r="I2682" s="1">
        <v>45593</v>
      </c>
      <c r="J2682" t="s">
        <v>37</v>
      </c>
      <c r="K2682" s="8">
        <f>Table2[[#This Row],[CurrentStock]]*Table2[[#This Row],[UnitPrice]]</f>
        <v>4364.88</v>
      </c>
      <c r="L2682" t="str">
        <f>IF(Table2[[#This Row],[CurrentStock]]&lt;=Table2[[#This Row],[ReorderLevel]], "Reorder Needed", "Okay")</f>
        <v>Okay</v>
      </c>
      <c r="M2682" t="str">
        <f>IF(Table2[[#This Row],[CurrentStock]]-Table2[[#This Row],[ReorderLevel]]&lt;0,Table2[[#This Row],[CurrentStock]]-Table2[[#This Row],[ReorderLevel]],"")</f>
        <v/>
      </c>
      <c r="N2682" t="str">
        <f>IF(Table2[[#This Row],[Stock Gap]]&lt;0, "Understock","Okay")</f>
        <v>Okay</v>
      </c>
      <c r="O2682" s="13" t="str">
        <f>IF(Table2[[#This Row],[Stock Gap]]&lt;0, "Yes", "No")</f>
        <v>No</v>
      </c>
      <c r="P2682" s="13" t="str">
        <f>IF(Table2[[#This Row],[CurrentStock]]&lt;Table2[[#This Row],[ReorderLevel]],"Reorder", "Okay")</f>
        <v>Okay</v>
      </c>
      <c r="Q2682" s="13" t="str">
        <f>IF(Table2[[#This Row],[CurrentStock]]&gt;Table2[[#This Row],[ReorderLevel]]*3, "Overstock", "Okay")</f>
        <v>Okay</v>
      </c>
    </row>
    <row r="2683" spans="1:17" x14ac:dyDescent="0.35">
      <c r="A2683">
        <v>56431</v>
      </c>
      <c r="B2683" t="s">
        <v>12</v>
      </c>
      <c r="C2683" t="s">
        <v>28</v>
      </c>
      <c r="D2683">
        <v>24</v>
      </c>
      <c r="E2683">
        <v>40</v>
      </c>
      <c r="F2683" s="2">
        <v>337.76</v>
      </c>
      <c r="G2683" t="s">
        <v>32</v>
      </c>
      <c r="H2683" s="1">
        <v>45515</v>
      </c>
      <c r="I2683" s="1">
        <v>45554</v>
      </c>
      <c r="J2683" t="s">
        <v>36</v>
      </c>
      <c r="K2683" s="8">
        <f>Table2[[#This Row],[CurrentStock]]*Table2[[#This Row],[UnitPrice]]</f>
        <v>8106.24</v>
      </c>
      <c r="L2683" t="str">
        <f>IF(Table2[[#This Row],[CurrentStock]]&lt;=Table2[[#This Row],[ReorderLevel]], "Reorder Needed", "Okay")</f>
        <v>Reorder Needed</v>
      </c>
      <c r="M2683" s="7">
        <f>IF(Table2[[#This Row],[CurrentStock]]-Table2[[#This Row],[ReorderLevel]]&lt;0,Table2[[#This Row],[CurrentStock]]-Table2[[#This Row],[ReorderLevel]],"")</f>
        <v>-16</v>
      </c>
      <c r="N2683" t="str">
        <f>IF(Table2[[#This Row],[Stock Gap]]&lt;0, "Understock","Okay")</f>
        <v>Understock</v>
      </c>
      <c r="O2683" s="13" t="str">
        <f>IF(Table2[[#This Row],[Stock Gap]]&lt;0, "Yes", "No")</f>
        <v>Yes</v>
      </c>
      <c r="P2683" s="13" t="str">
        <f>IF(Table2[[#This Row],[CurrentStock]]&lt;Table2[[#This Row],[ReorderLevel]],"Reorder", "Okay")</f>
        <v>Reorder</v>
      </c>
      <c r="Q2683" s="13" t="str">
        <f>IF(Table2[[#This Row],[CurrentStock]]&gt;Table2[[#This Row],[ReorderLevel]]*3, "Overstock", "Okay")</f>
        <v>Okay</v>
      </c>
    </row>
    <row r="2684" spans="1:17" x14ac:dyDescent="0.35">
      <c r="A2684">
        <v>73000</v>
      </c>
      <c r="B2684" t="s">
        <v>9</v>
      </c>
      <c r="C2684" t="s">
        <v>26</v>
      </c>
      <c r="D2684">
        <v>108</v>
      </c>
      <c r="E2684">
        <v>50</v>
      </c>
      <c r="F2684" s="2">
        <v>258.05</v>
      </c>
      <c r="G2684" t="s">
        <v>32</v>
      </c>
      <c r="H2684" s="1">
        <v>45499</v>
      </c>
      <c r="I2684" s="1">
        <v>45521</v>
      </c>
      <c r="J2684" t="s">
        <v>36</v>
      </c>
      <c r="K2684" s="8">
        <f>Table2[[#This Row],[CurrentStock]]*Table2[[#This Row],[UnitPrice]]</f>
        <v>27869.4</v>
      </c>
      <c r="L2684" t="str">
        <f>IF(Table2[[#This Row],[CurrentStock]]&lt;=Table2[[#This Row],[ReorderLevel]], "Reorder Needed", "Okay")</f>
        <v>Okay</v>
      </c>
      <c r="M2684" t="str">
        <f>IF(Table2[[#This Row],[CurrentStock]]-Table2[[#This Row],[ReorderLevel]]&lt;0,Table2[[#This Row],[CurrentStock]]-Table2[[#This Row],[ReorderLevel]],"")</f>
        <v/>
      </c>
      <c r="N2684" t="str">
        <f>IF(Table2[[#This Row],[Stock Gap]]&lt;0, "Understock","Okay")</f>
        <v>Okay</v>
      </c>
      <c r="O2684" s="13" t="str">
        <f>IF(Table2[[#This Row],[Stock Gap]]&lt;0, "Yes", "No")</f>
        <v>No</v>
      </c>
      <c r="P2684" s="13" t="str">
        <f>IF(Table2[[#This Row],[CurrentStock]]&lt;Table2[[#This Row],[ReorderLevel]],"Reorder", "Okay")</f>
        <v>Okay</v>
      </c>
      <c r="Q2684" s="13" t="str">
        <f>IF(Table2[[#This Row],[CurrentStock]]&gt;Table2[[#This Row],[ReorderLevel]]*3, "Overstock", "Okay")</f>
        <v>Okay</v>
      </c>
    </row>
    <row r="2685" spans="1:17" x14ac:dyDescent="0.35">
      <c r="A2685">
        <v>44826</v>
      </c>
      <c r="B2685" t="s">
        <v>9</v>
      </c>
      <c r="C2685" t="s">
        <v>26</v>
      </c>
      <c r="D2685">
        <v>97</v>
      </c>
      <c r="E2685">
        <v>80</v>
      </c>
      <c r="F2685" s="2">
        <v>445.93</v>
      </c>
      <c r="G2685" t="s">
        <v>31</v>
      </c>
      <c r="H2685" s="1">
        <v>45550</v>
      </c>
      <c r="I2685" s="1">
        <v>45561</v>
      </c>
      <c r="J2685" t="s">
        <v>38</v>
      </c>
      <c r="K2685" s="8">
        <f>Table2[[#This Row],[CurrentStock]]*Table2[[#This Row],[UnitPrice]]</f>
        <v>43255.21</v>
      </c>
      <c r="L2685" t="str">
        <f>IF(Table2[[#This Row],[CurrentStock]]&lt;=Table2[[#This Row],[ReorderLevel]], "Reorder Needed", "Okay")</f>
        <v>Okay</v>
      </c>
      <c r="M2685" t="str">
        <f>IF(Table2[[#This Row],[CurrentStock]]-Table2[[#This Row],[ReorderLevel]]&lt;0,Table2[[#This Row],[CurrentStock]]-Table2[[#This Row],[ReorderLevel]],"")</f>
        <v/>
      </c>
      <c r="N2685" t="str">
        <f>IF(Table2[[#This Row],[Stock Gap]]&lt;0, "Understock","Okay")</f>
        <v>Okay</v>
      </c>
      <c r="O2685" s="13" t="str">
        <f>IF(Table2[[#This Row],[Stock Gap]]&lt;0, "Yes", "No")</f>
        <v>No</v>
      </c>
      <c r="P2685" s="13" t="str">
        <f>IF(Table2[[#This Row],[CurrentStock]]&lt;Table2[[#This Row],[ReorderLevel]],"Reorder", "Okay")</f>
        <v>Okay</v>
      </c>
      <c r="Q2685" s="13" t="str">
        <f>IF(Table2[[#This Row],[CurrentStock]]&gt;Table2[[#This Row],[ReorderLevel]]*3, "Overstock", "Okay")</f>
        <v>Okay</v>
      </c>
    </row>
    <row r="2686" spans="1:17" x14ac:dyDescent="0.35">
      <c r="A2686">
        <v>90873</v>
      </c>
      <c r="B2686" t="s">
        <v>21</v>
      </c>
      <c r="C2686" t="s">
        <v>26</v>
      </c>
      <c r="D2686">
        <v>37</v>
      </c>
      <c r="E2686">
        <v>30</v>
      </c>
      <c r="F2686" s="2">
        <v>436.4</v>
      </c>
      <c r="G2686" t="s">
        <v>34</v>
      </c>
      <c r="H2686" s="1">
        <v>45437</v>
      </c>
      <c r="I2686" s="1">
        <v>45448</v>
      </c>
      <c r="J2686" t="s">
        <v>38</v>
      </c>
      <c r="K2686" s="8">
        <f>Table2[[#This Row],[CurrentStock]]*Table2[[#This Row],[UnitPrice]]</f>
        <v>16146.8</v>
      </c>
      <c r="L2686" t="str">
        <f>IF(Table2[[#This Row],[CurrentStock]]&lt;=Table2[[#This Row],[ReorderLevel]], "Reorder Needed", "Okay")</f>
        <v>Okay</v>
      </c>
      <c r="M2686" t="str">
        <f>IF(Table2[[#This Row],[CurrentStock]]-Table2[[#This Row],[ReorderLevel]]&lt;0,Table2[[#This Row],[CurrentStock]]-Table2[[#This Row],[ReorderLevel]],"")</f>
        <v/>
      </c>
      <c r="N2686" t="str">
        <f>IF(Table2[[#This Row],[Stock Gap]]&lt;0, "Understock","Okay")</f>
        <v>Okay</v>
      </c>
      <c r="O2686" s="13" t="str">
        <f>IF(Table2[[#This Row],[Stock Gap]]&lt;0, "Yes", "No")</f>
        <v>No</v>
      </c>
      <c r="P2686" s="13" t="str">
        <f>IF(Table2[[#This Row],[CurrentStock]]&lt;Table2[[#This Row],[ReorderLevel]],"Reorder", "Okay")</f>
        <v>Okay</v>
      </c>
      <c r="Q2686" s="13" t="str">
        <f>IF(Table2[[#This Row],[CurrentStock]]&gt;Table2[[#This Row],[ReorderLevel]]*3, "Overstock", "Okay")</f>
        <v>Okay</v>
      </c>
    </row>
    <row r="2687" spans="1:17" x14ac:dyDescent="0.35">
      <c r="A2687">
        <v>37664</v>
      </c>
      <c r="B2687" t="s">
        <v>11</v>
      </c>
      <c r="C2687" t="s">
        <v>27</v>
      </c>
      <c r="D2687">
        <v>286</v>
      </c>
      <c r="E2687">
        <v>30</v>
      </c>
      <c r="F2687" s="2">
        <v>342.17</v>
      </c>
      <c r="G2687" t="s">
        <v>35</v>
      </c>
      <c r="H2687" s="1">
        <v>45472</v>
      </c>
      <c r="I2687" s="1">
        <v>45503</v>
      </c>
      <c r="J2687" t="s">
        <v>36</v>
      </c>
      <c r="K2687" s="8">
        <f>Table2[[#This Row],[CurrentStock]]*Table2[[#This Row],[UnitPrice]]</f>
        <v>97860.62000000001</v>
      </c>
      <c r="L2687" t="str">
        <f>IF(Table2[[#This Row],[CurrentStock]]&lt;=Table2[[#This Row],[ReorderLevel]], "Reorder Needed", "Okay")</f>
        <v>Okay</v>
      </c>
      <c r="M2687" t="str">
        <f>IF(Table2[[#This Row],[CurrentStock]]-Table2[[#This Row],[ReorderLevel]]&lt;0,Table2[[#This Row],[CurrentStock]]-Table2[[#This Row],[ReorderLevel]],"")</f>
        <v/>
      </c>
      <c r="N2687" t="str">
        <f>IF(Table2[[#This Row],[Stock Gap]]&lt;0, "Understock","Okay")</f>
        <v>Okay</v>
      </c>
      <c r="O2687" s="13" t="str">
        <f>IF(Table2[[#This Row],[Stock Gap]]&lt;0, "Yes", "No")</f>
        <v>No</v>
      </c>
      <c r="P2687" s="13" t="str">
        <f>IF(Table2[[#This Row],[CurrentStock]]&lt;Table2[[#This Row],[ReorderLevel]],"Reorder", "Okay")</f>
        <v>Okay</v>
      </c>
      <c r="Q2687" s="13" t="str">
        <f>IF(Table2[[#This Row],[CurrentStock]]&gt;Table2[[#This Row],[ReorderLevel]]*3, "Overstock", "Okay")</f>
        <v>Overstock</v>
      </c>
    </row>
    <row r="2688" spans="1:17" x14ac:dyDescent="0.35">
      <c r="A2688">
        <v>20556</v>
      </c>
      <c r="B2688" t="s">
        <v>24</v>
      </c>
      <c r="C2688" t="s">
        <v>30</v>
      </c>
      <c r="D2688">
        <v>488</v>
      </c>
      <c r="E2688">
        <v>100</v>
      </c>
      <c r="F2688" s="2">
        <v>113.79</v>
      </c>
      <c r="G2688" t="s">
        <v>33</v>
      </c>
      <c r="H2688" s="1">
        <v>45463</v>
      </c>
      <c r="I2688" s="1">
        <v>45482</v>
      </c>
      <c r="J2688" t="s">
        <v>36</v>
      </c>
      <c r="K2688" s="8">
        <f>Table2[[#This Row],[CurrentStock]]*Table2[[#This Row],[UnitPrice]]</f>
        <v>55529.520000000004</v>
      </c>
      <c r="L2688" t="str">
        <f>IF(Table2[[#This Row],[CurrentStock]]&lt;=Table2[[#This Row],[ReorderLevel]], "Reorder Needed", "Okay")</f>
        <v>Okay</v>
      </c>
      <c r="M2688" t="str">
        <f>IF(Table2[[#This Row],[CurrentStock]]-Table2[[#This Row],[ReorderLevel]]&lt;0,Table2[[#This Row],[CurrentStock]]-Table2[[#This Row],[ReorderLevel]],"")</f>
        <v/>
      </c>
      <c r="N2688" t="str">
        <f>IF(Table2[[#This Row],[Stock Gap]]&lt;0, "Understock","Okay")</f>
        <v>Okay</v>
      </c>
      <c r="O2688" s="13" t="str">
        <f>IF(Table2[[#This Row],[Stock Gap]]&lt;0, "Yes", "No")</f>
        <v>No</v>
      </c>
      <c r="P2688" s="13" t="str">
        <f>IF(Table2[[#This Row],[CurrentStock]]&lt;Table2[[#This Row],[ReorderLevel]],"Reorder", "Okay")</f>
        <v>Okay</v>
      </c>
      <c r="Q2688" s="13" t="str">
        <f>IF(Table2[[#This Row],[CurrentStock]]&gt;Table2[[#This Row],[ReorderLevel]]*3, "Overstock", "Okay")</f>
        <v>Overstock</v>
      </c>
    </row>
    <row r="2689" spans="1:17" x14ac:dyDescent="0.35">
      <c r="A2689">
        <v>55995</v>
      </c>
      <c r="B2689" t="s">
        <v>15</v>
      </c>
      <c r="C2689" t="s">
        <v>29</v>
      </c>
      <c r="D2689">
        <v>330</v>
      </c>
      <c r="E2689">
        <v>20</v>
      </c>
      <c r="F2689" s="2">
        <v>387.45</v>
      </c>
      <c r="G2689" t="s">
        <v>33</v>
      </c>
      <c r="H2689" s="1">
        <v>45574</v>
      </c>
      <c r="I2689" s="1">
        <v>45609</v>
      </c>
      <c r="J2689" t="s">
        <v>38</v>
      </c>
      <c r="K2689" s="8">
        <f>Table2[[#This Row],[CurrentStock]]*Table2[[#This Row],[UnitPrice]]</f>
        <v>127858.5</v>
      </c>
      <c r="L2689" t="str">
        <f>IF(Table2[[#This Row],[CurrentStock]]&lt;=Table2[[#This Row],[ReorderLevel]], "Reorder Needed", "Okay")</f>
        <v>Okay</v>
      </c>
      <c r="M2689" t="str">
        <f>IF(Table2[[#This Row],[CurrentStock]]-Table2[[#This Row],[ReorderLevel]]&lt;0,Table2[[#This Row],[CurrentStock]]-Table2[[#This Row],[ReorderLevel]],"")</f>
        <v/>
      </c>
      <c r="N2689" t="str">
        <f>IF(Table2[[#This Row],[Stock Gap]]&lt;0, "Understock","Okay")</f>
        <v>Okay</v>
      </c>
      <c r="O2689" s="13" t="str">
        <f>IF(Table2[[#This Row],[Stock Gap]]&lt;0, "Yes", "No")</f>
        <v>No</v>
      </c>
      <c r="P2689" s="13" t="str">
        <f>IF(Table2[[#This Row],[CurrentStock]]&lt;Table2[[#This Row],[ReorderLevel]],"Reorder", "Okay")</f>
        <v>Okay</v>
      </c>
      <c r="Q2689" s="13" t="str">
        <f>IF(Table2[[#This Row],[CurrentStock]]&gt;Table2[[#This Row],[ReorderLevel]]*3, "Overstock", "Okay")</f>
        <v>Overstock</v>
      </c>
    </row>
    <row r="2690" spans="1:17" x14ac:dyDescent="0.35">
      <c r="A2690">
        <v>78275</v>
      </c>
      <c r="B2690" t="s">
        <v>23</v>
      </c>
      <c r="C2690" t="s">
        <v>30</v>
      </c>
      <c r="D2690">
        <v>62</v>
      </c>
      <c r="E2690">
        <v>40</v>
      </c>
      <c r="F2690" s="2">
        <v>52.76</v>
      </c>
      <c r="G2690" t="s">
        <v>33</v>
      </c>
      <c r="H2690" s="1">
        <v>45428</v>
      </c>
      <c r="I2690" s="1">
        <v>45442</v>
      </c>
      <c r="J2690" t="s">
        <v>38</v>
      </c>
      <c r="K2690" s="8">
        <f>Table2[[#This Row],[CurrentStock]]*Table2[[#This Row],[UnitPrice]]</f>
        <v>3271.12</v>
      </c>
      <c r="L2690" t="str">
        <f>IF(Table2[[#This Row],[CurrentStock]]&lt;=Table2[[#This Row],[ReorderLevel]], "Reorder Needed", "Okay")</f>
        <v>Okay</v>
      </c>
      <c r="M2690" t="str">
        <f>IF(Table2[[#This Row],[CurrentStock]]-Table2[[#This Row],[ReorderLevel]]&lt;0,Table2[[#This Row],[CurrentStock]]-Table2[[#This Row],[ReorderLevel]],"")</f>
        <v/>
      </c>
      <c r="N2690" t="str">
        <f>IF(Table2[[#This Row],[Stock Gap]]&lt;0, "Understock","Okay")</f>
        <v>Okay</v>
      </c>
      <c r="O2690" s="13" t="str">
        <f>IF(Table2[[#This Row],[Stock Gap]]&lt;0, "Yes", "No")</f>
        <v>No</v>
      </c>
      <c r="P2690" s="13" t="str">
        <f>IF(Table2[[#This Row],[CurrentStock]]&lt;Table2[[#This Row],[ReorderLevel]],"Reorder", "Okay")</f>
        <v>Okay</v>
      </c>
      <c r="Q2690" s="13" t="str">
        <f>IF(Table2[[#This Row],[CurrentStock]]&gt;Table2[[#This Row],[ReorderLevel]]*3, "Overstock", "Okay")</f>
        <v>Okay</v>
      </c>
    </row>
    <row r="2691" spans="1:17" x14ac:dyDescent="0.35">
      <c r="A2691">
        <v>72582</v>
      </c>
      <c r="B2691" t="s">
        <v>12</v>
      </c>
      <c r="C2691" t="s">
        <v>28</v>
      </c>
      <c r="D2691">
        <v>378</v>
      </c>
      <c r="E2691">
        <v>40</v>
      </c>
      <c r="F2691" s="2">
        <v>499.42</v>
      </c>
      <c r="G2691" t="s">
        <v>32</v>
      </c>
      <c r="H2691" s="1">
        <v>45400</v>
      </c>
      <c r="I2691" s="1">
        <v>45427</v>
      </c>
      <c r="J2691" t="s">
        <v>38</v>
      </c>
      <c r="K2691" s="8">
        <f>Table2[[#This Row],[CurrentStock]]*Table2[[#This Row],[UnitPrice]]</f>
        <v>188780.76</v>
      </c>
      <c r="L2691" t="str">
        <f>IF(Table2[[#This Row],[CurrentStock]]&lt;=Table2[[#This Row],[ReorderLevel]], "Reorder Needed", "Okay")</f>
        <v>Okay</v>
      </c>
      <c r="M2691" t="str">
        <f>IF(Table2[[#This Row],[CurrentStock]]-Table2[[#This Row],[ReorderLevel]]&lt;0,Table2[[#This Row],[CurrentStock]]-Table2[[#This Row],[ReorderLevel]],"")</f>
        <v/>
      </c>
      <c r="N2691" t="str">
        <f>IF(Table2[[#This Row],[Stock Gap]]&lt;0, "Understock","Okay")</f>
        <v>Okay</v>
      </c>
      <c r="O2691" s="13" t="str">
        <f>IF(Table2[[#This Row],[Stock Gap]]&lt;0, "Yes", "No")</f>
        <v>No</v>
      </c>
      <c r="P2691" s="13" t="str">
        <f>IF(Table2[[#This Row],[CurrentStock]]&lt;Table2[[#This Row],[ReorderLevel]],"Reorder", "Okay")</f>
        <v>Okay</v>
      </c>
      <c r="Q2691" s="13" t="str">
        <f>IF(Table2[[#This Row],[CurrentStock]]&gt;Table2[[#This Row],[ReorderLevel]]*3, "Overstock", "Okay")</f>
        <v>Overstock</v>
      </c>
    </row>
    <row r="2692" spans="1:17" x14ac:dyDescent="0.35">
      <c r="A2692">
        <v>26956</v>
      </c>
      <c r="B2692" t="s">
        <v>21</v>
      </c>
      <c r="C2692" t="s">
        <v>26</v>
      </c>
      <c r="D2692">
        <v>153</v>
      </c>
      <c r="E2692">
        <v>40</v>
      </c>
      <c r="F2692" s="2">
        <v>300.49</v>
      </c>
      <c r="G2692" t="s">
        <v>33</v>
      </c>
      <c r="H2692" s="1">
        <v>45353</v>
      </c>
      <c r="I2692" s="1">
        <v>45364</v>
      </c>
      <c r="J2692" t="s">
        <v>36</v>
      </c>
      <c r="K2692" s="8">
        <f>Table2[[#This Row],[CurrentStock]]*Table2[[#This Row],[UnitPrice]]</f>
        <v>45974.97</v>
      </c>
      <c r="L2692" t="str">
        <f>IF(Table2[[#This Row],[CurrentStock]]&lt;=Table2[[#This Row],[ReorderLevel]], "Reorder Needed", "Okay")</f>
        <v>Okay</v>
      </c>
      <c r="M2692" t="str">
        <f>IF(Table2[[#This Row],[CurrentStock]]-Table2[[#This Row],[ReorderLevel]]&lt;0,Table2[[#This Row],[CurrentStock]]-Table2[[#This Row],[ReorderLevel]],"")</f>
        <v/>
      </c>
      <c r="N2692" t="str">
        <f>IF(Table2[[#This Row],[Stock Gap]]&lt;0, "Understock","Okay")</f>
        <v>Okay</v>
      </c>
      <c r="O2692" s="13" t="str">
        <f>IF(Table2[[#This Row],[Stock Gap]]&lt;0, "Yes", "No")</f>
        <v>No</v>
      </c>
      <c r="P2692" s="13" t="str">
        <f>IF(Table2[[#This Row],[CurrentStock]]&lt;Table2[[#This Row],[ReorderLevel]],"Reorder", "Okay")</f>
        <v>Okay</v>
      </c>
      <c r="Q2692" s="13" t="str">
        <f>IF(Table2[[#This Row],[CurrentStock]]&gt;Table2[[#This Row],[ReorderLevel]]*3, "Overstock", "Okay")</f>
        <v>Overstock</v>
      </c>
    </row>
    <row r="2693" spans="1:17" x14ac:dyDescent="0.35">
      <c r="A2693">
        <v>53534</v>
      </c>
      <c r="B2693" t="s">
        <v>16</v>
      </c>
      <c r="C2693" t="s">
        <v>29</v>
      </c>
      <c r="D2693">
        <v>34</v>
      </c>
      <c r="E2693">
        <v>100</v>
      </c>
      <c r="F2693" s="2">
        <v>39.299999999999997</v>
      </c>
      <c r="G2693" t="s">
        <v>34</v>
      </c>
      <c r="H2693" s="1">
        <v>45334</v>
      </c>
      <c r="I2693" s="1">
        <v>45340</v>
      </c>
      <c r="J2693" t="s">
        <v>38</v>
      </c>
      <c r="K2693" s="8">
        <f>Table2[[#This Row],[CurrentStock]]*Table2[[#This Row],[UnitPrice]]</f>
        <v>1336.1999999999998</v>
      </c>
      <c r="L2693" t="str">
        <f>IF(Table2[[#This Row],[CurrentStock]]&lt;=Table2[[#This Row],[ReorderLevel]], "Reorder Needed", "Okay")</f>
        <v>Reorder Needed</v>
      </c>
      <c r="M2693" s="7">
        <f>IF(Table2[[#This Row],[CurrentStock]]-Table2[[#This Row],[ReorderLevel]]&lt;0,Table2[[#This Row],[CurrentStock]]-Table2[[#This Row],[ReorderLevel]],"")</f>
        <v>-66</v>
      </c>
      <c r="N2693" t="str">
        <f>IF(Table2[[#This Row],[Stock Gap]]&lt;0, "Understock","Okay")</f>
        <v>Understock</v>
      </c>
      <c r="O2693" s="13" t="str">
        <f>IF(Table2[[#This Row],[Stock Gap]]&lt;0, "Yes", "No")</f>
        <v>Yes</v>
      </c>
      <c r="P2693" s="13" t="str">
        <f>IF(Table2[[#This Row],[CurrentStock]]&lt;Table2[[#This Row],[ReorderLevel]],"Reorder", "Okay")</f>
        <v>Reorder</v>
      </c>
      <c r="Q2693" s="13" t="str">
        <f>IF(Table2[[#This Row],[CurrentStock]]&gt;Table2[[#This Row],[ReorderLevel]]*3, "Overstock", "Okay")</f>
        <v>Okay</v>
      </c>
    </row>
    <row r="2694" spans="1:17" x14ac:dyDescent="0.35">
      <c r="A2694">
        <v>38022</v>
      </c>
      <c r="B2694" t="s">
        <v>23</v>
      </c>
      <c r="C2694" t="s">
        <v>30</v>
      </c>
      <c r="D2694">
        <v>431</v>
      </c>
      <c r="E2694">
        <v>20</v>
      </c>
      <c r="F2694" s="2">
        <v>134.31</v>
      </c>
      <c r="G2694" t="s">
        <v>32</v>
      </c>
      <c r="H2694" s="1">
        <v>45389</v>
      </c>
      <c r="I2694" s="1">
        <v>45420</v>
      </c>
      <c r="J2694" t="s">
        <v>38</v>
      </c>
      <c r="K2694" s="8">
        <f>Table2[[#This Row],[CurrentStock]]*Table2[[#This Row],[UnitPrice]]</f>
        <v>57887.61</v>
      </c>
      <c r="L2694" t="str">
        <f>IF(Table2[[#This Row],[CurrentStock]]&lt;=Table2[[#This Row],[ReorderLevel]], "Reorder Needed", "Okay")</f>
        <v>Okay</v>
      </c>
      <c r="M2694" t="str">
        <f>IF(Table2[[#This Row],[CurrentStock]]-Table2[[#This Row],[ReorderLevel]]&lt;0,Table2[[#This Row],[CurrentStock]]-Table2[[#This Row],[ReorderLevel]],"")</f>
        <v/>
      </c>
      <c r="N2694" t="str">
        <f>IF(Table2[[#This Row],[Stock Gap]]&lt;0, "Understock","Okay")</f>
        <v>Okay</v>
      </c>
      <c r="O2694" s="13" t="str">
        <f>IF(Table2[[#This Row],[Stock Gap]]&lt;0, "Yes", "No")</f>
        <v>No</v>
      </c>
      <c r="P2694" s="13" t="str">
        <f>IF(Table2[[#This Row],[CurrentStock]]&lt;Table2[[#This Row],[ReorderLevel]],"Reorder", "Okay")</f>
        <v>Okay</v>
      </c>
      <c r="Q2694" s="13" t="str">
        <f>IF(Table2[[#This Row],[CurrentStock]]&gt;Table2[[#This Row],[ReorderLevel]]*3, "Overstock", "Okay")</f>
        <v>Overstock</v>
      </c>
    </row>
    <row r="2695" spans="1:17" x14ac:dyDescent="0.35">
      <c r="A2695">
        <v>13909</v>
      </c>
      <c r="B2695" t="s">
        <v>25</v>
      </c>
      <c r="C2695" t="s">
        <v>29</v>
      </c>
      <c r="D2695">
        <v>145</v>
      </c>
      <c r="E2695">
        <v>80</v>
      </c>
      <c r="F2695" s="2">
        <v>361.29</v>
      </c>
      <c r="G2695" t="s">
        <v>33</v>
      </c>
      <c r="H2695" s="1">
        <v>45341</v>
      </c>
      <c r="I2695" s="1">
        <v>45365</v>
      </c>
      <c r="J2695" t="s">
        <v>38</v>
      </c>
      <c r="K2695" s="8">
        <f>Table2[[#This Row],[CurrentStock]]*Table2[[#This Row],[UnitPrice]]</f>
        <v>52387.05</v>
      </c>
      <c r="L2695" t="str">
        <f>IF(Table2[[#This Row],[CurrentStock]]&lt;=Table2[[#This Row],[ReorderLevel]], "Reorder Needed", "Okay")</f>
        <v>Okay</v>
      </c>
      <c r="M2695" t="str">
        <f>IF(Table2[[#This Row],[CurrentStock]]-Table2[[#This Row],[ReorderLevel]]&lt;0,Table2[[#This Row],[CurrentStock]]-Table2[[#This Row],[ReorderLevel]],"")</f>
        <v/>
      </c>
      <c r="N2695" t="str">
        <f>IF(Table2[[#This Row],[Stock Gap]]&lt;0, "Understock","Okay")</f>
        <v>Okay</v>
      </c>
      <c r="O2695" s="13" t="str">
        <f>IF(Table2[[#This Row],[Stock Gap]]&lt;0, "Yes", "No")</f>
        <v>No</v>
      </c>
      <c r="P2695" s="13" t="str">
        <f>IF(Table2[[#This Row],[CurrentStock]]&lt;Table2[[#This Row],[ReorderLevel]],"Reorder", "Okay")</f>
        <v>Okay</v>
      </c>
      <c r="Q2695" s="13" t="str">
        <f>IF(Table2[[#This Row],[CurrentStock]]&gt;Table2[[#This Row],[ReorderLevel]]*3, "Overstock", "Okay")</f>
        <v>Okay</v>
      </c>
    </row>
    <row r="2696" spans="1:17" x14ac:dyDescent="0.35">
      <c r="A2696">
        <v>41063</v>
      </c>
      <c r="B2696" t="s">
        <v>14</v>
      </c>
      <c r="C2696" t="s">
        <v>28</v>
      </c>
      <c r="D2696">
        <v>159</v>
      </c>
      <c r="E2696">
        <v>30</v>
      </c>
      <c r="F2696" s="2">
        <v>56.45</v>
      </c>
      <c r="G2696" t="s">
        <v>35</v>
      </c>
      <c r="H2696" s="1">
        <v>45396</v>
      </c>
      <c r="I2696" s="1">
        <v>45412</v>
      </c>
      <c r="J2696" t="s">
        <v>37</v>
      </c>
      <c r="K2696" s="8">
        <f>Table2[[#This Row],[CurrentStock]]*Table2[[#This Row],[UnitPrice]]</f>
        <v>8975.5500000000011</v>
      </c>
      <c r="L2696" t="str">
        <f>IF(Table2[[#This Row],[CurrentStock]]&lt;=Table2[[#This Row],[ReorderLevel]], "Reorder Needed", "Okay")</f>
        <v>Okay</v>
      </c>
      <c r="M2696" t="str">
        <f>IF(Table2[[#This Row],[CurrentStock]]-Table2[[#This Row],[ReorderLevel]]&lt;0,Table2[[#This Row],[CurrentStock]]-Table2[[#This Row],[ReorderLevel]],"")</f>
        <v/>
      </c>
      <c r="N2696" t="str">
        <f>IF(Table2[[#This Row],[Stock Gap]]&lt;0, "Understock","Okay")</f>
        <v>Okay</v>
      </c>
      <c r="O2696" s="13" t="str">
        <f>IF(Table2[[#This Row],[Stock Gap]]&lt;0, "Yes", "No")</f>
        <v>No</v>
      </c>
      <c r="P2696" s="13" t="str">
        <f>IF(Table2[[#This Row],[CurrentStock]]&lt;Table2[[#This Row],[ReorderLevel]],"Reorder", "Okay")</f>
        <v>Okay</v>
      </c>
      <c r="Q2696" s="13" t="str">
        <f>IF(Table2[[#This Row],[CurrentStock]]&gt;Table2[[#This Row],[ReorderLevel]]*3, "Overstock", "Okay")</f>
        <v>Overstock</v>
      </c>
    </row>
    <row r="2697" spans="1:17" x14ac:dyDescent="0.35">
      <c r="A2697">
        <v>46389</v>
      </c>
      <c r="B2697" t="s">
        <v>18</v>
      </c>
      <c r="C2697" t="s">
        <v>27</v>
      </c>
      <c r="D2697">
        <v>77</v>
      </c>
      <c r="E2697">
        <v>40</v>
      </c>
      <c r="F2697" s="2">
        <v>99.94</v>
      </c>
      <c r="G2697" t="s">
        <v>35</v>
      </c>
      <c r="H2697" s="1">
        <v>45563</v>
      </c>
      <c r="I2697" s="1">
        <v>45587</v>
      </c>
      <c r="J2697" t="s">
        <v>38</v>
      </c>
      <c r="K2697" s="8">
        <f>Table2[[#This Row],[CurrentStock]]*Table2[[#This Row],[UnitPrice]]</f>
        <v>7695.38</v>
      </c>
      <c r="L2697" t="str">
        <f>IF(Table2[[#This Row],[CurrentStock]]&lt;=Table2[[#This Row],[ReorderLevel]], "Reorder Needed", "Okay")</f>
        <v>Okay</v>
      </c>
      <c r="M2697" t="str">
        <f>IF(Table2[[#This Row],[CurrentStock]]-Table2[[#This Row],[ReorderLevel]]&lt;0,Table2[[#This Row],[CurrentStock]]-Table2[[#This Row],[ReorderLevel]],"")</f>
        <v/>
      </c>
      <c r="N2697" t="str">
        <f>IF(Table2[[#This Row],[Stock Gap]]&lt;0, "Understock","Okay")</f>
        <v>Okay</v>
      </c>
      <c r="O2697" s="13" t="str">
        <f>IF(Table2[[#This Row],[Stock Gap]]&lt;0, "Yes", "No")</f>
        <v>No</v>
      </c>
      <c r="P2697" s="13" t="str">
        <f>IF(Table2[[#This Row],[CurrentStock]]&lt;Table2[[#This Row],[ReorderLevel]],"Reorder", "Okay")</f>
        <v>Okay</v>
      </c>
      <c r="Q2697" s="13" t="str">
        <f>IF(Table2[[#This Row],[CurrentStock]]&gt;Table2[[#This Row],[ReorderLevel]]*3, "Overstock", "Okay")</f>
        <v>Okay</v>
      </c>
    </row>
    <row r="2698" spans="1:17" x14ac:dyDescent="0.35">
      <c r="A2698">
        <v>77777</v>
      </c>
      <c r="B2698" t="s">
        <v>14</v>
      </c>
      <c r="C2698" t="s">
        <v>28</v>
      </c>
      <c r="D2698">
        <v>196</v>
      </c>
      <c r="E2698">
        <v>40</v>
      </c>
      <c r="F2698" s="2">
        <v>163.36000000000001</v>
      </c>
      <c r="G2698" t="s">
        <v>31</v>
      </c>
      <c r="H2698" s="1">
        <v>45323</v>
      </c>
      <c r="I2698" s="1">
        <v>45358</v>
      </c>
      <c r="J2698" t="s">
        <v>37</v>
      </c>
      <c r="K2698" s="8">
        <f>Table2[[#This Row],[CurrentStock]]*Table2[[#This Row],[UnitPrice]]</f>
        <v>32018.560000000001</v>
      </c>
      <c r="L2698" t="str">
        <f>IF(Table2[[#This Row],[CurrentStock]]&lt;=Table2[[#This Row],[ReorderLevel]], "Reorder Needed", "Okay")</f>
        <v>Okay</v>
      </c>
      <c r="M2698" t="str">
        <f>IF(Table2[[#This Row],[CurrentStock]]-Table2[[#This Row],[ReorderLevel]]&lt;0,Table2[[#This Row],[CurrentStock]]-Table2[[#This Row],[ReorderLevel]],"")</f>
        <v/>
      </c>
      <c r="N2698" t="str">
        <f>IF(Table2[[#This Row],[Stock Gap]]&lt;0, "Understock","Okay")</f>
        <v>Okay</v>
      </c>
      <c r="O2698" s="13" t="str">
        <f>IF(Table2[[#This Row],[Stock Gap]]&lt;0, "Yes", "No")</f>
        <v>No</v>
      </c>
      <c r="P2698" s="13" t="str">
        <f>IF(Table2[[#This Row],[CurrentStock]]&lt;Table2[[#This Row],[ReorderLevel]],"Reorder", "Okay")</f>
        <v>Okay</v>
      </c>
      <c r="Q2698" s="13" t="str">
        <f>IF(Table2[[#This Row],[CurrentStock]]&gt;Table2[[#This Row],[ReorderLevel]]*3, "Overstock", "Okay")</f>
        <v>Overstock</v>
      </c>
    </row>
    <row r="2699" spans="1:17" x14ac:dyDescent="0.35">
      <c r="A2699">
        <v>94259</v>
      </c>
      <c r="B2699" t="s">
        <v>9</v>
      </c>
      <c r="C2699" t="s">
        <v>26</v>
      </c>
      <c r="D2699">
        <v>455</v>
      </c>
      <c r="E2699">
        <v>80</v>
      </c>
      <c r="F2699" s="2">
        <v>182.51</v>
      </c>
      <c r="G2699" t="s">
        <v>31</v>
      </c>
      <c r="H2699" s="1">
        <v>45430</v>
      </c>
      <c r="I2699" s="1">
        <v>45463</v>
      </c>
      <c r="J2699" t="s">
        <v>37</v>
      </c>
      <c r="K2699" s="8">
        <f>Table2[[#This Row],[CurrentStock]]*Table2[[#This Row],[UnitPrice]]</f>
        <v>83042.05</v>
      </c>
      <c r="L2699" t="str">
        <f>IF(Table2[[#This Row],[CurrentStock]]&lt;=Table2[[#This Row],[ReorderLevel]], "Reorder Needed", "Okay")</f>
        <v>Okay</v>
      </c>
      <c r="M2699" t="str">
        <f>IF(Table2[[#This Row],[CurrentStock]]-Table2[[#This Row],[ReorderLevel]]&lt;0,Table2[[#This Row],[CurrentStock]]-Table2[[#This Row],[ReorderLevel]],"")</f>
        <v/>
      </c>
      <c r="N2699" t="str">
        <f>IF(Table2[[#This Row],[Stock Gap]]&lt;0, "Understock","Okay")</f>
        <v>Okay</v>
      </c>
      <c r="O2699" s="13" t="str">
        <f>IF(Table2[[#This Row],[Stock Gap]]&lt;0, "Yes", "No")</f>
        <v>No</v>
      </c>
      <c r="P2699" s="13" t="str">
        <f>IF(Table2[[#This Row],[CurrentStock]]&lt;Table2[[#This Row],[ReorderLevel]],"Reorder", "Okay")</f>
        <v>Okay</v>
      </c>
      <c r="Q2699" s="13" t="str">
        <f>IF(Table2[[#This Row],[CurrentStock]]&gt;Table2[[#This Row],[ReorderLevel]]*3, "Overstock", "Okay")</f>
        <v>Overstock</v>
      </c>
    </row>
    <row r="2700" spans="1:17" x14ac:dyDescent="0.35">
      <c r="A2700">
        <v>17591</v>
      </c>
      <c r="B2700" t="s">
        <v>19</v>
      </c>
      <c r="C2700" t="s">
        <v>28</v>
      </c>
      <c r="D2700">
        <v>468</v>
      </c>
      <c r="E2700">
        <v>30</v>
      </c>
      <c r="F2700" s="2">
        <v>473.67</v>
      </c>
      <c r="G2700" t="s">
        <v>34</v>
      </c>
      <c r="H2700" s="1">
        <v>45601</v>
      </c>
      <c r="I2700" s="1">
        <v>45629</v>
      </c>
      <c r="J2700" t="s">
        <v>36</v>
      </c>
      <c r="K2700" s="8">
        <f>Table2[[#This Row],[CurrentStock]]*Table2[[#This Row],[UnitPrice]]</f>
        <v>221677.56</v>
      </c>
      <c r="L2700" t="str">
        <f>IF(Table2[[#This Row],[CurrentStock]]&lt;=Table2[[#This Row],[ReorderLevel]], "Reorder Needed", "Okay")</f>
        <v>Okay</v>
      </c>
      <c r="M2700" t="str">
        <f>IF(Table2[[#This Row],[CurrentStock]]-Table2[[#This Row],[ReorderLevel]]&lt;0,Table2[[#This Row],[CurrentStock]]-Table2[[#This Row],[ReorderLevel]],"")</f>
        <v/>
      </c>
      <c r="N2700" t="str">
        <f>IF(Table2[[#This Row],[Stock Gap]]&lt;0, "Understock","Okay")</f>
        <v>Okay</v>
      </c>
      <c r="O2700" s="13" t="str">
        <f>IF(Table2[[#This Row],[Stock Gap]]&lt;0, "Yes", "No")</f>
        <v>No</v>
      </c>
      <c r="P2700" s="13" t="str">
        <f>IF(Table2[[#This Row],[CurrentStock]]&lt;Table2[[#This Row],[ReorderLevel]],"Reorder", "Okay")</f>
        <v>Okay</v>
      </c>
      <c r="Q2700" s="13" t="str">
        <f>IF(Table2[[#This Row],[CurrentStock]]&gt;Table2[[#This Row],[ReorderLevel]]*3, "Overstock", "Okay")</f>
        <v>Overstock</v>
      </c>
    </row>
    <row r="2701" spans="1:17" x14ac:dyDescent="0.35">
      <c r="A2701">
        <v>72848</v>
      </c>
      <c r="B2701" t="s">
        <v>20</v>
      </c>
      <c r="C2701" t="s">
        <v>30</v>
      </c>
      <c r="D2701">
        <v>11</v>
      </c>
      <c r="E2701">
        <v>80</v>
      </c>
      <c r="F2701" s="2">
        <v>399.51</v>
      </c>
      <c r="G2701" t="s">
        <v>31</v>
      </c>
      <c r="H2701" s="1">
        <v>45460</v>
      </c>
      <c r="I2701" s="1">
        <v>45484</v>
      </c>
      <c r="J2701" t="s">
        <v>37</v>
      </c>
      <c r="K2701" s="8">
        <f>Table2[[#This Row],[CurrentStock]]*Table2[[#This Row],[UnitPrice]]</f>
        <v>4394.6099999999997</v>
      </c>
      <c r="L2701" t="str">
        <f>IF(Table2[[#This Row],[CurrentStock]]&lt;=Table2[[#This Row],[ReorderLevel]], "Reorder Needed", "Okay")</f>
        <v>Reorder Needed</v>
      </c>
      <c r="M2701" s="7">
        <f>IF(Table2[[#This Row],[CurrentStock]]-Table2[[#This Row],[ReorderLevel]]&lt;0,Table2[[#This Row],[CurrentStock]]-Table2[[#This Row],[ReorderLevel]],"")</f>
        <v>-69</v>
      </c>
      <c r="N2701" t="str">
        <f>IF(Table2[[#This Row],[Stock Gap]]&lt;0, "Understock","Okay")</f>
        <v>Understock</v>
      </c>
      <c r="O2701" s="13" t="str">
        <f>IF(Table2[[#This Row],[Stock Gap]]&lt;0, "Yes", "No")</f>
        <v>Yes</v>
      </c>
      <c r="P2701" s="13" t="str">
        <f>IF(Table2[[#This Row],[CurrentStock]]&lt;Table2[[#This Row],[ReorderLevel]],"Reorder", "Okay")</f>
        <v>Reorder</v>
      </c>
      <c r="Q2701" s="13" t="str">
        <f>IF(Table2[[#This Row],[CurrentStock]]&gt;Table2[[#This Row],[ReorderLevel]]*3, "Overstock", "Okay")</f>
        <v>Okay</v>
      </c>
    </row>
    <row r="2702" spans="1:17" x14ac:dyDescent="0.35">
      <c r="A2702">
        <v>46123</v>
      </c>
      <c r="B2702" t="s">
        <v>21</v>
      </c>
      <c r="C2702" t="s">
        <v>26</v>
      </c>
      <c r="D2702">
        <v>362</v>
      </c>
      <c r="E2702">
        <v>80</v>
      </c>
      <c r="F2702" s="2">
        <v>338.73</v>
      </c>
      <c r="G2702" t="s">
        <v>34</v>
      </c>
      <c r="H2702" s="1">
        <v>45307</v>
      </c>
      <c r="I2702" s="1">
        <v>45342</v>
      </c>
      <c r="J2702" t="s">
        <v>37</v>
      </c>
      <c r="K2702" s="8">
        <f>Table2[[#This Row],[CurrentStock]]*Table2[[#This Row],[UnitPrice]]</f>
        <v>122620.26000000001</v>
      </c>
      <c r="L2702" t="str">
        <f>IF(Table2[[#This Row],[CurrentStock]]&lt;=Table2[[#This Row],[ReorderLevel]], "Reorder Needed", "Okay")</f>
        <v>Okay</v>
      </c>
      <c r="M2702" t="str">
        <f>IF(Table2[[#This Row],[CurrentStock]]-Table2[[#This Row],[ReorderLevel]]&lt;0,Table2[[#This Row],[CurrentStock]]-Table2[[#This Row],[ReorderLevel]],"")</f>
        <v/>
      </c>
      <c r="N2702" t="str">
        <f>IF(Table2[[#This Row],[Stock Gap]]&lt;0, "Understock","Okay")</f>
        <v>Okay</v>
      </c>
      <c r="O2702" s="13" t="str">
        <f>IF(Table2[[#This Row],[Stock Gap]]&lt;0, "Yes", "No")</f>
        <v>No</v>
      </c>
      <c r="P2702" s="13" t="str">
        <f>IF(Table2[[#This Row],[CurrentStock]]&lt;Table2[[#This Row],[ReorderLevel]],"Reorder", "Okay")</f>
        <v>Okay</v>
      </c>
      <c r="Q2702" s="13" t="str">
        <f>IF(Table2[[#This Row],[CurrentStock]]&gt;Table2[[#This Row],[ReorderLevel]]*3, "Overstock", "Okay")</f>
        <v>Overstock</v>
      </c>
    </row>
    <row r="2703" spans="1:17" x14ac:dyDescent="0.35">
      <c r="A2703">
        <v>56814</v>
      </c>
      <c r="B2703" t="s">
        <v>12</v>
      </c>
      <c r="C2703" t="s">
        <v>28</v>
      </c>
      <c r="D2703">
        <v>26</v>
      </c>
      <c r="E2703">
        <v>50</v>
      </c>
      <c r="F2703" s="2">
        <v>206.45</v>
      </c>
      <c r="G2703" t="s">
        <v>32</v>
      </c>
      <c r="H2703" s="1">
        <v>45398</v>
      </c>
      <c r="I2703" s="1">
        <v>45431</v>
      </c>
      <c r="J2703" t="s">
        <v>38</v>
      </c>
      <c r="K2703" s="8">
        <f>Table2[[#This Row],[CurrentStock]]*Table2[[#This Row],[UnitPrice]]</f>
        <v>5367.7</v>
      </c>
      <c r="L2703" t="str">
        <f>IF(Table2[[#This Row],[CurrentStock]]&lt;=Table2[[#This Row],[ReorderLevel]], "Reorder Needed", "Okay")</f>
        <v>Reorder Needed</v>
      </c>
      <c r="M2703" s="7">
        <f>IF(Table2[[#This Row],[CurrentStock]]-Table2[[#This Row],[ReorderLevel]]&lt;0,Table2[[#This Row],[CurrentStock]]-Table2[[#This Row],[ReorderLevel]],"")</f>
        <v>-24</v>
      </c>
      <c r="N2703" t="str">
        <f>IF(Table2[[#This Row],[Stock Gap]]&lt;0, "Understock","Okay")</f>
        <v>Understock</v>
      </c>
      <c r="O2703" s="13" t="str">
        <f>IF(Table2[[#This Row],[Stock Gap]]&lt;0, "Yes", "No")</f>
        <v>Yes</v>
      </c>
      <c r="P2703" s="13" t="str">
        <f>IF(Table2[[#This Row],[CurrentStock]]&lt;Table2[[#This Row],[ReorderLevel]],"Reorder", "Okay")</f>
        <v>Reorder</v>
      </c>
      <c r="Q2703" s="13" t="str">
        <f>IF(Table2[[#This Row],[CurrentStock]]&gt;Table2[[#This Row],[ReorderLevel]]*3, "Overstock", "Okay")</f>
        <v>Okay</v>
      </c>
    </row>
    <row r="2704" spans="1:17" x14ac:dyDescent="0.35">
      <c r="A2704">
        <v>81713</v>
      </c>
      <c r="B2704" t="s">
        <v>23</v>
      </c>
      <c r="C2704" t="s">
        <v>30</v>
      </c>
      <c r="D2704">
        <v>90</v>
      </c>
      <c r="E2704">
        <v>30</v>
      </c>
      <c r="F2704" s="2">
        <v>156.09</v>
      </c>
      <c r="G2704" t="s">
        <v>31</v>
      </c>
      <c r="H2704" s="1">
        <v>45315</v>
      </c>
      <c r="I2704" s="1">
        <v>45324</v>
      </c>
      <c r="J2704" t="s">
        <v>38</v>
      </c>
      <c r="K2704" s="8">
        <f>Table2[[#This Row],[CurrentStock]]*Table2[[#This Row],[UnitPrice]]</f>
        <v>14048.1</v>
      </c>
      <c r="L2704" t="str">
        <f>IF(Table2[[#This Row],[CurrentStock]]&lt;=Table2[[#This Row],[ReorderLevel]], "Reorder Needed", "Okay")</f>
        <v>Okay</v>
      </c>
      <c r="M2704" t="str">
        <f>IF(Table2[[#This Row],[CurrentStock]]-Table2[[#This Row],[ReorderLevel]]&lt;0,Table2[[#This Row],[CurrentStock]]-Table2[[#This Row],[ReorderLevel]],"")</f>
        <v/>
      </c>
      <c r="N2704" t="str">
        <f>IF(Table2[[#This Row],[Stock Gap]]&lt;0, "Understock","Okay")</f>
        <v>Okay</v>
      </c>
      <c r="O2704" s="13" t="str">
        <f>IF(Table2[[#This Row],[Stock Gap]]&lt;0, "Yes", "No")</f>
        <v>No</v>
      </c>
      <c r="P2704" s="13" t="str">
        <f>IF(Table2[[#This Row],[CurrentStock]]&lt;Table2[[#This Row],[ReorderLevel]],"Reorder", "Okay")</f>
        <v>Okay</v>
      </c>
      <c r="Q2704" s="13" t="str">
        <f>IF(Table2[[#This Row],[CurrentStock]]&gt;Table2[[#This Row],[ReorderLevel]]*3, "Overstock", "Okay")</f>
        <v>Okay</v>
      </c>
    </row>
    <row r="2705" spans="1:17" x14ac:dyDescent="0.35">
      <c r="A2705">
        <v>16639</v>
      </c>
      <c r="B2705" t="s">
        <v>18</v>
      </c>
      <c r="C2705" t="s">
        <v>27</v>
      </c>
      <c r="D2705">
        <v>399</v>
      </c>
      <c r="E2705">
        <v>50</v>
      </c>
      <c r="F2705" s="2">
        <v>417.6</v>
      </c>
      <c r="G2705" t="s">
        <v>31</v>
      </c>
      <c r="H2705" s="1">
        <v>45517</v>
      </c>
      <c r="I2705" s="1">
        <v>45532</v>
      </c>
      <c r="J2705" t="s">
        <v>38</v>
      </c>
      <c r="K2705" s="8">
        <f>Table2[[#This Row],[CurrentStock]]*Table2[[#This Row],[UnitPrice]]</f>
        <v>166622.40000000002</v>
      </c>
      <c r="L2705" t="str">
        <f>IF(Table2[[#This Row],[CurrentStock]]&lt;=Table2[[#This Row],[ReorderLevel]], "Reorder Needed", "Okay")</f>
        <v>Okay</v>
      </c>
      <c r="M2705" t="str">
        <f>IF(Table2[[#This Row],[CurrentStock]]-Table2[[#This Row],[ReorderLevel]]&lt;0,Table2[[#This Row],[CurrentStock]]-Table2[[#This Row],[ReorderLevel]],"")</f>
        <v/>
      </c>
      <c r="N2705" t="str">
        <f>IF(Table2[[#This Row],[Stock Gap]]&lt;0, "Understock","Okay")</f>
        <v>Okay</v>
      </c>
      <c r="O2705" s="13" t="str">
        <f>IF(Table2[[#This Row],[Stock Gap]]&lt;0, "Yes", "No")</f>
        <v>No</v>
      </c>
      <c r="P2705" s="13" t="str">
        <f>IF(Table2[[#This Row],[CurrentStock]]&lt;Table2[[#This Row],[ReorderLevel]],"Reorder", "Okay")</f>
        <v>Okay</v>
      </c>
      <c r="Q2705" s="13" t="str">
        <f>IF(Table2[[#This Row],[CurrentStock]]&gt;Table2[[#This Row],[ReorderLevel]]*3, "Overstock", "Okay")</f>
        <v>Overstock</v>
      </c>
    </row>
    <row r="2706" spans="1:17" x14ac:dyDescent="0.35">
      <c r="A2706">
        <v>67148</v>
      </c>
      <c r="B2706" t="s">
        <v>16</v>
      </c>
      <c r="C2706" t="s">
        <v>29</v>
      </c>
      <c r="D2706">
        <v>309</v>
      </c>
      <c r="E2706">
        <v>100</v>
      </c>
      <c r="F2706" s="2">
        <v>132.62</v>
      </c>
      <c r="G2706" t="s">
        <v>33</v>
      </c>
      <c r="H2706" s="1">
        <v>45518</v>
      </c>
      <c r="I2706" s="1">
        <v>45532</v>
      </c>
      <c r="J2706" t="s">
        <v>36</v>
      </c>
      <c r="K2706" s="8">
        <f>Table2[[#This Row],[CurrentStock]]*Table2[[#This Row],[UnitPrice]]</f>
        <v>40979.58</v>
      </c>
      <c r="L2706" t="str">
        <f>IF(Table2[[#This Row],[CurrentStock]]&lt;=Table2[[#This Row],[ReorderLevel]], "Reorder Needed", "Okay")</f>
        <v>Okay</v>
      </c>
      <c r="M2706" t="str">
        <f>IF(Table2[[#This Row],[CurrentStock]]-Table2[[#This Row],[ReorderLevel]]&lt;0,Table2[[#This Row],[CurrentStock]]-Table2[[#This Row],[ReorderLevel]],"")</f>
        <v/>
      </c>
      <c r="N2706" t="str">
        <f>IF(Table2[[#This Row],[Stock Gap]]&lt;0, "Understock","Okay")</f>
        <v>Okay</v>
      </c>
      <c r="O2706" s="13" t="str">
        <f>IF(Table2[[#This Row],[Stock Gap]]&lt;0, "Yes", "No")</f>
        <v>No</v>
      </c>
      <c r="P2706" s="13" t="str">
        <f>IF(Table2[[#This Row],[CurrentStock]]&lt;Table2[[#This Row],[ReorderLevel]],"Reorder", "Okay")</f>
        <v>Okay</v>
      </c>
      <c r="Q2706" s="13" t="str">
        <f>IF(Table2[[#This Row],[CurrentStock]]&gt;Table2[[#This Row],[ReorderLevel]]*3, "Overstock", "Okay")</f>
        <v>Overstock</v>
      </c>
    </row>
    <row r="2707" spans="1:17" x14ac:dyDescent="0.35">
      <c r="A2707">
        <v>32791</v>
      </c>
      <c r="B2707" t="s">
        <v>15</v>
      </c>
      <c r="C2707" t="s">
        <v>29</v>
      </c>
      <c r="D2707">
        <v>25</v>
      </c>
      <c r="E2707">
        <v>80</v>
      </c>
      <c r="F2707" s="2">
        <v>247.29</v>
      </c>
      <c r="G2707" t="s">
        <v>34</v>
      </c>
      <c r="H2707" s="1">
        <v>45457</v>
      </c>
      <c r="I2707" s="1">
        <v>45467</v>
      </c>
      <c r="J2707" t="s">
        <v>38</v>
      </c>
      <c r="K2707" s="8">
        <f>Table2[[#This Row],[CurrentStock]]*Table2[[#This Row],[UnitPrice]]</f>
        <v>6182.25</v>
      </c>
      <c r="L2707" t="str">
        <f>IF(Table2[[#This Row],[CurrentStock]]&lt;=Table2[[#This Row],[ReorderLevel]], "Reorder Needed", "Okay")</f>
        <v>Reorder Needed</v>
      </c>
      <c r="M2707" s="7">
        <f>IF(Table2[[#This Row],[CurrentStock]]-Table2[[#This Row],[ReorderLevel]]&lt;0,Table2[[#This Row],[CurrentStock]]-Table2[[#This Row],[ReorderLevel]],"")</f>
        <v>-55</v>
      </c>
      <c r="N2707" t="str">
        <f>IF(Table2[[#This Row],[Stock Gap]]&lt;0, "Understock","Okay")</f>
        <v>Understock</v>
      </c>
      <c r="O2707" s="13" t="str">
        <f>IF(Table2[[#This Row],[Stock Gap]]&lt;0, "Yes", "No")</f>
        <v>Yes</v>
      </c>
      <c r="P2707" s="13" t="str">
        <f>IF(Table2[[#This Row],[CurrentStock]]&lt;Table2[[#This Row],[ReorderLevel]],"Reorder", "Okay")</f>
        <v>Reorder</v>
      </c>
      <c r="Q2707" s="13" t="str">
        <f>IF(Table2[[#This Row],[CurrentStock]]&gt;Table2[[#This Row],[ReorderLevel]]*3, "Overstock", "Okay")</f>
        <v>Okay</v>
      </c>
    </row>
    <row r="2708" spans="1:17" x14ac:dyDescent="0.35">
      <c r="A2708">
        <v>72309</v>
      </c>
      <c r="B2708" t="s">
        <v>24</v>
      </c>
      <c r="C2708" t="s">
        <v>30</v>
      </c>
      <c r="D2708">
        <v>325</v>
      </c>
      <c r="E2708">
        <v>30</v>
      </c>
      <c r="F2708" s="2">
        <v>328.82</v>
      </c>
      <c r="G2708" t="s">
        <v>34</v>
      </c>
      <c r="H2708" s="1">
        <v>45456</v>
      </c>
      <c r="I2708" s="1">
        <v>45475</v>
      </c>
      <c r="J2708" t="s">
        <v>36</v>
      </c>
      <c r="K2708" s="8">
        <f>Table2[[#This Row],[CurrentStock]]*Table2[[#This Row],[UnitPrice]]</f>
        <v>106866.5</v>
      </c>
      <c r="L2708" t="str">
        <f>IF(Table2[[#This Row],[CurrentStock]]&lt;=Table2[[#This Row],[ReorderLevel]], "Reorder Needed", "Okay")</f>
        <v>Okay</v>
      </c>
      <c r="M2708" t="str">
        <f>IF(Table2[[#This Row],[CurrentStock]]-Table2[[#This Row],[ReorderLevel]]&lt;0,Table2[[#This Row],[CurrentStock]]-Table2[[#This Row],[ReorderLevel]],"")</f>
        <v/>
      </c>
      <c r="N2708" t="str">
        <f>IF(Table2[[#This Row],[Stock Gap]]&lt;0, "Understock","Okay")</f>
        <v>Okay</v>
      </c>
      <c r="O2708" s="13" t="str">
        <f>IF(Table2[[#This Row],[Stock Gap]]&lt;0, "Yes", "No")</f>
        <v>No</v>
      </c>
      <c r="P2708" s="13" t="str">
        <f>IF(Table2[[#This Row],[CurrentStock]]&lt;Table2[[#This Row],[ReorderLevel]],"Reorder", "Okay")</f>
        <v>Okay</v>
      </c>
      <c r="Q2708" s="13" t="str">
        <f>IF(Table2[[#This Row],[CurrentStock]]&gt;Table2[[#This Row],[ReorderLevel]]*3, "Overstock", "Okay")</f>
        <v>Overstock</v>
      </c>
    </row>
    <row r="2709" spans="1:17" x14ac:dyDescent="0.35">
      <c r="A2709">
        <v>83839</v>
      </c>
      <c r="B2709" t="s">
        <v>23</v>
      </c>
      <c r="C2709" t="s">
        <v>30</v>
      </c>
      <c r="D2709">
        <v>413</v>
      </c>
      <c r="E2709">
        <v>50</v>
      </c>
      <c r="F2709" s="2">
        <v>81.31</v>
      </c>
      <c r="G2709" t="s">
        <v>32</v>
      </c>
      <c r="H2709" s="1">
        <v>45292</v>
      </c>
      <c r="I2709" s="1">
        <v>45312</v>
      </c>
      <c r="J2709" t="s">
        <v>38</v>
      </c>
      <c r="K2709" s="8">
        <f>Table2[[#This Row],[CurrentStock]]*Table2[[#This Row],[UnitPrice]]</f>
        <v>33581.03</v>
      </c>
      <c r="L2709" t="str">
        <f>IF(Table2[[#This Row],[CurrentStock]]&lt;=Table2[[#This Row],[ReorderLevel]], "Reorder Needed", "Okay")</f>
        <v>Okay</v>
      </c>
      <c r="M2709" t="str">
        <f>IF(Table2[[#This Row],[CurrentStock]]-Table2[[#This Row],[ReorderLevel]]&lt;0,Table2[[#This Row],[CurrentStock]]-Table2[[#This Row],[ReorderLevel]],"")</f>
        <v/>
      </c>
      <c r="N2709" t="str">
        <f>IF(Table2[[#This Row],[Stock Gap]]&lt;0, "Understock","Okay")</f>
        <v>Okay</v>
      </c>
      <c r="O2709" s="13" t="str">
        <f>IF(Table2[[#This Row],[Stock Gap]]&lt;0, "Yes", "No")</f>
        <v>No</v>
      </c>
      <c r="P2709" s="13" t="str">
        <f>IF(Table2[[#This Row],[CurrentStock]]&lt;Table2[[#This Row],[ReorderLevel]],"Reorder", "Okay")</f>
        <v>Okay</v>
      </c>
      <c r="Q2709" s="13" t="str">
        <f>IF(Table2[[#This Row],[CurrentStock]]&gt;Table2[[#This Row],[ReorderLevel]]*3, "Overstock", "Okay")</f>
        <v>Overstock</v>
      </c>
    </row>
    <row r="2710" spans="1:17" x14ac:dyDescent="0.35">
      <c r="A2710">
        <v>98560</v>
      </c>
      <c r="B2710" t="s">
        <v>21</v>
      </c>
      <c r="C2710" t="s">
        <v>26</v>
      </c>
      <c r="D2710">
        <v>98</v>
      </c>
      <c r="E2710">
        <v>150</v>
      </c>
      <c r="F2710" s="2">
        <v>316</v>
      </c>
      <c r="G2710" t="s">
        <v>35</v>
      </c>
      <c r="H2710" s="1">
        <v>45327</v>
      </c>
      <c r="I2710" s="1">
        <v>45335</v>
      </c>
      <c r="J2710" t="s">
        <v>36</v>
      </c>
      <c r="K2710" s="8">
        <f>Table2[[#This Row],[CurrentStock]]*Table2[[#This Row],[UnitPrice]]</f>
        <v>30968</v>
      </c>
      <c r="L2710" t="str">
        <f>IF(Table2[[#This Row],[CurrentStock]]&lt;=Table2[[#This Row],[ReorderLevel]], "Reorder Needed", "Okay")</f>
        <v>Reorder Needed</v>
      </c>
      <c r="M2710" s="7">
        <f>IF(Table2[[#This Row],[CurrentStock]]-Table2[[#This Row],[ReorderLevel]]&lt;0,Table2[[#This Row],[CurrentStock]]-Table2[[#This Row],[ReorderLevel]],"")</f>
        <v>-52</v>
      </c>
      <c r="N2710" t="str">
        <f>IF(Table2[[#This Row],[Stock Gap]]&lt;0, "Understock","Okay")</f>
        <v>Understock</v>
      </c>
      <c r="O2710" s="13" t="str">
        <f>IF(Table2[[#This Row],[Stock Gap]]&lt;0, "Yes", "No")</f>
        <v>Yes</v>
      </c>
      <c r="P2710" s="13" t="str">
        <f>IF(Table2[[#This Row],[CurrentStock]]&lt;Table2[[#This Row],[ReorderLevel]],"Reorder", "Okay")</f>
        <v>Reorder</v>
      </c>
      <c r="Q2710" s="13" t="str">
        <f>IF(Table2[[#This Row],[CurrentStock]]&gt;Table2[[#This Row],[ReorderLevel]]*3, "Overstock", "Okay")</f>
        <v>Okay</v>
      </c>
    </row>
    <row r="2711" spans="1:17" x14ac:dyDescent="0.35">
      <c r="A2711">
        <v>97095</v>
      </c>
      <c r="B2711" t="s">
        <v>18</v>
      </c>
      <c r="C2711" t="s">
        <v>27</v>
      </c>
      <c r="D2711">
        <v>428</v>
      </c>
      <c r="E2711">
        <v>150</v>
      </c>
      <c r="F2711" s="2">
        <v>136.74</v>
      </c>
      <c r="G2711" t="s">
        <v>31</v>
      </c>
      <c r="H2711" s="1">
        <v>45373</v>
      </c>
      <c r="I2711" s="1">
        <v>45391</v>
      </c>
      <c r="J2711" t="s">
        <v>38</v>
      </c>
      <c r="K2711" s="8">
        <f>Table2[[#This Row],[CurrentStock]]*Table2[[#This Row],[UnitPrice]]</f>
        <v>58524.72</v>
      </c>
      <c r="L2711" t="str">
        <f>IF(Table2[[#This Row],[CurrentStock]]&lt;=Table2[[#This Row],[ReorderLevel]], "Reorder Needed", "Okay")</f>
        <v>Okay</v>
      </c>
      <c r="M2711" t="str">
        <f>IF(Table2[[#This Row],[CurrentStock]]-Table2[[#This Row],[ReorderLevel]]&lt;0,Table2[[#This Row],[CurrentStock]]-Table2[[#This Row],[ReorderLevel]],"")</f>
        <v/>
      </c>
      <c r="N2711" t="str">
        <f>IF(Table2[[#This Row],[Stock Gap]]&lt;0, "Understock","Okay")</f>
        <v>Okay</v>
      </c>
      <c r="O2711" s="13" t="str">
        <f>IF(Table2[[#This Row],[Stock Gap]]&lt;0, "Yes", "No")</f>
        <v>No</v>
      </c>
      <c r="P2711" s="13" t="str">
        <f>IF(Table2[[#This Row],[CurrentStock]]&lt;Table2[[#This Row],[ReorderLevel]],"Reorder", "Okay")</f>
        <v>Okay</v>
      </c>
      <c r="Q2711" s="13" t="str">
        <f>IF(Table2[[#This Row],[CurrentStock]]&gt;Table2[[#This Row],[ReorderLevel]]*3, "Overstock", "Okay")</f>
        <v>Okay</v>
      </c>
    </row>
    <row r="2712" spans="1:17" x14ac:dyDescent="0.35">
      <c r="A2712">
        <v>22822</v>
      </c>
      <c r="B2712" t="s">
        <v>24</v>
      </c>
      <c r="C2712" t="s">
        <v>30</v>
      </c>
      <c r="D2712">
        <v>347</v>
      </c>
      <c r="E2712">
        <v>100</v>
      </c>
      <c r="F2712" s="2">
        <v>489.03</v>
      </c>
      <c r="G2712" t="s">
        <v>33</v>
      </c>
      <c r="H2712" s="1">
        <v>45437</v>
      </c>
      <c r="I2712" s="1">
        <v>45455</v>
      </c>
      <c r="J2712" t="s">
        <v>38</v>
      </c>
      <c r="K2712" s="8">
        <f>Table2[[#This Row],[CurrentStock]]*Table2[[#This Row],[UnitPrice]]</f>
        <v>169693.41</v>
      </c>
      <c r="L2712" t="str">
        <f>IF(Table2[[#This Row],[CurrentStock]]&lt;=Table2[[#This Row],[ReorderLevel]], "Reorder Needed", "Okay")</f>
        <v>Okay</v>
      </c>
      <c r="M2712" t="str">
        <f>IF(Table2[[#This Row],[CurrentStock]]-Table2[[#This Row],[ReorderLevel]]&lt;0,Table2[[#This Row],[CurrentStock]]-Table2[[#This Row],[ReorderLevel]],"")</f>
        <v/>
      </c>
      <c r="N2712" t="str">
        <f>IF(Table2[[#This Row],[Stock Gap]]&lt;0, "Understock","Okay")</f>
        <v>Okay</v>
      </c>
      <c r="O2712" s="13" t="str">
        <f>IF(Table2[[#This Row],[Stock Gap]]&lt;0, "Yes", "No")</f>
        <v>No</v>
      </c>
      <c r="P2712" s="13" t="str">
        <f>IF(Table2[[#This Row],[CurrentStock]]&lt;Table2[[#This Row],[ReorderLevel]],"Reorder", "Okay")</f>
        <v>Okay</v>
      </c>
      <c r="Q2712" s="13" t="str">
        <f>IF(Table2[[#This Row],[CurrentStock]]&gt;Table2[[#This Row],[ReorderLevel]]*3, "Overstock", "Okay")</f>
        <v>Overstock</v>
      </c>
    </row>
    <row r="2713" spans="1:17" x14ac:dyDescent="0.35">
      <c r="A2713">
        <v>49884</v>
      </c>
      <c r="B2713" t="s">
        <v>22</v>
      </c>
      <c r="C2713" t="s">
        <v>29</v>
      </c>
      <c r="D2713">
        <v>27</v>
      </c>
      <c r="E2713">
        <v>40</v>
      </c>
      <c r="F2713" s="2">
        <v>197.18</v>
      </c>
      <c r="G2713" t="s">
        <v>33</v>
      </c>
      <c r="H2713" s="1">
        <v>45391</v>
      </c>
      <c r="I2713" s="1">
        <v>45426</v>
      </c>
      <c r="J2713" t="s">
        <v>36</v>
      </c>
      <c r="K2713" s="8">
        <f>Table2[[#This Row],[CurrentStock]]*Table2[[#This Row],[UnitPrice]]</f>
        <v>5323.8600000000006</v>
      </c>
      <c r="L2713" t="str">
        <f>IF(Table2[[#This Row],[CurrentStock]]&lt;=Table2[[#This Row],[ReorderLevel]], "Reorder Needed", "Okay")</f>
        <v>Reorder Needed</v>
      </c>
      <c r="M2713" s="7">
        <f>IF(Table2[[#This Row],[CurrentStock]]-Table2[[#This Row],[ReorderLevel]]&lt;0,Table2[[#This Row],[CurrentStock]]-Table2[[#This Row],[ReorderLevel]],"")</f>
        <v>-13</v>
      </c>
      <c r="N2713" t="str">
        <f>IF(Table2[[#This Row],[Stock Gap]]&lt;0, "Understock","Okay")</f>
        <v>Understock</v>
      </c>
      <c r="O2713" s="13" t="str">
        <f>IF(Table2[[#This Row],[Stock Gap]]&lt;0, "Yes", "No")</f>
        <v>Yes</v>
      </c>
      <c r="P2713" s="13" t="str">
        <f>IF(Table2[[#This Row],[CurrentStock]]&lt;Table2[[#This Row],[ReorderLevel]],"Reorder", "Okay")</f>
        <v>Reorder</v>
      </c>
      <c r="Q2713" s="13" t="str">
        <f>IF(Table2[[#This Row],[CurrentStock]]&gt;Table2[[#This Row],[ReorderLevel]]*3, "Overstock", "Okay")</f>
        <v>Okay</v>
      </c>
    </row>
    <row r="2714" spans="1:17" x14ac:dyDescent="0.35">
      <c r="A2714">
        <v>27428</v>
      </c>
      <c r="B2714" t="s">
        <v>21</v>
      </c>
      <c r="C2714" t="s">
        <v>26</v>
      </c>
      <c r="D2714">
        <v>124</v>
      </c>
      <c r="E2714">
        <v>150</v>
      </c>
      <c r="F2714" s="2">
        <v>252.32</v>
      </c>
      <c r="G2714" t="s">
        <v>33</v>
      </c>
      <c r="H2714" s="1">
        <v>45453</v>
      </c>
      <c r="I2714" s="1">
        <v>45489</v>
      </c>
      <c r="J2714" t="s">
        <v>38</v>
      </c>
      <c r="K2714" s="8">
        <f>Table2[[#This Row],[CurrentStock]]*Table2[[#This Row],[UnitPrice]]</f>
        <v>31287.68</v>
      </c>
      <c r="L2714" t="str">
        <f>IF(Table2[[#This Row],[CurrentStock]]&lt;=Table2[[#This Row],[ReorderLevel]], "Reorder Needed", "Okay")</f>
        <v>Reorder Needed</v>
      </c>
      <c r="M2714" s="7">
        <f>IF(Table2[[#This Row],[CurrentStock]]-Table2[[#This Row],[ReorderLevel]]&lt;0,Table2[[#This Row],[CurrentStock]]-Table2[[#This Row],[ReorderLevel]],"")</f>
        <v>-26</v>
      </c>
      <c r="N2714" t="str">
        <f>IF(Table2[[#This Row],[Stock Gap]]&lt;0, "Understock","Okay")</f>
        <v>Understock</v>
      </c>
      <c r="O2714" s="13" t="str">
        <f>IF(Table2[[#This Row],[Stock Gap]]&lt;0, "Yes", "No")</f>
        <v>Yes</v>
      </c>
      <c r="P2714" s="13" t="str">
        <f>IF(Table2[[#This Row],[CurrentStock]]&lt;Table2[[#This Row],[ReorderLevel]],"Reorder", "Okay")</f>
        <v>Reorder</v>
      </c>
      <c r="Q2714" s="13" t="str">
        <f>IF(Table2[[#This Row],[CurrentStock]]&gt;Table2[[#This Row],[ReorderLevel]]*3, "Overstock", "Okay")</f>
        <v>Okay</v>
      </c>
    </row>
    <row r="2715" spans="1:17" x14ac:dyDescent="0.35">
      <c r="A2715">
        <v>21679</v>
      </c>
      <c r="B2715" t="s">
        <v>14</v>
      </c>
      <c r="C2715" t="s">
        <v>28</v>
      </c>
      <c r="D2715">
        <v>430</v>
      </c>
      <c r="E2715">
        <v>80</v>
      </c>
      <c r="F2715" s="2">
        <v>351.69</v>
      </c>
      <c r="G2715" t="s">
        <v>33</v>
      </c>
      <c r="H2715" s="1">
        <v>45332</v>
      </c>
      <c r="I2715" s="1">
        <v>45347</v>
      </c>
      <c r="J2715" t="s">
        <v>37</v>
      </c>
      <c r="K2715" s="8">
        <f>Table2[[#This Row],[CurrentStock]]*Table2[[#This Row],[UnitPrice]]</f>
        <v>151226.70000000001</v>
      </c>
      <c r="L2715" t="str">
        <f>IF(Table2[[#This Row],[CurrentStock]]&lt;=Table2[[#This Row],[ReorderLevel]], "Reorder Needed", "Okay")</f>
        <v>Okay</v>
      </c>
      <c r="M2715" t="str">
        <f>IF(Table2[[#This Row],[CurrentStock]]-Table2[[#This Row],[ReorderLevel]]&lt;0,Table2[[#This Row],[CurrentStock]]-Table2[[#This Row],[ReorderLevel]],"")</f>
        <v/>
      </c>
      <c r="N2715" t="str">
        <f>IF(Table2[[#This Row],[Stock Gap]]&lt;0, "Understock","Okay")</f>
        <v>Okay</v>
      </c>
      <c r="O2715" s="13" t="str">
        <f>IF(Table2[[#This Row],[Stock Gap]]&lt;0, "Yes", "No")</f>
        <v>No</v>
      </c>
      <c r="P2715" s="13" t="str">
        <f>IF(Table2[[#This Row],[CurrentStock]]&lt;Table2[[#This Row],[ReorderLevel]],"Reorder", "Okay")</f>
        <v>Okay</v>
      </c>
      <c r="Q2715" s="13" t="str">
        <f>IF(Table2[[#This Row],[CurrentStock]]&gt;Table2[[#This Row],[ReorderLevel]]*3, "Overstock", "Okay")</f>
        <v>Overstock</v>
      </c>
    </row>
    <row r="2716" spans="1:17" x14ac:dyDescent="0.35">
      <c r="A2716">
        <v>60486</v>
      </c>
      <c r="B2716" t="s">
        <v>12</v>
      </c>
      <c r="C2716" t="s">
        <v>28</v>
      </c>
      <c r="D2716">
        <v>16</v>
      </c>
      <c r="E2716">
        <v>20</v>
      </c>
      <c r="F2716" s="2">
        <v>251.22</v>
      </c>
      <c r="G2716" t="s">
        <v>34</v>
      </c>
      <c r="H2716" s="1">
        <v>45633</v>
      </c>
      <c r="I2716" s="1">
        <v>45672</v>
      </c>
      <c r="J2716" t="s">
        <v>36</v>
      </c>
      <c r="K2716" s="8">
        <f>Table2[[#This Row],[CurrentStock]]*Table2[[#This Row],[UnitPrice]]</f>
        <v>4019.52</v>
      </c>
      <c r="L2716" t="str">
        <f>IF(Table2[[#This Row],[CurrentStock]]&lt;=Table2[[#This Row],[ReorderLevel]], "Reorder Needed", "Okay")</f>
        <v>Reorder Needed</v>
      </c>
      <c r="M2716" s="7">
        <f>IF(Table2[[#This Row],[CurrentStock]]-Table2[[#This Row],[ReorderLevel]]&lt;0,Table2[[#This Row],[CurrentStock]]-Table2[[#This Row],[ReorderLevel]],"")</f>
        <v>-4</v>
      </c>
      <c r="N2716" t="str">
        <f>IF(Table2[[#This Row],[Stock Gap]]&lt;0, "Understock","Okay")</f>
        <v>Understock</v>
      </c>
      <c r="O2716" s="13" t="str">
        <f>IF(Table2[[#This Row],[Stock Gap]]&lt;0, "Yes", "No")</f>
        <v>Yes</v>
      </c>
      <c r="P2716" s="13" t="str">
        <f>IF(Table2[[#This Row],[CurrentStock]]&lt;Table2[[#This Row],[ReorderLevel]],"Reorder", "Okay")</f>
        <v>Reorder</v>
      </c>
      <c r="Q2716" s="13" t="str">
        <f>IF(Table2[[#This Row],[CurrentStock]]&gt;Table2[[#This Row],[ReorderLevel]]*3, "Overstock", "Okay")</f>
        <v>Okay</v>
      </c>
    </row>
    <row r="2717" spans="1:17" x14ac:dyDescent="0.35">
      <c r="A2717">
        <v>15403</v>
      </c>
      <c r="B2717" t="s">
        <v>25</v>
      </c>
      <c r="C2717" t="s">
        <v>29</v>
      </c>
      <c r="D2717">
        <v>182</v>
      </c>
      <c r="E2717">
        <v>20</v>
      </c>
      <c r="F2717" s="2">
        <v>209.7</v>
      </c>
      <c r="G2717" t="s">
        <v>35</v>
      </c>
      <c r="H2717" s="1">
        <v>45338</v>
      </c>
      <c r="I2717" s="1">
        <v>45374</v>
      </c>
      <c r="J2717" t="s">
        <v>37</v>
      </c>
      <c r="K2717" s="8">
        <f>Table2[[#This Row],[CurrentStock]]*Table2[[#This Row],[UnitPrice]]</f>
        <v>38165.4</v>
      </c>
      <c r="L2717" t="str">
        <f>IF(Table2[[#This Row],[CurrentStock]]&lt;=Table2[[#This Row],[ReorderLevel]], "Reorder Needed", "Okay")</f>
        <v>Okay</v>
      </c>
      <c r="M2717" t="str">
        <f>IF(Table2[[#This Row],[CurrentStock]]-Table2[[#This Row],[ReorderLevel]]&lt;0,Table2[[#This Row],[CurrentStock]]-Table2[[#This Row],[ReorderLevel]],"")</f>
        <v/>
      </c>
      <c r="N2717" t="str">
        <f>IF(Table2[[#This Row],[Stock Gap]]&lt;0, "Understock","Okay")</f>
        <v>Okay</v>
      </c>
      <c r="O2717" s="13" t="str">
        <f>IF(Table2[[#This Row],[Stock Gap]]&lt;0, "Yes", "No")</f>
        <v>No</v>
      </c>
      <c r="P2717" s="13" t="str">
        <f>IF(Table2[[#This Row],[CurrentStock]]&lt;Table2[[#This Row],[ReorderLevel]],"Reorder", "Okay")</f>
        <v>Okay</v>
      </c>
      <c r="Q2717" s="13" t="str">
        <f>IF(Table2[[#This Row],[CurrentStock]]&gt;Table2[[#This Row],[ReorderLevel]]*3, "Overstock", "Okay")</f>
        <v>Overstock</v>
      </c>
    </row>
    <row r="2718" spans="1:17" x14ac:dyDescent="0.35">
      <c r="A2718">
        <v>20988</v>
      </c>
      <c r="B2718" t="s">
        <v>13</v>
      </c>
      <c r="C2718" t="s">
        <v>26</v>
      </c>
      <c r="D2718">
        <v>86</v>
      </c>
      <c r="E2718">
        <v>30</v>
      </c>
      <c r="F2718" s="2">
        <v>356.02</v>
      </c>
      <c r="G2718" t="s">
        <v>33</v>
      </c>
      <c r="H2718" s="1">
        <v>45572</v>
      </c>
      <c r="I2718" s="1">
        <v>45609</v>
      </c>
      <c r="J2718" t="s">
        <v>37</v>
      </c>
      <c r="K2718" s="8">
        <f>Table2[[#This Row],[CurrentStock]]*Table2[[#This Row],[UnitPrice]]</f>
        <v>30617.719999999998</v>
      </c>
      <c r="L2718" t="str">
        <f>IF(Table2[[#This Row],[CurrentStock]]&lt;=Table2[[#This Row],[ReorderLevel]], "Reorder Needed", "Okay")</f>
        <v>Okay</v>
      </c>
      <c r="M2718" t="str">
        <f>IF(Table2[[#This Row],[CurrentStock]]-Table2[[#This Row],[ReorderLevel]]&lt;0,Table2[[#This Row],[CurrentStock]]-Table2[[#This Row],[ReorderLevel]],"")</f>
        <v/>
      </c>
      <c r="N2718" t="str">
        <f>IF(Table2[[#This Row],[Stock Gap]]&lt;0, "Understock","Okay")</f>
        <v>Okay</v>
      </c>
      <c r="O2718" s="13" t="str">
        <f>IF(Table2[[#This Row],[Stock Gap]]&lt;0, "Yes", "No")</f>
        <v>No</v>
      </c>
      <c r="P2718" s="13" t="str">
        <f>IF(Table2[[#This Row],[CurrentStock]]&lt;Table2[[#This Row],[ReorderLevel]],"Reorder", "Okay")</f>
        <v>Okay</v>
      </c>
      <c r="Q2718" s="13" t="str">
        <f>IF(Table2[[#This Row],[CurrentStock]]&gt;Table2[[#This Row],[ReorderLevel]]*3, "Overstock", "Okay")</f>
        <v>Okay</v>
      </c>
    </row>
    <row r="2719" spans="1:17" x14ac:dyDescent="0.35">
      <c r="A2719">
        <v>41051</v>
      </c>
      <c r="B2719" t="s">
        <v>11</v>
      </c>
      <c r="C2719" t="s">
        <v>27</v>
      </c>
      <c r="D2719">
        <v>367</v>
      </c>
      <c r="E2719">
        <v>100</v>
      </c>
      <c r="F2719" s="2">
        <v>291.67</v>
      </c>
      <c r="G2719" t="s">
        <v>33</v>
      </c>
      <c r="H2719" s="1">
        <v>45412</v>
      </c>
      <c r="I2719" s="1">
        <v>45433</v>
      </c>
      <c r="J2719" t="s">
        <v>38</v>
      </c>
      <c r="K2719" s="8">
        <f>Table2[[#This Row],[CurrentStock]]*Table2[[#This Row],[UnitPrice]]</f>
        <v>107042.89</v>
      </c>
      <c r="L2719" t="str">
        <f>IF(Table2[[#This Row],[CurrentStock]]&lt;=Table2[[#This Row],[ReorderLevel]], "Reorder Needed", "Okay")</f>
        <v>Okay</v>
      </c>
      <c r="M2719" t="str">
        <f>IF(Table2[[#This Row],[CurrentStock]]-Table2[[#This Row],[ReorderLevel]]&lt;0,Table2[[#This Row],[CurrentStock]]-Table2[[#This Row],[ReorderLevel]],"")</f>
        <v/>
      </c>
      <c r="N2719" t="str">
        <f>IF(Table2[[#This Row],[Stock Gap]]&lt;0, "Understock","Okay")</f>
        <v>Okay</v>
      </c>
      <c r="O2719" s="13" t="str">
        <f>IF(Table2[[#This Row],[Stock Gap]]&lt;0, "Yes", "No")</f>
        <v>No</v>
      </c>
      <c r="P2719" s="13" t="str">
        <f>IF(Table2[[#This Row],[CurrentStock]]&lt;Table2[[#This Row],[ReorderLevel]],"Reorder", "Okay")</f>
        <v>Okay</v>
      </c>
      <c r="Q2719" s="13" t="str">
        <f>IF(Table2[[#This Row],[CurrentStock]]&gt;Table2[[#This Row],[ReorderLevel]]*3, "Overstock", "Okay")</f>
        <v>Overstock</v>
      </c>
    </row>
    <row r="2720" spans="1:17" x14ac:dyDescent="0.35">
      <c r="A2720">
        <v>53406</v>
      </c>
      <c r="B2720" t="s">
        <v>14</v>
      </c>
      <c r="C2720" t="s">
        <v>28</v>
      </c>
      <c r="D2720">
        <v>276</v>
      </c>
      <c r="E2720">
        <v>80</v>
      </c>
      <c r="F2720" s="2">
        <v>358.81</v>
      </c>
      <c r="G2720" t="s">
        <v>31</v>
      </c>
      <c r="H2720" s="1">
        <v>45472</v>
      </c>
      <c r="I2720" s="1">
        <v>45497</v>
      </c>
      <c r="J2720" t="s">
        <v>38</v>
      </c>
      <c r="K2720" s="8">
        <f>Table2[[#This Row],[CurrentStock]]*Table2[[#This Row],[UnitPrice]]</f>
        <v>99031.56</v>
      </c>
      <c r="L2720" t="str">
        <f>IF(Table2[[#This Row],[CurrentStock]]&lt;=Table2[[#This Row],[ReorderLevel]], "Reorder Needed", "Okay")</f>
        <v>Okay</v>
      </c>
      <c r="M2720" t="str">
        <f>IF(Table2[[#This Row],[CurrentStock]]-Table2[[#This Row],[ReorderLevel]]&lt;0,Table2[[#This Row],[CurrentStock]]-Table2[[#This Row],[ReorderLevel]],"")</f>
        <v/>
      </c>
      <c r="N2720" t="str">
        <f>IF(Table2[[#This Row],[Stock Gap]]&lt;0, "Understock","Okay")</f>
        <v>Okay</v>
      </c>
      <c r="O2720" s="13" t="str">
        <f>IF(Table2[[#This Row],[Stock Gap]]&lt;0, "Yes", "No")</f>
        <v>No</v>
      </c>
      <c r="P2720" s="13" t="str">
        <f>IF(Table2[[#This Row],[CurrentStock]]&lt;Table2[[#This Row],[ReorderLevel]],"Reorder", "Okay")</f>
        <v>Okay</v>
      </c>
      <c r="Q2720" s="13" t="str">
        <f>IF(Table2[[#This Row],[CurrentStock]]&gt;Table2[[#This Row],[ReorderLevel]]*3, "Overstock", "Okay")</f>
        <v>Overstock</v>
      </c>
    </row>
    <row r="2721" spans="1:17" x14ac:dyDescent="0.35">
      <c r="A2721">
        <v>67254</v>
      </c>
      <c r="B2721" t="s">
        <v>24</v>
      </c>
      <c r="C2721" t="s">
        <v>30</v>
      </c>
      <c r="D2721">
        <v>383</v>
      </c>
      <c r="E2721">
        <v>150</v>
      </c>
      <c r="F2721" s="2">
        <v>200.3</v>
      </c>
      <c r="G2721" t="s">
        <v>32</v>
      </c>
      <c r="H2721" s="1">
        <v>45317</v>
      </c>
      <c r="I2721" s="1">
        <v>45323</v>
      </c>
      <c r="J2721" t="s">
        <v>37</v>
      </c>
      <c r="K2721" s="8">
        <f>Table2[[#This Row],[CurrentStock]]*Table2[[#This Row],[UnitPrice]]</f>
        <v>76714.900000000009</v>
      </c>
      <c r="L2721" t="str">
        <f>IF(Table2[[#This Row],[CurrentStock]]&lt;=Table2[[#This Row],[ReorderLevel]], "Reorder Needed", "Okay")</f>
        <v>Okay</v>
      </c>
      <c r="M2721" t="str">
        <f>IF(Table2[[#This Row],[CurrentStock]]-Table2[[#This Row],[ReorderLevel]]&lt;0,Table2[[#This Row],[CurrentStock]]-Table2[[#This Row],[ReorderLevel]],"")</f>
        <v/>
      </c>
      <c r="N2721" t="str">
        <f>IF(Table2[[#This Row],[Stock Gap]]&lt;0, "Understock","Okay")</f>
        <v>Okay</v>
      </c>
      <c r="O2721" s="13" t="str">
        <f>IF(Table2[[#This Row],[Stock Gap]]&lt;0, "Yes", "No")</f>
        <v>No</v>
      </c>
      <c r="P2721" s="13" t="str">
        <f>IF(Table2[[#This Row],[CurrentStock]]&lt;Table2[[#This Row],[ReorderLevel]],"Reorder", "Okay")</f>
        <v>Okay</v>
      </c>
      <c r="Q2721" s="13" t="str">
        <f>IF(Table2[[#This Row],[CurrentStock]]&gt;Table2[[#This Row],[ReorderLevel]]*3, "Overstock", "Okay")</f>
        <v>Okay</v>
      </c>
    </row>
    <row r="2722" spans="1:17" x14ac:dyDescent="0.35">
      <c r="A2722">
        <v>49708</v>
      </c>
      <c r="B2722" t="s">
        <v>25</v>
      </c>
      <c r="C2722" t="s">
        <v>29</v>
      </c>
      <c r="D2722">
        <v>183</v>
      </c>
      <c r="E2722">
        <v>150</v>
      </c>
      <c r="F2722" s="2">
        <v>262.58999999999997</v>
      </c>
      <c r="G2722" t="s">
        <v>32</v>
      </c>
      <c r="H2722" s="1">
        <v>45506</v>
      </c>
      <c r="I2722" s="1">
        <v>45521</v>
      </c>
      <c r="J2722" t="s">
        <v>37</v>
      </c>
      <c r="K2722" s="8">
        <f>Table2[[#This Row],[CurrentStock]]*Table2[[#This Row],[UnitPrice]]</f>
        <v>48053.969999999994</v>
      </c>
      <c r="L2722" t="str">
        <f>IF(Table2[[#This Row],[CurrentStock]]&lt;=Table2[[#This Row],[ReorderLevel]], "Reorder Needed", "Okay")</f>
        <v>Okay</v>
      </c>
      <c r="M2722" t="str">
        <f>IF(Table2[[#This Row],[CurrentStock]]-Table2[[#This Row],[ReorderLevel]]&lt;0,Table2[[#This Row],[CurrentStock]]-Table2[[#This Row],[ReorderLevel]],"")</f>
        <v/>
      </c>
      <c r="N2722" t="str">
        <f>IF(Table2[[#This Row],[Stock Gap]]&lt;0, "Understock","Okay")</f>
        <v>Okay</v>
      </c>
      <c r="O2722" s="13" t="str">
        <f>IF(Table2[[#This Row],[Stock Gap]]&lt;0, "Yes", "No")</f>
        <v>No</v>
      </c>
      <c r="P2722" s="13" t="str">
        <f>IF(Table2[[#This Row],[CurrentStock]]&lt;Table2[[#This Row],[ReorderLevel]],"Reorder", "Okay")</f>
        <v>Okay</v>
      </c>
      <c r="Q2722" s="13" t="str">
        <f>IF(Table2[[#This Row],[CurrentStock]]&gt;Table2[[#This Row],[ReorderLevel]]*3, "Overstock", "Okay")</f>
        <v>Okay</v>
      </c>
    </row>
    <row r="2723" spans="1:17" x14ac:dyDescent="0.35">
      <c r="A2723">
        <v>85507</v>
      </c>
      <c r="B2723" t="s">
        <v>17</v>
      </c>
      <c r="C2723" t="s">
        <v>27</v>
      </c>
      <c r="D2723">
        <v>31</v>
      </c>
      <c r="E2723">
        <v>100</v>
      </c>
      <c r="F2723" s="2">
        <v>141.30000000000001</v>
      </c>
      <c r="G2723" t="s">
        <v>34</v>
      </c>
      <c r="H2723" s="1">
        <v>45625</v>
      </c>
      <c r="I2723" s="1">
        <v>45646</v>
      </c>
      <c r="J2723" t="s">
        <v>37</v>
      </c>
      <c r="K2723" s="8">
        <f>Table2[[#This Row],[CurrentStock]]*Table2[[#This Row],[UnitPrice]]</f>
        <v>4380.3</v>
      </c>
      <c r="L2723" t="str">
        <f>IF(Table2[[#This Row],[CurrentStock]]&lt;=Table2[[#This Row],[ReorderLevel]], "Reorder Needed", "Okay")</f>
        <v>Reorder Needed</v>
      </c>
      <c r="M2723" s="7">
        <f>IF(Table2[[#This Row],[CurrentStock]]-Table2[[#This Row],[ReorderLevel]]&lt;0,Table2[[#This Row],[CurrentStock]]-Table2[[#This Row],[ReorderLevel]],"")</f>
        <v>-69</v>
      </c>
      <c r="N2723" t="str">
        <f>IF(Table2[[#This Row],[Stock Gap]]&lt;0, "Understock","Okay")</f>
        <v>Understock</v>
      </c>
      <c r="O2723" s="13" t="str">
        <f>IF(Table2[[#This Row],[Stock Gap]]&lt;0, "Yes", "No")</f>
        <v>Yes</v>
      </c>
      <c r="P2723" s="13" t="str">
        <f>IF(Table2[[#This Row],[CurrentStock]]&lt;Table2[[#This Row],[ReorderLevel]],"Reorder", "Okay")</f>
        <v>Reorder</v>
      </c>
      <c r="Q2723" s="13" t="str">
        <f>IF(Table2[[#This Row],[CurrentStock]]&gt;Table2[[#This Row],[ReorderLevel]]*3, "Overstock", "Okay")</f>
        <v>Okay</v>
      </c>
    </row>
    <row r="2724" spans="1:17" x14ac:dyDescent="0.35">
      <c r="A2724">
        <v>85858</v>
      </c>
      <c r="B2724" t="s">
        <v>9</v>
      </c>
      <c r="C2724" t="s">
        <v>26</v>
      </c>
      <c r="D2724">
        <v>185</v>
      </c>
      <c r="E2724">
        <v>50</v>
      </c>
      <c r="F2724" s="2">
        <v>251.14</v>
      </c>
      <c r="G2724" t="s">
        <v>31</v>
      </c>
      <c r="H2724" s="1">
        <v>45595</v>
      </c>
      <c r="I2724" s="1">
        <v>45617</v>
      </c>
      <c r="J2724" t="s">
        <v>36</v>
      </c>
      <c r="K2724" s="8">
        <f>Table2[[#This Row],[CurrentStock]]*Table2[[#This Row],[UnitPrice]]</f>
        <v>46460.899999999994</v>
      </c>
      <c r="L2724" t="str">
        <f>IF(Table2[[#This Row],[CurrentStock]]&lt;=Table2[[#This Row],[ReorderLevel]], "Reorder Needed", "Okay")</f>
        <v>Okay</v>
      </c>
      <c r="M2724" t="str">
        <f>IF(Table2[[#This Row],[CurrentStock]]-Table2[[#This Row],[ReorderLevel]]&lt;0,Table2[[#This Row],[CurrentStock]]-Table2[[#This Row],[ReorderLevel]],"")</f>
        <v/>
      </c>
      <c r="N2724" t="str">
        <f>IF(Table2[[#This Row],[Stock Gap]]&lt;0, "Understock","Okay")</f>
        <v>Okay</v>
      </c>
      <c r="O2724" s="13" t="str">
        <f>IF(Table2[[#This Row],[Stock Gap]]&lt;0, "Yes", "No")</f>
        <v>No</v>
      </c>
      <c r="P2724" s="13" t="str">
        <f>IF(Table2[[#This Row],[CurrentStock]]&lt;Table2[[#This Row],[ReorderLevel]],"Reorder", "Okay")</f>
        <v>Okay</v>
      </c>
      <c r="Q2724" s="13" t="str">
        <f>IF(Table2[[#This Row],[CurrentStock]]&gt;Table2[[#This Row],[ReorderLevel]]*3, "Overstock", "Okay")</f>
        <v>Overstock</v>
      </c>
    </row>
    <row r="2725" spans="1:17" x14ac:dyDescent="0.35">
      <c r="A2725">
        <v>21325</v>
      </c>
      <c r="B2725" t="s">
        <v>19</v>
      </c>
      <c r="C2725" t="s">
        <v>28</v>
      </c>
      <c r="D2725">
        <v>418</v>
      </c>
      <c r="E2725">
        <v>40</v>
      </c>
      <c r="F2725" s="2">
        <v>431.83</v>
      </c>
      <c r="G2725" t="s">
        <v>34</v>
      </c>
      <c r="H2725" s="1">
        <v>45572</v>
      </c>
      <c r="I2725" s="1">
        <v>45609</v>
      </c>
      <c r="J2725" t="s">
        <v>37</v>
      </c>
      <c r="K2725" s="8">
        <f>Table2[[#This Row],[CurrentStock]]*Table2[[#This Row],[UnitPrice]]</f>
        <v>180504.94</v>
      </c>
      <c r="L2725" t="str">
        <f>IF(Table2[[#This Row],[CurrentStock]]&lt;=Table2[[#This Row],[ReorderLevel]], "Reorder Needed", "Okay")</f>
        <v>Okay</v>
      </c>
      <c r="M2725" t="str">
        <f>IF(Table2[[#This Row],[CurrentStock]]-Table2[[#This Row],[ReorderLevel]]&lt;0,Table2[[#This Row],[CurrentStock]]-Table2[[#This Row],[ReorderLevel]],"")</f>
        <v/>
      </c>
      <c r="N2725" t="str">
        <f>IF(Table2[[#This Row],[Stock Gap]]&lt;0, "Understock","Okay")</f>
        <v>Okay</v>
      </c>
      <c r="O2725" s="13" t="str">
        <f>IF(Table2[[#This Row],[Stock Gap]]&lt;0, "Yes", "No")</f>
        <v>No</v>
      </c>
      <c r="P2725" s="13" t="str">
        <f>IF(Table2[[#This Row],[CurrentStock]]&lt;Table2[[#This Row],[ReorderLevel]],"Reorder", "Okay")</f>
        <v>Okay</v>
      </c>
      <c r="Q2725" s="13" t="str">
        <f>IF(Table2[[#This Row],[CurrentStock]]&gt;Table2[[#This Row],[ReorderLevel]]*3, "Overstock", "Okay")</f>
        <v>Overstock</v>
      </c>
    </row>
    <row r="2726" spans="1:17" x14ac:dyDescent="0.35">
      <c r="A2726">
        <v>88966</v>
      </c>
      <c r="B2726" t="s">
        <v>17</v>
      </c>
      <c r="C2726" t="s">
        <v>27</v>
      </c>
      <c r="D2726">
        <v>3</v>
      </c>
      <c r="E2726">
        <v>30</v>
      </c>
      <c r="F2726" s="2">
        <v>315.31</v>
      </c>
      <c r="G2726" t="s">
        <v>35</v>
      </c>
      <c r="H2726" s="1">
        <v>45578</v>
      </c>
      <c r="I2726" s="1">
        <v>45607</v>
      </c>
      <c r="J2726" t="s">
        <v>36</v>
      </c>
      <c r="K2726" s="8">
        <f>Table2[[#This Row],[CurrentStock]]*Table2[[#This Row],[UnitPrice]]</f>
        <v>945.93000000000006</v>
      </c>
      <c r="L2726" t="str">
        <f>IF(Table2[[#This Row],[CurrentStock]]&lt;=Table2[[#This Row],[ReorderLevel]], "Reorder Needed", "Okay")</f>
        <v>Reorder Needed</v>
      </c>
      <c r="M2726" s="7">
        <f>IF(Table2[[#This Row],[CurrentStock]]-Table2[[#This Row],[ReorderLevel]]&lt;0,Table2[[#This Row],[CurrentStock]]-Table2[[#This Row],[ReorderLevel]],"")</f>
        <v>-27</v>
      </c>
      <c r="N2726" t="str">
        <f>IF(Table2[[#This Row],[Stock Gap]]&lt;0, "Understock","Okay")</f>
        <v>Understock</v>
      </c>
      <c r="O2726" s="13" t="str">
        <f>IF(Table2[[#This Row],[Stock Gap]]&lt;0, "Yes", "No")</f>
        <v>Yes</v>
      </c>
      <c r="P2726" s="13" t="str">
        <f>IF(Table2[[#This Row],[CurrentStock]]&lt;Table2[[#This Row],[ReorderLevel]],"Reorder", "Okay")</f>
        <v>Reorder</v>
      </c>
      <c r="Q2726" s="13" t="str">
        <f>IF(Table2[[#This Row],[CurrentStock]]&gt;Table2[[#This Row],[ReorderLevel]]*3, "Overstock", "Okay")</f>
        <v>Okay</v>
      </c>
    </row>
    <row r="2727" spans="1:17" x14ac:dyDescent="0.35">
      <c r="A2727">
        <v>68274</v>
      </c>
      <c r="B2727" t="s">
        <v>23</v>
      </c>
      <c r="C2727" t="s">
        <v>30</v>
      </c>
      <c r="D2727">
        <v>222</v>
      </c>
      <c r="E2727">
        <v>80</v>
      </c>
      <c r="F2727" s="2">
        <v>272.83</v>
      </c>
      <c r="G2727" t="s">
        <v>32</v>
      </c>
      <c r="H2727" s="1">
        <v>45502</v>
      </c>
      <c r="I2727" s="1">
        <v>45529</v>
      </c>
      <c r="J2727" t="s">
        <v>38</v>
      </c>
      <c r="K2727" s="8">
        <f>Table2[[#This Row],[CurrentStock]]*Table2[[#This Row],[UnitPrice]]</f>
        <v>60568.259999999995</v>
      </c>
      <c r="L2727" t="str">
        <f>IF(Table2[[#This Row],[CurrentStock]]&lt;=Table2[[#This Row],[ReorderLevel]], "Reorder Needed", "Okay")</f>
        <v>Okay</v>
      </c>
      <c r="M2727" t="str">
        <f>IF(Table2[[#This Row],[CurrentStock]]-Table2[[#This Row],[ReorderLevel]]&lt;0,Table2[[#This Row],[CurrentStock]]-Table2[[#This Row],[ReorderLevel]],"")</f>
        <v/>
      </c>
      <c r="N2727" t="str">
        <f>IF(Table2[[#This Row],[Stock Gap]]&lt;0, "Understock","Okay")</f>
        <v>Okay</v>
      </c>
      <c r="O2727" s="13" t="str">
        <f>IF(Table2[[#This Row],[Stock Gap]]&lt;0, "Yes", "No")</f>
        <v>No</v>
      </c>
      <c r="P2727" s="13" t="str">
        <f>IF(Table2[[#This Row],[CurrentStock]]&lt;Table2[[#This Row],[ReorderLevel]],"Reorder", "Okay")</f>
        <v>Okay</v>
      </c>
      <c r="Q2727" s="13" t="str">
        <f>IF(Table2[[#This Row],[CurrentStock]]&gt;Table2[[#This Row],[ReorderLevel]]*3, "Overstock", "Okay")</f>
        <v>Okay</v>
      </c>
    </row>
    <row r="2728" spans="1:17" x14ac:dyDescent="0.35">
      <c r="A2728">
        <v>24075</v>
      </c>
      <c r="B2728" t="s">
        <v>22</v>
      </c>
      <c r="C2728" t="s">
        <v>29</v>
      </c>
      <c r="D2728">
        <v>256</v>
      </c>
      <c r="E2728">
        <v>150</v>
      </c>
      <c r="F2728" s="2">
        <v>239.01</v>
      </c>
      <c r="G2728" t="s">
        <v>33</v>
      </c>
      <c r="H2728" s="1">
        <v>45636</v>
      </c>
      <c r="I2728" s="1">
        <v>45673</v>
      </c>
      <c r="J2728" t="s">
        <v>38</v>
      </c>
      <c r="K2728" s="8">
        <f>Table2[[#This Row],[CurrentStock]]*Table2[[#This Row],[UnitPrice]]</f>
        <v>61186.559999999998</v>
      </c>
      <c r="L2728" t="str">
        <f>IF(Table2[[#This Row],[CurrentStock]]&lt;=Table2[[#This Row],[ReorderLevel]], "Reorder Needed", "Okay")</f>
        <v>Okay</v>
      </c>
      <c r="M2728" t="str">
        <f>IF(Table2[[#This Row],[CurrentStock]]-Table2[[#This Row],[ReorderLevel]]&lt;0,Table2[[#This Row],[CurrentStock]]-Table2[[#This Row],[ReorderLevel]],"")</f>
        <v/>
      </c>
      <c r="N2728" t="str">
        <f>IF(Table2[[#This Row],[Stock Gap]]&lt;0, "Understock","Okay")</f>
        <v>Okay</v>
      </c>
      <c r="O2728" s="13" t="str">
        <f>IF(Table2[[#This Row],[Stock Gap]]&lt;0, "Yes", "No")</f>
        <v>No</v>
      </c>
      <c r="P2728" s="13" t="str">
        <f>IF(Table2[[#This Row],[CurrentStock]]&lt;Table2[[#This Row],[ReorderLevel]],"Reorder", "Okay")</f>
        <v>Okay</v>
      </c>
      <c r="Q2728" s="13" t="str">
        <f>IF(Table2[[#This Row],[CurrentStock]]&gt;Table2[[#This Row],[ReorderLevel]]*3, "Overstock", "Okay")</f>
        <v>Okay</v>
      </c>
    </row>
    <row r="2729" spans="1:17" x14ac:dyDescent="0.35">
      <c r="A2729">
        <v>59101</v>
      </c>
      <c r="B2729" t="s">
        <v>14</v>
      </c>
      <c r="C2729" t="s">
        <v>28</v>
      </c>
      <c r="D2729">
        <v>52</v>
      </c>
      <c r="E2729">
        <v>100</v>
      </c>
      <c r="F2729" s="2">
        <v>466.36</v>
      </c>
      <c r="G2729" t="s">
        <v>33</v>
      </c>
      <c r="H2729" s="1">
        <v>45554</v>
      </c>
      <c r="I2729" s="1">
        <v>45561</v>
      </c>
      <c r="J2729" t="s">
        <v>37</v>
      </c>
      <c r="K2729" s="8">
        <f>Table2[[#This Row],[CurrentStock]]*Table2[[#This Row],[UnitPrice]]</f>
        <v>24250.720000000001</v>
      </c>
      <c r="L2729" t="str">
        <f>IF(Table2[[#This Row],[CurrentStock]]&lt;=Table2[[#This Row],[ReorderLevel]], "Reorder Needed", "Okay")</f>
        <v>Reorder Needed</v>
      </c>
      <c r="M2729" s="7">
        <f>IF(Table2[[#This Row],[CurrentStock]]-Table2[[#This Row],[ReorderLevel]]&lt;0,Table2[[#This Row],[CurrentStock]]-Table2[[#This Row],[ReorderLevel]],"")</f>
        <v>-48</v>
      </c>
      <c r="N2729" t="str">
        <f>IF(Table2[[#This Row],[Stock Gap]]&lt;0, "Understock","Okay")</f>
        <v>Understock</v>
      </c>
      <c r="O2729" s="13" t="str">
        <f>IF(Table2[[#This Row],[Stock Gap]]&lt;0, "Yes", "No")</f>
        <v>Yes</v>
      </c>
      <c r="P2729" s="13" t="str">
        <f>IF(Table2[[#This Row],[CurrentStock]]&lt;Table2[[#This Row],[ReorderLevel]],"Reorder", "Okay")</f>
        <v>Reorder</v>
      </c>
      <c r="Q2729" s="13" t="str">
        <f>IF(Table2[[#This Row],[CurrentStock]]&gt;Table2[[#This Row],[ReorderLevel]]*3, "Overstock", "Okay")</f>
        <v>Okay</v>
      </c>
    </row>
    <row r="2730" spans="1:17" x14ac:dyDescent="0.35">
      <c r="A2730">
        <v>16775</v>
      </c>
      <c r="B2730" t="s">
        <v>19</v>
      </c>
      <c r="C2730" t="s">
        <v>28</v>
      </c>
      <c r="D2730">
        <v>141</v>
      </c>
      <c r="E2730">
        <v>40</v>
      </c>
      <c r="F2730" s="2">
        <v>29.12</v>
      </c>
      <c r="G2730" t="s">
        <v>31</v>
      </c>
      <c r="H2730" s="1">
        <v>45426</v>
      </c>
      <c r="I2730" s="1">
        <v>45437</v>
      </c>
      <c r="J2730" t="s">
        <v>37</v>
      </c>
      <c r="K2730" s="8">
        <f>Table2[[#This Row],[CurrentStock]]*Table2[[#This Row],[UnitPrice]]</f>
        <v>4105.92</v>
      </c>
      <c r="L2730" t="str">
        <f>IF(Table2[[#This Row],[CurrentStock]]&lt;=Table2[[#This Row],[ReorderLevel]], "Reorder Needed", "Okay")</f>
        <v>Okay</v>
      </c>
      <c r="M2730" t="str">
        <f>IF(Table2[[#This Row],[CurrentStock]]-Table2[[#This Row],[ReorderLevel]]&lt;0,Table2[[#This Row],[CurrentStock]]-Table2[[#This Row],[ReorderLevel]],"")</f>
        <v/>
      </c>
      <c r="N2730" t="str">
        <f>IF(Table2[[#This Row],[Stock Gap]]&lt;0, "Understock","Okay")</f>
        <v>Okay</v>
      </c>
      <c r="O2730" s="13" t="str">
        <f>IF(Table2[[#This Row],[Stock Gap]]&lt;0, "Yes", "No")</f>
        <v>No</v>
      </c>
      <c r="P2730" s="13" t="str">
        <f>IF(Table2[[#This Row],[CurrentStock]]&lt;Table2[[#This Row],[ReorderLevel]],"Reorder", "Okay")</f>
        <v>Okay</v>
      </c>
      <c r="Q2730" s="13" t="str">
        <f>IF(Table2[[#This Row],[CurrentStock]]&gt;Table2[[#This Row],[ReorderLevel]]*3, "Overstock", "Okay")</f>
        <v>Overstock</v>
      </c>
    </row>
    <row r="2731" spans="1:17" x14ac:dyDescent="0.35">
      <c r="A2731">
        <v>56993</v>
      </c>
      <c r="B2731" t="s">
        <v>23</v>
      </c>
      <c r="C2731" t="s">
        <v>30</v>
      </c>
      <c r="D2731">
        <v>352</v>
      </c>
      <c r="E2731">
        <v>80</v>
      </c>
      <c r="F2731" s="2">
        <v>430.22</v>
      </c>
      <c r="G2731" t="s">
        <v>34</v>
      </c>
      <c r="H2731" s="1">
        <v>45435</v>
      </c>
      <c r="I2731" s="1">
        <v>45454</v>
      </c>
      <c r="J2731" t="s">
        <v>38</v>
      </c>
      <c r="K2731" s="8">
        <f>Table2[[#This Row],[CurrentStock]]*Table2[[#This Row],[UnitPrice]]</f>
        <v>151437.44</v>
      </c>
      <c r="L2731" t="str">
        <f>IF(Table2[[#This Row],[CurrentStock]]&lt;=Table2[[#This Row],[ReorderLevel]], "Reorder Needed", "Okay")</f>
        <v>Okay</v>
      </c>
      <c r="M2731" t="str">
        <f>IF(Table2[[#This Row],[CurrentStock]]-Table2[[#This Row],[ReorderLevel]]&lt;0,Table2[[#This Row],[CurrentStock]]-Table2[[#This Row],[ReorderLevel]],"")</f>
        <v/>
      </c>
      <c r="N2731" t="str">
        <f>IF(Table2[[#This Row],[Stock Gap]]&lt;0, "Understock","Okay")</f>
        <v>Okay</v>
      </c>
      <c r="O2731" s="13" t="str">
        <f>IF(Table2[[#This Row],[Stock Gap]]&lt;0, "Yes", "No")</f>
        <v>No</v>
      </c>
      <c r="P2731" s="13" t="str">
        <f>IF(Table2[[#This Row],[CurrentStock]]&lt;Table2[[#This Row],[ReorderLevel]],"Reorder", "Okay")</f>
        <v>Okay</v>
      </c>
      <c r="Q2731" s="13" t="str">
        <f>IF(Table2[[#This Row],[CurrentStock]]&gt;Table2[[#This Row],[ReorderLevel]]*3, "Overstock", "Okay")</f>
        <v>Overstock</v>
      </c>
    </row>
    <row r="2732" spans="1:17" x14ac:dyDescent="0.35">
      <c r="A2732">
        <v>82582</v>
      </c>
      <c r="B2732" t="s">
        <v>19</v>
      </c>
      <c r="C2732" t="s">
        <v>28</v>
      </c>
      <c r="D2732">
        <v>453</v>
      </c>
      <c r="E2732">
        <v>80</v>
      </c>
      <c r="F2732" s="2">
        <v>199.22</v>
      </c>
      <c r="G2732" t="s">
        <v>31</v>
      </c>
      <c r="H2732" s="1">
        <v>45544</v>
      </c>
      <c r="I2732" s="1">
        <v>45575</v>
      </c>
      <c r="J2732" t="s">
        <v>37</v>
      </c>
      <c r="K2732" s="8">
        <f>Table2[[#This Row],[CurrentStock]]*Table2[[#This Row],[UnitPrice]]</f>
        <v>90246.66</v>
      </c>
      <c r="L2732" t="str">
        <f>IF(Table2[[#This Row],[CurrentStock]]&lt;=Table2[[#This Row],[ReorderLevel]], "Reorder Needed", "Okay")</f>
        <v>Okay</v>
      </c>
      <c r="M2732" t="str">
        <f>IF(Table2[[#This Row],[CurrentStock]]-Table2[[#This Row],[ReorderLevel]]&lt;0,Table2[[#This Row],[CurrentStock]]-Table2[[#This Row],[ReorderLevel]],"")</f>
        <v/>
      </c>
      <c r="N2732" t="str">
        <f>IF(Table2[[#This Row],[Stock Gap]]&lt;0, "Understock","Okay")</f>
        <v>Okay</v>
      </c>
      <c r="O2732" s="13" t="str">
        <f>IF(Table2[[#This Row],[Stock Gap]]&lt;0, "Yes", "No")</f>
        <v>No</v>
      </c>
      <c r="P2732" s="13" t="str">
        <f>IF(Table2[[#This Row],[CurrentStock]]&lt;Table2[[#This Row],[ReorderLevel]],"Reorder", "Okay")</f>
        <v>Okay</v>
      </c>
      <c r="Q2732" s="13" t="str">
        <f>IF(Table2[[#This Row],[CurrentStock]]&gt;Table2[[#This Row],[ReorderLevel]]*3, "Overstock", "Okay")</f>
        <v>Overstock</v>
      </c>
    </row>
    <row r="2733" spans="1:17" x14ac:dyDescent="0.35">
      <c r="A2733">
        <v>51129</v>
      </c>
      <c r="B2733" t="s">
        <v>17</v>
      </c>
      <c r="C2733" t="s">
        <v>27</v>
      </c>
      <c r="D2733">
        <v>138</v>
      </c>
      <c r="E2733">
        <v>80</v>
      </c>
      <c r="F2733" s="2">
        <v>422.05</v>
      </c>
      <c r="G2733" t="s">
        <v>32</v>
      </c>
      <c r="H2733" s="1">
        <v>45475</v>
      </c>
      <c r="I2733" s="1">
        <v>45491</v>
      </c>
      <c r="J2733" t="s">
        <v>37</v>
      </c>
      <c r="K2733" s="8">
        <f>Table2[[#This Row],[CurrentStock]]*Table2[[#This Row],[UnitPrice]]</f>
        <v>58242.9</v>
      </c>
      <c r="L2733" t="str">
        <f>IF(Table2[[#This Row],[CurrentStock]]&lt;=Table2[[#This Row],[ReorderLevel]], "Reorder Needed", "Okay")</f>
        <v>Okay</v>
      </c>
      <c r="M2733" t="str">
        <f>IF(Table2[[#This Row],[CurrentStock]]-Table2[[#This Row],[ReorderLevel]]&lt;0,Table2[[#This Row],[CurrentStock]]-Table2[[#This Row],[ReorderLevel]],"")</f>
        <v/>
      </c>
      <c r="N2733" t="str">
        <f>IF(Table2[[#This Row],[Stock Gap]]&lt;0, "Understock","Okay")</f>
        <v>Okay</v>
      </c>
      <c r="O2733" s="13" t="str">
        <f>IF(Table2[[#This Row],[Stock Gap]]&lt;0, "Yes", "No")</f>
        <v>No</v>
      </c>
      <c r="P2733" s="13" t="str">
        <f>IF(Table2[[#This Row],[CurrentStock]]&lt;Table2[[#This Row],[ReorderLevel]],"Reorder", "Okay")</f>
        <v>Okay</v>
      </c>
      <c r="Q2733" s="13" t="str">
        <f>IF(Table2[[#This Row],[CurrentStock]]&gt;Table2[[#This Row],[ReorderLevel]]*3, "Overstock", "Okay")</f>
        <v>Okay</v>
      </c>
    </row>
    <row r="2734" spans="1:17" x14ac:dyDescent="0.35">
      <c r="A2734">
        <v>38337</v>
      </c>
      <c r="B2734" t="s">
        <v>24</v>
      </c>
      <c r="C2734" t="s">
        <v>30</v>
      </c>
      <c r="D2734">
        <v>397</v>
      </c>
      <c r="E2734">
        <v>80</v>
      </c>
      <c r="F2734" s="2">
        <v>456.43</v>
      </c>
      <c r="G2734" t="s">
        <v>34</v>
      </c>
      <c r="H2734" s="1">
        <v>45342</v>
      </c>
      <c r="I2734" s="1">
        <v>45354</v>
      </c>
      <c r="J2734" t="s">
        <v>36</v>
      </c>
      <c r="K2734" s="8">
        <f>Table2[[#This Row],[CurrentStock]]*Table2[[#This Row],[UnitPrice]]</f>
        <v>181202.71</v>
      </c>
      <c r="L2734" t="str">
        <f>IF(Table2[[#This Row],[CurrentStock]]&lt;=Table2[[#This Row],[ReorderLevel]], "Reorder Needed", "Okay")</f>
        <v>Okay</v>
      </c>
      <c r="M2734" t="str">
        <f>IF(Table2[[#This Row],[CurrentStock]]-Table2[[#This Row],[ReorderLevel]]&lt;0,Table2[[#This Row],[CurrentStock]]-Table2[[#This Row],[ReorderLevel]],"")</f>
        <v/>
      </c>
      <c r="N2734" t="str">
        <f>IF(Table2[[#This Row],[Stock Gap]]&lt;0, "Understock","Okay")</f>
        <v>Okay</v>
      </c>
      <c r="O2734" s="13" t="str">
        <f>IF(Table2[[#This Row],[Stock Gap]]&lt;0, "Yes", "No")</f>
        <v>No</v>
      </c>
      <c r="P2734" s="13" t="str">
        <f>IF(Table2[[#This Row],[CurrentStock]]&lt;Table2[[#This Row],[ReorderLevel]],"Reorder", "Okay")</f>
        <v>Okay</v>
      </c>
      <c r="Q2734" s="13" t="str">
        <f>IF(Table2[[#This Row],[CurrentStock]]&gt;Table2[[#This Row],[ReorderLevel]]*3, "Overstock", "Okay")</f>
        <v>Overstock</v>
      </c>
    </row>
    <row r="2735" spans="1:17" x14ac:dyDescent="0.35">
      <c r="A2735">
        <v>16511</v>
      </c>
      <c r="B2735" t="s">
        <v>12</v>
      </c>
      <c r="C2735" t="s">
        <v>28</v>
      </c>
      <c r="D2735">
        <v>47</v>
      </c>
      <c r="E2735">
        <v>30</v>
      </c>
      <c r="F2735" s="2">
        <v>353.97</v>
      </c>
      <c r="G2735" t="s">
        <v>31</v>
      </c>
      <c r="H2735" s="1">
        <v>45338</v>
      </c>
      <c r="I2735" s="1">
        <v>45371</v>
      </c>
      <c r="J2735" t="s">
        <v>36</v>
      </c>
      <c r="K2735" s="8">
        <f>Table2[[#This Row],[CurrentStock]]*Table2[[#This Row],[UnitPrice]]</f>
        <v>16636.59</v>
      </c>
      <c r="L2735" t="str">
        <f>IF(Table2[[#This Row],[CurrentStock]]&lt;=Table2[[#This Row],[ReorderLevel]], "Reorder Needed", "Okay")</f>
        <v>Okay</v>
      </c>
      <c r="M2735" t="str">
        <f>IF(Table2[[#This Row],[CurrentStock]]-Table2[[#This Row],[ReorderLevel]]&lt;0,Table2[[#This Row],[CurrentStock]]-Table2[[#This Row],[ReorderLevel]],"")</f>
        <v/>
      </c>
      <c r="N2735" t="str">
        <f>IF(Table2[[#This Row],[Stock Gap]]&lt;0, "Understock","Okay")</f>
        <v>Okay</v>
      </c>
      <c r="O2735" s="13" t="str">
        <f>IF(Table2[[#This Row],[Stock Gap]]&lt;0, "Yes", "No")</f>
        <v>No</v>
      </c>
      <c r="P2735" s="13" t="str">
        <f>IF(Table2[[#This Row],[CurrentStock]]&lt;Table2[[#This Row],[ReorderLevel]],"Reorder", "Okay")</f>
        <v>Okay</v>
      </c>
      <c r="Q2735" s="13" t="str">
        <f>IF(Table2[[#This Row],[CurrentStock]]&gt;Table2[[#This Row],[ReorderLevel]]*3, "Overstock", "Okay")</f>
        <v>Okay</v>
      </c>
    </row>
    <row r="2736" spans="1:17" x14ac:dyDescent="0.35">
      <c r="A2736">
        <v>61169</v>
      </c>
      <c r="B2736" t="s">
        <v>24</v>
      </c>
      <c r="C2736" t="s">
        <v>30</v>
      </c>
      <c r="D2736">
        <v>421</v>
      </c>
      <c r="E2736">
        <v>30</v>
      </c>
      <c r="F2736" s="2">
        <v>475.23</v>
      </c>
      <c r="G2736" t="s">
        <v>32</v>
      </c>
      <c r="H2736" s="1">
        <v>45547</v>
      </c>
      <c r="I2736" s="1">
        <v>45554</v>
      </c>
      <c r="J2736" t="s">
        <v>37</v>
      </c>
      <c r="K2736" s="8">
        <f>Table2[[#This Row],[CurrentStock]]*Table2[[#This Row],[UnitPrice]]</f>
        <v>200071.83000000002</v>
      </c>
      <c r="L2736" t="str">
        <f>IF(Table2[[#This Row],[CurrentStock]]&lt;=Table2[[#This Row],[ReorderLevel]], "Reorder Needed", "Okay")</f>
        <v>Okay</v>
      </c>
      <c r="M2736" t="str">
        <f>IF(Table2[[#This Row],[CurrentStock]]-Table2[[#This Row],[ReorderLevel]]&lt;0,Table2[[#This Row],[CurrentStock]]-Table2[[#This Row],[ReorderLevel]],"")</f>
        <v/>
      </c>
      <c r="N2736" t="str">
        <f>IF(Table2[[#This Row],[Stock Gap]]&lt;0, "Understock","Okay")</f>
        <v>Okay</v>
      </c>
      <c r="O2736" s="13" t="str">
        <f>IF(Table2[[#This Row],[Stock Gap]]&lt;0, "Yes", "No")</f>
        <v>No</v>
      </c>
      <c r="P2736" s="13" t="str">
        <f>IF(Table2[[#This Row],[CurrentStock]]&lt;Table2[[#This Row],[ReorderLevel]],"Reorder", "Okay")</f>
        <v>Okay</v>
      </c>
      <c r="Q2736" s="13" t="str">
        <f>IF(Table2[[#This Row],[CurrentStock]]&gt;Table2[[#This Row],[ReorderLevel]]*3, "Overstock", "Okay")</f>
        <v>Overstock</v>
      </c>
    </row>
    <row r="2737" spans="1:17" x14ac:dyDescent="0.35">
      <c r="A2737">
        <v>84090</v>
      </c>
      <c r="B2737" t="s">
        <v>11</v>
      </c>
      <c r="C2737" t="s">
        <v>27</v>
      </c>
      <c r="D2737">
        <v>497</v>
      </c>
      <c r="E2737">
        <v>40</v>
      </c>
      <c r="F2737" s="2">
        <v>267.20999999999998</v>
      </c>
      <c r="G2737" t="s">
        <v>32</v>
      </c>
      <c r="H2737" s="1">
        <v>45308</v>
      </c>
      <c r="I2737" s="1">
        <v>45330</v>
      </c>
      <c r="J2737" t="s">
        <v>37</v>
      </c>
      <c r="K2737" s="8">
        <f>Table2[[#This Row],[CurrentStock]]*Table2[[#This Row],[UnitPrice]]</f>
        <v>132803.37</v>
      </c>
      <c r="L2737" t="str">
        <f>IF(Table2[[#This Row],[CurrentStock]]&lt;=Table2[[#This Row],[ReorderLevel]], "Reorder Needed", "Okay")</f>
        <v>Okay</v>
      </c>
      <c r="M2737" t="str">
        <f>IF(Table2[[#This Row],[CurrentStock]]-Table2[[#This Row],[ReorderLevel]]&lt;0,Table2[[#This Row],[CurrentStock]]-Table2[[#This Row],[ReorderLevel]],"")</f>
        <v/>
      </c>
      <c r="N2737" t="str">
        <f>IF(Table2[[#This Row],[Stock Gap]]&lt;0, "Understock","Okay")</f>
        <v>Okay</v>
      </c>
      <c r="O2737" s="13" t="str">
        <f>IF(Table2[[#This Row],[Stock Gap]]&lt;0, "Yes", "No")</f>
        <v>No</v>
      </c>
      <c r="P2737" s="13" t="str">
        <f>IF(Table2[[#This Row],[CurrentStock]]&lt;Table2[[#This Row],[ReorderLevel]],"Reorder", "Okay")</f>
        <v>Okay</v>
      </c>
      <c r="Q2737" s="13" t="str">
        <f>IF(Table2[[#This Row],[CurrentStock]]&gt;Table2[[#This Row],[ReorderLevel]]*3, "Overstock", "Okay")</f>
        <v>Overstock</v>
      </c>
    </row>
    <row r="2738" spans="1:17" x14ac:dyDescent="0.35">
      <c r="A2738">
        <v>79400</v>
      </c>
      <c r="B2738" t="s">
        <v>19</v>
      </c>
      <c r="C2738" t="s">
        <v>28</v>
      </c>
      <c r="D2738">
        <v>318</v>
      </c>
      <c r="E2738">
        <v>100</v>
      </c>
      <c r="F2738" s="2">
        <v>26.37</v>
      </c>
      <c r="G2738" t="s">
        <v>33</v>
      </c>
      <c r="H2738" s="1">
        <v>45565</v>
      </c>
      <c r="I2738" s="1">
        <v>45574</v>
      </c>
      <c r="J2738" t="s">
        <v>36</v>
      </c>
      <c r="K2738" s="8">
        <f>Table2[[#This Row],[CurrentStock]]*Table2[[#This Row],[UnitPrice]]</f>
        <v>8385.66</v>
      </c>
      <c r="L2738" t="str">
        <f>IF(Table2[[#This Row],[CurrentStock]]&lt;=Table2[[#This Row],[ReorderLevel]], "Reorder Needed", "Okay")</f>
        <v>Okay</v>
      </c>
      <c r="M2738" t="str">
        <f>IF(Table2[[#This Row],[CurrentStock]]-Table2[[#This Row],[ReorderLevel]]&lt;0,Table2[[#This Row],[CurrentStock]]-Table2[[#This Row],[ReorderLevel]],"")</f>
        <v/>
      </c>
      <c r="N2738" t="str">
        <f>IF(Table2[[#This Row],[Stock Gap]]&lt;0, "Understock","Okay")</f>
        <v>Okay</v>
      </c>
      <c r="O2738" s="13" t="str">
        <f>IF(Table2[[#This Row],[Stock Gap]]&lt;0, "Yes", "No")</f>
        <v>No</v>
      </c>
      <c r="P2738" s="13" t="str">
        <f>IF(Table2[[#This Row],[CurrentStock]]&lt;Table2[[#This Row],[ReorderLevel]],"Reorder", "Okay")</f>
        <v>Okay</v>
      </c>
      <c r="Q2738" s="13" t="str">
        <f>IF(Table2[[#This Row],[CurrentStock]]&gt;Table2[[#This Row],[ReorderLevel]]*3, "Overstock", "Okay")</f>
        <v>Overstock</v>
      </c>
    </row>
    <row r="2739" spans="1:17" x14ac:dyDescent="0.35">
      <c r="A2739">
        <v>77370</v>
      </c>
      <c r="B2739" t="s">
        <v>10</v>
      </c>
      <c r="C2739" t="s">
        <v>26</v>
      </c>
      <c r="D2739">
        <v>444</v>
      </c>
      <c r="E2739">
        <v>100</v>
      </c>
      <c r="F2739" s="2">
        <v>459.12</v>
      </c>
      <c r="G2739" t="s">
        <v>32</v>
      </c>
      <c r="H2739" s="1">
        <v>45409</v>
      </c>
      <c r="I2739" s="1">
        <v>45414</v>
      </c>
      <c r="J2739" t="s">
        <v>37</v>
      </c>
      <c r="K2739" s="8">
        <f>Table2[[#This Row],[CurrentStock]]*Table2[[#This Row],[UnitPrice]]</f>
        <v>203849.28</v>
      </c>
      <c r="L2739" t="str">
        <f>IF(Table2[[#This Row],[CurrentStock]]&lt;=Table2[[#This Row],[ReorderLevel]], "Reorder Needed", "Okay")</f>
        <v>Okay</v>
      </c>
      <c r="M2739" t="str">
        <f>IF(Table2[[#This Row],[CurrentStock]]-Table2[[#This Row],[ReorderLevel]]&lt;0,Table2[[#This Row],[CurrentStock]]-Table2[[#This Row],[ReorderLevel]],"")</f>
        <v/>
      </c>
      <c r="N2739" t="str">
        <f>IF(Table2[[#This Row],[Stock Gap]]&lt;0, "Understock","Okay")</f>
        <v>Okay</v>
      </c>
      <c r="O2739" s="13" t="str">
        <f>IF(Table2[[#This Row],[Stock Gap]]&lt;0, "Yes", "No")</f>
        <v>No</v>
      </c>
      <c r="P2739" s="13" t="str">
        <f>IF(Table2[[#This Row],[CurrentStock]]&lt;Table2[[#This Row],[ReorderLevel]],"Reorder", "Okay")</f>
        <v>Okay</v>
      </c>
      <c r="Q2739" s="13" t="str">
        <f>IF(Table2[[#This Row],[CurrentStock]]&gt;Table2[[#This Row],[ReorderLevel]]*3, "Overstock", "Okay")</f>
        <v>Overstock</v>
      </c>
    </row>
    <row r="2740" spans="1:17" x14ac:dyDescent="0.35">
      <c r="A2740">
        <v>86831</v>
      </c>
      <c r="B2740" t="s">
        <v>18</v>
      </c>
      <c r="C2740" t="s">
        <v>27</v>
      </c>
      <c r="D2740">
        <v>215</v>
      </c>
      <c r="E2740">
        <v>30</v>
      </c>
      <c r="F2740" s="2">
        <v>200.79</v>
      </c>
      <c r="G2740" t="s">
        <v>31</v>
      </c>
      <c r="H2740" s="1">
        <v>45303</v>
      </c>
      <c r="I2740" s="1">
        <v>45326</v>
      </c>
      <c r="J2740" t="s">
        <v>37</v>
      </c>
      <c r="K2740" s="8">
        <f>Table2[[#This Row],[CurrentStock]]*Table2[[#This Row],[UnitPrice]]</f>
        <v>43169.85</v>
      </c>
      <c r="L2740" t="str">
        <f>IF(Table2[[#This Row],[CurrentStock]]&lt;=Table2[[#This Row],[ReorderLevel]], "Reorder Needed", "Okay")</f>
        <v>Okay</v>
      </c>
      <c r="M2740" t="str">
        <f>IF(Table2[[#This Row],[CurrentStock]]-Table2[[#This Row],[ReorderLevel]]&lt;0,Table2[[#This Row],[CurrentStock]]-Table2[[#This Row],[ReorderLevel]],"")</f>
        <v/>
      </c>
      <c r="N2740" t="str">
        <f>IF(Table2[[#This Row],[Stock Gap]]&lt;0, "Understock","Okay")</f>
        <v>Okay</v>
      </c>
      <c r="O2740" s="13" t="str">
        <f>IF(Table2[[#This Row],[Stock Gap]]&lt;0, "Yes", "No")</f>
        <v>No</v>
      </c>
      <c r="P2740" s="13" t="str">
        <f>IF(Table2[[#This Row],[CurrentStock]]&lt;Table2[[#This Row],[ReorderLevel]],"Reorder", "Okay")</f>
        <v>Okay</v>
      </c>
      <c r="Q2740" s="13" t="str">
        <f>IF(Table2[[#This Row],[CurrentStock]]&gt;Table2[[#This Row],[ReorderLevel]]*3, "Overstock", "Okay")</f>
        <v>Overstock</v>
      </c>
    </row>
    <row r="2741" spans="1:17" x14ac:dyDescent="0.35">
      <c r="A2741">
        <v>98961</v>
      </c>
      <c r="B2741" t="s">
        <v>15</v>
      </c>
      <c r="C2741" t="s">
        <v>29</v>
      </c>
      <c r="D2741">
        <v>200</v>
      </c>
      <c r="E2741">
        <v>40</v>
      </c>
      <c r="F2741" s="2">
        <v>47.56</v>
      </c>
      <c r="G2741" t="s">
        <v>33</v>
      </c>
      <c r="H2741" s="1">
        <v>45547</v>
      </c>
      <c r="I2741" s="1">
        <v>45564</v>
      </c>
      <c r="J2741" t="s">
        <v>36</v>
      </c>
      <c r="K2741" s="8">
        <f>Table2[[#This Row],[CurrentStock]]*Table2[[#This Row],[UnitPrice]]</f>
        <v>9512</v>
      </c>
      <c r="L2741" t="str">
        <f>IF(Table2[[#This Row],[CurrentStock]]&lt;=Table2[[#This Row],[ReorderLevel]], "Reorder Needed", "Okay")</f>
        <v>Okay</v>
      </c>
      <c r="M2741" t="str">
        <f>IF(Table2[[#This Row],[CurrentStock]]-Table2[[#This Row],[ReorderLevel]]&lt;0,Table2[[#This Row],[CurrentStock]]-Table2[[#This Row],[ReorderLevel]],"")</f>
        <v/>
      </c>
      <c r="N2741" t="str">
        <f>IF(Table2[[#This Row],[Stock Gap]]&lt;0, "Understock","Okay")</f>
        <v>Okay</v>
      </c>
      <c r="O2741" s="13" t="str">
        <f>IF(Table2[[#This Row],[Stock Gap]]&lt;0, "Yes", "No")</f>
        <v>No</v>
      </c>
      <c r="P2741" s="13" t="str">
        <f>IF(Table2[[#This Row],[CurrentStock]]&lt;Table2[[#This Row],[ReorderLevel]],"Reorder", "Okay")</f>
        <v>Okay</v>
      </c>
      <c r="Q2741" s="13" t="str">
        <f>IF(Table2[[#This Row],[CurrentStock]]&gt;Table2[[#This Row],[ReorderLevel]]*3, "Overstock", "Okay")</f>
        <v>Overstock</v>
      </c>
    </row>
    <row r="2742" spans="1:17" x14ac:dyDescent="0.35">
      <c r="A2742">
        <v>45097</v>
      </c>
      <c r="B2742" t="s">
        <v>14</v>
      </c>
      <c r="C2742" t="s">
        <v>28</v>
      </c>
      <c r="D2742">
        <v>195</v>
      </c>
      <c r="E2742">
        <v>50</v>
      </c>
      <c r="F2742" s="2">
        <v>172.79</v>
      </c>
      <c r="G2742" t="s">
        <v>31</v>
      </c>
      <c r="H2742" s="1">
        <v>45292</v>
      </c>
      <c r="I2742" s="1">
        <v>45321</v>
      </c>
      <c r="J2742" t="s">
        <v>37</v>
      </c>
      <c r="K2742" s="8">
        <f>Table2[[#This Row],[CurrentStock]]*Table2[[#This Row],[UnitPrice]]</f>
        <v>33694.049999999996</v>
      </c>
      <c r="L2742" t="str">
        <f>IF(Table2[[#This Row],[CurrentStock]]&lt;=Table2[[#This Row],[ReorderLevel]], "Reorder Needed", "Okay")</f>
        <v>Okay</v>
      </c>
      <c r="M2742" t="str">
        <f>IF(Table2[[#This Row],[CurrentStock]]-Table2[[#This Row],[ReorderLevel]]&lt;0,Table2[[#This Row],[CurrentStock]]-Table2[[#This Row],[ReorderLevel]],"")</f>
        <v/>
      </c>
      <c r="N2742" t="str">
        <f>IF(Table2[[#This Row],[Stock Gap]]&lt;0, "Understock","Okay")</f>
        <v>Okay</v>
      </c>
      <c r="O2742" s="13" t="str">
        <f>IF(Table2[[#This Row],[Stock Gap]]&lt;0, "Yes", "No")</f>
        <v>No</v>
      </c>
      <c r="P2742" s="13" t="str">
        <f>IF(Table2[[#This Row],[CurrentStock]]&lt;Table2[[#This Row],[ReorderLevel]],"Reorder", "Okay")</f>
        <v>Okay</v>
      </c>
      <c r="Q2742" s="13" t="str">
        <f>IF(Table2[[#This Row],[CurrentStock]]&gt;Table2[[#This Row],[ReorderLevel]]*3, "Overstock", "Okay")</f>
        <v>Overstock</v>
      </c>
    </row>
    <row r="2743" spans="1:17" x14ac:dyDescent="0.35">
      <c r="A2743">
        <v>99998</v>
      </c>
      <c r="B2743" t="s">
        <v>24</v>
      </c>
      <c r="C2743" t="s">
        <v>30</v>
      </c>
      <c r="D2743">
        <v>348</v>
      </c>
      <c r="E2743">
        <v>150</v>
      </c>
      <c r="F2743" s="2">
        <v>476.65</v>
      </c>
      <c r="G2743" t="s">
        <v>34</v>
      </c>
      <c r="H2743" s="1">
        <v>45371</v>
      </c>
      <c r="I2743" s="1">
        <v>45402</v>
      </c>
      <c r="J2743" t="s">
        <v>37</v>
      </c>
      <c r="K2743" s="8">
        <f>Table2[[#This Row],[CurrentStock]]*Table2[[#This Row],[UnitPrice]]</f>
        <v>165874.19999999998</v>
      </c>
      <c r="L2743" t="str">
        <f>IF(Table2[[#This Row],[CurrentStock]]&lt;=Table2[[#This Row],[ReorderLevel]], "Reorder Needed", "Okay")</f>
        <v>Okay</v>
      </c>
      <c r="M2743" t="str">
        <f>IF(Table2[[#This Row],[CurrentStock]]-Table2[[#This Row],[ReorderLevel]]&lt;0,Table2[[#This Row],[CurrentStock]]-Table2[[#This Row],[ReorderLevel]],"")</f>
        <v/>
      </c>
      <c r="N2743" t="str">
        <f>IF(Table2[[#This Row],[Stock Gap]]&lt;0, "Understock","Okay")</f>
        <v>Okay</v>
      </c>
      <c r="O2743" s="13" t="str">
        <f>IF(Table2[[#This Row],[Stock Gap]]&lt;0, "Yes", "No")</f>
        <v>No</v>
      </c>
      <c r="P2743" s="13" t="str">
        <f>IF(Table2[[#This Row],[CurrentStock]]&lt;Table2[[#This Row],[ReorderLevel]],"Reorder", "Okay")</f>
        <v>Okay</v>
      </c>
      <c r="Q2743" s="13" t="str">
        <f>IF(Table2[[#This Row],[CurrentStock]]&gt;Table2[[#This Row],[ReorderLevel]]*3, "Overstock", "Okay")</f>
        <v>Okay</v>
      </c>
    </row>
    <row r="2744" spans="1:17" x14ac:dyDescent="0.35">
      <c r="A2744">
        <v>63861</v>
      </c>
      <c r="B2744" t="s">
        <v>24</v>
      </c>
      <c r="C2744" t="s">
        <v>30</v>
      </c>
      <c r="D2744">
        <v>281</v>
      </c>
      <c r="E2744">
        <v>100</v>
      </c>
      <c r="F2744" s="2">
        <v>127.37</v>
      </c>
      <c r="G2744" t="s">
        <v>32</v>
      </c>
      <c r="H2744" s="1">
        <v>45349</v>
      </c>
      <c r="I2744" s="1">
        <v>45370</v>
      </c>
      <c r="J2744" t="s">
        <v>38</v>
      </c>
      <c r="K2744" s="8">
        <f>Table2[[#This Row],[CurrentStock]]*Table2[[#This Row],[UnitPrice]]</f>
        <v>35790.97</v>
      </c>
      <c r="L2744" t="str">
        <f>IF(Table2[[#This Row],[CurrentStock]]&lt;=Table2[[#This Row],[ReorderLevel]], "Reorder Needed", "Okay")</f>
        <v>Okay</v>
      </c>
      <c r="M2744" t="str">
        <f>IF(Table2[[#This Row],[CurrentStock]]-Table2[[#This Row],[ReorderLevel]]&lt;0,Table2[[#This Row],[CurrentStock]]-Table2[[#This Row],[ReorderLevel]],"")</f>
        <v/>
      </c>
      <c r="N2744" t="str">
        <f>IF(Table2[[#This Row],[Stock Gap]]&lt;0, "Understock","Okay")</f>
        <v>Okay</v>
      </c>
      <c r="O2744" s="13" t="str">
        <f>IF(Table2[[#This Row],[Stock Gap]]&lt;0, "Yes", "No")</f>
        <v>No</v>
      </c>
      <c r="P2744" s="13" t="str">
        <f>IF(Table2[[#This Row],[CurrentStock]]&lt;Table2[[#This Row],[ReorderLevel]],"Reorder", "Okay")</f>
        <v>Okay</v>
      </c>
      <c r="Q2744" s="13" t="str">
        <f>IF(Table2[[#This Row],[CurrentStock]]&gt;Table2[[#This Row],[ReorderLevel]]*3, "Overstock", "Okay")</f>
        <v>Okay</v>
      </c>
    </row>
    <row r="2745" spans="1:17" x14ac:dyDescent="0.35">
      <c r="A2745">
        <v>19859</v>
      </c>
      <c r="B2745" t="s">
        <v>14</v>
      </c>
      <c r="C2745" t="s">
        <v>28</v>
      </c>
      <c r="D2745">
        <v>370</v>
      </c>
      <c r="E2745">
        <v>40</v>
      </c>
      <c r="F2745" s="2">
        <v>412.36</v>
      </c>
      <c r="G2745" t="s">
        <v>35</v>
      </c>
      <c r="H2745" s="1">
        <v>45487</v>
      </c>
      <c r="I2745" s="1">
        <v>45495</v>
      </c>
      <c r="J2745" t="s">
        <v>38</v>
      </c>
      <c r="K2745" s="8">
        <f>Table2[[#This Row],[CurrentStock]]*Table2[[#This Row],[UnitPrice]]</f>
        <v>152573.20000000001</v>
      </c>
      <c r="L2745" t="str">
        <f>IF(Table2[[#This Row],[CurrentStock]]&lt;=Table2[[#This Row],[ReorderLevel]], "Reorder Needed", "Okay")</f>
        <v>Okay</v>
      </c>
      <c r="M2745" t="str">
        <f>IF(Table2[[#This Row],[CurrentStock]]-Table2[[#This Row],[ReorderLevel]]&lt;0,Table2[[#This Row],[CurrentStock]]-Table2[[#This Row],[ReorderLevel]],"")</f>
        <v/>
      </c>
      <c r="N2745" t="str">
        <f>IF(Table2[[#This Row],[Stock Gap]]&lt;0, "Understock","Okay")</f>
        <v>Okay</v>
      </c>
      <c r="O2745" s="13" t="str">
        <f>IF(Table2[[#This Row],[Stock Gap]]&lt;0, "Yes", "No")</f>
        <v>No</v>
      </c>
      <c r="P2745" s="13" t="str">
        <f>IF(Table2[[#This Row],[CurrentStock]]&lt;Table2[[#This Row],[ReorderLevel]],"Reorder", "Okay")</f>
        <v>Okay</v>
      </c>
      <c r="Q2745" s="13" t="str">
        <f>IF(Table2[[#This Row],[CurrentStock]]&gt;Table2[[#This Row],[ReorderLevel]]*3, "Overstock", "Okay")</f>
        <v>Overstock</v>
      </c>
    </row>
    <row r="2746" spans="1:17" x14ac:dyDescent="0.35">
      <c r="A2746">
        <v>86427</v>
      </c>
      <c r="B2746" t="s">
        <v>12</v>
      </c>
      <c r="C2746" t="s">
        <v>28</v>
      </c>
      <c r="D2746">
        <v>480</v>
      </c>
      <c r="E2746">
        <v>20</v>
      </c>
      <c r="F2746" s="2">
        <v>304.86</v>
      </c>
      <c r="G2746" t="s">
        <v>34</v>
      </c>
      <c r="H2746" s="1">
        <v>45564</v>
      </c>
      <c r="I2746" s="1">
        <v>45595</v>
      </c>
      <c r="J2746" t="s">
        <v>36</v>
      </c>
      <c r="K2746" s="8">
        <f>Table2[[#This Row],[CurrentStock]]*Table2[[#This Row],[UnitPrice]]</f>
        <v>146332.80000000002</v>
      </c>
      <c r="L2746" t="str">
        <f>IF(Table2[[#This Row],[CurrentStock]]&lt;=Table2[[#This Row],[ReorderLevel]], "Reorder Needed", "Okay")</f>
        <v>Okay</v>
      </c>
      <c r="M2746" t="str">
        <f>IF(Table2[[#This Row],[CurrentStock]]-Table2[[#This Row],[ReorderLevel]]&lt;0,Table2[[#This Row],[CurrentStock]]-Table2[[#This Row],[ReorderLevel]],"")</f>
        <v/>
      </c>
      <c r="N2746" t="str">
        <f>IF(Table2[[#This Row],[Stock Gap]]&lt;0, "Understock","Okay")</f>
        <v>Okay</v>
      </c>
      <c r="O2746" s="13" t="str">
        <f>IF(Table2[[#This Row],[Stock Gap]]&lt;0, "Yes", "No")</f>
        <v>No</v>
      </c>
      <c r="P2746" s="13" t="str">
        <f>IF(Table2[[#This Row],[CurrentStock]]&lt;Table2[[#This Row],[ReorderLevel]],"Reorder", "Okay")</f>
        <v>Okay</v>
      </c>
      <c r="Q2746" s="13" t="str">
        <f>IF(Table2[[#This Row],[CurrentStock]]&gt;Table2[[#This Row],[ReorderLevel]]*3, "Overstock", "Okay")</f>
        <v>Overstock</v>
      </c>
    </row>
    <row r="2747" spans="1:17" x14ac:dyDescent="0.35">
      <c r="A2747">
        <v>50916</v>
      </c>
      <c r="B2747" t="s">
        <v>19</v>
      </c>
      <c r="C2747" t="s">
        <v>28</v>
      </c>
      <c r="D2747">
        <v>158</v>
      </c>
      <c r="E2747">
        <v>80</v>
      </c>
      <c r="F2747" s="2">
        <v>347.22</v>
      </c>
      <c r="G2747" t="s">
        <v>32</v>
      </c>
      <c r="H2747" s="1">
        <v>45610</v>
      </c>
      <c r="I2747" s="1">
        <v>45645</v>
      </c>
      <c r="J2747" t="s">
        <v>37</v>
      </c>
      <c r="K2747" s="8">
        <f>Table2[[#This Row],[CurrentStock]]*Table2[[#This Row],[UnitPrice]]</f>
        <v>54860.76</v>
      </c>
      <c r="L2747" t="str">
        <f>IF(Table2[[#This Row],[CurrentStock]]&lt;=Table2[[#This Row],[ReorderLevel]], "Reorder Needed", "Okay")</f>
        <v>Okay</v>
      </c>
      <c r="M2747" t="str">
        <f>IF(Table2[[#This Row],[CurrentStock]]-Table2[[#This Row],[ReorderLevel]]&lt;0,Table2[[#This Row],[CurrentStock]]-Table2[[#This Row],[ReorderLevel]],"")</f>
        <v/>
      </c>
      <c r="N2747" t="str">
        <f>IF(Table2[[#This Row],[Stock Gap]]&lt;0, "Understock","Okay")</f>
        <v>Okay</v>
      </c>
      <c r="O2747" s="13" t="str">
        <f>IF(Table2[[#This Row],[Stock Gap]]&lt;0, "Yes", "No")</f>
        <v>No</v>
      </c>
      <c r="P2747" s="13" t="str">
        <f>IF(Table2[[#This Row],[CurrentStock]]&lt;Table2[[#This Row],[ReorderLevel]],"Reorder", "Okay")</f>
        <v>Okay</v>
      </c>
      <c r="Q2747" s="13" t="str">
        <f>IF(Table2[[#This Row],[CurrentStock]]&gt;Table2[[#This Row],[ReorderLevel]]*3, "Overstock", "Okay")</f>
        <v>Okay</v>
      </c>
    </row>
    <row r="2748" spans="1:17" x14ac:dyDescent="0.35">
      <c r="A2748">
        <v>96257</v>
      </c>
      <c r="B2748" t="s">
        <v>14</v>
      </c>
      <c r="C2748" t="s">
        <v>28</v>
      </c>
      <c r="D2748">
        <v>70</v>
      </c>
      <c r="E2748">
        <v>80</v>
      </c>
      <c r="F2748" s="2">
        <v>70.63</v>
      </c>
      <c r="G2748" t="s">
        <v>31</v>
      </c>
      <c r="H2748" s="1">
        <v>45417</v>
      </c>
      <c r="I2748" s="1">
        <v>45449</v>
      </c>
      <c r="J2748" t="s">
        <v>37</v>
      </c>
      <c r="K2748" s="8">
        <f>Table2[[#This Row],[CurrentStock]]*Table2[[#This Row],[UnitPrice]]</f>
        <v>4944.0999999999995</v>
      </c>
      <c r="L2748" t="str">
        <f>IF(Table2[[#This Row],[CurrentStock]]&lt;=Table2[[#This Row],[ReorderLevel]], "Reorder Needed", "Okay")</f>
        <v>Reorder Needed</v>
      </c>
      <c r="M2748" s="7">
        <f>IF(Table2[[#This Row],[CurrentStock]]-Table2[[#This Row],[ReorderLevel]]&lt;0,Table2[[#This Row],[CurrentStock]]-Table2[[#This Row],[ReorderLevel]],"")</f>
        <v>-10</v>
      </c>
      <c r="N2748" t="str">
        <f>IF(Table2[[#This Row],[Stock Gap]]&lt;0, "Understock","Okay")</f>
        <v>Understock</v>
      </c>
      <c r="O2748" s="13" t="str">
        <f>IF(Table2[[#This Row],[Stock Gap]]&lt;0, "Yes", "No")</f>
        <v>Yes</v>
      </c>
      <c r="P2748" s="13" t="str">
        <f>IF(Table2[[#This Row],[CurrentStock]]&lt;Table2[[#This Row],[ReorderLevel]],"Reorder", "Okay")</f>
        <v>Reorder</v>
      </c>
      <c r="Q2748" s="13" t="str">
        <f>IF(Table2[[#This Row],[CurrentStock]]&gt;Table2[[#This Row],[ReorderLevel]]*3, "Overstock", "Okay")</f>
        <v>Okay</v>
      </c>
    </row>
    <row r="2749" spans="1:17" x14ac:dyDescent="0.35">
      <c r="A2749">
        <v>33115</v>
      </c>
      <c r="B2749" t="s">
        <v>15</v>
      </c>
      <c r="C2749" t="s">
        <v>29</v>
      </c>
      <c r="D2749">
        <v>304</v>
      </c>
      <c r="E2749">
        <v>40</v>
      </c>
      <c r="F2749" s="2">
        <v>464.47</v>
      </c>
      <c r="G2749" t="s">
        <v>34</v>
      </c>
      <c r="H2749" s="1">
        <v>45573</v>
      </c>
      <c r="I2749" s="1">
        <v>45581</v>
      </c>
      <c r="J2749" t="s">
        <v>38</v>
      </c>
      <c r="K2749" s="8">
        <f>Table2[[#This Row],[CurrentStock]]*Table2[[#This Row],[UnitPrice]]</f>
        <v>141198.88</v>
      </c>
      <c r="L2749" t="str">
        <f>IF(Table2[[#This Row],[CurrentStock]]&lt;=Table2[[#This Row],[ReorderLevel]], "Reorder Needed", "Okay")</f>
        <v>Okay</v>
      </c>
      <c r="M2749" t="str">
        <f>IF(Table2[[#This Row],[CurrentStock]]-Table2[[#This Row],[ReorderLevel]]&lt;0,Table2[[#This Row],[CurrentStock]]-Table2[[#This Row],[ReorderLevel]],"")</f>
        <v/>
      </c>
      <c r="N2749" t="str">
        <f>IF(Table2[[#This Row],[Stock Gap]]&lt;0, "Understock","Okay")</f>
        <v>Okay</v>
      </c>
      <c r="O2749" s="13" t="str">
        <f>IF(Table2[[#This Row],[Stock Gap]]&lt;0, "Yes", "No")</f>
        <v>No</v>
      </c>
      <c r="P2749" s="13" t="str">
        <f>IF(Table2[[#This Row],[CurrentStock]]&lt;Table2[[#This Row],[ReorderLevel]],"Reorder", "Okay")</f>
        <v>Okay</v>
      </c>
      <c r="Q2749" s="13" t="str">
        <f>IF(Table2[[#This Row],[CurrentStock]]&gt;Table2[[#This Row],[ReorderLevel]]*3, "Overstock", "Okay")</f>
        <v>Overstock</v>
      </c>
    </row>
    <row r="2750" spans="1:17" x14ac:dyDescent="0.35">
      <c r="A2750">
        <v>60509</v>
      </c>
      <c r="B2750" t="s">
        <v>11</v>
      </c>
      <c r="C2750" t="s">
        <v>27</v>
      </c>
      <c r="D2750">
        <v>350</v>
      </c>
      <c r="E2750">
        <v>150</v>
      </c>
      <c r="F2750" s="2">
        <v>166.95</v>
      </c>
      <c r="G2750" t="s">
        <v>33</v>
      </c>
      <c r="H2750" s="1">
        <v>45419</v>
      </c>
      <c r="I2750" s="1">
        <v>45452</v>
      </c>
      <c r="J2750" t="s">
        <v>37</v>
      </c>
      <c r="K2750" s="8">
        <f>Table2[[#This Row],[CurrentStock]]*Table2[[#This Row],[UnitPrice]]</f>
        <v>58432.499999999993</v>
      </c>
      <c r="L2750" t="str">
        <f>IF(Table2[[#This Row],[CurrentStock]]&lt;=Table2[[#This Row],[ReorderLevel]], "Reorder Needed", "Okay")</f>
        <v>Okay</v>
      </c>
      <c r="M2750" t="str">
        <f>IF(Table2[[#This Row],[CurrentStock]]-Table2[[#This Row],[ReorderLevel]]&lt;0,Table2[[#This Row],[CurrentStock]]-Table2[[#This Row],[ReorderLevel]],"")</f>
        <v/>
      </c>
      <c r="N2750" t="str">
        <f>IF(Table2[[#This Row],[Stock Gap]]&lt;0, "Understock","Okay")</f>
        <v>Okay</v>
      </c>
      <c r="O2750" s="13" t="str">
        <f>IF(Table2[[#This Row],[Stock Gap]]&lt;0, "Yes", "No")</f>
        <v>No</v>
      </c>
      <c r="P2750" s="13" t="str">
        <f>IF(Table2[[#This Row],[CurrentStock]]&lt;Table2[[#This Row],[ReorderLevel]],"Reorder", "Okay")</f>
        <v>Okay</v>
      </c>
      <c r="Q2750" s="13" t="str">
        <f>IF(Table2[[#This Row],[CurrentStock]]&gt;Table2[[#This Row],[ReorderLevel]]*3, "Overstock", "Okay")</f>
        <v>Okay</v>
      </c>
    </row>
    <row r="2751" spans="1:17" x14ac:dyDescent="0.35">
      <c r="A2751">
        <v>91462</v>
      </c>
      <c r="B2751" t="s">
        <v>16</v>
      </c>
      <c r="C2751" t="s">
        <v>29</v>
      </c>
      <c r="D2751">
        <v>87</v>
      </c>
      <c r="E2751">
        <v>20</v>
      </c>
      <c r="F2751" s="2">
        <v>404.74</v>
      </c>
      <c r="G2751" t="s">
        <v>34</v>
      </c>
      <c r="H2751" s="1">
        <v>45564</v>
      </c>
      <c r="I2751" s="1">
        <v>45595</v>
      </c>
      <c r="J2751" t="s">
        <v>36</v>
      </c>
      <c r="K2751" s="8">
        <f>Table2[[#This Row],[CurrentStock]]*Table2[[#This Row],[UnitPrice]]</f>
        <v>35212.379999999997</v>
      </c>
      <c r="L2751" t="str">
        <f>IF(Table2[[#This Row],[CurrentStock]]&lt;=Table2[[#This Row],[ReorderLevel]], "Reorder Needed", "Okay")</f>
        <v>Okay</v>
      </c>
      <c r="M2751" t="str">
        <f>IF(Table2[[#This Row],[CurrentStock]]-Table2[[#This Row],[ReorderLevel]]&lt;0,Table2[[#This Row],[CurrentStock]]-Table2[[#This Row],[ReorderLevel]],"")</f>
        <v/>
      </c>
      <c r="N2751" t="str">
        <f>IF(Table2[[#This Row],[Stock Gap]]&lt;0, "Understock","Okay")</f>
        <v>Okay</v>
      </c>
      <c r="O2751" s="13" t="str">
        <f>IF(Table2[[#This Row],[Stock Gap]]&lt;0, "Yes", "No")</f>
        <v>No</v>
      </c>
      <c r="P2751" s="13" t="str">
        <f>IF(Table2[[#This Row],[CurrentStock]]&lt;Table2[[#This Row],[ReorderLevel]],"Reorder", "Okay")</f>
        <v>Okay</v>
      </c>
      <c r="Q2751" s="13" t="str">
        <f>IF(Table2[[#This Row],[CurrentStock]]&gt;Table2[[#This Row],[ReorderLevel]]*3, "Overstock", "Okay")</f>
        <v>Overstock</v>
      </c>
    </row>
    <row r="2752" spans="1:17" x14ac:dyDescent="0.35">
      <c r="A2752">
        <v>21651</v>
      </c>
      <c r="B2752" t="s">
        <v>11</v>
      </c>
      <c r="C2752" t="s">
        <v>27</v>
      </c>
      <c r="D2752">
        <v>152</v>
      </c>
      <c r="E2752">
        <v>40</v>
      </c>
      <c r="F2752" s="2">
        <v>489.44</v>
      </c>
      <c r="G2752" t="s">
        <v>35</v>
      </c>
      <c r="H2752" s="1">
        <v>45633</v>
      </c>
      <c r="I2752" s="1">
        <v>45639</v>
      </c>
      <c r="J2752" t="s">
        <v>36</v>
      </c>
      <c r="K2752" s="8">
        <f>Table2[[#This Row],[CurrentStock]]*Table2[[#This Row],[UnitPrice]]</f>
        <v>74394.880000000005</v>
      </c>
      <c r="L2752" t="str">
        <f>IF(Table2[[#This Row],[CurrentStock]]&lt;=Table2[[#This Row],[ReorderLevel]], "Reorder Needed", "Okay")</f>
        <v>Okay</v>
      </c>
      <c r="M2752" t="str">
        <f>IF(Table2[[#This Row],[CurrentStock]]-Table2[[#This Row],[ReorderLevel]]&lt;0,Table2[[#This Row],[CurrentStock]]-Table2[[#This Row],[ReorderLevel]],"")</f>
        <v/>
      </c>
      <c r="N2752" t="str">
        <f>IF(Table2[[#This Row],[Stock Gap]]&lt;0, "Understock","Okay")</f>
        <v>Okay</v>
      </c>
      <c r="O2752" s="13" t="str">
        <f>IF(Table2[[#This Row],[Stock Gap]]&lt;0, "Yes", "No")</f>
        <v>No</v>
      </c>
      <c r="P2752" s="13" t="str">
        <f>IF(Table2[[#This Row],[CurrentStock]]&lt;Table2[[#This Row],[ReorderLevel]],"Reorder", "Okay")</f>
        <v>Okay</v>
      </c>
      <c r="Q2752" s="13" t="str">
        <f>IF(Table2[[#This Row],[CurrentStock]]&gt;Table2[[#This Row],[ReorderLevel]]*3, "Overstock", "Okay")</f>
        <v>Overstock</v>
      </c>
    </row>
    <row r="2753" spans="1:17" x14ac:dyDescent="0.35">
      <c r="A2753">
        <v>78743</v>
      </c>
      <c r="B2753" t="s">
        <v>14</v>
      </c>
      <c r="C2753" t="s">
        <v>28</v>
      </c>
      <c r="D2753">
        <v>344</v>
      </c>
      <c r="E2753">
        <v>40</v>
      </c>
      <c r="F2753" s="2">
        <v>387.23</v>
      </c>
      <c r="G2753" t="s">
        <v>35</v>
      </c>
      <c r="H2753" s="1">
        <v>45526</v>
      </c>
      <c r="I2753" s="1">
        <v>45546</v>
      </c>
      <c r="J2753" t="s">
        <v>36</v>
      </c>
      <c r="K2753" s="8">
        <f>Table2[[#This Row],[CurrentStock]]*Table2[[#This Row],[UnitPrice]]</f>
        <v>133207.12</v>
      </c>
      <c r="L2753" t="str">
        <f>IF(Table2[[#This Row],[CurrentStock]]&lt;=Table2[[#This Row],[ReorderLevel]], "Reorder Needed", "Okay")</f>
        <v>Okay</v>
      </c>
      <c r="M2753" t="str">
        <f>IF(Table2[[#This Row],[CurrentStock]]-Table2[[#This Row],[ReorderLevel]]&lt;0,Table2[[#This Row],[CurrentStock]]-Table2[[#This Row],[ReorderLevel]],"")</f>
        <v/>
      </c>
      <c r="N2753" t="str">
        <f>IF(Table2[[#This Row],[Stock Gap]]&lt;0, "Understock","Okay")</f>
        <v>Okay</v>
      </c>
      <c r="O2753" s="13" t="str">
        <f>IF(Table2[[#This Row],[Stock Gap]]&lt;0, "Yes", "No")</f>
        <v>No</v>
      </c>
      <c r="P2753" s="13" t="str">
        <f>IF(Table2[[#This Row],[CurrentStock]]&lt;Table2[[#This Row],[ReorderLevel]],"Reorder", "Okay")</f>
        <v>Okay</v>
      </c>
      <c r="Q2753" s="13" t="str">
        <f>IF(Table2[[#This Row],[CurrentStock]]&gt;Table2[[#This Row],[ReorderLevel]]*3, "Overstock", "Okay")</f>
        <v>Overstock</v>
      </c>
    </row>
    <row r="2754" spans="1:17" x14ac:dyDescent="0.35">
      <c r="A2754">
        <v>76186</v>
      </c>
      <c r="B2754" t="s">
        <v>20</v>
      </c>
      <c r="C2754" t="s">
        <v>30</v>
      </c>
      <c r="D2754">
        <v>274</v>
      </c>
      <c r="E2754">
        <v>100</v>
      </c>
      <c r="F2754" s="2">
        <v>39.53</v>
      </c>
      <c r="G2754" t="s">
        <v>32</v>
      </c>
      <c r="H2754" s="1">
        <v>45352</v>
      </c>
      <c r="I2754" s="1">
        <v>45379</v>
      </c>
      <c r="J2754" t="s">
        <v>36</v>
      </c>
      <c r="K2754" s="8">
        <f>Table2[[#This Row],[CurrentStock]]*Table2[[#This Row],[UnitPrice]]</f>
        <v>10831.220000000001</v>
      </c>
      <c r="L2754" t="str">
        <f>IF(Table2[[#This Row],[CurrentStock]]&lt;=Table2[[#This Row],[ReorderLevel]], "Reorder Needed", "Okay")</f>
        <v>Okay</v>
      </c>
      <c r="M2754" t="str">
        <f>IF(Table2[[#This Row],[CurrentStock]]-Table2[[#This Row],[ReorderLevel]]&lt;0,Table2[[#This Row],[CurrentStock]]-Table2[[#This Row],[ReorderLevel]],"")</f>
        <v/>
      </c>
      <c r="N2754" t="str">
        <f>IF(Table2[[#This Row],[Stock Gap]]&lt;0, "Understock","Okay")</f>
        <v>Okay</v>
      </c>
      <c r="O2754" s="13" t="str">
        <f>IF(Table2[[#This Row],[Stock Gap]]&lt;0, "Yes", "No")</f>
        <v>No</v>
      </c>
      <c r="P2754" s="13" t="str">
        <f>IF(Table2[[#This Row],[CurrentStock]]&lt;Table2[[#This Row],[ReorderLevel]],"Reorder", "Okay")</f>
        <v>Okay</v>
      </c>
      <c r="Q2754" s="13" t="str">
        <f>IF(Table2[[#This Row],[CurrentStock]]&gt;Table2[[#This Row],[ReorderLevel]]*3, "Overstock", "Okay")</f>
        <v>Okay</v>
      </c>
    </row>
    <row r="2755" spans="1:17" x14ac:dyDescent="0.35">
      <c r="A2755">
        <v>63662</v>
      </c>
      <c r="B2755" t="s">
        <v>19</v>
      </c>
      <c r="C2755" t="s">
        <v>28</v>
      </c>
      <c r="D2755">
        <v>319</v>
      </c>
      <c r="E2755">
        <v>80</v>
      </c>
      <c r="F2755" s="2">
        <v>163.32</v>
      </c>
      <c r="G2755" t="s">
        <v>31</v>
      </c>
      <c r="H2755" s="1">
        <v>45372</v>
      </c>
      <c r="I2755" s="1">
        <v>45378</v>
      </c>
      <c r="J2755" t="s">
        <v>38</v>
      </c>
      <c r="K2755" s="8">
        <f>Table2[[#This Row],[CurrentStock]]*Table2[[#This Row],[UnitPrice]]</f>
        <v>52099.079999999994</v>
      </c>
      <c r="L2755" t="str">
        <f>IF(Table2[[#This Row],[CurrentStock]]&lt;=Table2[[#This Row],[ReorderLevel]], "Reorder Needed", "Okay")</f>
        <v>Okay</v>
      </c>
      <c r="M2755" t="str">
        <f>IF(Table2[[#This Row],[CurrentStock]]-Table2[[#This Row],[ReorderLevel]]&lt;0,Table2[[#This Row],[CurrentStock]]-Table2[[#This Row],[ReorderLevel]],"")</f>
        <v/>
      </c>
      <c r="N2755" t="str">
        <f>IF(Table2[[#This Row],[Stock Gap]]&lt;0, "Understock","Okay")</f>
        <v>Okay</v>
      </c>
      <c r="O2755" s="13" t="str">
        <f>IF(Table2[[#This Row],[Stock Gap]]&lt;0, "Yes", "No")</f>
        <v>No</v>
      </c>
      <c r="P2755" s="13" t="str">
        <f>IF(Table2[[#This Row],[CurrentStock]]&lt;Table2[[#This Row],[ReorderLevel]],"Reorder", "Okay")</f>
        <v>Okay</v>
      </c>
      <c r="Q2755" s="13" t="str">
        <f>IF(Table2[[#This Row],[CurrentStock]]&gt;Table2[[#This Row],[ReorderLevel]]*3, "Overstock", "Okay")</f>
        <v>Overstock</v>
      </c>
    </row>
    <row r="2756" spans="1:17" x14ac:dyDescent="0.35">
      <c r="A2756">
        <v>53671</v>
      </c>
      <c r="B2756" t="s">
        <v>9</v>
      </c>
      <c r="C2756" t="s">
        <v>26</v>
      </c>
      <c r="D2756">
        <v>391</v>
      </c>
      <c r="E2756">
        <v>30</v>
      </c>
      <c r="F2756" s="2">
        <v>113.32</v>
      </c>
      <c r="G2756" t="s">
        <v>32</v>
      </c>
      <c r="H2756" s="1">
        <v>45542</v>
      </c>
      <c r="I2756" s="1">
        <v>45568</v>
      </c>
      <c r="J2756" t="s">
        <v>36</v>
      </c>
      <c r="K2756" s="8">
        <f>Table2[[#This Row],[CurrentStock]]*Table2[[#This Row],[UnitPrice]]</f>
        <v>44308.119999999995</v>
      </c>
      <c r="L2756" t="str">
        <f>IF(Table2[[#This Row],[CurrentStock]]&lt;=Table2[[#This Row],[ReorderLevel]], "Reorder Needed", "Okay")</f>
        <v>Okay</v>
      </c>
      <c r="M2756" t="str">
        <f>IF(Table2[[#This Row],[CurrentStock]]-Table2[[#This Row],[ReorderLevel]]&lt;0,Table2[[#This Row],[CurrentStock]]-Table2[[#This Row],[ReorderLevel]],"")</f>
        <v/>
      </c>
      <c r="N2756" t="str">
        <f>IF(Table2[[#This Row],[Stock Gap]]&lt;0, "Understock","Okay")</f>
        <v>Okay</v>
      </c>
      <c r="O2756" s="13" t="str">
        <f>IF(Table2[[#This Row],[Stock Gap]]&lt;0, "Yes", "No")</f>
        <v>No</v>
      </c>
      <c r="P2756" s="13" t="str">
        <f>IF(Table2[[#This Row],[CurrentStock]]&lt;Table2[[#This Row],[ReorderLevel]],"Reorder", "Okay")</f>
        <v>Okay</v>
      </c>
      <c r="Q2756" s="13" t="str">
        <f>IF(Table2[[#This Row],[CurrentStock]]&gt;Table2[[#This Row],[ReorderLevel]]*3, "Overstock", "Okay")</f>
        <v>Overstock</v>
      </c>
    </row>
    <row r="2757" spans="1:17" x14ac:dyDescent="0.35">
      <c r="A2757">
        <v>41247</v>
      </c>
      <c r="B2757" t="s">
        <v>17</v>
      </c>
      <c r="C2757" t="s">
        <v>27</v>
      </c>
      <c r="D2757">
        <v>274</v>
      </c>
      <c r="E2757">
        <v>20</v>
      </c>
      <c r="F2757" s="2">
        <v>407.3</v>
      </c>
      <c r="G2757" t="s">
        <v>33</v>
      </c>
      <c r="H2757" s="1">
        <v>45643</v>
      </c>
      <c r="I2757" s="1">
        <v>45666</v>
      </c>
      <c r="J2757" t="s">
        <v>36</v>
      </c>
      <c r="K2757" s="8">
        <f>Table2[[#This Row],[CurrentStock]]*Table2[[#This Row],[UnitPrice]]</f>
        <v>111600.2</v>
      </c>
      <c r="L2757" t="str">
        <f>IF(Table2[[#This Row],[CurrentStock]]&lt;=Table2[[#This Row],[ReorderLevel]], "Reorder Needed", "Okay")</f>
        <v>Okay</v>
      </c>
      <c r="M2757" t="str">
        <f>IF(Table2[[#This Row],[CurrentStock]]-Table2[[#This Row],[ReorderLevel]]&lt;0,Table2[[#This Row],[CurrentStock]]-Table2[[#This Row],[ReorderLevel]],"")</f>
        <v/>
      </c>
      <c r="N2757" t="str">
        <f>IF(Table2[[#This Row],[Stock Gap]]&lt;0, "Understock","Okay")</f>
        <v>Okay</v>
      </c>
      <c r="O2757" s="13" t="str">
        <f>IF(Table2[[#This Row],[Stock Gap]]&lt;0, "Yes", "No")</f>
        <v>No</v>
      </c>
      <c r="P2757" s="13" t="str">
        <f>IF(Table2[[#This Row],[CurrentStock]]&lt;Table2[[#This Row],[ReorderLevel]],"Reorder", "Okay")</f>
        <v>Okay</v>
      </c>
      <c r="Q2757" s="13" t="str">
        <f>IF(Table2[[#This Row],[CurrentStock]]&gt;Table2[[#This Row],[ReorderLevel]]*3, "Overstock", "Okay")</f>
        <v>Overstock</v>
      </c>
    </row>
    <row r="2758" spans="1:17" x14ac:dyDescent="0.35">
      <c r="A2758">
        <v>75841</v>
      </c>
      <c r="B2758" t="s">
        <v>22</v>
      </c>
      <c r="C2758" t="s">
        <v>29</v>
      </c>
      <c r="D2758">
        <v>193</v>
      </c>
      <c r="E2758">
        <v>100</v>
      </c>
      <c r="F2758" s="2">
        <v>148.19</v>
      </c>
      <c r="G2758" t="s">
        <v>34</v>
      </c>
      <c r="H2758" s="1">
        <v>45452</v>
      </c>
      <c r="I2758" s="1">
        <v>45471</v>
      </c>
      <c r="J2758" t="s">
        <v>38</v>
      </c>
      <c r="K2758" s="8">
        <f>Table2[[#This Row],[CurrentStock]]*Table2[[#This Row],[UnitPrice]]</f>
        <v>28600.67</v>
      </c>
      <c r="L2758" t="str">
        <f>IF(Table2[[#This Row],[CurrentStock]]&lt;=Table2[[#This Row],[ReorderLevel]], "Reorder Needed", "Okay")</f>
        <v>Okay</v>
      </c>
      <c r="M2758" t="str">
        <f>IF(Table2[[#This Row],[CurrentStock]]-Table2[[#This Row],[ReorderLevel]]&lt;0,Table2[[#This Row],[CurrentStock]]-Table2[[#This Row],[ReorderLevel]],"")</f>
        <v/>
      </c>
      <c r="N2758" t="str">
        <f>IF(Table2[[#This Row],[Stock Gap]]&lt;0, "Understock","Okay")</f>
        <v>Okay</v>
      </c>
      <c r="O2758" s="13" t="str">
        <f>IF(Table2[[#This Row],[Stock Gap]]&lt;0, "Yes", "No")</f>
        <v>No</v>
      </c>
      <c r="P2758" s="13" t="str">
        <f>IF(Table2[[#This Row],[CurrentStock]]&lt;Table2[[#This Row],[ReorderLevel]],"Reorder", "Okay")</f>
        <v>Okay</v>
      </c>
      <c r="Q2758" s="13" t="str">
        <f>IF(Table2[[#This Row],[CurrentStock]]&gt;Table2[[#This Row],[ReorderLevel]]*3, "Overstock", "Okay")</f>
        <v>Okay</v>
      </c>
    </row>
    <row r="2759" spans="1:17" x14ac:dyDescent="0.35">
      <c r="A2759">
        <v>65883</v>
      </c>
      <c r="B2759" t="s">
        <v>17</v>
      </c>
      <c r="C2759" t="s">
        <v>27</v>
      </c>
      <c r="D2759">
        <v>458</v>
      </c>
      <c r="E2759">
        <v>50</v>
      </c>
      <c r="F2759" s="2">
        <v>327.49</v>
      </c>
      <c r="G2759" t="s">
        <v>32</v>
      </c>
      <c r="H2759" s="1">
        <v>45490</v>
      </c>
      <c r="I2759" s="1">
        <v>45498</v>
      </c>
      <c r="J2759" t="s">
        <v>37</v>
      </c>
      <c r="K2759" s="8">
        <f>Table2[[#This Row],[CurrentStock]]*Table2[[#This Row],[UnitPrice]]</f>
        <v>149990.42000000001</v>
      </c>
      <c r="L2759" t="str">
        <f>IF(Table2[[#This Row],[CurrentStock]]&lt;=Table2[[#This Row],[ReorderLevel]], "Reorder Needed", "Okay")</f>
        <v>Okay</v>
      </c>
      <c r="M2759" t="str">
        <f>IF(Table2[[#This Row],[CurrentStock]]-Table2[[#This Row],[ReorderLevel]]&lt;0,Table2[[#This Row],[CurrentStock]]-Table2[[#This Row],[ReorderLevel]],"")</f>
        <v/>
      </c>
      <c r="N2759" t="str">
        <f>IF(Table2[[#This Row],[Stock Gap]]&lt;0, "Understock","Okay")</f>
        <v>Okay</v>
      </c>
      <c r="O2759" s="13" t="str">
        <f>IF(Table2[[#This Row],[Stock Gap]]&lt;0, "Yes", "No")</f>
        <v>No</v>
      </c>
      <c r="P2759" s="13" t="str">
        <f>IF(Table2[[#This Row],[CurrentStock]]&lt;Table2[[#This Row],[ReorderLevel]],"Reorder", "Okay")</f>
        <v>Okay</v>
      </c>
      <c r="Q2759" s="13" t="str">
        <f>IF(Table2[[#This Row],[CurrentStock]]&gt;Table2[[#This Row],[ReorderLevel]]*3, "Overstock", "Okay")</f>
        <v>Overstock</v>
      </c>
    </row>
    <row r="2760" spans="1:17" x14ac:dyDescent="0.35">
      <c r="A2760">
        <v>14808</v>
      </c>
      <c r="B2760" t="s">
        <v>19</v>
      </c>
      <c r="C2760" t="s">
        <v>28</v>
      </c>
      <c r="D2760">
        <v>83</v>
      </c>
      <c r="E2760">
        <v>150</v>
      </c>
      <c r="F2760" s="2">
        <v>483.08</v>
      </c>
      <c r="G2760" t="s">
        <v>35</v>
      </c>
      <c r="H2760" s="1">
        <v>45322</v>
      </c>
      <c r="I2760" s="1">
        <v>45361</v>
      </c>
      <c r="J2760" t="s">
        <v>37</v>
      </c>
      <c r="K2760" s="8">
        <f>Table2[[#This Row],[CurrentStock]]*Table2[[#This Row],[UnitPrice]]</f>
        <v>40095.64</v>
      </c>
      <c r="L2760" t="str">
        <f>IF(Table2[[#This Row],[CurrentStock]]&lt;=Table2[[#This Row],[ReorderLevel]], "Reorder Needed", "Okay")</f>
        <v>Reorder Needed</v>
      </c>
      <c r="M2760" s="7">
        <f>IF(Table2[[#This Row],[CurrentStock]]-Table2[[#This Row],[ReorderLevel]]&lt;0,Table2[[#This Row],[CurrentStock]]-Table2[[#This Row],[ReorderLevel]],"")</f>
        <v>-67</v>
      </c>
      <c r="N2760" t="str">
        <f>IF(Table2[[#This Row],[Stock Gap]]&lt;0, "Understock","Okay")</f>
        <v>Understock</v>
      </c>
      <c r="O2760" s="13" t="str">
        <f>IF(Table2[[#This Row],[Stock Gap]]&lt;0, "Yes", "No")</f>
        <v>Yes</v>
      </c>
      <c r="P2760" s="13" t="str">
        <f>IF(Table2[[#This Row],[CurrentStock]]&lt;Table2[[#This Row],[ReorderLevel]],"Reorder", "Okay")</f>
        <v>Reorder</v>
      </c>
      <c r="Q2760" s="13" t="str">
        <f>IF(Table2[[#This Row],[CurrentStock]]&gt;Table2[[#This Row],[ReorderLevel]]*3, "Overstock", "Okay")</f>
        <v>Okay</v>
      </c>
    </row>
    <row r="2761" spans="1:17" x14ac:dyDescent="0.35">
      <c r="A2761">
        <v>48639</v>
      </c>
      <c r="B2761" t="s">
        <v>16</v>
      </c>
      <c r="C2761" t="s">
        <v>29</v>
      </c>
      <c r="D2761">
        <v>434</v>
      </c>
      <c r="E2761">
        <v>30</v>
      </c>
      <c r="F2761" s="2">
        <v>162.38999999999999</v>
      </c>
      <c r="G2761" t="s">
        <v>35</v>
      </c>
      <c r="H2761" s="1">
        <v>45629</v>
      </c>
      <c r="I2761" s="1">
        <v>45647</v>
      </c>
      <c r="J2761" t="s">
        <v>36</v>
      </c>
      <c r="K2761" s="8">
        <f>Table2[[#This Row],[CurrentStock]]*Table2[[#This Row],[UnitPrice]]</f>
        <v>70477.259999999995</v>
      </c>
      <c r="L2761" t="str">
        <f>IF(Table2[[#This Row],[CurrentStock]]&lt;=Table2[[#This Row],[ReorderLevel]], "Reorder Needed", "Okay")</f>
        <v>Okay</v>
      </c>
      <c r="M2761" t="str">
        <f>IF(Table2[[#This Row],[CurrentStock]]-Table2[[#This Row],[ReorderLevel]]&lt;0,Table2[[#This Row],[CurrentStock]]-Table2[[#This Row],[ReorderLevel]],"")</f>
        <v/>
      </c>
      <c r="N2761" t="str">
        <f>IF(Table2[[#This Row],[Stock Gap]]&lt;0, "Understock","Okay")</f>
        <v>Okay</v>
      </c>
      <c r="O2761" s="13" t="str">
        <f>IF(Table2[[#This Row],[Stock Gap]]&lt;0, "Yes", "No")</f>
        <v>No</v>
      </c>
      <c r="P2761" s="13" t="str">
        <f>IF(Table2[[#This Row],[CurrentStock]]&lt;Table2[[#This Row],[ReorderLevel]],"Reorder", "Okay")</f>
        <v>Okay</v>
      </c>
      <c r="Q2761" s="13" t="str">
        <f>IF(Table2[[#This Row],[CurrentStock]]&gt;Table2[[#This Row],[ReorderLevel]]*3, "Overstock", "Okay")</f>
        <v>Overstock</v>
      </c>
    </row>
    <row r="2762" spans="1:17" x14ac:dyDescent="0.35">
      <c r="A2762">
        <v>53831</v>
      </c>
      <c r="B2762" t="s">
        <v>17</v>
      </c>
      <c r="C2762" t="s">
        <v>27</v>
      </c>
      <c r="D2762">
        <v>266</v>
      </c>
      <c r="E2762">
        <v>100</v>
      </c>
      <c r="F2762" s="2">
        <v>332.21</v>
      </c>
      <c r="G2762" t="s">
        <v>35</v>
      </c>
      <c r="H2762" s="1">
        <v>45323</v>
      </c>
      <c r="I2762" s="1">
        <v>45346</v>
      </c>
      <c r="J2762" t="s">
        <v>37</v>
      </c>
      <c r="K2762" s="8">
        <f>Table2[[#This Row],[CurrentStock]]*Table2[[#This Row],[UnitPrice]]</f>
        <v>88367.86</v>
      </c>
      <c r="L2762" t="str">
        <f>IF(Table2[[#This Row],[CurrentStock]]&lt;=Table2[[#This Row],[ReorderLevel]], "Reorder Needed", "Okay")</f>
        <v>Okay</v>
      </c>
      <c r="M2762" t="str">
        <f>IF(Table2[[#This Row],[CurrentStock]]-Table2[[#This Row],[ReorderLevel]]&lt;0,Table2[[#This Row],[CurrentStock]]-Table2[[#This Row],[ReorderLevel]],"")</f>
        <v/>
      </c>
      <c r="N2762" t="str">
        <f>IF(Table2[[#This Row],[Stock Gap]]&lt;0, "Understock","Okay")</f>
        <v>Okay</v>
      </c>
      <c r="O2762" s="13" t="str">
        <f>IF(Table2[[#This Row],[Stock Gap]]&lt;0, "Yes", "No")</f>
        <v>No</v>
      </c>
      <c r="P2762" s="13" t="str">
        <f>IF(Table2[[#This Row],[CurrentStock]]&lt;Table2[[#This Row],[ReorderLevel]],"Reorder", "Okay")</f>
        <v>Okay</v>
      </c>
      <c r="Q2762" s="13" t="str">
        <f>IF(Table2[[#This Row],[CurrentStock]]&gt;Table2[[#This Row],[ReorderLevel]]*3, "Overstock", "Okay")</f>
        <v>Okay</v>
      </c>
    </row>
    <row r="2763" spans="1:17" x14ac:dyDescent="0.35">
      <c r="A2763">
        <v>85066</v>
      </c>
      <c r="B2763" t="s">
        <v>13</v>
      </c>
      <c r="C2763" t="s">
        <v>26</v>
      </c>
      <c r="D2763">
        <v>470</v>
      </c>
      <c r="E2763">
        <v>100</v>
      </c>
      <c r="F2763" s="2">
        <v>210.27</v>
      </c>
      <c r="G2763" t="s">
        <v>34</v>
      </c>
      <c r="H2763" s="1">
        <v>45576</v>
      </c>
      <c r="I2763" s="1">
        <v>45593</v>
      </c>
      <c r="J2763" t="s">
        <v>38</v>
      </c>
      <c r="K2763" s="8">
        <f>Table2[[#This Row],[CurrentStock]]*Table2[[#This Row],[UnitPrice]]</f>
        <v>98826.900000000009</v>
      </c>
      <c r="L2763" t="str">
        <f>IF(Table2[[#This Row],[CurrentStock]]&lt;=Table2[[#This Row],[ReorderLevel]], "Reorder Needed", "Okay")</f>
        <v>Okay</v>
      </c>
      <c r="M2763" t="str">
        <f>IF(Table2[[#This Row],[CurrentStock]]-Table2[[#This Row],[ReorderLevel]]&lt;0,Table2[[#This Row],[CurrentStock]]-Table2[[#This Row],[ReorderLevel]],"")</f>
        <v/>
      </c>
      <c r="N2763" t="str">
        <f>IF(Table2[[#This Row],[Stock Gap]]&lt;0, "Understock","Okay")</f>
        <v>Okay</v>
      </c>
      <c r="O2763" s="13" t="str">
        <f>IF(Table2[[#This Row],[Stock Gap]]&lt;0, "Yes", "No")</f>
        <v>No</v>
      </c>
      <c r="P2763" s="13" t="str">
        <f>IF(Table2[[#This Row],[CurrentStock]]&lt;Table2[[#This Row],[ReorderLevel]],"Reorder", "Okay")</f>
        <v>Okay</v>
      </c>
      <c r="Q2763" s="13" t="str">
        <f>IF(Table2[[#This Row],[CurrentStock]]&gt;Table2[[#This Row],[ReorderLevel]]*3, "Overstock", "Okay")</f>
        <v>Overstock</v>
      </c>
    </row>
    <row r="2764" spans="1:17" x14ac:dyDescent="0.35">
      <c r="A2764">
        <v>89271</v>
      </c>
      <c r="B2764" t="s">
        <v>17</v>
      </c>
      <c r="C2764" t="s">
        <v>27</v>
      </c>
      <c r="D2764">
        <v>116</v>
      </c>
      <c r="E2764">
        <v>150</v>
      </c>
      <c r="F2764" s="2">
        <v>399.09</v>
      </c>
      <c r="G2764" t="s">
        <v>32</v>
      </c>
      <c r="H2764" s="1">
        <v>45626</v>
      </c>
      <c r="I2764" s="1">
        <v>45645</v>
      </c>
      <c r="J2764" t="s">
        <v>38</v>
      </c>
      <c r="K2764" s="8">
        <f>Table2[[#This Row],[CurrentStock]]*Table2[[#This Row],[UnitPrice]]</f>
        <v>46294.439999999995</v>
      </c>
      <c r="L2764" t="str">
        <f>IF(Table2[[#This Row],[CurrentStock]]&lt;=Table2[[#This Row],[ReorderLevel]], "Reorder Needed", "Okay")</f>
        <v>Reorder Needed</v>
      </c>
      <c r="M2764" s="7">
        <f>IF(Table2[[#This Row],[CurrentStock]]-Table2[[#This Row],[ReorderLevel]]&lt;0,Table2[[#This Row],[CurrentStock]]-Table2[[#This Row],[ReorderLevel]],"")</f>
        <v>-34</v>
      </c>
      <c r="N2764" t="str">
        <f>IF(Table2[[#This Row],[Stock Gap]]&lt;0, "Understock","Okay")</f>
        <v>Understock</v>
      </c>
      <c r="O2764" s="13" t="str">
        <f>IF(Table2[[#This Row],[Stock Gap]]&lt;0, "Yes", "No")</f>
        <v>Yes</v>
      </c>
      <c r="P2764" s="13" t="str">
        <f>IF(Table2[[#This Row],[CurrentStock]]&lt;Table2[[#This Row],[ReorderLevel]],"Reorder", "Okay")</f>
        <v>Reorder</v>
      </c>
      <c r="Q2764" s="13" t="str">
        <f>IF(Table2[[#This Row],[CurrentStock]]&gt;Table2[[#This Row],[ReorderLevel]]*3, "Overstock", "Okay")</f>
        <v>Okay</v>
      </c>
    </row>
    <row r="2765" spans="1:17" x14ac:dyDescent="0.35">
      <c r="A2765">
        <v>38385</v>
      </c>
      <c r="B2765" t="s">
        <v>16</v>
      </c>
      <c r="C2765" t="s">
        <v>29</v>
      </c>
      <c r="D2765">
        <v>476</v>
      </c>
      <c r="E2765">
        <v>150</v>
      </c>
      <c r="F2765" s="2">
        <v>187.86</v>
      </c>
      <c r="G2765" t="s">
        <v>33</v>
      </c>
      <c r="H2765" s="1">
        <v>45551</v>
      </c>
      <c r="I2765" s="1">
        <v>45567</v>
      </c>
      <c r="J2765" t="s">
        <v>38</v>
      </c>
      <c r="K2765" s="8">
        <f>Table2[[#This Row],[CurrentStock]]*Table2[[#This Row],[UnitPrice]]</f>
        <v>89421.36</v>
      </c>
      <c r="L2765" t="str">
        <f>IF(Table2[[#This Row],[CurrentStock]]&lt;=Table2[[#This Row],[ReorderLevel]], "Reorder Needed", "Okay")</f>
        <v>Okay</v>
      </c>
      <c r="M2765" t="str">
        <f>IF(Table2[[#This Row],[CurrentStock]]-Table2[[#This Row],[ReorderLevel]]&lt;0,Table2[[#This Row],[CurrentStock]]-Table2[[#This Row],[ReorderLevel]],"")</f>
        <v/>
      </c>
      <c r="N2765" t="str">
        <f>IF(Table2[[#This Row],[Stock Gap]]&lt;0, "Understock","Okay")</f>
        <v>Okay</v>
      </c>
      <c r="O2765" s="13" t="str">
        <f>IF(Table2[[#This Row],[Stock Gap]]&lt;0, "Yes", "No")</f>
        <v>No</v>
      </c>
      <c r="P2765" s="13" t="str">
        <f>IF(Table2[[#This Row],[CurrentStock]]&lt;Table2[[#This Row],[ReorderLevel]],"Reorder", "Okay")</f>
        <v>Okay</v>
      </c>
      <c r="Q2765" s="13" t="str">
        <f>IF(Table2[[#This Row],[CurrentStock]]&gt;Table2[[#This Row],[ReorderLevel]]*3, "Overstock", "Okay")</f>
        <v>Overstock</v>
      </c>
    </row>
    <row r="2766" spans="1:17" x14ac:dyDescent="0.35">
      <c r="A2766">
        <v>97943</v>
      </c>
      <c r="B2766" t="s">
        <v>12</v>
      </c>
      <c r="C2766" t="s">
        <v>28</v>
      </c>
      <c r="D2766">
        <v>441</v>
      </c>
      <c r="E2766">
        <v>20</v>
      </c>
      <c r="F2766" s="2">
        <v>473.47</v>
      </c>
      <c r="G2766" t="s">
        <v>32</v>
      </c>
      <c r="H2766" s="1">
        <v>45484</v>
      </c>
      <c r="I2766" s="1">
        <v>45501</v>
      </c>
      <c r="J2766" t="s">
        <v>38</v>
      </c>
      <c r="K2766" s="8">
        <f>Table2[[#This Row],[CurrentStock]]*Table2[[#This Row],[UnitPrice]]</f>
        <v>208800.27000000002</v>
      </c>
      <c r="L2766" t="str">
        <f>IF(Table2[[#This Row],[CurrentStock]]&lt;=Table2[[#This Row],[ReorderLevel]], "Reorder Needed", "Okay")</f>
        <v>Okay</v>
      </c>
      <c r="M2766" t="str">
        <f>IF(Table2[[#This Row],[CurrentStock]]-Table2[[#This Row],[ReorderLevel]]&lt;0,Table2[[#This Row],[CurrentStock]]-Table2[[#This Row],[ReorderLevel]],"")</f>
        <v/>
      </c>
      <c r="N2766" t="str">
        <f>IF(Table2[[#This Row],[Stock Gap]]&lt;0, "Understock","Okay")</f>
        <v>Okay</v>
      </c>
      <c r="O2766" s="13" t="str">
        <f>IF(Table2[[#This Row],[Stock Gap]]&lt;0, "Yes", "No")</f>
        <v>No</v>
      </c>
      <c r="P2766" s="13" t="str">
        <f>IF(Table2[[#This Row],[CurrentStock]]&lt;Table2[[#This Row],[ReorderLevel]],"Reorder", "Okay")</f>
        <v>Okay</v>
      </c>
      <c r="Q2766" s="13" t="str">
        <f>IF(Table2[[#This Row],[CurrentStock]]&gt;Table2[[#This Row],[ReorderLevel]]*3, "Overstock", "Okay")</f>
        <v>Overstock</v>
      </c>
    </row>
    <row r="2767" spans="1:17" x14ac:dyDescent="0.35">
      <c r="A2767">
        <v>10797</v>
      </c>
      <c r="B2767" t="s">
        <v>12</v>
      </c>
      <c r="C2767" t="s">
        <v>28</v>
      </c>
      <c r="D2767">
        <v>113</v>
      </c>
      <c r="E2767">
        <v>50</v>
      </c>
      <c r="F2767" s="2">
        <v>147.63</v>
      </c>
      <c r="G2767" t="s">
        <v>32</v>
      </c>
      <c r="H2767" s="1">
        <v>45457</v>
      </c>
      <c r="I2767" s="1">
        <v>45481</v>
      </c>
      <c r="J2767" t="s">
        <v>37</v>
      </c>
      <c r="K2767" s="8">
        <f>Table2[[#This Row],[CurrentStock]]*Table2[[#This Row],[UnitPrice]]</f>
        <v>16682.189999999999</v>
      </c>
      <c r="L2767" t="str">
        <f>IF(Table2[[#This Row],[CurrentStock]]&lt;=Table2[[#This Row],[ReorderLevel]], "Reorder Needed", "Okay")</f>
        <v>Okay</v>
      </c>
      <c r="M2767" t="str">
        <f>IF(Table2[[#This Row],[CurrentStock]]-Table2[[#This Row],[ReorderLevel]]&lt;0,Table2[[#This Row],[CurrentStock]]-Table2[[#This Row],[ReorderLevel]],"")</f>
        <v/>
      </c>
      <c r="N2767" t="str">
        <f>IF(Table2[[#This Row],[Stock Gap]]&lt;0, "Understock","Okay")</f>
        <v>Okay</v>
      </c>
      <c r="O2767" s="13" t="str">
        <f>IF(Table2[[#This Row],[Stock Gap]]&lt;0, "Yes", "No")</f>
        <v>No</v>
      </c>
      <c r="P2767" s="13" t="str">
        <f>IF(Table2[[#This Row],[CurrentStock]]&lt;Table2[[#This Row],[ReorderLevel]],"Reorder", "Okay")</f>
        <v>Okay</v>
      </c>
      <c r="Q2767" s="13" t="str">
        <f>IF(Table2[[#This Row],[CurrentStock]]&gt;Table2[[#This Row],[ReorderLevel]]*3, "Overstock", "Okay")</f>
        <v>Okay</v>
      </c>
    </row>
    <row r="2768" spans="1:17" x14ac:dyDescent="0.35">
      <c r="A2768">
        <v>38787</v>
      </c>
      <c r="B2768" t="s">
        <v>12</v>
      </c>
      <c r="C2768" t="s">
        <v>28</v>
      </c>
      <c r="D2768">
        <v>100</v>
      </c>
      <c r="E2768">
        <v>40</v>
      </c>
      <c r="F2768" s="2">
        <v>367.07</v>
      </c>
      <c r="G2768" t="s">
        <v>35</v>
      </c>
      <c r="H2768" s="1">
        <v>45321</v>
      </c>
      <c r="I2768" s="1">
        <v>45355</v>
      </c>
      <c r="J2768" t="s">
        <v>37</v>
      </c>
      <c r="K2768" s="8">
        <f>Table2[[#This Row],[CurrentStock]]*Table2[[#This Row],[UnitPrice]]</f>
        <v>36707</v>
      </c>
      <c r="L2768" t="str">
        <f>IF(Table2[[#This Row],[CurrentStock]]&lt;=Table2[[#This Row],[ReorderLevel]], "Reorder Needed", "Okay")</f>
        <v>Okay</v>
      </c>
      <c r="M2768" t="str">
        <f>IF(Table2[[#This Row],[CurrentStock]]-Table2[[#This Row],[ReorderLevel]]&lt;0,Table2[[#This Row],[CurrentStock]]-Table2[[#This Row],[ReorderLevel]],"")</f>
        <v/>
      </c>
      <c r="N2768" t="str">
        <f>IF(Table2[[#This Row],[Stock Gap]]&lt;0, "Understock","Okay")</f>
        <v>Okay</v>
      </c>
      <c r="O2768" s="13" t="str">
        <f>IF(Table2[[#This Row],[Stock Gap]]&lt;0, "Yes", "No")</f>
        <v>No</v>
      </c>
      <c r="P2768" s="13" t="str">
        <f>IF(Table2[[#This Row],[CurrentStock]]&lt;Table2[[#This Row],[ReorderLevel]],"Reorder", "Okay")</f>
        <v>Okay</v>
      </c>
      <c r="Q2768" s="13" t="str">
        <f>IF(Table2[[#This Row],[CurrentStock]]&gt;Table2[[#This Row],[ReorderLevel]]*3, "Overstock", "Okay")</f>
        <v>Okay</v>
      </c>
    </row>
    <row r="2769" spans="1:17" x14ac:dyDescent="0.35">
      <c r="A2769">
        <v>99779</v>
      </c>
      <c r="B2769" t="s">
        <v>12</v>
      </c>
      <c r="C2769" t="s">
        <v>28</v>
      </c>
      <c r="D2769">
        <v>23</v>
      </c>
      <c r="E2769">
        <v>40</v>
      </c>
      <c r="F2769" s="2">
        <v>252</v>
      </c>
      <c r="G2769" t="s">
        <v>35</v>
      </c>
      <c r="H2769" s="1">
        <v>45460</v>
      </c>
      <c r="I2769" s="1">
        <v>45490</v>
      </c>
      <c r="J2769" t="s">
        <v>37</v>
      </c>
      <c r="K2769" s="8">
        <f>Table2[[#This Row],[CurrentStock]]*Table2[[#This Row],[UnitPrice]]</f>
        <v>5796</v>
      </c>
      <c r="L2769" t="str">
        <f>IF(Table2[[#This Row],[CurrentStock]]&lt;=Table2[[#This Row],[ReorderLevel]], "Reorder Needed", "Okay")</f>
        <v>Reorder Needed</v>
      </c>
      <c r="M2769" s="7">
        <f>IF(Table2[[#This Row],[CurrentStock]]-Table2[[#This Row],[ReorderLevel]]&lt;0,Table2[[#This Row],[CurrentStock]]-Table2[[#This Row],[ReorderLevel]],"")</f>
        <v>-17</v>
      </c>
      <c r="N2769" t="str">
        <f>IF(Table2[[#This Row],[Stock Gap]]&lt;0, "Understock","Okay")</f>
        <v>Understock</v>
      </c>
      <c r="O2769" s="13" t="str">
        <f>IF(Table2[[#This Row],[Stock Gap]]&lt;0, "Yes", "No")</f>
        <v>Yes</v>
      </c>
      <c r="P2769" s="13" t="str">
        <f>IF(Table2[[#This Row],[CurrentStock]]&lt;Table2[[#This Row],[ReorderLevel]],"Reorder", "Okay")</f>
        <v>Reorder</v>
      </c>
      <c r="Q2769" s="13" t="str">
        <f>IF(Table2[[#This Row],[CurrentStock]]&gt;Table2[[#This Row],[ReorderLevel]]*3, "Overstock", "Okay")</f>
        <v>Okay</v>
      </c>
    </row>
    <row r="2770" spans="1:17" x14ac:dyDescent="0.35">
      <c r="A2770">
        <v>79560</v>
      </c>
      <c r="B2770" t="s">
        <v>9</v>
      </c>
      <c r="C2770" t="s">
        <v>26</v>
      </c>
      <c r="D2770">
        <v>62</v>
      </c>
      <c r="E2770">
        <v>80</v>
      </c>
      <c r="F2770" s="2">
        <v>266.5</v>
      </c>
      <c r="G2770" t="s">
        <v>35</v>
      </c>
      <c r="H2770" s="1">
        <v>45602</v>
      </c>
      <c r="I2770" s="1">
        <v>45614</v>
      </c>
      <c r="J2770" t="s">
        <v>37</v>
      </c>
      <c r="K2770" s="8">
        <f>Table2[[#This Row],[CurrentStock]]*Table2[[#This Row],[UnitPrice]]</f>
        <v>16523</v>
      </c>
      <c r="L2770" t="str">
        <f>IF(Table2[[#This Row],[CurrentStock]]&lt;=Table2[[#This Row],[ReorderLevel]], "Reorder Needed", "Okay")</f>
        <v>Reorder Needed</v>
      </c>
      <c r="M2770" s="7">
        <f>IF(Table2[[#This Row],[CurrentStock]]-Table2[[#This Row],[ReorderLevel]]&lt;0,Table2[[#This Row],[CurrentStock]]-Table2[[#This Row],[ReorderLevel]],"")</f>
        <v>-18</v>
      </c>
      <c r="N2770" t="str">
        <f>IF(Table2[[#This Row],[Stock Gap]]&lt;0, "Understock","Okay")</f>
        <v>Understock</v>
      </c>
      <c r="O2770" s="13" t="str">
        <f>IF(Table2[[#This Row],[Stock Gap]]&lt;0, "Yes", "No")</f>
        <v>Yes</v>
      </c>
      <c r="P2770" s="13" t="str">
        <f>IF(Table2[[#This Row],[CurrentStock]]&lt;Table2[[#This Row],[ReorderLevel]],"Reorder", "Okay")</f>
        <v>Reorder</v>
      </c>
      <c r="Q2770" s="13" t="str">
        <f>IF(Table2[[#This Row],[CurrentStock]]&gt;Table2[[#This Row],[ReorderLevel]]*3, "Overstock", "Okay")</f>
        <v>Okay</v>
      </c>
    </row>
    <row r="2771" spans="1:17" x14ac:dyDescent="0.35">
      <c r="A2771">
        <v>39684</v>
      </c>
      <c r="B2771" t="s">
        <v>11</v>
      </c>
      <c r="C2771" t="s">
        <v>27</v>
      </c>
      <c r="D2771">
        <v>356</v>
      </c>
      <c r="E2771">
        <v>30</v>
      </c>
      <c r="F2771" s="2">
        <v>246.47</v>
      </c>
      <c r="G2771" t="s">
        <v>35</v>
      </c>
      <c r="H2771" s="1">
        <v>45604</v>
      </c>
      <c r="I2771" s="1">
        <v>45612</v>
      </c>
      <c r="J2771" t="s">
        <v>37</v>
      </c>
      <c r="K2771" s="8">
        <f>Table2[[#This Row],[CurrentStock]]*Table2[[#This Row],[UnitPrice]]</f>
        <v>87743.319999999992</v>
      </c>
      <c r="L2771" t="str">
        <f>IF(Table2[[#This Row],[CurrentStock]]&lt;=Table2[[#This Row],[ReorderLevel]], "Reorder Needed", "Okay")</f>
        <v>Okay</v>
      </c>
      <c r="M2771" t="str">
        <f>IF(Table2[[#This Row],[CurrentStock]]-Table2[[#This Row],[ReorderLevel]]&lt;0,Table2[[#This Row],[CurrentStock]]-Table2[[#This Row],[ReorderLevel]],"")</f>
        <v/>
      </c>
      <c r="N2771" t="str">
        <f>IF(Table2[[#This Row],[Stock Gap]]&lt;0, "Understock","Okay")</f>
        <v>Okay</v>
      </c>
      <c r="O2771" s="13" t="str">
        <f>IF(Table2[[#This Row],[Stock Gap]]&lt;0, "Yes", "No")</f>
        <v>No</v>
      </c>
      <c r="P2771" s="13" t="str">
        <f>IF(Table2[[#This Row],[CurrentStock]]&lt;Table2[[#This Row],[ReorderLevel]],"Reorder", "Okay")</f>
        <v>Okay</v>
      </c>
      <c r="Q2771" s="13" t="str">
        <f>IF(Table2[[#This Row],[CurrentStock]]&gt;Table2[[#This Row],[ReorderLevel]]*3, "Overstock", "Okay")</f>
        <v>Overstock</v>
      </c>
    </row>
    <row r="2772" spans="1:17" x14ac:dyDescent="0.35">
      <c r="A2772">
        <v>50910</v>
      </c>
      <c r="B2772" t="s">
        <v>16</v>
      </c>
      <c r="C2772" t="s">
        <v>29</v>
      </c>
      <c r="D2772">
        <v>327</v>
      </c>
      <c r="E2772">
        <v>20</v>
      </c>
      <c r="F2772" s="2">
        <v>425.61</v>
      </c>
      <c r="G2772" t="s">
        <v>32</v>
      </c>
      <c r="H2772" s="1">
        <v>45373</v>
      </c>
      <c r="I2772" s="1">
        <v>45387</v>
      </c>
      <c r="J2772" t="s">
        <v>36</v>
      </c>
      <c r="K2772" s="8">
        <f>Table2[[#This Row],[CurrentStock]]*Table2[[#This Row],[UnitPrice]]</f>
        <v>139174.47</v>
      </c>
      <c r="L2772" t="str">
        <f>IF(Table2[[#This Row],[CurrentStock]]&lt;=Table2[[#This Row],[ReorderLevel]], "Reorder Needed", "Okay")</f>
        <v>Okay</v>
      </c>
      <c r="M2772" t="str">
        <f>IF(Table2[[#This Row],[CurrentStock]]-Table2[[#This Row],[ReorderLevel]]&lt;0,Table2[[#This Row],[CurrentStock]]-Table2[[#This Row],[ReorderLevel]],"")</f>
        <v/>
      </c>
      <c r="N2772" t="str">
        <f>IF(Table2[[#This Row],[Stock Gap]]&lt;0, "Understock","Okay")</f>
        <v>Okay</v>
      </c>
      <c r="O2772" s="13" t="str">
        <f>IF(Table2[[#This Row],[Stock Gap]]&lt;0, "Yes", "No")</f>
        <v>No</v>
      </c>
      <c r="P2772" s="13" t="str">
        <f>IF(Table2[[#This Row],[CurrentStock]]&lt;Table2[[#This Row],[ReorderLevel]],"Reorder", "Okay")</f>
        <v>Okay</v>
      </c>
      <c r="Q2772" s="13" t="str">
        <f>IF(Table2[[#This Row],[CurrentStock]]&gt;Table2[[#This Row],[ReorderLevel]]*3, "Overstock", "Okay")</f>
        <v>Overstock</v>
      </c>
    </row>
    <row r="2773" spans="1:17" x14ac:dyDescent="0.35">
      <c r="A2773">
        <v>52706</v>
      </c>
      <c r="B2773" t="s">
        <v>14</v>
      </c>
      <c r="C2773" t="s">
        <v>28</v>
      </c>
      <c r="D2773">
        <v>364</v>
      </c>
      <c r="E2773">
        <v>20</v>
      </c>
      <c r="F2773" s="2">
        <v>125.56</v>
      </c>
      <c r="G2773" t="s">
        <v>31</v>
      </c>
      <c r="H2773" s="1">
        <v>45326</v>
      </c>
      <c r="I2773" s="1">
        <v>45351</v>
      </c>
      <c r="J2773" t="s">
        <v>36</v>
      </c>
      <c r="K2773" s="8">
        <f>Table2[[#This Row],[CurrentStock]]*Table2[[#This Row],[UnitPrice]]</f>
        <v>45703.840000000004</v>
      </c>
      <c r="L2773" t="str">
        <f>IF(Table2[[#This Row],[CurrentStock]]&lt;=Table2[[#This Row],[ReorderLevel]], "Reorder Needed", "Okay")</f>
        <v>Okay</v>
      </c>
      <c r="M2773" t="str">
        <f>IF(Table2[[#This Row],[CurrentStock]]-Table2[[#This Row],[ReorderLevel]]&lt;0,Table2[[#This Row],[CurrentStock]]-Table2[[#This Row],[ReorderLevel]],"")</f>
        <v/>
      </c>
      <c r="N2773" t="str">
        <f>IF(Table2[[#This Row],[Stock Gap]]&lt;0, "Understock","Okay")</f>
        <v>Okay</v>
      </c>
      <c r="O2773" s="13" t="str">
        <f>IF(Table2[[#This Row],[Stock Gap]]&lt;0, "Yes", "No")</f>
        <v>No</v>
      </c>
      <c r="P2773" s="13" t="str">
        <f>IF(Table2[[#This Row],[CurrentStock]]&lt;Table2[[#This Row],[ReorderLevel]],"Reorder", "Okay")</f>
        <v>Okay</v>
      </c>
      <c r="Q2773" s="13" t="str">
        <f>IF(Table2[[#This Row],[CurrentStock]]&gt;Table2[[#This Row],[ReorderLevel]]*3, "Overstock", "Okay")</f>
        <v>Overstock</v>
      </c>
    </row>
    <row r="2774" spans="1:17" x14ac:dyDescent="0.35">
      <c r="A2774">
        <v>16377</v>
      </c>
      <c r="B2774" t="s">
        <v>21</v>
      </c>
      <c r="C2774" t="s">
        <v>26</v>
      </c>
      <c r="D2774">
        <v>251</v>
      </c>
      <c r="E2774">
        <v>40</v>
      </c>
      <c r="F2774" s="2">
        <v>187.42</v>
      </c>
      <c r="G2774" t="s">
        <v>31</v>
      </c>
      <c r="H2774" s="1">
        <v>45510</v>
      </c>
      <c r="I2774" s="1">
        <v>45532</v>
      </c>
      <c r="J2774" t="s">
        <v>36</v>
      </c>
      <c r="K2774" s="8">
        <f>Table2[[#This Row],[CurrentStock]]*Table2[[#This Row],[UnitPrice]]</f>
        <v>47042.42</v>
      </c>
      <c r="L2774" t="str">
        <f>IF(Table2[[#This Row],[CurrentStock]]&lt;=Table2[[#This Row],[ReorderLevel]], "Reorder Needed", "Okay")</f>
        <v>Okay</v>
      </c>
      <c r="M2774" t="str">
        <f>IF(Table2[[#This Row],[CurrentStock]]-Table2[[#This Row],[ReorderLevel]]&lt;0,Table2[[#This Row],[CurrentStock]]-Table2[[#This Row],[ReorderLevel]],"")</f>
        <v/>
      </c>
      <c r="N2774" t="str">
        <f>IF(Table2[[#This Row],[Stock Gap]]&lt;0, "Understock","Okay")</f>
        <v>Okay</v>
      </c>
      <c r="O2774" s="13" t="str">
        <f>IF(Table2[[#This Row],[Stock Gap]]&lt;0, "Yes", "No")</f>
        <v>No</v>
      </c>
      <c r="P2774" s="13" t="str">
        <f>IF(Table2[[#This Row],[CurrentStock]]&lt;Table2[[#This Row],[ReorderLevel]],"Reorder", "Okay")</f>
        <v>Okay</v>
      </c>
      <c r="Q2774" s="13" t="str">
        <f>IF(Table2[[#This Row],[CurrentStock]]&gt;Table2[[#This Row],[ReorderLevel]]*3, "Overstock", "Okay")</f>
        <v>Overstock</v>
      </c>
    </row>
    <row r="2775" spans="1:17" x14ac:dyDescent="0.35">
      <c r="A2775">
        <v>56729</v>
      </c>
      <c r="B2775" t="s">
        <v>25</v>
      </c>
      <c r="C2775" t="s">
        <v>29</v>
      </c>
      <c r="D2775">
        <v>212</v>
      </c>
      <c r="E2775">
        <v>50</v>
      </c>
      <c r="F2775" s="2">
        <v>279.57</v>
      </c>
      <c r="G2775" t="s">
        <v>35</v>
      </c>
      <c r="H2775" s="1">
        <v>45348</v>
      </c>
      <c r="I2775" s="1">
        <v>45383</v>
      </c>
      <c r="J2775" t="s">
        <v>36</v>
      </c>
      <c r="K2775" s="8">
        <f>Table2[[#This Row],[CurrentStock]]*Table2[[#This Row],[UnitPrice]]</f>
        <v>59268.84</v>
      </c>
      <c r="L2775" t="str">
        <f>IF(Table2[[#This Row],[CurrentStock]]&lt;=Table2[[#This Row],[ReorderLevel]], "Reorder Needed", "Okay")</f>
        <v>Okay</v>
      </c>
      <c r="M2775" t="str">
        <f>IF(Table2[[#This Row],[CurrentStock]]-Table2[[#This Row],[ReorderLevel]]&lt;0,Table2[[#This Row],[CurrentStock]]-Table2[[#This Row],[ReorderLevel]],"")</f>
        <v/>
      </c>
      <c r="N2775" t="str">
        <f>IF(Table2[[#This Row],[Stock Gap]]&lt;0, "Understock","Okay")</f>
        <v>Okay</v>
      </c>
      <c r="O2775" s="13" t="str">
        <f>IF(Table2[[#This Row],[Stock Gap]]&lt;0, "Yes", "No")</f>
        <v>No</v>
      </c>
      <c r="P2775" s="13" t="str">
        <f>IF(Table2[[#This Row],[CurrentStock]]&lt;Table2[[#This Row],[ReorderLevel]],"Reorder", "Okay")</f>
        <v>Okay</v>
      </c>
      <c r="Q2775" s="13" t="str">
        <f>IF(Table2[[#This Row],[CurrentStock]]&gt;Table2[[#This Row],[ReorderLevel]]*3, "Overstock", "Okay")</f>
        <v>Overstock</v>
      </c>
    </row>
    <row r="2776" spans="1:17" x14ac:dyDescent="0.35">
      <c r="A2776">
        <v>19642</v>
      </c>
      <c r="B2776" t="s">
        <v>20</v>
      </c>
      <c r="C2776" t="s">
        <v>30</v>
      </c>
      <c r="D2776">
        <v>10</v>
      </c>
      <c r="E2776">
        <v>150</v>
      </c>
      <c r="F2776" s="2">
        <v>293.88</v>
      </c>
      <c r="G2776" t="s">
        <v>32</v>
      </c>
      <c r="H2776" s="1">
        <v>45421</v>
      </c>
      <c r="I2776" s="1">
        <v>45433</v>
      </c>
      <c r="J2776" t="s">
        <v>38</v>
      </c>
      <c r="K2776" s="8">
        <f>Table2[[#This Row],[CurrentStock]]*Table2[[#This Row],[UnitPrice]]</f>
        <v>2938.8</v>
      </c>
      <c r="L2776" t="str">
        <f>IF(Table2[[#This Row],[CurrentStock]]&lt;=Table2[[#This Row],[ReorderLevel]], "Reorder Needed", "Okay")</f>
        <v>Reorder Needed</v>
      </c>
      <c r="M2776" s="7">
        <f>IF(Table2[[#This Row],[CurrentStock]]-Table2[[#This Row],[ReorderLevel]]&lt;0,Table2[[#This Row],[CurrentStock]]-Table2[[#This Row],[ReorderLevel]],"")</f>
        <v>-140</v>
      </c>
      <c r="N2776" t="str">
        <f>IF(Table2[[#This Row],[Stock Gap]]&lt;0, "Understock","Okay")</f>
        <v>Understock</v>
      </c>
      <c r="O2776" s="13" t="str">
        <f>IF(Table2[[#This Row],[Stock Gap]]&lt;0, "Yes", "No")</f>
        <v>Yes</v>
      </c>
      <c r="P2776" s="13" t="str">
        <f>IF(Table2[[#This Row],[CurrentStock]]&lt;Table2[[#This Row],[ReorderLevel]],"Reorder", "Okay")</f>
        <v>Reorder</v>
      </c>
      <c r="Q2776" s="13" t="str">
        <f>IF(Table2[[#This Row],[CurrentStock]]&gt;Table2[[#This Row],[ReorderLevel]]*3, "Overstock", "Okay")</f>
        <v>Okay</v>
      </c>
    </row>
    <row r="2777" spans="1:17" x14ac:dyDescent="0.35">
      <c r="A2777">
        <v>32105</v>
      </c>
      <c r="B2777" t="s">
        <v>9</v>
      </c>
      <c r="C2777" t="s">
        <v>26</v>
      </c>
      <c r="D2777">
        <v>134</v>
      </c>
      <c r="E2777">
        <v>50</v>
      </c>
      <c r="F2777" s="2">
        <v>486.3</v>
      </c>
      <c r="G2777" t="s">
        <v>31</v>
      </c>
      <c r="H2777" s="1">
        <v>45421</v>
      </c>
      <c r="I2777" s="1">
        <v>45457</v>
      </c>
      <c r="J2777" t="s">
        <v>36</v>
      </c>
      <c r="K2777" s="8">
        <f>Table2[[#This Row],[CurrentStock]]*Table2[[#This Row],[UnitPrice]]</f>
        <v>65164.200000000004</v>
      </c>
      <c r="L2777" t="str">
        <f>IF(Table2[[#This Row],[CurrentStock]]&lt;=Table2[[#This Row],[ReorderLevel]], "Reorder Needed", "Okay")</f>
        <v>Okay</v>
      </c>
      <c r="M2777" t="str">
        <f>IF(Table2[[#This Row],[CurrentStock]]-Table2[[#This Row],[ReorderLevel]]&lt;0,Table2[[#This Row],[CurrentStock]]-Table2[[#This Row],[ReorderLevel]],"")</f>
        <v/>
      </c>
      <c r="N2777" t="str">
        <f>IF(Table2[[#This Row],[Stock Gap]]&lt;0, "Understock","Okay")</f>
        <v>Okay</v>
      </c>
      <c r="O2777" s="13" t="str">
        <f>IF(Table2[[#This Row],[Stock Gap]]&lt;0, "Yes", "No")</f>
        <v>No</v>
      </c>
      <c r="P2777" s="13" t="str">
        <f>IF(Table2[[#This Row],[CurrentStock]]&lt;Table2[[#This Row],[ReorderLevel]],"Reorder", "Okay")</f>
        <v>Okay</v>
      </c>
      <c r="Q2777" s="13" t="str">
        <f>IF(Table2[[#This Row],[CurrentStock]]&gt;Table2[[#This Row],[ReorderLevel]]*3, "Overstock", "Okay")</f>
        <v>Okay</v>
      </c>
    </row>
    <row r="2778" spans="1:17" x14ac:dyDescent="0.35">
      <c r="A2778">
        <v>41428</v>
      </c>
      <c r="B2778" t="s">
        <v>23</v>
      </c>
      <c r="C2778" t="s">
        <v>30</v>
      </c>
      <c r="D2778">
        <v>248</v>
      </c>
      <c r="E2778">
        <v>80</v>
      </c>
      <c r="F2778" s="2">
        <v>25.02</v>
      </c>
      <c r="G2778" t="s">
        <v>31</v>
      </c>
      <c r="H2778" s="1">
        <v>45338</v>
      </c>
      <c r="I2778" s="1">
        <v>45372</v>
      </c>
      <c r="J2778" t="s">
        <v>38</v>
      </c>
      <c r="K2778" s="8">
        <f>Table2[[#This Row],[CurrentStock]]*Table2[[#This Row],[UnitPrice]]</f>
        <v>6204.96</v>
      </c>
      <c r="L2778" t="str">
        <f>IF(Table2[[#This Row],[CurrentStock]]&lt;=Table2[[#This Row],[ReorderLevel]], "Reorder Needed", "Okay")</f>
        <v>Okay</v>
      </c>
      <c r="M2778" t="str">
        <f>IF(Table2[[#This Row],[CurrentStock]]-Table2[[#This Row],[ReorderLevel]]&lt;0,Table2[[#This Row],[CurrentStock]]-Table2[[#This Row],[ReorderLevel]],"")</f>
        <v/>
      </c>
      <c r="N2778" t="str">
        <f>IF(Table2[[#This Row],[Stock Gap]]&lt;0, "Understock","Okay")</f>
        <v>Okay</v>
      </c>
      <c r="O2778" s="13" t="str">
        <f>IF(Table2[[#This Row],[Stock Gap]]&lt;0, "Yes", "No")</f>
        <v>No</v>
      </c>
      <c r="P2778" s="13" t="str">
        <f>IF(Table2[[#This Row],[CurrentStock]]&lt;Table2[[#This Row],[ReorderLevel]],"Reorder", "Okay")</f>
        <v>Okay</v>
      </c>
      <c r="Q2778" s="13" t="str">
        <f>IF(Table2[[#This Row],[CurrentStock]]&gt;Table2[[#This Row],[ReorderLevel]]*3, "Overstock", "Okay")</f>
        <v>Overstock</v>
      </c>
    </row>
    <row r="2779" spans="1:17" x14ac:dyDescent="0.35">
      <c r="A2779">
        <v>99547</v>
      </c>
      <c r="B2779" t="s">
        <v>20</v>
      </c>
      <c r="C2779" t="s">
        <v>30</v>
      </c>
      <c r="D2779">
        <v>288</v>
      </c>
      <c r="E2779">
        <v>40</v>
      </c>
      <c r="F2779" s="2">
        <v>476.77</v>
      </c>
      <c r="G2779" t="s">
        <v>31</v>
      </c>
      <c r="H2779" s="1">
        <v>45350</v>
      </c>
      <c r="I2779" s="1">
        <v>45373</v>
      </c>
      <c r="J2779" t="s">
        <v>37</v>
      </c>
      <c r="K2779" s="8">
        <f>Table2[[#This Row],[CurrentStock]]*Table2[[#This Row],[UnitPrice]]</f>
        <v>137309.76000000001</v>
      </c>
      <c r="L2779" t="str">
        <f>IF(Table2[[#This Row],[CurrentStock]]&lt;=Table2[[#This Row],[ReorderLevel]], "Reorder Needed", "Okay")</f>
        <v>Okay</v>
      </c>
      <c r="M2779" t="str">
        <f>IF(Table2[[#This Row],[CurrentStock]]-Table2[[#This Row],[ReorderLevel]]&lt;0,Table2[[#This Row],[CurrentStock]]-Table2[[#This Row],[ReorderLevel]],"")</f>
        <v/>
      </c>
      <c r="N2779" t="str">
        <f>IF(Table2[[#This Row],[Stock Gap]]&lt;0, "Understock","Okay")</f>
        <v>Okay</v>
      </c>
      <c r="O2779" s="13" t="str">
        <f>IF(Table2[[#This Row],[Stock Gap]]&lt;0, "Yes", "No")</f>
        <v>No</v>
      </c>
      <c r="P2779" s="13" t="str">
        <f>IF(Table2[[#This Row],[CurrentStock]]&lt;Table2[[#This Row],[ReorderLevel]],"Reorder", "Okay")</f>
        <v>Okay</v>
      </c>
      <c r="Q2779" s="13" t="str">
        <f>IF(Table2[[#This Row],[CurrentStock]]&gt;Table2[[#This Row],[ReorderLevel]]*3, "Overstock", "Okay")</f>
        <v>Overstock</v>
      </c>
    </row>
    <row r="2780" spans="1:17" x14ac:dyDescent="0.35">
      <c r="A2780">
        <v>70938</v>
      </c>
      <c r="B2780" t="s">
        <v>19</v>
      </c>
      <c r="C2780" t="s">
        <v>28</v>
      </c>
      <c r="D2780">
        <v>368</v>
      </c>
      <c r="E2780">
        <v>150</v>
      </c>
      <c r="F2780" s="2">
        <v>337.14</v>
      </c>
      <c r="G2780" t="s">
        <v>31</v>
      </c>
      <c r="H2780" s="1">
        <v>45374</v>
      </c>
      <c r="I2780" s="1">
        <v>45401</v>
      </c>
      <c r="J2780" t="s">
        <v>36</v>
      </c>
      <c r="K2780" s="8">
        <f>Table2[[#This Row],[CurrentStock]]*Table2[[#This Row],[UnitPrice]]</f>
        <v>124067.51999999999</v>
      </c>
      <c r="L2780" t="str">
        <f>IF(Table2[[#This Row],[CurrentStock]]&lt;=Table2[[#This Row],[ReorderLevel]], "Reorder Needed", "Okay")</f>
        <v>Okay</v>
      </c>
      <c r="M2780" t="str">
        <f>IF(Table2[[#This Row],[CurrentStock]]-Table2[[#This Row],[ReorderLevel]]&lt;0,Table2[[#This Row],[CurrentStock]]-Table2[[#This Row],[ReorderLevel]],"")</f>
        <v/>
      </c>
      <c r="N2780" t="str">
        <f>IF(Table2[[#This Row],[Stock Gap]]&lt;0, "Understock","Okay")</f>
        <v>Okay</v>
      </c>
      <c r="O2780" s="13" t="str">
        <f>IF(Table2[[#This Row],[Stock Gap]]&lt;0, "Yes", "No")</f>
        <v>No</v>
      </c>
      <c r="P2780" s="13" t="str">
        <f>IF(Table2[[#This Row],[CurrentStock]]&lt;Table2[[#This Row],[ReorderLevel]],"Reorder", "Okay")</f>
        <v>Okay</v>
      </c>
      <c r="Q2780" s="13" t="str">
        <f>IF(Table2[[#This Row],[CurrentStock]]&gt;Table2[[#This Row],[ReorderLevel]]*3, "Overstock", "Okay")</f>
        <v>Okay</v>
      </c>
    </row>
    <row r="2781" spans="1:17" x14ac:dyDescent="0.35">
      <c r="A2781">
        <v>68559</v>
      </c>
      <c r="B2781" t="s">
        <v>13</v>
      </c>
      <c r="C2781" t="s">
        <v>26</v>
      </c>
      <c r="D2781">
        <v>102</v>
      </c>
      <c r="E2781">
        <v>40</v>
      </c>
      <c r="F2781" s="2">
        <v>175.99</v>
      </c>
      <c r="G2781" t="s">
        <v>32</v>
      </c>
      <c r="H2781" s="1">
        <v>45463</v>
      </c>
      <c r="I2781" s="1">
        <v>45494</v>
      </c>
      <c r="J2781" t="s">
        <v>37</v>
      </c>
      <c r="K2781" s="8">
        <f>Table2[[#This Row],[CurrentStock]]*Table2[[#This Row],[UnitPrice]]</f>
        <v>17950.98</v>
      </c>
      <c r="L2781" t="str">
        <f>IF(Table2[[#This Row],[CurrentStock]]&lt;=Table2[[#This Row],[ReorderLevel]], "Reorder Needed", "Okay")</f>
        <v>Okay</v>
      </c>
      <c r="M2781" t="str">
        <f>IF(Table2[[#This Row],[CurrentStock]]-Table2[[#This Row],[ReorderLevel]]&lt;0,Table2[[#This Row],[CurrentStock]]-Table2[[#This Row],[ReorderLevel]],"")</f>
        <v/>
      </c>
      <c r="N2781" t="str">
        <f>IF(Table2[[#This Row],[Stock Gap]]&lt;0, "Understock","Okay")</f>
        <v>Okay</v>
      </c>
      <c r="O2781" s="13" t="str">
        <f>IF(Table2[[#This Row],[Stock Gap]]&lt;0, "Yes", "No")</f>
        <v>No</v>
      </c>
      <c r="P2781" s="13" t="str">
        <f>IF(Table2[[#This Row],[CurrentStock]]&lt;Table2[[#This Row],[ReorderLevel]],"Reorder", "Okay")</f>
        <v>Okay</v>
      </c>
      <c r="Q2781" s="13" t="str">
        <f>IF(Table2[[#This Row],[CurrentStock]]&gt;Table2[[#This Row],[ReorderLevel]]*3, "Overstock", "Okay")</f>
        <v>Okay</v>
      </c>
    </row>
    <row r="2782" spans="1:17" x14ac:dyDescent="0.35">
      <c r="A2782">
        <v>81445</v>
      </c>
      <c r="B2782" t="s">
        <v>24</v>
      </c>
      <c r="C2782" t="s">
        <v>30</v>
      </c>
      <c r="D2782">
        <v>372</v>
      </c>
      <c r="E2782">
        <v>50</v>
      </c>
      <c r="F2782" s="2">
        <v>6.22</v>
      </c>
      <c r="G2782" t="s">
        <v>33</v>
      </c>
      <c r="H2782" s="1">
        <v>45486</v>
      </c>
      <c r="I2782" s="1">
        <v>45492</v>
      </c>
      <c r="J2782" t="s">
        <v>36</v>
      </c>
      <c r="K2782" s="8">
        <f>Table2[[#This Row],[CurrentStock]]*Table2[[#This Row],[UnitPrice]]</f>
        <v>2313.8399999999997</v>
      </c>
      <c r="L2782" t="str">
        <f>IF(Table2[[#This Row],[CurrentStock]]&lt;=Table2[[#This Row],[ReorderLevel]], "Reorder Needed", "Okay")</f>
        <v>Okay</v>
      </c>
      <c r="M2782" t="str">
        <f>IF(Table2[[#This Row],[CurrentStock]]-Table2[[#This Row],[ReorderLevel]]&lt;0,Table2[[#This Row],[CurrentStock]]-Table2[[#This Row],[ReorderLevel]],"")</f>
        <v/>
      </c>
      <c r="N2782" t="str">
        <f>IF(Table2[[#This Row],[Stock Gap]]&lt;0, "Understock","Okay")</f>
        <v>Okay</v>
      </c>
      <c r="O2782" s="13" t="str">
        <f>IF(Table2[[#This Row],[Stock Gap]]&lt;0, "Yes", "No")</f>
        <v>No</v>
      </c>
      <c r="P2782" s="13" t="str">
        <f>IF(Table2[[#This Row],[CurrentStock]]&lt;Table2[[#This Row],[ReorderLevel]],"Reorder", "Okay")</f>
        <v>Okay</v>
      </c>
      <c r="Q2782" s="13" t="str">
        <f>IF(Table2[[#This Row],[CurrentStock]]&gt;Table2[[#This Row],[ReorderLevel]]*3, "Overstock", "Okay")</f>
        <v>Overstock</v>
      </c>
    </row>
    <row r="2783" spans="1:17" x14ac:dyDescent="0.35">
      <c r="A2783">
        <v>18894</v>
      </c>
      <c r="B2783" t="s">
        <v>19</v>
      </c>
      <c r="C2783" t="s">
        <v>28</v>
      </c>
      <c r="D2783">
        <v>203</v>
      </c>
      <c r="E2783">
        <v>50</v>
      </c>
      <c r="F2783" s="2">
        <v>370.33</v>
      </c>
      <c r="G2783" t="s">
        <v>31</v>
      </c>
      <c r="H2783" s="1">
        <v>45514</v>
      </c>
      <c r="I2783" s="1">
        <v>45535</v>
      </c>
      <c r="J2783" t="s">
        <v>38</v>
      </c>
      <c r="K2783" s="8">
        <f>Table2[[#This Row],[CurrentStock]]*Table2[[#This Row],[UnitPrice]]</f>
        <v>75176.989999999991</v>
      </c>
      <c r="L2783" t="str">
        <f>IF(Table2[[#This Row],[CurrentStock]]&lt;=Table2[[#This Row],[ReorderLevel]], "Reorder Needed", "Okay")</f>
        <v>Okay</v>
      </c>
      <c r="M2783" t="str">
        <f>IF(Table2[[#This Row],[CurrentStock]]-Table2[[#This Row],[ReorderLevel]]&lt;0,Table2[[#This Row],[CurrentStock]]-Table2[[#This Row],[ReorderLevel]],"")</f>
        <v/>
      </c>
      <c r="N2783" t="str">
        <f>IF(Table2[[#This Row],[Stock Gap]]&lt;0, "Understock","Okay")</f>
        <v>Okay</v>
      </c>
      <c r="O2783" s="13" t="str">
        <f>IF(Table2[[#This Row],[Stock Gap]]&lt;0, "Yes", "No")</f>
        <v>No</v>
      </c>
      <c r="P2783" s="13" t="str">
        <f>IF(Table2[[#This Row],[CurrentStock]]&lt;Table2[[#This Row],[ReorderLevel]],"Reorder", "Okay")</f>
        <v>Okay</v>
      </c>
      <c r="Q2783" s="13" t="str">
        <f>IF(Table2[[#This Row],[CurrentStock]]&gt;Table2[[#This Row],[ReorderLevel]]*3, "Overstock", "Okay")</f>
        <v>Overstock</v>
      </c>
    </row>
    <row r="2784" spans="1:17" x14ac:dyDescent="0.35">
      <c r="A2784">
        <v>47208</v>
      </c>
      <c r="B2784" t="s">
        <v>24</v>
      </c>
      <c r="C2784" t="s">
        <v>30</v>
      </c>
      <c r="D2784">
        <v>275</v>
      </c>
      <c r="E2784">
        <v>100</v>
      </c>
      <c r="F2784" s="2">
        <v>313.89</v>
      </c>
      <c r="G2784" t="s">
        <v>32</v>
      </c>
      <c r="H2784" s="1">
        <v>45594</v>
      </c>
      <c r="I2784" s="1">
        <v>45610</v>
      </c>
      <c r="J2784" t="s">
        <v>38</v>
      </c>
      <c r="K2784" s="8">
        <f>Table2[[#This Row],[CurrentStock]]*Table2[[#This Row],[UnitPrice]]</f>
        <v>86319.75</v>
      </c>
      <c r="L2784" t="str">
        <f>IF(Table2[[#This Row],[CurrentStock]]&lt;=Table2[[#This Row],[ReorderLevel]], "Reorder Needed", "Okay")</f>
        <v>Okay</v>
      </c>
      <c r="M2784" t="str">
        <f>IF(Table2[[#This Row],[CurrentStock]]-Table2[[#This Row],[ReorderLevel]]&lt;0,Table2[[#This Row],[CurrentStock]]-Table2[[#This Row],[ReorderLevel]],"")</f>
        <v/>
      </c>
      <c r="N2784" t="str">
        <f>IF(Table2[[#This Row],[Stock Gap]]&lt;0, "Understock","Okay")</f>
        <v>Okay</v>
      </c>
      <c r="O2784" s="13" t="str">
        <f>IF(Table2[[#This Row],[Stock Gap]]&lt;0, "Yes", "No")</f>
        <v>No</v>
      </c>
      <c r="P2784" s="13" t="str">
        <f>IF(Table2[[#This Row],[CurrentStock]]&lt;Table2[[#This Row],[ReorderLevel]],"Reorder", "Okay")</f>
        <v>Okay</v>
      </c>
      <c r="Q2784" s="13" t="str">
        <f>IF(Table2[[#This Row],[CurrentStock]]&gt;Table2[[#This Row],[ReorderLevel]]*3, "Overstock", "Okay")</f>
        <v>Okay</v>
      </c>
    </row>
    <row r="2785" spans="1:17" x14ac:dyDescent="0.35">
      <c r="A2785">
        <v>12936</v>
      </c>
      <c r="B2785" t="s">
        <v>23</v>
      </c>
      <c r="C2785" t="s">
        <v>30</v>
      </c>
      <c r="D2785">
        <v>444</v>
      </c>
      <c r="E2785">
        <v>150</v>
      </c>
      <c r="F2785" s="2">
        <v>265.25</v>
      </c>
      <c r="G2785" t="s">
        <v>34</v>
      </c>
      <c r="H2785" s="1">
        <v>45534</v>
      </c>
      <c r="I2785" s="1">
        <v>45559</v>
      </c>
      <c r="J2785" t="s">
        <v>38</v>
      </c>
      <c r="K2785" s="8">
        <f>Table2[[#This Row],[CurrentStock]]*Table2[[#This Row],[UnitPrice]]</f>
        <v>117771</v>
      </c>
      <c r="L2785" t="str">
        <f>IF(Table2[[#This Row],[CurrentStock]]&lt;=Table2[[#This Row],[ReorderLevel]], "Reorder Needed", "Okay")</f>
        <v>Okay</v>
      </c>
      <c r="M2785" t="str">
        <f>IF(Table2[[#This Row],[CurrentStock]]-Table2[[#This Row],[ReorderLevel]]&lt;0,Table2[[#This Row],[CurrentStock]]-Table2[[#This Row],[ReorderLevel]],"")</f>
        <v/>
      </c>
      <c r="N2785" t="str">
        <f>IF(Table2[[#This Row],[Stock Gap]]&lt;0, "Understock","Okay")</f>
        <v>Okay</v>
      </c>
      <c r="O2785" s="13" t="str">
        <f>IF(Table2[[#This Row],[Stock Gap]]&lt;0, "Yes", "No")</f>
        <v>No</v>
      </c>
      <c r="P2785" s="13" t="str">
        <f>IF(Table2[[#This Row],[CurrentStock]]&lt;Table2[[#This Row],[ReorderLevel]],"Reorder", "Okay")</f>
        <v>Okay</v>
      </c>
      <c r="Q2785" s="13" t="str">
        <f>IF(Table2[[#This Row],[CurrentStock]]&gt;Table2[[#This Row],[ReorderLevel]]*3, "Overstock", "Okay")</f>
        <v>Okay</v>
      </c>
    </row>
    <row r="2786" spans="1:17" x14ac:dyDescent="0.35">
      <c r="A2786">
        <v>42286</v>
      </c>
      <c r="B2786" t="s">
        <v>10</v>
      </c>
      <c r="C2786" t="s">
        <v>26</v>
      </c>
      <c r="D2786">
        <v>472</v>
      </c>
      <c r="E2786">
        <v>50</v>
      </c>
      <c r="F2786" s="2">
        <v>317.98</v>
      </c>
      <c r="G2786" t="s">
        <v>32</v>
      </c>
      <c r="H2786" s="1">
        <v>45328</v>
      </c>
      <c r="I2786" s="1">
        <v>45344</v>
      </c>
      <c r="J2786" t="s">
        <v>38</v>
      </c>
      <c r="K2786" s="8">
        <f>Table2[[#This Row],[CurrentStock]]*Table2[[#This Row],[UnitPrice]]</f>
        <v>150086.56</v>
      </c>
      <c r="L2786" t="str">
        <f>IF(Table2[[#This Row],[CurrentStock]]&lt;=Table2[[#This Row],[ReorderLevel]], "Reorder Needed", "Okay")</f>
        <v>Okay</v>
      </c>
      <c r="M2786" t="str">
        <f>IF(Table2[[#This Row],[CurrentStock]]-Table2[[#This Row],[ReorderLevel]]&lt;0,Table2[[#This Row],[CurrentStock]]-Table2[[#This Row],[ReorderLevel]],"")</f>
        <v/>
      </c>
      <c r="N2786" t="str">
        <f>IF(Table2[[#This Row],[Stock Gap]]&lt;0, "Understock","Okay")</f>
        <v>Okay</v>
      </c>
      <c r="O2786" s="13" t="str">
        <f>IF(Table2[[#This Row],[Stock Gap]]&lt;0, "Yes", "No")</f>
        <v>No</v>
      </c>
      <c r="P2786" s="13" t="str">
        <f>IF(Table2[[#This Row],[CurrentStock]]&lt;Table2[[#This Row],[ReorderLevel]],"Reorder", "Okay")</f>
        <v>Okay</v>
      </c>
      <c r="Q2786" s="13" t="str">
        <f>IF(Table2[[#This Row],[CurrentStock]]&gt;Table2[[#This Row],[ReorderLevel]]*3, "Overstock", "Okay")</f>
        <v>Overstock</v>
      </c>
    </row>
    <row r="2787" spans="1:17" x14ac:dyDescent="0.35">
      <c r="A2787">
        <v>13960</v>
      </c>
      <c r="B2787" t="s">
        <v>18</v>
      </c>
      <c r="C2787" t="s">
        <v>27</v>
      </c>
      <c r="D2787">
        <v>94</v>
      </c>
      <c r="E2787">
        <v>150</v>
      </c>
      <c r="F2787" s="2">
        <v>37.049999999999997</v>
      </c>
      <c r="G2787" t="s">
        <v>31</v>
      </c>
      <c r="H2787" s="1">
        <v>45414</v>
      </c>
      <c r="I2787" s="1">
        <v>45447</v>
      </c>
      <c r="J2787" t="s">
        <v>38</v>
      </c>
      <c r="K2787" s="8">
        <f>Table2[[#This Row],[CurrentStock]]*Table2[[#This Row],[UnitPrice]]</f>
        <v>3482.7</v>
      </c>
      <c r="L2787" t="str">
        <f>IF(Table2[[#This Row],[CurrentStock]]&lt;=Table2[[#This Row],[ReorderLevel]], "Reorder Needed", "Okay")</f>
        <v>Reorder Needed</v>
      </c>
      <c r="M2787" s="7">
        <f>IF(Table2[[#This Row],[CurrentStock]]-Table2[[#This Row],[ReorderLevel]]&lt;0,Table2[[#This Row],[CurrentStock]]-Table2[[#This Row],[ReorderLevel]],"")</f>
        <v>-56</v>
      </c>
      <c r="N2787" t="str">
        <f>IF(Table2[[#This Row],[Stock Gap]]&lt;0, "Understock","Okay")</f>
        <v>Understock</v>
      </c>
      <c r="O2787" s="13" t="str">
        <f>IF(Table2[[#This Row],[Stock Gap]]&lt;0, "Yes", "No")</f>
        <v>Yes</v>
      </c>
      <c r="P2787" s="13" t="str">
        <f>IF(Table2[[#This Row],[CurrentStock]]&lt;Table2[[#This Row],[ReorderLevel]],"Reorder", "Okay")</f>
        <v>Reorder</v>
      </c>
      <c r="Q2787" s="13" t="str">
        <f>IF(Table2[[#This Row],[CurrentStock]]&gt;Table2[[#This Row],[ReorderLevel]]*3, "Overstock", "Okay")</f>
        <v>Okay</v>
      </c>
    </row>
    <row r="2788" spans="1:17" x14ac:dyDescent="0.35">
      <c r="A2788">
        <v>69977</v>
      </c>
      <c r="B2788" t="s">
        <v>22</v>
      </c>
      <c r="C2788" t="s">
        <v>29</v>
      </c>
      <c r="D2788">
        <v>406</v>
      </c>
      <c r="E2788">
        <v>50</v>
      </c>
      <c r="F2788" s="2">
        <v>384.28</v>
      </c>
      <c r="G2788" t="s">
        <v>33</v>
      </c>
      <c r="H2788" s="1">
        <v>45603</v>
      </c>
      <c r="I2788" s="1">
        <v>45620</v>
      </c>
      <c r="J2788" t="s">
        <v>37</v>
      </c>
      <c r="K2788" s="8">
        <f>Table2[[#This Row],[CurrentStock]]*Table2[[#This Row],[UnitPrice]]</f>
        <v>156017.68</v>
      </c>
      <c r="L2788" t="str">
        <f>IF(Table2[[#This Row],[CurrentStock]]&lt;=Table2[[#This Row],[ReorderLevel]], "Reorder Needed", "Okay")</f>
        <v>Okay</v>
      </c>
      <c r="M2788" t="str">
        <f>IF(Table2[[#This Row],[CurrentStock]]-Table2[[#This Row],[ReorderLevel]]&lt;0,Table2[[#This Row],[CurrentStock]]-Table2[[#This Row],[ReorderLevel]],"")</f>
        <v/>
      </c>
      <c r="N2788" t="str">
        <f>IF(Table2[[#This Row],[Stock Gap]]&lt;0, "Understock","Okay")</f>
        <v>Okay</v>
      </c>
      <c r="O2788" s="13" t="str">
        <f>IF(Table2[[#This Row],[Stock Gap]]&lt;0, "Yes", "No")</f>
        <v>No</v>
      </c>
      <c r="P2788" s="13" t="str">
        <f>IF(Table2[[#This Row],[CurrentStock]]&lt;Table2[[#This Row],[ReorderLevel]],"Reorder", "Okay")</f>
        <v>Okay</v>
      </c>
      <c r="Q2788" s="13" t="str">
        <f>IF(Table2[[#This Row],[CurrentStock]]&gt;Table2[[#This Row],[ReorderLevel]]*3, "Overstock", "Okay")</f>
        <v>Overstock</v>
      </c>
    </row>
    <row r="2789" spans="1:17" x14ac:dyDescent="0.35">
      <c r="A2789">
        <v>35180</v>
      </c>
      <c r="B2789" t="s">
        <v>15</v>
      </c>
      <c r="C2789" t="s">
        <v>29</v>
      </c>
      <c r="D2789">
        <v>466</v>
      </c>
      <c r="E2789">
        <v>80</v>
      </c>
      <c r="F2789" s="2">
        <v>422.41</v>
      </c>
      <c r="G2789" t="s">
        <v>35</v>
      </c>
      <c r="H2789" s="1">
        <v>45498</v>
      </c>
      <c r="I2789" s="1">
        <v>45516</v>
      </c>
      <c r="J2789" t="s">
        <v>38</v>
      </c>
      <c r="K2789" s="8">
        <f>Table2[[#This Row],[CurrentStock]]*Table2[[#This Row],[UnitPrice]]</f>
        <v>196843.06</v>
      </c>
      <c r="L2789" t="str">
        <f>IF(Table2[[#This Row],[CurrentStock]]&lt;=Table2[[#This Row],[ReorderLevel]], "Reorder Needed", "Okay")</f>
        <v>Okay</v>
      </c>
      <c r="M2789" t="str">
        <f>IF(Table2[[#This Row],[CurrentStock]]-Table2[[#This Row],[ReorderLevel]]&lt;0,Table2[[#This Row],[CurrentStock]]-Table2[[#This Row],[ReorderLevel]],"")</f>
        <v/>
      </c>
      <c r="N2789" t="str">
        <f>IF(Table2[[#This Row],[Stock Gap]]&lt;0, "Understock","Okay")</f>
        <v>Okay</v>
      </c>
      <c r="O2789" s="13" t="str">
        <f>IF(Table2[[#This Row],[Stock Gap]]&lt;0, "Yes", "No")</f>
        <v>No</v>
      </c>
      <c r="P2789" s="13" t="str">
        <f>IF(Table2[[#This Row],[CurrentStock]]&lt;Table2[[#This Row],[ReorderLevel]],"Reorder", "Okay")</f>
        <v>Okay</v>
      </c>
      <c r="Q2789" s="13" t="str">
        <f>IF(Table2[[#This Row],[CurrentStock]]&gt;Table2[[#This Row],[ReorderLevel]]*3, "Overstock", "Okay")</f>
        <v>Overstock</v>
      </c>
    </row>
    <row r="2790" spans="1:17" x14ac:dyDescent="0.35">
      <c r="A2790">
        <v>35236</v>
      </c>
      <c r="B2790" t="s">
        <v>11</v>
      </c>
      <c r="C2790" t="s">
        <v>27</v>
      </c>
      <c r="D2790">
        <v>178</v>
      </c>
      <c r="E2790">
        <v>20</v>
      </c>
      <c r="F2790" s="2">
        <v>113.48</v>
      </c>
      <c r="G2790" t="s">
        <v>33</v>
      </c>
      <c r="H2790" s="1">
        <v>45355</v>
      </c>
      <c r="I2790" s="1">
        <v>45386</v>
      </c>
      <c r="J2790" t="s">
        <v>36</v>
      </c>
      <c r="K2790" s="8">
        <f>Table2[[#This Row],[CurrentStock]]*Table2[[#This Row],[UnitPrice]]</f>
        <v>20199.440000000002</v>
      </c>
      <c r="L2790" t="str">
        <f>IF(Table2[[#This Row],[CurrentStock]]&lt;=Table2[[#This Row],[ReorderLevel]], "Reorder Needed", "Okay")</f>
        <v>Okay</v>
      </c>
      <c r="M2790" t="str">
        <f>IF(Table2[[#This Row],[CurrentStock]]-Table2[[#This Row],[ReorderLevel]]&lt;0,Table2[[#This Row],[CurrentStock]]-Table2[[#This Row],[ReorderLevel]],"")</f>
        <v/>
      </c>
      <c r="N2790" t="str">
        <f>IF(Table2[[#This Row],[Stock Gap]]&lt;0, "Understock","Okay")</f>
        <v>Okay</v>
      </c>
      <c r="O2790" s="13" t="str">
        <f>IF(Table2[[#This Row],[Stock Gap]]&lt;0, "Yes", "No")</f>
        <v>No</v>
      </c>
      <c r="P2790" s="13" t="str">
        <f>IF(Table2[[#This Row],[CurrentStock]]&lt;Table2[[#This Row],[ReorderLevel]],"Reorder", "Okay")</f>
        <v>Okay</v>
      </c>
      <c r="Q2790" s="13" t="str">
        <f>IF(Table2[[#This Row],[CurrentStock]]&gt;Table2[[#This Row],[ReorderLevel]]*3, "Overstock", "Okay")</f>
        <v>Overstock</v>
      </c>
    </row>
    <row r="2791" spans="1:17" x14ac:dyDescent="0.35">
      <c r="A2791">
        <v>51813</v>
      </c>
      <c r="B2791" t="s">
        <v>10</v>
      </c>
      <c r="C2791" t="s">
        <v>26</v>
      </c>
      <c r="D2791">
        <v>84</v>
      </c>
      <c r="E2791">
        <v>150</v>
      </c>
      <c r="F2791" s="2">
        <v>304.92</v>
      </c>
      <c r="G2791" t="s">
        <v>31</v>
      </c>
      <c r="H2791" s="1">
        <v>45631</v>
      </c>
      <c r="I2791" s="1">
        <v>45659</v>
      </c>
      <c r="J2791" t="s">
        <v>37</v>
      </c>
      <c r="K2791" s="8">
        <f>Table2[[#This Row],[CurrentStock]]*Table2[[#This Row],[UnitPrice]]</f>
        <v>25613.280000000002</v>
      </c>
      <c r="L2791" t="str">
        <f>IF(Table2[[#This Row],[CurrentStock]]&lt;=Table2[[#This Row],[ReorderLevel]], "Reorder Needed", "Okay")</f>
        <v>Reorder Needed</v>
      </c>
      <c r="M2791" s="7">
        <f>IF(Table2[[#This Row],[CurrentStock]]-Table2[[#This Row],[ReorderLevel]]&lt;0,Table2[[#This Row],[CurrentStock]]-Table2[[#This Row],[ReorderLevel]],"")</f>
        <v>-66</v>
      </c>
      <c r="N2791" t="str">
        <f>IF(Table2[[#This Row],[Stock Gap]]&lt;0, "Understock","Okay")</f>
        <v>Understock</v>
      </c>
      <c r="O2791" s="13" t="str">
        <f>IF(Table2[[#This Row],[Stock Gap]]&lt;0, "Yes", "No")</f>
        <v>Yes</v>
      </c>
      <c r="P2791" s="13" t="str">
        <f>IF(Table2[[#This Row],[CurrentStock]]&lt;Table2[[#This Row],[ReorderLevel]],"Reorder", "Okay")</f>
        <v>Reorder</v>
      </c>
      <c r="Q2791" s="13" t="str">
        <f>IF(Table2[[#This Row],[CurrentStock]]&gt;Table2[[#This Row],[ReorderLevel]]*3, "Overstock", "Okay")</f>
        <v>Okay</v>
      </c>
    </row>
    <row r="2792" spans="1:17" x14ac:dyDescent="0.35">
      <c r="A2792">
        <v>69179</v>
      </c>
      <c r="B2792" t="s">
        <v>13</v>
      </c>
      <c r="C2792" t="s">
        <v>26</v>
      </c>
      <c r="D2792">
        <v>94</v>
      </c>
      <c r="E2792">
        <v>40</v>
      </c>
      <c r="F2792" s="2">
        <v>422.63</v>
      </c>
      <c r="G2792" t="s">
        <v>31</v>
      </c>
      <c r="H2792" s="1">
        <v>45641</v>
      </c>
      <c r="I2792" s="1">
        <v>45665</v>
      </c>
      <c r="J2792" t="s">
        <v>36</v>
      </c>
      <c r="K2792" s="8">
        <f>Table2[[#This Row],[CurrentStock]]*Table2[[#This Row],[UnitPrice]]</f>
        <v>39727.22</v>
      </c>
      <c r="L2792" t="str">
        <f>IF(Table2[[#This Row],[CurrentStock]]&lt;=Table2[[#This Row],[ReorderLevel]], "Reorder Needed", "Okay")</f>
        <v>Okay</v>
      </c>
      <c r="M2792" t="str">
        <f>IF(Table2[[#This Row],[CurrentStock]]-Table2[[#This Row],[ReorderLevel]]&lt;0,Table2[[#This Row],[CurrentStock]]-Table2[[#This Row],[ReorderLevel]],"")</f>
        <v/>
      </c>
      <c r="N2792" t="str">
        <f>IF(Table2[[#This Row],[Stock Gap]]&lt;0, "Understock","Okay")</f>
        <v>Okay</v>
      </c>
      <c r="O2792" s="13" t="str">
        <f>IF(Table2[[#This Row],[Stock Gap]]&lt;0, "Yes", "No")</f>
        <v>No</v>
      </c>
      <c r="P2792" s="13" t="str">
        <f>IF(Table2[[#This Row],[CurrentStock]]&lt;Table2[[#This Row],[ReorderLevel]],"Reorder", "Okay")</f>
        <v>Okay</v>
      </c>
      <c r="Q2792" s="13" t="str">
        <f>IF(Table2[[#This Row],[CurrentStock]]&gt;Table2[[#This Row],[ReorderLevel]]*3, "Overstock", "Okay")</f>
        <v>Okay</v>
      </c>
    </row>
    <row r="2793" spans="1:17" x14ac:dyDescent="0.35">
      <c r="A2793">
        <v>31307</v>
      </c>
      <c r="B2793" t="s">
        <v>24</v>
      </c>
      <c r="C2793" t="s">
        <v>30</v>
      </c>
      <c r="D2793">
        <v>144</v>
      </c>
      <c r="E2793">
        <v>50</v>
      </c>
      <c r="F2793" s="2">
        <v>382.11</v>
      </c>
      <c r="G2793" t="s">
        <v>31</v>
      </c>
      <c r="H2793" s="1">
        <v>45437</v>
      </c>
      <c r="I2793" s="1">
        <v>45469</v>
      </c>
      <c r="J2793" t="s">
        <v>37</v>
      </c>
      <c r="K2793" s="8">
        <f>Table2[[#This Row],[CurrentStock]]*Table2[[#This Row],[UnitPrice]]</f>
        <v>55023.840000000004</v>
      </c>
      <c r="L2793" t="str">
        <f>IF(Table2[[#This Row],[CurrentStock]]&lt;=Table2[[#This Row],[ReorderLevel]], "Reorder Needed", "Okay")</f>
        <v>Okay</v>
      </c>
      <c r="M2793" t="str">
        <f>IF(Table2[[#This Row],[CurrentStock]]-Table2[[#This Row],[ReorderLevel]]&lt;0,Table2[[#This Row],[CurrentStock]]-Table2[[#This Row],[ReorderLevel]],"")</f>
        <v/>
      </c>
      <c r="N2793" t="str">
        <f>IF(Table2[[#This Row],[Stock Gap]]&lt;0, "Understock","Okay")</f>
        <v>Okay</v>
      </c>
      <c r="O2793" s="13" t="str">
        <f>IF(Table2[[#This Row],[Stock Gap]]&lt;0, "Yes", "No")</f>
        <v>No</v>
      </c>
      <c r="P2793" s="13" t="str">
        <f>IF(Table2[[#This Row],[CurrentStock]]&lt;Table2[[#This Row],[ReorderLevel]],"Reorder", "Okay")</f>
        <v>Okay</v>
      </c>
      <c r="Q2793" s="13" t="str">
        <f>IF(Table2[[#This Row],[CurrentStock]]&gt;Table2[[#This Row],[ReorderLevel]]*3, "Overstock", "Okay")</f>
        <v>Okay</v>
      </c>
    </row>
    <row r="2794" spans="1:17" x14ac:dyDescent="0.35">
      <c r="A2794">
        <v>19096</v>
      </c>
      <c r="B2794" t="s">
        <v>18</v>
      </c>
      <c r="C2794" t="s">
        <v>27</v>
      </c>
      <c r="D2794">
        <v>446</v>
      </c>
      <c r="E2794">
        <v>150</v>
      </c>
      <c r="F2794" s="2">
        <v>187.12</v>
      </c>
      <c r="G2794" t="s">
        <v>33</v>
      </c>
      <c r="H2794" s="1">
        <v>45553</v>
      </c>
      <c r="I2794" s="1">
        <v>45580</v>
      </c>
      <c r="J2794" t="s">
        <v>38</v>
      </c>
      <c r="K2794" s="8">
        <f>Table2[[#This Row],[CurrentStock]]*Table2[[#This Row],[UnitPrice]]</f>
        <v>83455.520000000004</v>
      </c>
      <c r="L2794" t="str">
        <f>IF(Table2[[#This Row],[CurrentStock]]&lt;=Table2[[#This Row],[ReorderLevel]], "Reorder Needed", "Okay")</f>
        <v>Okay</v>
      </c>
      <c r="M2794" t="str">
        <f>IF(Table2[[#This Row],[CurrentStock]]-Table2[[#This Row],[ReorderLevel]]&lt;0,Table2[[#This Row],[CurrentStock]]-Table2[[#This Row],[ReorderLevel]],"")</f>
        <v/>
      </c>
      <c r="N2794" t="str">
        <f>IF(Table2[[#This Row],[Stock Gap]]&lt;0, "Understock","Okay")</f>
        <v>Okay</v>
      </c>
      <c r="O2794" s="13" t="str">
        <f>IF(Table2[[#This Row],[Stock Gap]]&lt;0, "Yes", "No")</f>
        <v>No</v>
      </c>
      <c r="P2794" s="13" t="str">
        <f>IF(Table2[[#This Row],[CurrentStock]]&lt;Table2[[#This Row],[ReorderLevel]],"Reorder", "Okay")</f>
        <v>Okay</v>
      </c>
      <c r="Q2794" s="13" t="str">
        <f>IF(Table2[[#This Row],[CurrentStock]]&gt;Table2[[#This Row],[ReorderLevel]]*3, "Overstock", "Okay")</f>
        <v>Okay</v>
      </c>
    </row>
    <row r="2795" spans="1:17" x14ac:dyDescent="0.35">
      <c r="A2795">
        <v>70464</v>
      </c>
      <c r="B2795" t="s">
        <v>20</v>
      </c>
      <c r="C2795" t="s">
        <v>30</v>
      </c>
      <c r="D2795">
        <v>107</v>
      </c>
      <c r="E2795">
        <v>40</v>
      </c>
      <c r="F2795" s="2">
        <v>99.53</v>
      </c>
      <c r="G2795" t="s">
        <v>35</v>
      </c>
      <c r="H2795" s="1">
        <v>45451</v>
      </c>
      <c r="I2795" s="1">
        <v>45464</v>
      </c>
      <c r="J2795" t="s">
        <v>37</v>
      </c>
      <c r="K2795" s="8">
        <f>Table2[[#This Row],[CurrentStock]]*Table2[[#This Row],[UnitPrice]]</f>
        <v>10649.710000000001</v>
      </c>
      <c r="L2795" t="str">
        <f>IF(Table2[[#This Row],[CurrentStock]]&lt;=Table2[[#This Row],[ReorderLevel]], "Reorder Needed", "Okay")</f>
        <v>Okay</v>
      </c>
      <c r="M2795" t="str">
        <f>IF(Table2[[#This Row],[CurrentStock]]-Table2[[#This Row],[ReorderLevel]]&lt;0,Table2[[#This Row],[CurrentStock]]-Table2[[#This Row],[ReorderLevel]],"")</f>
        <v/>
      </c>
      <c r="N2795" t="str">
        <f>IF(Table2[[#This Row],[Stock Gap]]&lt;0, "Understock","Okay")</f>
        <v>Okay</v>
      </c>
      <c r="O2795" s="13" t="str">
        <f>IF(Table2[[#This Row],[Stock Gap]]&lt;0, "Yes", "No")</f>
        <v>No</v>
      </c>
      <c r="P2795" s="13" t="str">
        <f>IF(Table2[[#This Row],[CurrentStock]]&lt;Table2[[#This Row],[ReorderLevel]],"Reorder", "Okay")</f>
        <v>Okay</v>
      </c>
      <c r="Q2795" s="13" t="str">
        <f>IF(Table2[[#This Row],[CurrentStock]]&gt;Table2[[#This Row],[ReorderLevel]]*3, "Overstock", "Okay")</f>
        <v>Okay</v>
      </c>
    </row>
    <row r="2796" spans="1:17" x14ac:dyDescent="0.35">
      <c r="A2796">
        <v>32272</v>
      </c>
      <c r="B2796" t="s">
        <v>12</v>
      </c>
      <c r="C2796" t="s">
        <v>28</v>
      </c>
      <c r="D2796">
        <v>146</v>
      </c>
      <c r="E2796">
        <v>150</v>
      </c>
      <c r="F2796" s="2">
        <v>335.6</v>
      </c>
      <c r="G2796" t="s">
        <v>35</v>
      </c>
      <c r="H2796" s="1">
        <v>45387</v>
      </c>
      <c r="I2796" s="1">
        <v>45425</v>
      </c>
      <c r="J2796" t="s">
        <v>36</v>
      </c>
      <c r="K2796" s="8">
        <f>Table2[[#This Row],[CurrentStock]]*Table2[[#This Row],[UnitPrice]]</f>
        <v>48997.600000000006</v>
      </c>
      <c r="L2796" t="str">
        <f>IF(Table2[[#This Row],[CurrentStock]]&lt;=Table2[[#This Row],[ReorderLevel]], "Reorder Needed", "Okay")</f>
        <v>Reorder Needed</v>
      </c>
      <c r="M2796" s="7">
        <f>IF(Table2[[#This Row],[CurrentStock]]-Table2[[#This Row],[ReorderLevel]]&lt;0,Table2[[#This Row],[CurrentStock]]-Table2[[#This Row],[ReorderLevel]],"")</f>
        <v>-4</v>
      </c>
      <c r="N2796" t="str">
        <f>IF(Table2[[#This Row],[Stock Gap]]&lt;0, "Understock","Okay")</f>
        <v>Understock</v>
      </c>
      <c r="O2796" s="13" t="str">
        <f>IF(Table2[[#This Row],[Stock Gap]]&lt;0, "Yes", "No")</f>
        <v>Yes</v>
      </c>
      <c r="P2796" s="13" t="str">
        <f>IF(Table2[[#This Row],[CurrentStock]]&lt;Table2[[#This Row],[ReorderLevel]],"Reorder", "Okay")</f>
        <v>Reorder</v>
      </c>
      <c r="Q2796" s="13" t="str">
        <f>IF(Table2[[#This Row],[CurrentStock]]&gt;Table2[[#This Row],[ReorderLevel]]*3, "Overstock", "Okay")</f>
        <v>Okay</v>
      </c>
    </row>
    <row r="2797" spans="1:17" x14ac:dyDescent="0.35">
      <c r="A2797">
        <v>71401</v>
      </c>
      <c r="B2797" t="s">
        <v>12</v>
      </c>
      <c r="C2797" t="s">
        <v>28</v>
      </c>
      <c r="D2797">
        <v>299</v>
      </c>
      <c r="E2797">
        <v>150</v>
      </c>
      <c r="F2797" s="2">
        <v>284.08999999999997</v>
      </c>
      <c r="G2797" t="s">
        <v>33</v>
      </c>
      <c r="H2797" s="1">
        <v>45321</v>
      </c>
      <c r="I2797" s="1">
        <v>45343</v>
      </c>
      <c r="J2797" t="s">
        <v>38</v>
      </c>
      <c r="K2797" s="8">
        <f>Table2[[#This Row],[CurrentStock]]*Table2[[#This Row],[UnitPrice]]</f>
        <v>84942.909999999989</v>
      </c>
      <c r="L2797" t="str">
        <f>IF(Table2[[#This Row],[CurrentStock]]&lt;=Table2[[#This Row],[ReorderLevel]], "Reorder Needed", "Okay")</f>
        <v>Okay</v>
      </c>
      <c r="M2797" t="str">
        <f>IF(Table2[[#This Row],[CurrentStock]]-Table2[[#This Row],[ReorderLevel]]&lt;0,Table2[[#This Row],[CurrentStock]]-Table2[[#This Row],[ReorderLevel]],"")</f>
        <v/>
      </c>
      <c r="N2797" t="str">
        <f>IF(Table2[[#This Row],[Stock Gap]]&lt;0, "Understock","Okay")</f>
        <v>Okay</v>
      </c>
      <c r="O2797" s="13" t="str">
        <f>IF(Table2[[#This Row],[Stock Gap]]&lt;0, "Yes", "No")</f>
        <v>No</v>
      </c>
      <c r="P2797" s="13" t="str">
        <f>IF(Table2[[#This Row],[CurrentStock]]&lt;Table2[[#This Row],[ReorderLevel]],"Reorder", "Okay")</f>
        <v>Okay</v>
      </c>
      <c r="Q2797" s="13" t="str">
        <f>IF(Table2[[#This Row],[CurrentStock]]&gt;Table2[[#This Row],[ReorderLevel]]*3, "Overstock", "Okay")</f>
        <v>Okay</v>
      </c>
    </row>
    <row r="2798" spans="1:17" x14ac:dyDescent="0.35">
      <c r="A2798">
        <v>71549</v>
      </c>
      <c r="B2798" t="s">
        <v>18</v>
      </c>
      <c r="C2798" t="s">
        <v>27</v>
      </c>
      <c r="D2798">
        <v>286</v>
      </c>
      <c r="E2798">
        <v>150</v>
      </c>
      <c r="F2798" s="2">
        <v>286.44</v>
      </c>
      <c r="G2798" t="s">
        <v>32</v>
      </c>
      <c r="H2798" s="1">
        <v>45636</v>
      </c>
      <c r="I2798" s="1">
        <v>45641</v>
      </c>
      <c r="J2798" t="s">
        <v>37</v>
      </c>
      <c r="K2798" s="8">
        <f>Table2[[#This Row],[CurrentStock]]*Table2[[#This Row],[UnitPrice]]</f>
        <v>81921.84</v>
      </c>
      <c r="L2798" t="str">
        <f>IF(Table2[[#This Row],[CurrentStock]]&lt;=Table2[[#This Row],[ReorderLevel]], "Reorder Needed", "Okay")</f>
        <v>Okay</v>
      </c>
      <c r="M2798" t="str">
        <f>IF(Table2[[#This Row],[CurrentStock]]-Table2[[#This Row],[ReorderLevel]]&lt;0,Table2[[#This Row],[CurrentStock]]-Table2[[#This Row],[ReorderLevel]],"")</f>
        <v/>
      </c>
      <c r="N2798" t="str">
        <f>IF(Table2[[#This Row],[Stock Gap]]&lt;0, "Understock","Okay")</f>
        <v>Okay</v>
      </c>
      <c r="O2798" s="13" t="str">
        <f>IF(Table2[[#This Row],[Stock Gap]]&lt;0, "Yes", "No")</f>
        <v>No</v>
      </c>
      <c r="P2798" s="13" t="str">
        <f>IF(Table2[[#This Row],[CurrentStock]]&lt;Table2[[#This Row],[ReorderLevel]],"Reorder", "Okay")</f>
        <v>Okay</v>
      </c>
      <c r="Q2798" s="13" t="str">
        <f>IF(Table2[[#This Row],[CurrentStock]]&gt;Table2[[#This Row],[ReorderLevel]]*3, "Overstock", "Okay")</f>
        <v>Okay</v>
      </c>
    </row>
    <row r="2799" spans="1:17" x14ac:dyDescent="0.35">
      <c r="A2799">
        <v>45701</v>
      </c>
      <c r="B2799" t="s">
        <v>14</v>
      </c>
      <c r="C2799" t="s">
        <v>28</v>
      </c>
      <c r="D2799">
        <v>233</v>
      </c>
      <c r="E2799">
        <v>50</v>
      </c>
      <c r="F2799" s="2">
        <v>43.35</v>
      </c>
      <c r="G2799" t="s">
        <v>32</v>
      </c>
      <c r="H2799" s="1">
        <v>45308</v>
      </c>
      <c r="I2799" s="1">
        <v>45320</v>
      </c>
      <c r="J2799" t="s">
        <v>36</v>
      </c>
      <c r="K2799" s="8">
        <f>Table2[[#This Row],[CurrentStock]]*Table2[[#This Row],[UnitPrice]]</f>
        <v>10100.550000000001</v>
      </c>
      <c r="L2799" t="str">
        <f>IF(Table2[[#This Row],[CurrentStock]]&lt;=Table2[[#This Row],[ReorderLevel]], "Reorder Needed", "Okay")</f>
        <v>Okay</v>
      </c>
      <c r="M2799" t="str">
        <f>IF(Table2[[#This Row],[CurrentStock]]-Table2[[#This Row],[ReorderLevel]]&lt;0,Table2[[#This Row],[CurrentStock]]-Table2[[#This Row],[ReorderLevel]],"")</f>
        <v/>
      </c>
      <c r="N2799" t="str">
        <f>IF(Table2[[#This Row],[Stock Gap]]&lt;0, "Understock","Okay")</f>
        <v>Okay</v>
      </c>
      <c r="O2799" s="13" t="str">
        <f>IF(Table2[[#This Row],[Stock Gap]]&lt;0, "Yes", "No")</f>
        <v>No</v>
      </c>
      <c r="P2799" s="13" t="str">
        <f>IF(Table2[[#This Row],[CurrentStock]]&lt;Table2[[#This Row],[ReorderLevel]],"Reorder", "Okay")</f>
        <v>Okay</v>
      </c>
      <c r="Q2799" s="13" t="str">
        <f>IF(Table2[[#This Row],[CurrentStock]]&gt;Table2[[#This Row],[ReorderLevel]]*3, "Overstock", "Okay")</f>
        <v>Overstock</v>
      </c>
    </row>
    <row r="2800" spans="1:17" x14ac:dyDescent="0.35">
      <c r="A2800">
        <v>81637</v>
      </c>
      <c r="B2800" t="s">
        <v>15</v>
      </c>
      <c r="C2800" t="s">
        <v>29</v>
      </c>
      <c r="D2800">
        <v>90</v>
      </c>
      <c r="E2800">
        <v>50</v>
      </c>
      <c r="F2800" s="2">
        <v>214.44</v>
      </c>
      <c r="G2800" t="s">
        <v>31</v>
      </c>
      <c r="H2800" s="1">
        <v>45656</v>
      </c>
      <c r="I2800" s="1">
        <v>45664</v>
      </c>
      <c r="J2800" t="s">
        <v>36</v>
      </c>
      <c r="K2800" s="8">
        <f>Table2[[#This Row],[CurrentStock]]*Table2[[#This Row],[UnitPrice]]</f>
        <v>19299.599999999999</v>
      </c>
      <c r="L2800" t="str">
        <f>IF(Table2[[#This Row],[CurrentStock]]&lt;=Table2[[#This Row],[ReorderLevel]], "Reorder Needed", "Okay")</f>
        <v>Okay</v>
      </c>
      <c r="M2800" t="str">
        <f>IF(Table2[[#This Row],[CurrentStock]]-Table2[[#This Row],[ReorderLevel]]&lt;0,Table2[[#This Row],[CurrentStock]]-Table2[[#This Row],[ReorderLevel]],"")</f>
        <v/>
      </c>
      <c r="N2800" t="str">
        <f>IF(Table2[[#This Row],[Stock Gap]]&lt;0, "Understock","Okay")</f>
        <v>Okay</v>
      </c>
      <c r="O2800" s="13" t="str">
        <f>IF(Table2[[#This Row],[Stock Gap]]&lt;0, "Yes", "No")</f>
        <v>No</v>
      </c>
      <c r="P2800" s="13" t="str">
        <f>IF(Table2[[#This Row],[CurrentStock]]&lt;Table2[[#This Row],[ReorderLevel]],"Reorder", "Okay")</f>
        <v>Okay</v>
      </c>
      <c r="Q2800" s="13" t="str">
        <f>IF(Table2[[#This Row],[CurrentStock]]&gt;Table2[[#This Row],[ReorderLevel]]*3, "Overstock", "Okay")</f>
        <v>Okay</v>
      </c>
    </row>
    <row r="2801" spans="1:17" x14ac:dyDescent="0.35">
      <c r="A2801">
        <v>84137</v>
      </c>
      <c r="B2801" t="s">
        <v>23</v>
      </c>
      <c r="C2801" t="s">
        <v>30</v>
      </c>
      <c r="D2801">
        <v>266</v>
      </c>
      <c r="E2801">
        <v>50</v>
      </c>
      <c r="F2801" s="2">
        <v>71.290000000000006</v>
      </c>
      <c r="G2801" t="s">
        <v>33</v>
      </c>
      <c r="H2801" s="1">
        <v>45522</v>
      </c>
      <c r="I2801" s="1">
        <v>45540</v>
      </c>
      <c r="J2801" t="s">
        <v>38</v>
      </c>
      <c r="K2801" s="8">
        <f>Table2[[#This Row],[CurrentStock]]*Table2[[#This Row],[UnitPrice]]</f>
        <v>18963.140000000003</v>
      </c>
      <c r="L2801" t="str">
        <f>IF(Table2[[#This Row],[CurrentStock]]&lt;=Table2[[#This Row],[ReorderLevel]], "Reorder Needed", "Okay")</f>
        <v>Okay</v>
      </c>
      <c r="M2801" t="str">
        <f>IF(Table2[[#This Row],[CurrentStock]]-Table2[[#This Row],[ReorderLevel]]&lt;0,Table2[[#This Row],[CurrentStock]]-Table2[[#This Row],[ReorderLevel]],"")</f>
        <v/>
      </c>
      <c r="N2801" t="str">
        <f>IF(Table2[[#This Row],[Stock Gap]]&lt;0, "Understock","Okay")</f>
        <v>Okay</v>
      </c>
      <c r="O2801" s="13" t="str">
        <f>IF(Table2[[#This Row],[Stock Gap]]&lt;0, "Yes", "No")</f>
        <v>No</v>
      </c>
      <c r="P2801" s="13" t="str">
        <f>IF(Table2[[#This Row],[CurrentStock]]&lt;Table2[[#This Row],[ReorderLevel]],"Reorder", "Okay")</f>
        <v>Okay</v>
      </c>
      <c r="Q2801" s="13" t="str">
        <f>IF(Table2[[#This Row],[CurrentStock]]&gt;Table2[[#This Row],[ReorderLevel]]*3, "Overstock", "Okay")</f>
        <v>Overstock</v>
      </c>
    </row>
    <row r="2802" spans="1:17" x14ac:dyDescent="0.35">
      <c r="A2802">
        <v>89510</v>
      </c>
      <c r="B2802" t="s">
        <v>12</v>
      </c>
      <c r="C2802" t="s">
        <v>28</v>
      </c>
      <c r="D2802">
        <v>261</v>
      </c>
      <c r="E2802">
        <v>40</v>
      </c>
      <c r="F2802" s="2">
        <v>211.01</v>
      </c>
      <c r="G2802" t="s">
        <v>35</v>
      </c>
      <c r="H2802" s="1">
        <v>45477</v>
      </c>
      <c r="I2802" s="1">
        <v>45499</v>
      </c>
      <c r="J2802" t="s">
        <v>37</v>
      </c>
      <c r="K2802" s="8">
        <f>Table2[[#This Row],[CurrentStock]]*Table2[[#This Row],[UnitPrice]]</f>
        <v>55073.61</v>
      </c>
      <c r="L2802" t="str">
        <f>IF(Table2[[#This Row],[CurrentStock]]&lt;=Table2[[#This Row],[ReorderLevel]], "Reorder Needed", "Okay")</f>
        <v>Okay</v>
      </c>
      <c r="M2802" t="str">
        <f>IF(Table2[[#This Row],[CurrentStock]]-Table2[[#This Row],[ReorderLevel]]&lt;0,Table2[[#This Row],[CurrentStock]]-Table2[[#This Row],[ReorderLevel]],"")</f>
        <v/>
      </c>
      <c r="N2802" t="str">
        <f>IF(Table2[[#This Row],[Stock Gap]]&lt;0, "Understock","Okay")</f>
        <v>Okay</v>
      </c>
      <c r="O2802" s="13" t="str">
        <f>IF(Table2[[#This Row],[Stock Gap]]&lt;0, "Yes", "No")</f>
        <v>No</v>
      </c>
      <c r="P2802" s="13" t="str">
        <f>IF(Table2[[#This Row],[CurrentStock]]&lt;Table2[[#This Row],[ReorderLevel]],"Reorder", "Okay")</f>
        <v>Okay</v>
      </c>
      <c r="Q2802" s="13" t="str">
        <f>IF(Table2[[#This Row],[CurrentStock]]&gt;Table2[[#This Row],[ReorderLevel]]*3, "Overstock", "Okay")</f>
        <v>Overstock</v>
      </c>
    </row>
    <row r="2803" spans="1:17" x14ac:dyDescent="0.35">
      <c r="A2803">
        <v>87737</v>
      </c>
      <c r="B2803" t="s">
        <v>13</v>
      </c>
      <c r="C2803" t="s">
        <v>26</v>
      </c>
      <c r="D2803">
        <v>464</v>
      </c>
      <c r="E2803">
        <v>30</v>
      </c>
      <c r="F2803" s="2">
        <v>411.73</v>
      </c>
      <c r="G2803" t="s">
        <v>34</v>
      </c>
      <c r="H2803" s="1">
        <v>45453</v>
      </c>
      <c r="I2803" s="1">
        <v>45484</v>
      </c>
      <c r="J2803" t="s">
        <v>37</v>
      </c>
      <c r="K2803" s="8">
        <f>Table2[[#This Row],[CurrentStock]]*Table2[[#This Row],[UnitPrice]]</f>
        <v>191042.72</v>
      </c>
      <c r="L2803" t="str">
        <f>IF(Table2[[#This Row],[CurrentStock]]&lt;=Table2[[#This Row],[ReorderLevel]], "Reorder Needed", "Okay")</f>
        <v>Okay</v>
      </c>
      <c r="M2803" t="str">
        <f>IF(Table2[[#This Row],[CurrentStock]]-Table2[[#This Row],[ReorderLevel]]&lt;0,Table2[[#This Row],[CurrentStock]]-Table2[[#This Row],[ReorderLevel]],"")</f>
        <v/>
      </c>
      <c r="N2803" t="str">
        <f>IF(Table2[[#This Row],[Stock Gap]]&lt;0, "Understock","Okay")</f>
        <v>Okay</v>
      </c>
      <c r="O2803" s="13" t="str">
        <f>IF(Table2[[#This Row],[Stock Gap]]&lt;0, "Yes", "No")</f>
        <v>No</v>
      </c>
      <c r="P2803" s="13" t="str">
        <f>IF(Table2[[#This Row],[CurrentStock]]&lt;Table2[[#This Row],[ReorderLevel]],"Reorder", "Okay")</f>
        <v>Okay</v>
      </c>
      <c r="Q2803" s="13" t="str">
        <f>IF(Table2[[#This Row],[CurrentStock]]&gt;Table2[[#This Row],[ReorderLevel]]*3, "Overstock", "Okay")</f>
        <v>Overstock</v>
      </c>
    </row>
    <row r="2804" spans="1:17" x14ac:dyDescent="0.35">
      <c r="A2804">
        <v>94338</v>
      </c>
      <c r="B2804" t="s">
        <v>24</v>
      </c>
      <c r="C2804" t="s">
        <v>30</v>
      </c>
      <c r="D2804">
        <v>237</v>
      </c>
      <c r="E2804">
        <v>150</v>
      </c>
      <c r="F2804" s="2">
        <v>289.58</v>
      </c>
      <c r="G2804" t="s">
        <v>33</v>
      </c>
      <c r="H2804" s="1">
        <v>45526</v>
      </c>
      <c r="I2804" s="1">
        <v>45533</v>
      </c>
      <c r="J2804" t="s">
        <v>38</v>
      </c>
      <c r="K2804" s="8">
        <f>Table2[[#This Row],[CurrentStock]]*Table2[[#This Row],[UnitPrice]]</f>
        <v>68630.459999999992</v>
      </c>
      <c r="L2804" t="str">
        <f>IF(Table2[[#This Row],[CurrentStock]]&lt;=Table2[[#This Row],[ReorderLevel]], "Reorder Needed", "Okay")</f>
        <v>Okay</v>
      </c>
      <c r="M2804" t="str">
        <f>IF(Table2[[#This Row],[CurrentStock]]-Table2[[#This Row],[ReorderLevel]]&lt;0,Table2[[#This Row],[CurrentStock]]-Table2[[#This Row],[ReorderLevel]],"")</f>
        <v/>
      </c>
      <c r="N2804" t="str">
        <f>IF(Table2[[#This Row],[Stock Gap]]&lt;0, "Understock","Okay")</f>
        <v>Okay</v>
      </c>
      <c r="O2804" s="13" t="str">
        <f>IF(Table2[[#This Row],[Stock Gap]]&lt;0, "Yes", "No")</f>
        <v>No</v>
      </c>
      <c r="P2804" s="13" t="str">
        <f>IF(Table2[[#This Row],[CurrentStock]]&lt;Table2[[#This Row],[ReorderLevel]],"Reorder", "Okay")</f>
        <v>Okay</v>
      </c>
      <c r="Q2804" s="13" t="str">
        <f>IF(Table2[[#This Row],[CurrentStock]]&gt;Table2[[#This Row],[ReorderLevel]]*3, "Overstock", "Okay")</f>
        <v>Okay</v>
      </c>
    </row>
    <row r="2805" spans="1:17" x14ac:dyDescent="0.35">
      <c r="A2805">
        <v>56095</v>
      </c>
      <c r="B2805" t="s">
        <v>10</v>
      </c>
      <c r="C2805" t="s">
        <v>26</v>
      </c>
      <c r="D2805">
        <v>269</v>
      </c>
      <c r="E2805">
        <v>50</v>
      </c>
      <c r="F2805" s="2">
        <v>220.89</v>
      </c>
      <c r="G2805" t="s">
        <v>33</v>
      </c>
      <c r="H2805" s="1">
        <v>45355</v>
      </c>
      <c r="I2805" s="1">
        <v>45371</v>
      </c>
      <c r="J2805" t="s">
        <v>37</v>
      </c>
      <c r="K2805" s="8">
        <f>Table2[[#This Row],[CurrentStock]]*Table2[[#This Row],[UnitPrice]]</f>
        <v>59419.409999999996</v>
      </c>
      <c r="L2805" t="str">
        <f>IF(Table2[[#This Row],[CurrentStock]]&lt;=Table2[[#This Row],[ReorderLevel]], "Reorder Needed", "Okay")</f>
        <v>Okay</v>
      </c>
      <c r="M2805" t="str">
        <f>IF(Table2[[#This Row],[CurrentStock]]-Table2[[#This Row],[ReorderLevel]]&lt;0,Table2[[#This Row],[CurrentStock]]-Table2[[#This Row],[ReorderLevel]],"")</f>
        <v/>
      </c>
      <c r="N2805" t="str">
        <f>IF(Table2[[#This Row],[Stock Gap]]&lt;0, "Understock","Okay")</f>
        <v>Okay</v>
      </c>
      <c r="O2805" s="13" t="str">
        <f>IF(Table2[[#This Row],[Stock Gap]]&lt;0, "Yes", "No")</f>
        <v>No</v>
      </c>
      <c r="P2805" s="13" t="str">
        <f>IF(Table2[[#This Row],[CurrentStock]]&lt;Table2[[#This Row],[ReorderLevel]],"Reorder", "Okay")</f>
        <v>Okay</v>
      </c>
      <c r="Q2805" s="13" t="str">
        <f>IF(Table2[[#This Row],[CurrentStock]]&gt;Table2[[#This Row],[ReorderLevel]]*3, "Overstock", "Okay")</f>
        <v>Overstock</v>
      </c>
    </row>
    <row r="2806" spans="1:17" x14ac:dyDescent="0.35">
      <c r="A2806">
        <v>42615</v>
      </c>
      <c r="B2806" t="s">
        <v>16</v>
      </c>
      <c r="C2806" t="s">
        <v>29</v>
      </c>
      <c r="D2806">
        <v>92</v>
      </c>
      <c r="E2806">
        <v>80</v>
      </c>
      <c r="F2806" s="2">
        <v>177.81</v>
      </c>
      <c r="G2806" t="s">
        <v>32</v>
      </c>
      <c r="H2806" s="1">
        <v>45308</v>
      </c>
      <c r="I2806" s="1">
        <v>45320</v>
      </c>
      <c r="J2806" t="s">
        <v>36</v>
      </c>
      <c r="K2806" s="8">
        <f>Table2[[#This Row],[CurrentStock]]*Table2[[#This Row],[UnitPrice]]</f>
        <v>16358.52</v>
      </c>
      <c r="L2806" t="str">
        <f>IF(Table2[[#This Row],[CurrentStock]]&lt;=Table2[[#This Row],[ReorderLevel]], "Reorder Needed", "Okay")</f>
        <v>Okay</v>
      </c>
      <c r="M2806" t="str">
        <f>IF(Table2[[#This Row],[CurrentStock]]-Table2[[#This Row],[ReorderLevel]]&lt;0,Table2[[#This Row],[CurrentStock]]-Table2[[#This Row],[ReorderLevel]],"")</f>
        <v/>
      </c>
      <c r="N2806" t="str">
        <f>IF(Table2[[#This Row],[Stock Gap]]&lt;0, "Understock","Okay")</f>
        <v>Okay</v>
      </c>
      <c r="O2806" s="13" t="str">
        <f>IF(Table2[[#This Row],[Stock Gap]]&lt;0, "Yes", "No")</f>
        <v>No</v>
      </c>
      <c r="P2806" s="13" t="str">
        <f>IF(Table2[[#This Row],[CurrentStock]]&lt;Table2[[#This Row],[ReorderLevel]],"Reorder", "Okay")</f>
        <v>Okay</v>
      </c>
      <c r="Q2806" s="13" t="str">
        <f>IF(Table2[[#This Row],[CurrentStock]]&gt;Table2[[#This Row],[ReorderLevel]]*3, "Overstock", "Okay")</f>
        <v>Okay</v>
      </c>
    </row>
    <row r="2807" spans="1:17" x14ac:dyDescent="0.35">
      <c r="A2807">
        <v>14069</v>
      </c>
      <c r="B2807" t="s">
        <v>11</v>
      </c>
      <c r="C2807" t="s">
        <v>27</v>
      </c>
      <c r="D2807">
        <v>2</v>
      </c>
      <c r="E2807">
        <v>150</v>
      </c>
      <c r="F2807" s="2">
        <v>115.73</v>
      </c>
      <c r="G2807" t="s">
        <v>31</v>
      </c>
      <c r="H2807" s="1">
        <v>45447</v>
      </c>
      <c r="I2807" s="1">
        <v>45455</v>
      </c>
      <c r="J2807" t="s">
        <v>37</v>
      </c>
      <c r="K2807" s="8">
        <f>Table2[[#This Row],[CurrentStock]]*Table2[[#This Row],[UnitPrice]]</f>
        <v>231.46</v>
      </c>
      <c r="L2807" t="str">
        <f>IF(Table2[[#This Row],[CurrentStock]]&lt;=Table2[[#This Row],[ReorderLevel]], "Reorder Needed", "Okay")</f>
        <v>Reorder Needed</v>
      </c>
      <c r="M2807" s="7">
        <f>IF(Table2[[#This Row],[CurrentStock]]-Table2[[#This Row],[ReorderLevel]]&lt;0,Table2[[#This Row],[CurrentStock]]-Table2[[#This Row],[ReorderLevel]],"")</f>
        <v>-148</v>
      </c>
      <c r="N2807" t="str">
        <f>IF(Table2[[#This Row],[Stock Gap]]&lt;0, "Understock","Okay")</f>
        <v>Understock</v>
      </c>
      <c r="O2807" s="13" t="str">
        <f>IF(Table2[[#This Row],[Stock Gap]]&lt;0, "Yes", "No")</f>
        <v>Yes</v>
      </c>
      <c r="P2807" s="13" t="str">
        <f>IF(Table2[[#This Row],[CurrentStock]]&lt;Table2[[#This Row],[ReorderLevel]],"Reorder", "Okay")</f>
        <v>Reorder</v>
      </c>
      <c r="Q2807" s="13" t="str">
        <f>IF(Table2[[#This Row],[CurrentStock]]&gt;Table2[[#This Row],[ReorderLevel]]*3, "Overstock", "Okay")</f>
        <v>Okay</v>
      </c>
    </row>
    <row r="2808" spans="1:17" x14ac:dyDescent="0.35">
      <c r="A2808">
        <v>36727</v>
      </c>
      <c r="B2808" t="s">
        <v>22</v>
      </c>
      <c r="C2808" t="s">
        <v>29</v>
      </c>
      <c r="D2808">
        <v>139</v>
      </c>
      <c r="E2808">
        <v>100</v>
      </c>
      <c r="F2808" s="2">
        <v>405.16</v>
      </c>
      <c r="G2808" t="s">
        <v>31</v>
      </c>
      <c r="H2808" s="1">
        <v>45480</v>
      </c>
      <c r="I2808" s="1">
        <v>45496</v>
      </c>
      <c r="J2808" t="s">
        <v>38</v>
      </c>
      <c r="K2808" s="8">
        <f>Table2[[#This Row],[CurrentStock]]*Table2[[#This Row],[UnitPrice]]</f>
        <v>56317.240000000005</v>
      </c>
      <c r="L2808" t="str">
        <f>IF(Table2[[#This Row],[CurrentStock]]&lt;=Table2[[#This Row],[ReorderLevel]], "Reorder Needed", "Okay")</f>
        <v>Okay</v>
      </c>
      <c r="M2808" t="str">
        <f>IF(Table2[[#This Row],[CurrentStock]]-Table2[[#This Row],[ReorderLevel]]&lt;0,Table2[[#This Row],[CurrentStock]]-Table2[[#This Row],[ReorderLevel]],"")</f>
        <v/>
      </c>
      <c r="N2808" t="str">
        <f>IF(Table2[[#This Row],[Stock Gap]]&lt;0, "Understock","Okay")</f>
        <v>Okay</v>
      </c>
      <c r="O2808" s="13" t="str">
        <f>IF(Table2[[#This Row],[Stock Gap]]&lt;0, "Yes", "No")</f>
        <v>No</v>
      </c>
      <c r="P2808" s="13" t="str">
        <f>IF(Table2[[#This Row],[CurrentStock]]&lt;Table2[[#This Row],[ReorderLevel]],"Reorder", "Okay")</f>
        <v>Okay</v>
      </c>
      <c r="Q2808" s="13" t="str">
        <f>IF(Table2[[#This Row],[CurrentStock]]&gt;Table2[[#This Row],[ReorderLevel]]*3, "Overstock", "Okay")</f>
        <v>Okay</v>
      </c>
    </row>
    <row r="2809" spans="1:17" x14ac:dyDescent="0.35">
      <c r="A2809">
        <v>34504</v>
      </c>
      <c r="B2809" t="s">
        <v>19</v>
      </c>
      <c r="C2809" t="s">
        <v>28</v>
      </c>
      <c r="D2809">
        <v>236</v>
      </c>
      <c r="E2809">
        <v>100</v>
      </c>
      <c r="F2809" s="2">
        <v>39.36</v>
      </c>
      <c r="G2809" t="s">
        <v>35</v>
      </c>
      <c r="H2809" s="1">
        <v>45303</v>
      </c>
      <c r="I2809" s="1">
        <v>45338</v>
      </c>
      <c r="J2809" t="s">
        <v>36</v>
      </c>
      <c r="K2809" s="8">
        <f>Table2[[#This Row],[CurrentStock]]*Table2[[#This Row],[UnitPrice]]</f>
        <v>9288.9599999999991</v>
      </c>
      <c r="L2809" t="str">
        <f>IF(Table2[[#This Row],[CurrentStock]]&lt;=Table2[[#This Row],[ReorderLevel]], "Reorder Needed", "Okay")</f>
        <v>Okay</v>
      </c>
      <c r="M2809" t="str">
        <f>IF(Table2[[#This Row],[CurrentStock]]-Table2[[#This Row],[ReorderLevel]]&lt;0,Table2[[#This Row],[CurrentStock]]-Table2[[#This Row],[ReorderLevel]],"")</f>
        <v/>
      </c>
      <c r="N2809" t="str">
        <f>IF(Table2[[#This Row],[Stock Gap]]&lt;0, "Understock","Okay")</f>
        <v>Okay</v>
      </c>
      <c r="O2809" s="13" t="str">
        <f>IF(Table2[[#This Row],[Stock Gap]]&lt;0, "Yes", "No")</f>
        <v>No</v>
      </c>
      <c r="P2809" s="13" t="str">
        <f>IF(Table2[[#This Row],[CurrentStock]]&lt;Table2[[#This Row],[ReorderLevel]],"Reorder", "Okay")</f>
        <v>Okay</v>
      </c>
      <c r="Q2809" s="13" t="str">
        <f>IF(Table2[[#This Row],[CurrentStock]]&gt;Table2[[#This Row],[ReorderLevel]]*3, "Overstock", "Okay")</f>
        <v>Okay</v>
      </c>
    </row>
    <row r="2810" spans="1:17" x14ac:dyDescent="0.35">
      <c r="A2810">
        <v>76795</v>
      </c>
      <c r="B2810" t="s">
        <v>22</v>
      </c>
      <c r="C2810" t="s">
        <v>29</v>
      </c>
      <c r="D2810">
        <v>455</v>
      </c>
      <c r="E2810">
        <v>100</v>
      </c>
      <c r="F2810" s="2">
        <v>196.42</v>
      </c>
      <c r="G2810" t="s">
        <v>35</v>
      </c>
      <c r="H2810" s="1">
        <v>45349</v>
      </c>
      <c r="I2810" s="1">
        <v>45357</v>
      </c>
      <c r="J2810" t="s">
        <v>38</v>
      </c>
      <c r="K2810" s="8">
        <f>Table2[[#This Row],[CurrentStock]]*Table2[[#This Row],[UnitPrice]]</f>
        <v>89371.099999999991</v>
      </c>
      <c r="L2810" t="str">
        <f>IF(Table2[[#This Row],[CurrentStock]]&lt;=Table2[[#This Row],[ReorderLevel]], "Reorder Needed", "Okay")</f>
        <v>Okay</v>
      </c>
      <c r="M2810" t="str">
        <f>IF(Table2[[#This Row],[CurrentStock]]-Table2[[#This Row],[ReorderLevel]]&lt;0,Table2[[#This Row],[CurrentStock]]-Table2[[#This Row],[ReorderLevel]],"")</f>
        <v/>
      </c>
      <c r="N2810" t="str">
        <f>IF(Table2[[#This Row],[Stock Gap]]&lt;0, "Understock","Okay")</f>
        <v>Okay</v>
      </c>
      <c r="O2810" s="13" t="str">
        <f>IF(Table2[[#This Row],[Stock Gap]]&lt;0, "Yes", "No")</f>
        <v>No</v>
      </c>
      <c r="P2810" s="13" t="str">
        <f>IF(Table2[[#This Row],[CurrentStock]]&lt;Table2[[#This Row],[ReorderLevel]],"Reorder", "Okay")</f>
        <v>Okay</v>
      </c>
      <c r="Q2810" s="13" t="str">
        <f>IF(Table2[[#This Row],[CurrentStock]]&gt;Table2[[#This Row],[ReorderLevel]]*3, "Overstock", "Okay")</f>
        <v>Overstock</v>
      </c>
    </row>
    <row r="2811" spans="1:17" x14ac:dyDescent="0.35">
      <c r="A2811">
        <v>98611</v>
      </c>
      <c r="B2811" t="s">
        <v>12</v>
      </c>
      <c r="C2811" t="s">
        <v>28</v>
      </c>
      <c r="D2811">
        <v>236</v>
      </c>
      <c r="E2811">
        <v>40</v>
      </c>
      <c r="F2811" s="2">
        <v>137.53</v>
      </c>
      <c r="G2811" t="s">
        <v>34</v>
      </c>
      <c r="H2811" s="1">
        <v>45349</v>
      </c>
      <c r="I2811" s="1">
        <v>45371</v>
      </c>
      <c r="J2811" t="s">
        <v>36</v>
      </c>
      <c r="K2811" s="8">
        <f>Table2[[#This Row],[CurrentStock]]*Table2[[#This Row],[UnitPrice]]</f>
        <v>32457.08</v>
      </c>
      <c r="L2811" t="str">
        <f>IF(Table2[[#This Row],[CurrentStock]]&lt;=Table2[[#This Row],[ReorderLevel]], "Reorder Needed", "Okay")</f>
        <v>Okay</v>
      </c>
      <c r="M2811" t="str">
        <f>IF(Table2[[#This Row],[CurrentStock]]-Table2[[#This Row],[ReorderLevel]]&lt;0,Table2[[#This Row],[CurrentStock]]-Table2[[#This Row],[ReorderLevel]],"")</f>
        <v/>
      </c>
      <c r="N2811" t="str">
        <f>IF(Table2[[#This Row],[Stock Gap]]&lt;0, "Understock","Okay")</f>
        <v>Okay</v>
      </c>
      <c r="O2811" s="13" t="str">
        <f>IF(Table2[[#This Row],[Stock Gap]]&lt;0, "Yes", "No")</f>
        <v>No</v>
      </c>
      <c r="P2811" s="13" t="str">
        <f>IF(Table2[[#This Row],[CurrentStock]]&lt;Table2[[#This Row],[ReorderLevel]],"Reorder", "Okay")</f>
        <v>Okay</v>
      </c>
      <c r="Q2811" s="13" t="str">
        <f>IF(Table2[[#This Row],[CurrentStock]]&gt;Table2[[#This Row],[ReorderLevel]]*3, "Overstock", "Okay")</f>
        <v>Overstock</v>
      </c>
    </row>
    <row r="2812" spans="1:17" x14ac:dyDescent="0.35">
      <c r="A2812">
        <v>23303</v>
      </c>
      <c r="B2812" t="s">
        <v>21</v>
      </c>
      <c r="C2812" t="s">
        <v>26</v>
      </c>
      <c r="D2812">
        <v>145</v>
      </c>
      <c r="E2812">
        <v>20</v>
      </c>
      <c r="F2812" s="2">
        <v>430.49</v>
      </c>
      <c r="G2812" t="s">
        <v>31</v>
      </c>
      <c r="H2812" s="1">
        <v>45518</v>
      </c>
      <c r="I2812" s="1">
        <v>45537</v>
      </c>
      <c r="J2812" t="s">
        <v>37</v>
      </c>
      <c r="K2812" s="8">
        <f>Table2[[#This Row],[CurrentStock]]*Table2[[#This Row],[UnitPrice]]</f>
        <v>62421.05</v>
      </c>
      <c r="L2812" t="str">
        <f>IF(Table2[[#This Row],[CurrentStock]]&lt;=Table2[[#This Row],[ReorderLevel]], "Reorder Needed", "Okay")</f>
        <v>Okay</v>
      </c>
      <c r="M2812" t="str">
        <f>IF(Table2[[#This Row],[CurrentStock]]-Table2[[#This Row],[ReorderLevel]]&lt;0,Table2[[#This Row],[CurrentStock]]-Table2[[#This Row],[ReorderLevel]],"")</f>
        <v/>
      </c>
      <c r="N2812" t="str">
        <f>IF(Table2[[#This Row],[Stock Gap]]&lt;0, "Understock","Okay")</f>
        <v>Okay</v>
      </c>
      <c r="O2812" s="13" t="str">
        <f>IF(Table2[[#This Row],[Stock Gap]]&lt;0, "Yes", "No")</f>
        <v>No</v>
      </c>
      <c r="P2812" s="13" t="str">
        <f>IF(Table2[[#This Row],[CurrentStock]]&lt;Table2[[#This Row],[ReorderLevel]],"Reorder", "Okay")</f>
        <v>Okay</v>
      </c>
      <c r="Q2812" s="13" t="str">
        <f>IF(Table2[[#This Row],[CurrentStock]]&gt;Table2[[#This Row],[ReorderLevel]]*3, "Overstock", "Okay")</f>
        <v>Overstock</v>
      </c>
    </row>
    <row r="2813" spans="1:17" x14ac:dyDescent="0.35">
      <c r="A2813">
        <v>10337</v>
      </c>
      <c r="B2813" t="s">
        <v>11</v>
      </c>
      <c r="C2813" t="s">
        <v>27</v>
      </c>
      <c r="D2813">
        <v>436</v>
      </c>
      <c r="E2813">
        <v>20</v>
      </c>
      <c r="F2813" s="2">
        <v>231.49</v>
      </c>
      <c r="G2813" t="s">
        <v>35</v>
      </c>
      <c r="H2813" s="1">
        <v>45561</v>
      </c>
      <c r="I2813" s="1">
        <v>45567</v>
      </c>
      <c r="J2813" t="s">
        <v>36</v>
      </c>
      <c r="K2813" s="8">
        <f>Table2[[#This Row],[CurrentStock]]*Table2[[#This Row],[UnitPrice]]</f>
        <v>100929.64</v>
      </c>
      <c r="L2813" t="str">
        <f>IF(Table2[[#This Row],[CurrentStock]]&lt;=Table2[[#This Row],[ReorderLevel]], "Reorder Needed", "Okay")</f>
        <v>Okay</v>
      </c>
      <c r="M2813" t="str">
        <f>IF(Table2[[#This Row],[CurrentStock]]-Table2[[#This Row],[ReorderLevel]]&lt;0,Table2[[#This Row],[CurrentStock]]-Table2[[#This Row],[ReorderLevel]],"")</f>
        <v/>
      </c>
      <c r="N2813" t="str">
        <f>IF(Table2[[#This Row],[Stock Gap]]&lt;0, "Understock","Okay")</f>
        <v>Okay</v>
      </c>
      <c r="O2813" s="13" t="str">
        <f>IF(Table2[[#This Row],[Stock Gap]]&lt;0, "Yes", "No")</f>
        <v>No</v>
      </c>
      <c r="P2813" s="13" t="str">
        <f>IF(Table2[[#This Row],[CurrentStock]]&lt;Table2[[#This Row],[ReorderLevel]],"Reorder", "Okay")</f>
        <v>Okay</v>
      </c>
      <c r="Q2813" s="13" t="str">
        <f>IF(Table2[[#This Row],[CurrentStock]]&gt;Table2[[#This Row],[ReorderLevel]]*3, "Overstock", "Okay")</f>
        <v>Overstock</v>
      </c>
    </row>
    <row r="2814" spans="1:17" x14ac:dyDescent="0.35">
      <c r="A2814">
        <v>71088</v>
      </c>
      <c r="B2814" t="s">
        <v>25</v>
      </c>
      <c r="C2814" t="s">
        <v>29</v>
      </c>
      <c r="D2814">
        <v>467</v>
      </c>
      <c r="E2814">
        <v>40</v>
      </c>
      <c r="F2814" s="2">
        <v>132.97</v>
      </c>
      <c r="G2814" t="s">
        <v>34</v>
      </c>
      <c r="H2814" s="1">
        <v>45637</v>
      </c>
      <c r="I2814" s="1">
        <v>45645</v>
      </c>
      <c r="J2814" t="s">
        <v>38</v>
      </c>
      <c r="K2814" s="8">
        <f>Table2[[#This Row],[CurrentStock]]*Table2[[#This Row],[UnitPrice]]</f>
        <v>62096.99</v>
      </c>
      <c r="L2814" t="str">
        <f>IF(Table2[[#This Row],[CurrentStock]]&lt;=Table2[[#This Row],[ReorderLevel]], "Reorder Needed", "Okay")</f>
        <v>Okay</v>
      </c>
      <c r="M2814" t="str">
        <f>IF(Table2[[#This Row],[CurrentStock]]-Table2[[#This Row],[ReorderLevel]]&lt;0,Table2[[#This Row],[CurrentStock]]-Table2[[#This Row],[ReorderLevel]],"")</f>
        <v/>
      </c>
      <c r="N2814" t="str">
        <f>IF(Table2[[#This Row],[Stock Gap]]&lt;0, "Understock","Okay")</f>
        <v>Okay</v>
      </c>
      <c r="O2814" s="13" t="str">
        <f>IF(Table2[[#This Row],[Stock Gap]]&lt;0, "Yes", "No")</f>
        <v>No</v>
      </c>
      <c r="P2814" s="13" t="str">
        <f>IF(Table2[[#This Row],[CurrentStock]]&lt;Table2[[#This Row],[ReorderLevel]],"Reorder", "Okay")</f>
        <v>Okay</v>
      </c>
      <c r="Q2814" s="13" t="str">
        <f>IF(Table2[[#This Row],[CurrentStock]]&gt;Table2[[#This Row],[ReorderLevel]]*3, "Overstock", "Okay")</f>
        <v>Overstock</v>
      </c>
    </row>
    <row r="2815" spans="1:17" x14ac:dyDescent="0.35">
      <c r="A2815">
        <v>38359</v>
      </c>
      <c r="B2815" t="s">
        <v>13</v>
      </c>
      <c r="C2815" t="s">
        <v>26</v>
      </c>
      <c r="D2815">
        <v>76</v>
      </c>
      <c r="E2815">
        <v>100</v>
      </c>
      <c r="F2815" s="2">
        <v>292.44</v>
      </c>
      <c r="G2815" t="s">
        <v>35</v>
      </c>
      <c r="H2815" s="1">
        <v>45430</v>
      </c>
      <c r="I2815" s="1">
        <v>45469</v>
      </c>
      <c r="J2815" t="s">
        <v>37</v>
      </c>
      <c r="K2815" s="8">
        <f>Table2[[#This Row],[CurrentStock]]*Table2[[#This Row],[UnitPrice]]</f>
        <v>22225.439999999999</v>
      </c>
      <c r="L2815" t="str">
        <f>IF(Table2[[#This Row],[CurrentStock]]&lt;=Table2[[#This Row],[ReorderLevel]], "Reorder Needed", "Okay")</f>
        <v>Reorder Needed</v>
      </c>
      <c r="M2815" s="7">
        <f>IF(Table2[[#This Row],[CurrentStock]]-Table2[[#This Row],[ReorderLevel]]&lt;0,Table2[[#This Row],[CurrentStock]]-Table2[[#This Row],[ReorderLevel]],"")</f>
        <v>-24</v>
      </c>
      <c r="N2815" t="str">
        <f>IF(Table2[[#This Row],[Stock Gap]]&lt;0, "Understock","Okay")</f>
        <v>Understock</v>
      </c>
      <c r="O2815" s="13" t="str">
        <f>IF(Table2[[#This Row],[Stock Gap]]&lt;0, "Yes", "No")</f>
        <v>Yes</v>
      </c>
      <c r="P2815" s="13" t="str">
        <f>IF(Table2[[#This Row],[CurrentStock]]&lt;Table2[[#This Row],[ReorderLevel]],"Reorder", "Okay")</f>
        <v>Reorder</v>
      </c>
      <c r="Q2815" s="13" t="str">
        <f>IF(Table2[[#This Row],[CurrentStock]]&gt;Table2[[#This Row],[ReorderLevel]]*3, "Overstock", "Okay")</f>
        <v>Okay</v>
      </c>
    </row>
    <row r="2816" spans="1:17" x14ac:dyDescent="0.35">
      <c r="A2816">
        <v>94539</v>
      </c>
      <c r="B2816" t="s">
        <v>24</v>
      </c>
      <c r="C2816" t="s">
        <v>30</v>
      </c>
      <c r="D2816">
        <v>31</v>
      </c>
      <c r="E2816">
        <v>50</v>
      </c>
      <c r="F2816" s="2">
        <v>120.58</v>
      </c>
      <c r="G2816" t="s">
        <v>35</v>
      </c>
      <c r="H2816" s="1">
        <v>45607</v>
      </c>
      <c r="I2816" s="1">
        <v>45625</v>
      </c>
      <c r="J2816" t="s">
        <v>38</v>
      </c>
      <c r="K2816" s="8">
        <f>Table2[[#This Row],[CurrentStock]]*Table2[[#This Row],[UnitPrice]]</f>
        <v>3737.98</v>
      </c>
      <c r="L2816" t="str">
        <f>IF(Table2[[#This Row],[CurrentStock]]&lt;=Table2[[#This Row],[ReorderLevel]], "Reorder Needed", "Okay")</f>
        <v>Reorder Needed</v>
      </c>
      <c r="M2816" s="7">
        <f>IF(Table2[[#This Row],[CurrentStock]]-Table2[[#This Row],[ReorderLevel]]&lt;0,Table2[[#This Row],[CurrentStock]]-Table2[[#This Row],[ReorderLevel]],"")</f>
        <v>-19</v>
      </c>
      <c r="N2816" t="str">
        <f>IF(Table2[[#This Row],[Stock Gap]]&lt;0, "Understock","Okay")</f>
        <v>Understock</v>
      </c>
      <c r="O2816" s="13" t="str">
        <f>IF(Table2[[#This Row],[Stock Gap]]&lt;0, "Yes", "No")</f>
        <v>Yes</v>
      </c>
      <c r="P2816" s="13" t="str">
        <f>IF(Table2[[#This Row],[CurrentStock]]&lt;Table2[[#This Row],[ReorderLevel]],"Reorder", "Okay")</f>
        <v>Reorder</v>
      </c>
      <c r="Q2816" s="13" t="str">
        <f>IF(Table2[[#This Row],[CurrentStock]]&gt;Table2[[#This Row],[ReorderLevel]]*3, "Overstock", "Okay")</f>
        <v>Okay</v>
      </c>
    </row>
    <row r="2817" spans="1:17" x14ac:dyDescent="0.35">
      <c r="A2817">
        <v>44524</v>
      </c>
      <c r="B2817" t="s">
        <v>13</v>
      </c>
      <c r="C2817" t="s">
        <v>26</v>
      </c>
      <c r="D2817">
        <v>278</v>
      </c>
      <c r="E2817">
        <v>80</v>
      </c>
      <c r="F2817" s="2">
        <v>396.11</v>
      </c>
      <c r="G2817" t="s">
        <v>33</v>
      </c>
      <c r="H2817" s="1">
        <v>45364</v>
      </c>
      <c r="I2817" s="1">
        <v>45375</v>
      </c>
      <c r="J2817" t="s">
        <v>36</v>
      </c>
      <c r="K2817" s="8">
        <f>Table2[[#This Row],[CurrentStock]]*Table2[[#This Row],[UnitPrice]]</f>
        <v>110118.58</v>
      </c>
      <c r="L2817" t="str">
        <f>IF(Table2[[#This Row],[CurrentStock]]&lt;=Table2[[#This Row],[ReorderLevel]], "Reorder Needed", "Okay")</f>
        <v>Okay</v>
      </c>
      <c r="M2817" t="str">
        <f>IF(Table2[[#This Row],[CurrentStock]]-Table2[[#This Row],[ReorderLevel]]&lt;0,Table2[[#This Row],[CurrentStock]]-Table2[[#This Row],[ReorderLevel]],"")</f>
        <v/>
      </c>
      <c r="N2817" t="str">
        <f>IF(Table2[[#This Row],[Stock Gap]]&lt;0, "Understock","Okay")</f>
        <v>Okay</v>
      </c>
      <c r="O2817" s="13" t="str">
        <f>IF(Table2[[#This Row],[Stock Gap]]&lt;0, "Yes", "No")</f>
        <v>No</v>
      </c>
      <c r="P2817" s="13" t="str">
        <f>IF(Table2[[#This Row],[CurrentStock]]&lt;Table2[[#This Row],[ReorderLevel]],"Reorder", "Okay")</f>
        <v>Okay</v>
      </c>
      <c r="Q2817" s="13" t="str">
        <f>IF(Table2[[#This Row],[CurrentStock]]&gt;Table2[[#This Row],[ReorderLevel]]*3, "Overstock", "Okay")</f>
        <v>Overstock</v>
      </c>
    </row>
    <row r="2818" spans="1:17" x14ac:dyDescent="0.35">
      <c r="A2818">
        <v>23792</v>
      </c>
      <c r="B2818" t="s">
        <v>17</v>
      </c>
      <c r="C2818" t="s">
        <v>27</v>
      </c>
      <c r="D2818">
        <v>325</v>
      </c>
      <c r="E2818">
        <v>50</v>
      </c>
      <c r="F2818" s="2">
        <v>349.23</v>
      </c>
      <c r="G2818" t="s">
        <v>32</v>
      </c>
      <c r="H2818" s="1">
        <v>45620</v>
      </c>
      <c r="I2818" s="1">
        <v>45636</v>
      </c>
      <c r="J2818" t="s">
        <v>37</v>
      </c>
      <c r="K2818" s="8">
        <f>Table2[[#This Row],[CurrentStock]]*Table2[[#This Row],[UnitPrice]]</f>
        <v>113499.75</v>
      </c>
      <c r="L2818" t="str">
        <f>IF(Table2[[#This Row],[CurrentStock]]&lt;=Table2[[#This Row],[ReorderLevel]], "Reorder Needed", "Okay")</f>
        <v>Okay</v>
      </c>
      <c r="M2818" t="str">
        <f>IF(Table2[[#This Row],[CurrentStock]]-Table2[[#This Row],[ReorderLevel]]&lt;0,Table2[[#This Row],[CurrentStock]]-Table2[[#This Row],[ReorderLevel]],"")</f>
        <v/>
      </c>
      <c r="N2818" t="str">
        <f>IF(Table2[[#This Row],[Stock Gap]]&lt;0, "Understock","Okay")</f>
        <v>Okay</v>
      </c>
      <c r="O2818" s="13" t="str">
        <f>IF(Table2[[#This Row],[Stock Gap]]&lt;0, "Yes", "No")</f>
        <v>No</v>
      </c>
      <c r="P2818" s="13" t="str">
        <f>IF(Table2[[#This Row],[CurrentStock]]&lt;Table2[[#This Row],[ReorderLevel]],"Reorder", "Okay")</f>
        <v>Okay</v>
      </c>
      <c r="Q2818" s="13" t="str">
        <f>IF(Table2[[#This Row],[CurrentStock]]&gt;Table2[[#This Row],[ReorderLevel]]*3, "Overstock", "Okay")</f>
        <v>Overstock</v>
      </c>
    </row>
    <row r="2819" spans="1:17" x14ac:dyDescent="0.35">
      <c r="A2819">
        <v>83693</v>
      </c>
      <c r="B2819" t="s">
        <v>11</v>
      </c>
      <c r="C2819" t="s">
        <v>27</v>
      </c>
      <c r="D2819">
        <v>113</v>
      </c>
      <c r="E2819">
        <v>150</v>
      </c>
      <c r="F2819" s="2">
        <v>96.68</v>
      </c>
      <c r="G2819" t="s">
        <v>35</v>
      </c>
      <c r="H2819" s="1">
        <v>45601</v>
      </c>
      <c r="I2819" s="1">
        <v>45614</v>
      </c>
      <c r="J2819" t="s">
        <v>38</v>
      </c>
      <c r="K2819" s="8">
        <f>Table2[[#This Row],[CurrentStock]]*Table2[[#This Row],[UnitPrice]]</f>
        <v>10924.84</v>
      </c>
      <c r="L2819" t="str">
        <f>IF(Table2[[#This Row],[CurrentStock]]&lt;=Table2[[#This Row],[ReorderLevel]], "Reorder Needed", "Okay")</f>
        <v>Reorder Needed</v>
      </c>
      <c r="M2819" s="7">
        <f>IF(Table2[[#This Row],[CurrentStock]]-Table2[[#This Row],[ReorderLevel]]&lt;0,Table2[[#This Row],[CurrentStock]]-Table2[[#This Row],[ReorderLevel]],"")</f>
        <v>-37</v>
      </c>
      <c r="N2819" t="str">
        <f>IF(Table2[[#This Row],[Stock Gap]]&lt;0, "Understock","Okay")</f>
        <v>Understock</v>
      </c>
      <c r="O2819" s="13" t="str">
        <f>IF(Table2[[#This Row],[Stock Gap]]&lt;0, "Yes", "No")</f>
        <v>Yes</v>
      </c>
      <c r="P2819" s="13" t="str">
        <f>IF(Table2[[#This Row],[CurrentStock]]&lt;Table2[[#This Row],[ReorderLevel]],"Reorder", "Okay")</f>
        <v>Reorder</v>
      </c>
      <c r="Q2819" s="13" t="str">
        <f>IF(Table2[[#This Row],[CurrentStock]]&gt;Table2[[#This Row],[ReorderLevel]]*3, "Overstock", "Okay")</f>
        <v>Okay</v>
      </c>
    </row>
    <row r="2820" spans="1:17" x14ac:dyDescent="0.35">
      <c r="A2820">
        <v>48011</v>
      </c>
      <c r="B2820" t="s">
        <v>11</v>
      </c>
      <c r="C2820" t="s">
        <v>27</v>
      </c>
      <c r="D2820">
        <v>478</v>
      </c>
      <c r="E2820">
        <v>50</v>
      </c>
      <c r="F2820" s="2">
        <v>347.74</v>
      </c>
      <c r="G2820" t="s">
        <v>31</v>
      </c>
      <c r="H2820" s="1">
        <v>45406</v>
      </c>
      <c r="I2820" s="1">
        <v>45429</v>
      </c>
      <c r="J2820" t="s">
        <v>38</v>
      </c>
      <c r="K2820" s="8">
        <f>Table2[[#This Row],[CurrentStock]]*Table2[[#This Row],[UnitPrice]]</f>
        <v>166219.72</v>
      </c>
      <c r="L2820" t="str">
        <f>IF(Table2[[#This Row],[CurrentStock]]&lt;=Table2[[#This Row],[ReorderLevel]], "Reorder Needed", "Okay")</f>
        <v>Okay</v>
      </c>
      <c r="M2820" t="str">
        <f>IF(Table2[[#This Row],[CurrentStock]]-Table2[[#This Row],[ReorderLevel]]&lt;0,Table2[[#This Row],[CurrentStock]]-Table2[[#This Row],[ReorderLevel]],"")</f>
        <v/>
      </c>
      <c r="N2820" t="str">
        <f>IF(Table2[[#This Row],[Stock Gap]]&lt;0, "Understock","Okay")</f>
        <v>Okay</v>
      </c>
      <c r="O2820" s="13" t="str">
        <f>IF(Table2[[#This Row],[Stock Gap]]&lt;0, "Yes", "No")</f>
        <v>No</v>
      </c>
      <c r="P2820" s="13" t="str">
        <f>IF(Table2[[#This Row],[CurrentStock]]&lt;Table2[[#This Row],[ReorderLevel]],"Reorder", "Okay")</f>
        <v>Okay</v>
      </c>
      <c r="Q2820" s="13" t="str">
        <f>IF(Table2[[#This Row],[CurrentStock]]&gt;Table2[[#This Row],[ReorderLevel]]*3, "Overstock", "Okay")</f>
        <v>Overstock</v>
      </c>
    </row>
    <row r="2821" spans="1:17" x14ac:dyDescent="0.35">
      <c r="A2821">
        <v>96070</v>
      </c>
      <c r="B2821" t="s">
        <v>18</v>
      </c>
      <c r="C2821" t="s">
        <v>27</v>
      </c>
      <c r="D2821">
        <v>390</v>
      </c>
      <c r="E2821">
        <v>150</v>
      </c>
      <c r="F2821" s="2">
        <v>78.930000000000007</v>
      </c>
      <c r="G2821" t="s">
        <v>34</v>
      </c>
      <c r="H2821" s="1">
        <v>45322</v>
      </c>
      <c r="I2821" s="1">
        <v>45350</v>
      </c>
      <c r="J2821" t="s">
        <v>38</v>
      </c>
      <c r="K2821" s="8">
        <f>Table2[[#This Row],[CurrentStock]]*Table2[[#This Row],[UnitPrice]]</f>
        <v>30782.700000000004</v>
      </c>
      <c r="L2821" t="str">
        <f>IF(Table2[[#This Row],[CurrentStock]]&lt;=Table2[[#This Row],[ReorderLevel]], "Reorder Needed", "Okay")</f>
        <v>Okay</v>
      </c>
      <c r="M2821" t="str">
        <f>IF(Table2[[#This Row],[CurrentStock]]-Table2[[#This Row],[ReorderLevel]]&lt;0,Table2[[#This Row],[CurrentStock]]-Table2[[#This Row],[ReorderLevel]],"")</f>
        <v/>
      </c>
      <c r="N2821" t="str">
        <f>IF(Table2[[#This Row],[Stock Gap]]&lt;0, "Understock","Okay")</f>
        <v>Okay</v>
      </c>
      <c r="O2821" s="13" t="str">
        <f>IF(Table2[[#This Row],[Stock Gap]]&lt;0, "Yes", "No")</f>
        <v>No</v>
      </c>
      <c r="P2821" s="13" t="str">
        <f>IF(Table2[[#This Row],[CurrentStock]]&lt;Table2[[#This Row],[ReorderLevel]],"Reorder", "Okay")</f>
        <v>Okay</v>
      </c>
      <c r="Q2821" s="13" t="str">
        <f>IF(Table2[[#This Row],[CurrentStock]]&gt;Table2[[#This Row],[ReorderLevel]]*3, "Overstock", "Okay")</f>
        <v>Okay</v>
      </c>
    </row>
    <row r="2822" spans="1:17" x14ac:dyDescent="0.35">
      <c r="A2822">
        <v>54837</v>
      </c>
      <c r="B2822" t="s">
        <v>13</v>
      </c>
      <c r="C2822" t="s">
        <v>26</v>
      </c>
      <c r="D2822">
        <v>397</v>
      </c>
      <c r="E2822">
        <v>80</v>
      </c>
      <c r="F2822" s="2">
        <v>151.49</v>
      </c>
      <c r="G2822" t="s">
        <v>31</v>
      </c>
      <c r="H2822" s="1">
        <v>45547</v>
      </c>
      <c r="I2822" s="1">
        <v>45585</v>
      </c>
      <c r="J2822" t="s">
        <v>36</v>
      </c>
      <c r="K2822" s="8">
        <f>Table2[[#This Row],[CurrentStock]]*Table2[[#This Row],[UnitPrice]]</f>
        <v>60141.530000000006</v>
      </c>
      <c r="L2822" t="str">
        <f>IF(Table2[[#This Row],[CurrentStock]]&lt;=Table2[[#This Row],[ReorderLevel]], "Reorder Needed", "Okay")</f>
        <v>Okay</v>
      </c>
      <c r="M2822" t="str">
        <f>IF(Table2[[#This Row],[CurrentStock]]-Table2[[#This Row],[ReorderLevel]]&lt;0,Table2[[#This Row],[CurrentStock]]-Table2[[#This Row],[ReorderLevel]],"")</f>
        <v/>
      </c>
      <c r="N2822" t="str">
        <f>IF(Table2[[#This Row],[Stock Gap]]&lt;0, "Understock","Okay")</f>
        <v>Okay</v>
      </c>
      <c r="O2822" s="13" t="str">
        <f>IF(Table2[[#This Row],[Stock Gap]]&lt;0, "Yes", "No")</f>
        <v>No</v>
      </c>
      <c r="P2822" s="13" t="str">
        <f>IF(Table2[[#This Row],[CurrentStock]]&lt;Table2[[#This Row],[ReorderLevel]],"Reorder", "Okay")</f>
        <v>Okay</v>
      </c>
      <c r="Q2822" s="13" t="str">
        <f>IF(Table2[[#This Row],[CurrentStock]]&gt;Table2[[#This Row],[ReorderLevel]]*3, "Overstock", "Okay")</f>
        <v>Overstock</v>
      </c>
    </row>
    <row r="2823" spans="1:17" x14ac:dyDescent="0.35">
      <c r="A2823">
        <v>78213</v>
      </c>
      <c r="B2823" t="s">
        <v>10</v>
      </c>
      <c r="C2823" t="s">
        <v>26</v>
      </c>
      <c r="D2823">
        <v>177</v>
      </c>
      <c r="E2823">
        <v>100</v>
      </c>
      <c r="F2823" s="2">
        <v>376</v>
      </c>
      <c r="G2823" t="s">
        <v>34</v>
      </c>
      <c r="H2823" s="1">
        <v>45411</v>
      </c>
      <c r="I2823" s="1">
        <v>45434</v>
      </c>
      <c r="J2823" t="s">
        <v>36</v>
      </c>
      <c r="K2823" s="8">
        <f>Table2[[#This Row],[CurrentStock]]*Table2[[#This Row],[UnitPrice]]</f>
        <v>66552</v>
      </c>
      <c r="L2823" t="str">
        <f>IF(Table2[[#This Row],[CurrentStock]]&lt;=Table2[[#This Row],[ReorderLevel]], "Reorder Needed", "Okay")</f>
        <v>Okay</v>
      </c>
      <c r="M2823" t="str">
        <f>IF(Table2[[#This Row],[CurrentStock]]-Table2[[#This Row],[ReorderLevel]]&lt;0,Table2[[#This Row],[CurrentStock]]-Table2[[#This Row],[ReorderLevel]],"")</f>
        <v/>
      </c>
      <c r="N2823" t="str">
        <f>IF(Table2[[#This Row],[Stock Gap]]&lt;0, "Understock","Okay")</f>
        <v>Okay</v>
      </c>
      <c r="O2823" s="13" t="str">
        <f>IF(Table2[[#This Row],[Stock Gap]]&lt;0, "Yes", "No")</f>
        <v>No</v>
      </c>
      <c r="P2823" s="13" t="str">
        <f>IF(Table2[[#This Row],[CurrentStock]]&lt;Table2[[#This Row],[ReorderLevel]],"Reorder", "Okay")</f>
        <v>Okay</v>
      </c>
      <c r="Q2823" s="13" t="str">
        <f>IF(Table2[[#This Row],[CurrentStock]]&gt;Table2[[#This Row],[ReorderLevel]]*3, "Overstock", "Okay")</f>
        <v>Okay</v>
      </c>
    </row>
    <row r="2824" spans="1:17" x14ac:dyDescent="0.35">
      <c r="A2824">
        <v>93853</v>
      </c>
      <c r="B2824" t="s">
        <v>20</v>
      </c>
      <c r="C2824" t="s">
        <v>30</v>
      </c>
      <c r="D2824">
        <v>170</v>
      </c>
      <c r="E2824">
        <v>40</v>
      </c>
      <c r="F2824" s="2">
        <v>21.97</v>
      </c>
      <c r="G2824" t="s">
        <v>34</v>
      </c>
      <c r="H2824" s="1">
        <v>45398</v>
      </c>
      <c r="I2824" s="1">
        <v>45417</v>
      </c>
      <c r="J2824" t="s">
        <v>38</v>
      </c>
      <c r="K2824" s="8">
        <f>Table2[[#This Row],[CurrentStock]]*Table2[[#This Row],[UnitPrice]]</f>
        <v>3734.8999999999996</v>
      </c>
      <c r="L2824" t="str">
        <f>IF(Table2[[#This Row],[CurrentStock]]&lt;=Table2[[#This Row],[ReorderLevel]], "Reorder Needed", "Okay")</f>
        <v>Okay</v>
      </c>
      <c r="M2824" t="str">
        <f>IF(Table2[[#This Row],[CurrentStock]]-Table2[[#This Row],[ReorderLevel]]&lt;0,Table2[[#This Row],[CurrentStock]]-Table2[[#This Row],[ReorderLevel]],"")</f>
        <v/>
      </c>
      <c r="N2824" t="str">
        <f>IF(Table2[[#This Row],[Stock Gap]]&lt;0, "Understock","Okay")</f>
        <v>Okay</v>
      </c>
      <c r="O2824" s="13" t="str">
        <f>IF(Table2[[#This Row],[Stock Gap]]&lt;0, "Yes", "No")</f>
        <v>No</v>
      </c>
      <c r="P2824" s="13" t="str">
        <f>IF(Table2[[#This Row],[CurrentStock]]&lt;Table2[[#This Row],[ReorderLevel]],"Reorder", "Okay")</f>
        <v>Okay</v>
      </c>
      <c r="Q2824" s="13" t="str">
        <f>IF(Table2[[#This Row],[CurrentStock]]&gt;Table2[[#This Row],[ReorderLevel]]*3, "Overstock", "Okay")</f>
        <v>Overstock</v>
      </c>
    </row>
    <row r="2825" spans="1:17" x14ac:dyDescent="0.35">
      <c r="A2825">
        <v>49992</v>
      </c>
      <c r="B2825" t="s">
        <v>20</v>
      </c>
      <c r="C2825" t="s">
        <v>30</v>
      </c>
      <c r="D2825">
        <v>433</v>
      </c>
      <c r="E2825">
        <v>80</v>
      </c>
      <c r="F2825" s="2">
        <v>126.73</v>
      </c>
      <c r="G2825" t="s">
        <v>32</v>
      </c>
      <c r="H2825" s="1">
        <v>45303</v>
      </c>
      <c r="I2825" s="1">
        <v>45327</v>
      </c>
      <c r="J2825" t="s">
        <v>36</v>
      </c>
      <c r="K2825" s="8">
        <f>Table2[[#This Row],[CurrentStock]]*Table2[[#This Row],[UnitPrice]]</f>
        <v>54874.090000000004</v>
      </c>
      <c r="L2825" t="str">
        <f>IF(Table2[[#This Row],[CurrentStock]]&lt;=Table2[[#This Row],[ReorderLevel]], "Reorder Needed", "Okay")</f>
        <v>Okay</v>
      </c>
      <c r="M2825" t="str">
        <f>IF(Table2[[#This Row],[CurrentStock]]-Table2[[#This Row],[ReorderLevel]]&lt;0,Table2[[#This Row],[CurrentStock]]-Table2[[#This Row],[ReorderLevel]],"")</f>
        <v/>
      </c>
      <c r="N2825" t="str">
        <f>IF(Table2[[#This Row],[Stock Gap]]&lt;0, "Understock","Okay")</f>
        <v>Okay</v>
      </c>
      <c r="O2825" s="13" t="str">
        <f>IF(Table2[[#This Row],[Stock Gap]]&lt;0, "Yes", "No")</f>
        <v>No</v>
      </c>
      <c r="P2825" s="13" t="str">
        <f>IF(Table2[[#This Row],[CurrentStock]]&lt;Table2[[#This Row],[ReorderLevel]],"Reorder", "Okay")</f>
        <v>Okay</v>
      </c>
      <c r="Q2825" s="13" t="str">
        <f>IF(Table2[[#This Row],[CurrentStock]]&gt;Table2[[#This Row],[ReorderLevel]]*3, "Overstock", "Okay")</f>
        <v>Overstock</v>
      </c>
    </row>
    <row r="2826" spans="1:17" x14ac:dyDescent="0.35">
      <c r="A2826">
        <v>99786</v>
      </c>
      <c r="B2826" t="s">
        <v>24</v>
      </c>
      <c r="C2826" t="s">
        <v>30</v>
      </c>
      <c r="D2826">
        <v>307</v>
      </c>
      <c r="E2826">
        <v>30</v>
      </c>
      <c r="F2826" s="2">
        <v>150.97999999999999</v>
      </c>
      <c r="G2826" t="s">
        <v>33</v>
      </c>
      <c r="H2826" s="1">
        <v>45655</v>
      </c>
      <c r="I2826" s="1">
        <v>45682</v>
      </c>
      <c r="J2826" t="s">
        <v>36</v>
      </c>
      <c r="K2826" s="8">
        <f>Table2[[#This Row],[CurrentStock]]*Table2[[#This Row],[UnitPrice]]</f>
        <v>46350.859999999993</v>
      </c>
      <c r="L2826" t="str">
        <f>IF(Table2[[#This Row],[CurrentStock]]&lt;=Table2[[#This Row],[ReorderLevel]], "Reorder Needed", "Okay")</f>
        <v>Okay</v>
      </c>
      <c r="M2826" t="str">
        <f>IF(Table2[[#This Row],[CurrentStock]]-Table2[[#This Row],[ReorderLevel]]&lt;0,Table2[[#This Row],[CurrentStock]]-Table2[[#This Row],[ReorderLevel]],"")</f>
        <v/>
      </c>
      <c r="N2826" t="str">
        <f>IF(Table2[[#This Row],[Stock Gap]]&lt;0, "Understock","Okay")</f>
        <v>Okay</v>
      </c>
      <c r="O2826" s="13" t="str">
        <f>IF(Table2[[#This Row],[Stock Gap]]&lt;0, "Yes", "No")</f>
        <v>No</v>
      </c>
      <c r="P2826" s="13" t="str">
        <f>IF(Table2[[#This Row],[CurrentStock]]&lt;Table2[[#This Row],[ReorderLevel]],"Reorder", "Okay")</f>
        <v>Okay</v>
      </c>
      <c r="Q2826" s="13" t="str">
        <f>IF(Table2[[#This Row],[CurrentStock]]&gt;Table2[[#This Row],[ReorderLevel]]*3, "Overstock", "Okay")</f>
        <v>Overstock</v>
      </c>
    </row>
    <row r="2827" spans="1:17" x14ac:dyDescent="0.35">
      <c r="A2827">
        <v>79260</v>
      </c>
      <c r="B2827" t="s">
        <v>15</v>
      </c>
      <c r="C2827" t="s">
        <v>29</v>
      </c>
      <c r="D2827">
        <v>223</v>
      </c>
      <c r="E2827">
        <v>50</v>
      </c>
      <c r="F2827" s="2">
        <v>282.97000000000003</v>
      </c>
      <c r="G2827" t="s">
        <v>31</v>
      </c>
      <c r="H2827" s="1">
        <v>45403</v>
      </c>
      <c r="I2827" s="1">
        <v>45408</v>
      </c>
      <c r="J2827" t="s">
        <v>36</v>
      </c>
      <c r="K2827" s="8">
        <f>Table2[[#This Row],[CurrentStock]]*Table2[[#This Row],[UnitPrice]]</f>
        <v>63102.310000000005</v>
      </c>
      <c r="L2827" t="str">
        <f>IF(Table2[[#This Row],[CurrentStock]]&lt;=Table2[[#This Row],[ReorderLevel]], "Reorder Needed", "Okay")</f>
        <v>Okay</v>
      </c>
      <c r="M2827" t="str">
        <f>IF(Table2[[#This Row],[CurrentStock]]-Table2[[#This Row],[ReorderLevel]]&lt;0,Table2[[#This Row],[CurrentStock]]-Table2[[#This Row],[ReorderLevel]],"")</f>
        <v/>
      </c>
      <c r="N2827" t="str">
        <f>IF(Table2[[#This Row],[Stock Gap]]&lt;0, "Understock","Okay")</f>
        <v>Okay</v>
      </c>
      <c r="O2827" s="13" t="str">
        <f>IF(Table2[[#This Row],[Stock Gap]]&lt;0, "Yes", "No")</f>
        <v>No</v>
      </c>
      <c r="P2827" s="13" t="str">
        <f>IF(Table2[[#This Row],[CurrentStock]]&lt;Table2[[#This Row],[ReorderLevel]],"Reorder", "Okay")</f>
        <v>Okay</v>
      </c>
      <c r="Q2827" s="13" t="str">
        <f>IF(Table2[[#This Row],[CurrentStock]]&gt;Table2[[#This Row],[ReorderLevel]]*3, "Overstock", "Okay")</f>
        <v>Overstock</v>
      </c>
    </row>
    <row r="2828" spans="1:17" x14ac:dyDescent="0.35">
      <c r="A2828">
        <v>46979</v>
      </c>
      <c r="B2828" t="s">
        <v>15</v>
      </c>
      <c r="C2828" t="s">
        <v>29</v>
      </c>
      <c r="D2828">
        <v>40</v>
      </c>
      <c r="E2828">
        <v>50</v>
      </c>
      <c r="F2828" s="2">
        <v>232.57</v>
      </c>
      <c r="G2828" t="s">
        <v>35</v>
      </c>
      <c r="H2828" s="1">
        <v>45441</v>
      </c>
      <c r="I2828" s="1">
        <v>45476</v>
      </c>
      <c r="J2828" t="s">
        <v>38</v>
      </c>
      <c r="K2828" s="8">
        <f>Table2[[#This Row],[CurrentStock]]*Table2[[#This Row],[UnitPrice]]</f>
        <v>9302.7999999999993</v>
      </c>
      <c r="L2828" t="str">
        <f>IF(Table2[[#This Row],[CurrentStock]]&lt;=Table2[[#This Row],[ReorderLevel]], "Reorder Needed", "Okay")</f>
        <v>Reorder Needed</v>
      </c>
      <c r="M2828" s="7">
        <f>IF(Table2[[#This Row],[CurrentStock]]-Table2[[#This Row],[ReorderLevel]]&lt;0,Table2[[#This Row],[CurrentStock]]-Table2[[#This Row],[ReorderLevel]],"")</f>
        <v>-10</v>
      </c>
      <c r="N2828" t="str">
        <f>IF(Table2[[#This Row],[Stock Gap]]&lt;0, "Understock","Okay")</f>
        <v>Understock</v>
      </c>
      <c r="O2828" s="13" t="str">
        <f>IF(Table2[[#This Row],[Stock Gap]]&lt;0, "Yes", "No")</f>
        <v>Yes</v>
      </c>
      <c r="P2828" s="13" t="str">
        <f>IF(Table2[[#This Row],[CurrentStock]]&lt;Table2[[#This Row],[ReorderLevel]],"Reorder", "Okay")</f>
        <v>Reorder</v>
      </c>
      <c r="Q2828" s="13" t="str">
        <f>IF(Table2[[#This Row],[CurrentStock]]&gt;Table2[[#This Row],[ReorderLevel]]*3, "Overstock", "Okay")</f>
        <v>Okay</v>
      </c>
    </row>
    <row r="2829" spans="1:17" x14ac:dyDescent="0.35">
      <c r="A2829">
        <v>31016</v>
      </c>
      <c r="B2829" t="s">
        <v>15</v>
      </c>
      <c r="C2829" t="s">
        <v>29</v>
      </c>
      <c r="D2829">
        <v>433</v>
      </c>
      <c r="E2829">
        <v>20</v>
      </c>
      <c r="F2829" s="2">
        <v>115.74</v>
      </c>
      <c r="G2829" t="s">
        <v>34</v>
      </c>
      <c r="H2829" s="1">
        <v>45643</v>
      </c>
      <c r="I2829" s="1">
        <v>45674</v>
      </c>
      <c r="J2829" t="s">
        <v>36</v>
      </c>
      <c r="K2829" s="8">
        <f>Table2[[#This Row],[CurrentStock]]*Table2[[#This Row],[UnitPrice]]</f>
        <v>50115.42</v>
      </c>
      <c r="L2829" t="str">
        <f>IF(Table2[[#This Row],[CurrentStock]]&lt;=Table2[[#This Row],[ReorderLevel]], "Reorder Needed", "Okay")</f>
        <v>Okay</v>
      </c>
      <c r="M2829" t="str">
        <f>IF(Table2[[#This Row],[CurrentStock]]-Table2[[#This Row],[ReorderLevel]]&lt;0,Table2[[#This Row],[CurrentStock]]-Table2[[#This Row],[ReorderLevel]],"")</f>
        <v/>
      </c>
      <c r="N2829" t="str">
        <f>IF(Table2[[#This Row],[Stock Gap]]&lt;0, "Understock","Okay")</f>
        <v>Okay</v>
      </c>
      <c r="O2829" s="13" t="str">
        <f>IF(Table2[[#This Row],[Stock Gap]]&lt;0, "Yes", "No")</f>
        <v>No</v>
      </c>
      <c r="P2829" s="13" t="str">
        <f>IF(Table2[[#This Row],[CurrentStock]]&lt;Table2[[#This Row],[ReorderLevel]],"Reorder", "Okay")</f>
        <v>Okay</v>
      </c>
      <c r="Q2829" s="13" t="str">
        <f>IF(Table2[[#This Row],[CurrentStock]]&gt;Table2[[#This Row],[ReorderLevel]]*3, "Overstock", "Okay")</f>
        <v>Overstock</v>
      </c>
    </row>
    <row r="2830" spans="1:17" x14ac:dyDescent="0.35">
      <c r="A2830">
        <v>24705</v>
      </c>
      <c r="B2830" t="s">
        <v>18</v>
      </c>
      <c r="C2830" t="s">
        <v>27</v>
      </c>
      <c r="D2830">
        <v>100</v>
      </c>
      <c r="E2830">
        <v>20</v>
      </c>
      <c r="F2830" s="2">
        <v>270.05</v>
      </c>
      <c r="G2830" t="s">
        <v>32</v>
      </c>
      <c r="H2830" s="1">
        <v>45374</v>
      </c>
      <c r="I2830" s="1">
        <v>45398</v>
      </c>
      <c r="J2830" t="s">
        <v>36</v>
      </c>
      <c r="K2830" s="8">
        <f>Table2[[#This Row],[CurrentStock]]*Table2[[#This Row],[UnitPrice]]</f>
        <v>27005</v>
      </c>
      <c r="L2830" t="str">
        <f>IF(Table2[[#This Row],[CurrentStock]]&lt;=Table2[[#This Row],[ReorderLevel]], "Reorder Needed", "Okay")</f>
        <v>Okay</v>
      </c>
      <c r="M2830" t="str">
        <f>IF(Table2[[#This Row],[CurrentStock]]-Table2[[#This Row],[ReorderLevel]]&lt;0,Table2[[#This Row],[CurrentStock]]-Table2[[#This Row],[ReorderLevel]],"")</f>
        <v/>
      </c>
      <c r="N2830" t="str">
        <f>IF(Table2[[#This Row],[Stock Gap]]&lt;0, "Understock","Okay")</f>
        <v>Okay</v>
      </c>
      <c r="O2830" s="13" t="str">
        <f>IF(Table2[[#This Row],[Stock Gap]]&lt;0, "Yes", "No")</f>
        <v>No</v>
      </c>
      <c r="P2830" s="13" t="str">
        <f>IF(Table2[[#This Row],[CurrentStock]]&lt;Table2[[#This Row],[ReorderLevel]],"Reorder", "Okay")</f>
        <v>Okay</v>
      </c>
      <c r="Q2830" s="13" t="str">
        <f>IF(Table2[[#This Row],[CurrentStock]]&gt;Table2[[#This Row],[ReorderLevel]]*3, "Overstock", "Okay")</f>
        <v>Overstock</v>
      </c>
    </row>
    <row r="2831" spans="1:17" x14ac:dyDescent="0.35">
      <c r="A2831">
        <v>40541</v>
      </c>
      <c r="B2831" t="s">
        <v>16</v>
      </c>
      <c r="C2831" t="s">
        <v>29</v>
      </c>
      <c r="D2831">
        <v>220</v>
      </c>
      <c r="E2831">
        <v>150</v>
      </c>
      <c r="F2831" s="2">
        <v>205.17</v>
      </c>
      <c r="G2831" t="s">
        <v>34</v>
      </c>
      <c r="H2831" s="1">
        <v>45306</v>
      </c>
      <c r="I2831" s="1">
        <v>45314</v>
      </c>
      <c r="J2831" t="s">
        <v>36</v>
      </c>
      <c r="K2831" s="8">
        <f>Table2[[#This Row],[CurrentStock]]*Table2[[#This Row],[UnitPrice]]</f>
        <v>45137.399999999994</v>
      </c>
      <c r="L2831" t="str">
        <f>IF(Table2[[#This Row],[CurrentStock]]&lt;=Table2[[#This Row],[ReorderLevel]], "Reorder Needed", "Okay")</f>
        <v>Okay</v>
      </c>
      <c r="M2831" t="str">
        <f>IF(Table2[[#This Row],[CurrentStock]]-Table2[[#This Row],[ReorderLevel]]&lt;0,Table2[[#This Row],[CurrentStock]]-Table2[[#This Row],[ReorderLevel]],"")</f>
        <v/>
      </c>
      <c r="N2831" t="str">
        <f>IF(Table2[[#This Row],[Stock Gap]]&lt;0, "Understock","Okay")</f>
        <v>Okay</v>
      </c>
      <c r="O2831" s="13" t="str">
        <f>IF(Table2[[#This Row],[Stock Gap]]&lt;0, "Yes", "No")</f>
        <v>No</v>
      </c>
      <c r="P2831" s="13" t="str">
        <f>IF(Table2[[#This Row],[CurrentStock]]&lt;Table2[[#This Row],[ReorderLevel]],"Reorder", "Okay")</f>
        <v>Okay</v>
      </c>
      <c r="Q2831" s="13" t="str">
        <f>IF(Table2[[#This Row],[CurrentStock]]&gt;Table2[[#This Row],[ReorderLevel]]*3, "Overstock", "Okay")</f>
        <v>Okay</v>
      </c>
    </row>
    <row r="2832" spans="1:17" x14ac:dyDescent="0.35">
      <c r="A2832">
        <v>53781</v>
      </c>
      <c r="B2832" t="s">
        <v>16</v>
      </c>
      <c r="C2832" t="s">
        <v>29</v>
      </c>
      <c r="D2832">
        <v>473</v>
      </c>
      <c r="E2832">
        <v>20</v>
      </c>
      <c r="F2832" s="2">
        <v>338.83</v>
      </c>
      <c r="G2832" t="s">
        <v>32</v>
      </c>
      <c r="H2832" s="1">
        <v>45507</v>
      </c>
      <c r="I2832" s="1">
        <v>45525</v>
      </c>
      <c r="J2832" t="s">
        <v>38</v>
      </c>
      <c r="K2832" s="8">
        <f>Table2[[#This Row],[CurrentStock]]*Table2[[#This Row],[UnitPrice]]</f>
        <v>160266.59</v>
      </c>
      <c r="L2832" t="str">
        <f>IF(Table2[[#This Row],[CurrentStock]]&lt;=Table2[[#This Row],[ReorderLevel]], "Reorder Needed", "Okay")</f>
        <v>Okay</v>
      </c>
      <c r="M2832" t="str">
        <f>IF(Table2[[#This Row],[CurrentStock]]-Table2[[#This Row],[ReorderLevel]]&lt;0,Table2[[#This Row],[CurrentStock]]-Table2[[#This Row],[ReorderLevel]],"")</f>
        <v/>
      </c>
      <c r="N2832" t="str">
        <f>IF(Table2[[#This Row],[Stock Gap]]&lt;0, "Understock","Okay")</f>
        <v>Okay</v>
      </c>
      <c r="O2832" s="13" t="str">
        <f>IF(Table2[[#This Row],[Stock Gap]]&lt;0, "Yes", "No")</f>
        <v>No</v>
      </c>
      <c r="P2832" s="13" t="str">
        <f>IF(Table2[[#This Row],[CurrentStock]]&lt;Table2[[#This Row],[ReorderLevel]],"Reorder", "Okay")</f>
        <v>Okay</v>
      </c>
      <c r="Q2832" s="13" t="str">
        <f>IF(Table2[[#This Row],[CurrentStock]]&gt;Table2[[#This Row],[ReorderLevel]]*3, "Overstock", "Okay")</f>
        <v>Overstock</v>
      </c>
    </row>
    <row r="2833" spans="1:17" x14ac:dyDescent="0.35">
      <c r="A2833">
        <v>43763</v>
      </c>
      <c r="B2833" t="s">
        <v>24</v>
      </c>
      <c r="C2833" t="s">
        <v>30</v>
      </c>
      <c r="D2833">
        <v>65</v>
      </c>
      <c r="E2833">
        <v>20</v>
      </c>
      <c r="F2833" s="2">
        <v>150.77000000000001</v>
      </c>
      <c r="G2833" t="s">
        <v>35</v>
      </c>
      <c r="H2833" s="1">
        <v>45300</v>
      </c>
      <c r="I2833" s="1">
        <v>45317</v>
      </c>
      <c r="J2833" t="s">
        <v>38</v>
      </c>
      <c r="K2833" s="8">
        <f>Table2[[#This Row],[CurrentStock]]*Table2[[#This Row],[UnitPrice]]</f>
        <v>9800.0500000000011</v>
      </c>
      <c r="L2833" t="str">
        <f>IF(Table2[[#This Row],[CurrentStock]]&lt;=Table2[[#This Row],[ReorderLevel]], "Reorder Needed", "Okay")</f>
        <v>Okay</v>
      </c>
      <c r="M2833" t="str">
        <f>IF(Table2[[#This Row],[CurrentStock]]-Table2[[#This Row],[ReorderLevel]]&lt;0,Table2[[#This Row],[CurrentStock]]-Table2[[#This Row],[ReorderLevel]],"")</f>
        <v/>
      </c>
      <c r="N2833" t="str">
        <f>IF(Table2[[#This Row],[Stock Gap]]&lt;0, "Understock","Okay")</f>
        <v>Okay</v>
      </c>
      <c r="O2833" s="13" t="str">
        <f>IF(Table2[[#This Row],[Stock Gap]]&lt;0, "Yes", "No")</f>
        <v>No</v>
      </c>
      <c r="P2833" s="13" t="str">
        <f>IF(Table2[[#This Row],[CurrentStock]]&lt;Table2[[#This Row],[ReorderLevel]],"Reorder", "Okay")</f>
        <v>Okay</v>
      </c>
      <c r="Q2833" s="13" t="str">
        <f>IF(Table2[[#This Row],[CurrentStock]]&gt;Table2[[#This Row],[ReorderLevel]]*3, "Overstock", "Okay")</f>
        <v>Overstock</v>
      </c>
    </row>
    <row r="2834" spans="1:17" x14ac:dyDescent="0.35">
      <c r="A2834">
        <v>28764</v>
      </c>
      <c r="B2834" t="s">
        <v>24</v>
      </c>
      <c r="C2834" t="s">
        <v>30</v>
      </c>
      <c r="D2834">
        <v>9</v>
      </c>
      <c r="E2834">
        <v>20</v>
      </c>
      <c r="F2834" s="2">
        <v>106.54</v>
      </c>
      <c r="G2834" t="s">
        <v>34</v>
      </c>
      <c r="H2834" s="1">
        <v>45637</v>
      </c>
      <c r="I2834" s="1">
        <v>45667</v>
      </c>
      <c r="J2834" t="s">
        <v>37</v>
      </c>
      <c r="K2834" s="8">
        <f>Table2[[#This Row],[CurrentStock]]*Table2[[#This Row],[UnitPrice]]</f>
        <v>958.86</v>
      </c>
      <c r="L2834" t="str">
        <f>IF(Table2[[#This Row],[CurrentStock]]&lt;=Table2[[#This Row],[ReorderLevel]], "Reorder Needed", "Okay")</f>
        <v>Reorder Needed</v>
      </c>
      <c r="M2834" s="7">
        <f>IF(Table2[[#This Row],[CurrentStock]]-Table2[[#This Row],[ReorderLevel]]&lt;0,Table2[[#This Row],[CurrentStock]]-Table2[[#This Row],[ReorderLevel]],"")</f>
        <v>-11</v>
      </c>
      <c r="N2834" t="str">
        <f>IF(Table2[[#This Row],[Stock Gap]]&lt;0, "Understock","Okay")</f>
        <v>Understock</v>
      </c>
      <c r="O2834" s="13" t="str">
        <f>IF(Table2[[#This Row],[Stock Gap]]&lt;0, "Yes", "No")</f>
        <v>Yes</v>
      </c>
      <c r="P2834" s="13" t="str">
        <f>IF(Table2[[#This Row],[CurrentStock]]&lt;Table2[[#This Row],[ReorderLevel]],"Reorder", "Okay")</f>
        <v>Reorder</v>
      </c>
      <c r="Q2834" s="13" t="str">
        <f>IF(Table2[[#This Row],[CurrentStock]]&gt;Table2[[#This Row],[ReorderLevel]]*3, "Overstock", "Okay")</f>
        <v>Okay</v>
      </c>
    </row>
    <row r="2835" spans="1:17" x14ac:dyDescent="0.35">
      <c r="A2835">
        <v>27905</v>
      </c>
      <c r="B2835" t="s">
        <v>12</v>
      </c>
      <c r="C2835" t="s">
        <v>28</v>
      </c>
      <c r="D2835">
        <v>459</v>
      </c>
      <c r="E2835">
        <v>20</v>
      </c>
      <c r="F2835" s="2">
        <v>357.77</v>
      </c>
      <c r="G2835" t="s">
        <v>31</v>
      </c>
      <c r="H2835" s="1">
        <v>45622</v>
      </c>
      <c r="I2835" s="1">
        <v>45635</v>
      </c>
      <c r="J2835" t="s">
        <v>36</v>
      </c>
      <c r="K2835" s="8">
        <f>Table2[[#This Row],[CurrentStock]]*Table2[[#This Row],[UnitPrice]]</f>
        <v>164216.43</v>
      </c>
      <c r="L2835" t="str">
        <f>IF(Table2[[#This Row],[CurrentStock]]&lt;=Table2[[#This Row],[ReorderLevel]], "Reorder Needed", "Okay")</f>
        <v>Okay</v>
      </c>
      <c r="M2835" t="str">
        <f>IF(Table2[[#This Row],[CurrentStock]]-Table2[[#This Row],[ReorderLevel]]&lt;0,Table2[[#This Row],[CurrentStock]]-Table2[[#This Row],[ReorderLevel]],"")</f>
        <v/>
      </c>
      <c r="N2835" t="str">
        <f>IF(Table2[[#This Row],[Stock Gap]]&lt;0, "Understock","Okay")</f>
        <v>Okay</v>
      </c>
      <c r="O2835" s="13" t="str">
        <f>IF(Table2[[#This Row],[Stock Gap]]&lt;0, "Yes", "No")</f>
        <v>No</v>
      </c>
      <c r="P2835" s="13" t="str">
        <f>IF(Table2[[#This Row],[CurrentStock]]&lt;Table2[[#This Row],[ReorderLevel]],"Reorder", "Okay")</f>
        <v>Okay</v>
      </c>
      <c r="Q2835" s="13" t="str">
        <f>IF(Table2[[#This Row],[CurrentStock]]&gt;Table2[[#This Row],[ReorderLevel]]*3, "Overstock", "Okay")</f>
        <v>Overstock</v>
      </c>
    </row>
    <row r="2836" spans="1:17" x14ac:dyDescent="0.35">
      <c r="A2836">
        <v>80298</v>
      </c>
      <c r="B2836" t="s">
        <v>17</v>
      </c>
      <c r="C2836" t="s">
        <v>27</v>
      </c>
      <c r="D2836">
        <v>233</v>
      </c>
      <c r="E2836">
        <v>50</v>
      </c>
      <c r="F2836" s="2">
        <v>434.57</v>
      </c>
      <c r="G2836" t="s">
        <v>32</v>
      </c>
      <c r="H2836" s="1">
        <v>45535</v>
      </c>
      <c r="I2836" s="1">
        <v>45552</v>
      </c>
      <c r="J2836" t="s">
        <v>37</v>
      </c>
      <c r="K2836" s="8">
        <f>Table2[[#This Row],[CurrentStock]]*Table2[[#This Row],[UnitPrice]]</f>
        <v>101254.81</v>
      </c>
      <c r="L2836" t="str">
        <f>IF(Table2[[#This Row],[CurrentStock]]&lt;=Table2[[#This Row],[ReorderLevel]], "Reorder Needed", "Okay")</f>
        <v>Okay</v>
      </c>
      <c r="M2836" t="str">
        <f>IF(Table2[[#This Row],[CurrentStock]]-Table2[[#This Row],[ReorderLevel]]&lt;0,Table2[[#This Row],[CurrentStock]]-Table2[[#This Row],[ReorderLevel]],"")</f>
        <v/>
      </c>
      <c r="N2836" t="str">
        <f>IF(Table2[[#This Row],[Stock Gap]]&lt;0, "Understock","Okay")</f>
        <v>Okay</v>
      </c>
      <c r="O2836" s="13" t="str">
        <f>IF(Table2[[#This Row],[Stock Gap]]&lt;0, "Yes", "No")</f>
        <v>No</v>
      </c>
      <c r="P2836" s="13" t="str">
        <f>IF(Table2[[#This Row],[CurrentStock]]&lt;Table2[[#This Row],[ReorderLevel]],"Reorder", "Okay")</f>
        <v>Okay</v>
      </c>
      <c r="Q2836" s="13" t="str">
        <f>IF(Table2[[#This Row],[CurrentStock]]&gt;Table2[[#This Row],[ReorderLevel]]*3, "Overstock", "Okay")</f>
        <v>Overstock</v>
      </c>
    </row>
    <row r="2837" spans="1:17" x14ac:dyDescent="0.35">
      <c r="A2837">
        <v>82956</v>
      </c>
      <c r="B2837" t="s">
        <v>25</v>
      </c>
      <c r="C2837" t="s">
        <v>29</v>
      </c>
      <c r="D2837">
        <v>149</v>
      </c>
      <c r="E2837">
        <v>20</v>
      </c>
      <c r="F2837" s="2">
        <v>210.6</v>
      </c>
      <c r="G2837" t="s">
        <v>31</v>
      </c>
      <c r="H2837" s="1">
        <v>45585</v>
      </c>
      <c r="I2837" s="1">
        <v>45620</v>
      </c>
      <c r="J2837" t="s">
        <v>38</v>
      </c>
      <c r="K2837" s="8">
        <f>Table2[[#This Row],[CurrentStock]]*Table2[[#This Row],[UnitPrice]]</f>
        <v>31379.399999999998</v>
      </c>
      <c r="L2837" t="str">
        <f>IF(Table2[[#This Row],[CurrentStock]]&lt;=Table2[[#This Row],[ReorderLevel]], "Reorder Needed", "Okay")</f>
        <v>Okay</v>
      </c>
      <c r="M2837" t="str">
        <f>IF(Table2[[#This Row],[CurrentStock]]-Table2[[#This Row],[ReorderLevel]]&lt;0,Table2[[#This Row],[CurrentStock]]-Table2[[#This Row],[ReorderLevel]],"")</f>
        <v/>
      </c>
      <c r="N2837" t="str">
        <f>IF(Table2[[#This Row],[Stock Gap]]&lt;0, "Understock","Okay")</f>
        <v>Okay</v>
      </c>
      <c r="O2837" s="13" t="str">
        <f>IF(Table2[[#This Row],[Stock Gap]]&lt;0, "Yes", "No")</f>
        <v>No</v>
      </c>
      <c r="P2837" s="13" t="str">
        <f>IF(Table2[[#This Row],[CurrentStock]]&lt;Table2[[#This Row],[ReorderLevel]],"Reorder", "Okay")</f>
        <v>Okay</v>
      </c>
      <c r="Q2837" s="13" t="str">
        <f>IF(Table2[[#This Row],[CurrentStock]]&gt;Table2[[#This Row],[ReorderLevel]]*3, "Overstock", "Okay")</f>
        <v>Overstock</v>
      </c>
    </row>
    <row r="2838" spans="1:17" x14ac:dyDescent="0.35">
      <c r="A2838">
        <v>50996</v>
      </c>
      <c r="B2838" t="s">
        <v>25</v>
      </c>
      <c r="C2838" t="s">
        <v>29</v>
      </c>
      <c r="D2838">
        <v>248</v>
      </c>
      <c r="E2838">
        <v>50</v>
      </c>
      <c r="F2838" s="2">
        <v>394.09</v>
      </c>
      <c r="G2838" t="s">
        <v>35</v>
      </c>
      <c r="H2838" s="1">
        <v>45326</v>
      </c>
      <c r="I2838" s="1">
        <v>45336</v>
      </c>
      <c r="J2838" t="s">
        <v>37</v>
      </c>
      <c r="K2838" s="8">
        <f>Table2[[#This Row],[CurrentStock]]*Table2[[#This Row],[UnitPrice]]</f>
        <v>97734.319999999992</v>
      </c>
      <c r="L2838" t="str">
        <f>IF(Table2[[#This Row],[CurrentStock]]&lt;=Table2[[#This Row],[ReorderLevel]], "Reorder Needed", "Okay")</f>
        <v>Okay</v>
      </c>
      <c r="M2838" t="str">
        <f>IF(Table2[[#This Row],[CurrentStock]]-Table2[[#This Row],[ReorderLevel]]&lt;0,Table2[[#This Row],[CurrentStock]]-Table2[[#This Row],[ReorderLevel]],"")</f>
        <v/>
      </c>
      <c r="N2838" t="str">
        <f>IF(Table2[[#This Row],[Stock Gap]]&lt;0, "Understock","Okay")</f>
        <v>Okay</v>
      </c>
      <c r="O2838" s="13" t="str">
        <f>IF(Table2[[#This Row],[Stock Gap]]&lt;0, "Yes", "No")</f>
        <v>No</v>
      </c>
      <c r="P2838" s="13" t="str">
        <f>IF(Table2[[#This Row],[CurrentStock]]&lt;Table2[[#This Row],[ReorderLevel]],"Reorder", "Okay")</f>
        <v>Okay</v>
      </c>
      <c r="Q2838" s="13" t="str">
        <f>IF(Table2[[#This Row],[CurrentStock]]&gt;Table2[[#This Row],[ReorderLevel]]*3, "Overstock", "Okay")</f>
        <v>Overstock</v>
      </c>
    </row>
    <row r="2839" spans="1:17" x14ac:dyDescent="0.35">
      <c r="A2839">
        <v>18527</v>
      </c>
      <c r="B2839" t="s">
        <v>23</v>
      </c>
      <c r="C2839" t="s">
        <v>30</v>
      </c>
      <c r="D2839">
        <v>8</v>
      </c>
      <c r="E2839">
        <v>40</v>
      </c>
      <c r="F2839" s="2">
        <v>486.29</v>
      </c>
      <c r="G2839" t="s">
        <v>32</v>
      </c>
      <c r="H2839" s="1">
        <v>45396</v>
      </c>
      <c r="I2839" s="1">
        <v>45428</v>
      </c>
      <c r="J2839" t="s">
        <v>38</v>
      </c>
      <c r="K2839" s="8">
        <f>Table2[[#This Row],[CurrentStock]]*Table2[[#This Row],[UnitPrice]]</f>
        <v>3890.32</v>
      </c>
      <c r="L2839" t="str">
        <f>IF(Table2[[#This Row],[CurrentStock]]&lt;=Table2[[#This Row],[ReorderLevel]], "Reorder Needed", "Okay")</f>
        <v>Reorder Needed</v>
      </c>
      <c r="M2839" s="7">
        <f>IF(Table2[[#This Row],[CurrentStock]]-Table2[[#This Row],[ReorderLevel]]&lt;0,Table2[[#This Row],[CurrentStock]]-Table2[[#This Row],[ReorderLevel]],"")</f>
        <v>-32</v>
      </c>
      <c r="N2839" t="str">
        <f>IF(Table2[[#This Row],[Stock Gap]]&lt;0, "Understock","Okay")</f>
        <v>Understock</v>
      </c>
      <c r="O2839" s="13" t="str">
        <f>IF(Table2[[#This Row],[Stock Gap]]&lt;0, "Yes", "No")</f>
        <v>Yes</v>
      </c>
      <c r="P2839" s="13" t="str">
        <f>IF(Table2[[#This Row],[CurrentStock]]&lt;Table2[[#This Row],[ReorderLevel]],"Reorder", "Okay")</f>
        <v>Reorder</v>
      </c>
      <c r="Q2839" s="13" t="str">
        <f>IF(Table2[[#This Row],[CurrentStock]]&gt;Table2[[#This Row],[ReorderLevel]]*3, "Overstock", "Okay")</f>
        <v>Okay</v>
      </c>
    </row>
    <row r="2840" spans="1:17" x14ac:dyDescent="0.35">
      <c r="A2840">
        <v>68005</v>
      </c>
      <c r="B2840" t="s">
        <v>18</v>
      </c>
      <c r="C2840" t="s">
        <v>27</v>
      </c>
      <c r="D2840">
        <v>373</v>
      </c>
      <c r="E2840">
        <v>80</v>
      </c>
      <c r="F2840" s="2">
        <v>487.73</v>
      </c>
      <c r="G2840" t="s">
        <v>35</v>
      </c>
      <c r="H2840" s="1">
        <v>45636</v>
      </c>
      <c r="I2840" s="1">
        <v>45641</v>
      </c>
      <c r="J2840" t="s">
        <v>38</v>
      </c>
      <c r="K2840" s="8">
        <f>Table2[[#This Row],[CurrentStock]]*Table2[[#This Row],[UnitPrice]]</f>
        <v>181923.29</v>
      </c>
      <c r="L2840" t="str">
        <f>IF(Table2[[#This Row],[CurrentStock]]&lt;=Table2[[#This Row],[ReorderLevel]], "Reorder Needed", "Okay")</f>
        <v>Okay</v>
      </c>
      <c r="M2840" t="str">
        <f>IF(Table2[[#This Row],[CurrentStock]]-Table2[[#This Row],[ReorderLevel]]&lt;0,Table2[[#This Row],[CurrentStock]]-Table2[[#This Row],[ReorderLevel]],"")</f>
        <v/>
      </c>
      <c r="N2840" t="str">
        <f>IF(Table2[[#This Row],[Stock Gap]]&lt;0, "Understock","Okay")</f>
        <v>Okay</v>
      </c>
      <c r="O2840" s="13" t="str">
        <f>IF(Table2[[#This Row],[Stock Gap]]&lt;0, "Yes", "No")</f>
        <v>No</v>
      </c>
      <c r="P2840" s="13" t="str">
        <f>IF(Table2[[#This Row],[CurrentStock]]&lt;Table2[[#This Row],[ReorderLevel]],"Reorder", "Okay")</f>
        <v>Okay</v>
      </c>
      <c r="Q2840" s="13" t="str">
        <f>IF(Table2[[#This Row],[CurrentStock]]&gt;Table2[[#This Row],[ReorderLevel]]*3, "Overstock", "Okay")</f>
        <v>Overstock</v>
      </c>
    </row>
    <row r="2841" spans="1:17" x14ac:dyDescent="0.35">
      <c r="A2841">
        <v>94454</v>
      </c>
      <c r="B2841" t="s">
        <v>10</v>
      </c>
      <c r="C2841" t="s">
        <v>26</v>
      </c>
      <c r="D2841">
        <v>122</v>
      </c>
      <c r="E2841">
        <v>100</v>
      </c>
      <c r="F2841" s="2">
        <v>299.02</v>
      </c>
      <c r="G2841" t="s">
        <v>33</v>
      </c>
      <c r="H2841" s="1">
        <v>45653</v>
      </c>
      <c r="I2841" s="1">
        <v>45668</v>
      </c>
      <c r="J2841" t="s">
        <v>36</v>
      </c>
      <c r="K2841" s="8">
        <f>Table2[[#This Row],[CurrentStock]]*Table2[[#This Row],[UnitPrice]]</f>
        <v>36480.439999999995</v>
      </c>
      <c r="L2841" t="str">
        <f>IF(Table2[[#This Row],[CurrentStock]]&lt;=Table2[[#This Row],[ReorderLevel]], "Reorder Needed", "Okay")</f>
        <v>Okay</v>
      </c>
      <c r="M2841" t="str">
        <f>IF(Table2[[#This Row],[CurrentStock]]-Table2[[#This Row],[ReorderLevel]]&lt;0,Table2[[#This Row],[CurrentStock]]-Table2[[#This Row],[ReorderLevel]],"")</f>
        <v/>
      </c>
      <c r="N2841" t="str">
        <f>IF(Table2[[#This Row],[Stock Gap]]&lt;0, "Understock","Okay")</f>
        <v>Okay</v>
      </c>
      <c r="O2841" s="13" t="str">
        <f>IF(Table2[[#This Row],[Stock Gap]]&lt;0, "Yes", "No")</f>
        <v>No</v>
      </c>
      <c r="P2841" s="13" t="str">
        <f>IF(Table2[[#This Row],[CurrentStock]]&lt;Table2[[#This Row],[ReorderLevel]],"Reorder", "Okay")</f>
        <v>Okay</v>
      </c>
      <c r="Q2841" s="13" t="str">
        <f>IF(Table2[[#This Row],[CurrentStock]]&gt;Table2[[#This Row],[ReorderLevel]]*3, "Overstock", "Okay")</f>
        <v>Okay</v>
      </c>
    </row>
    <row r="2842" spans="1:17" x14ac:dyDescent="0.35">
      <c r="A2842">
        <v>59223</v>
      </c>
      <c r="B2842" t="s">
        <v>23</v>
      </c>
      <c r="C2842" t="s">
        <v>30</v>
      </c>
      <c r="D2842">
        <v>464</v>
      </c>
      <c r="E2842">
        <v>40</v>
      </c>
      <c r="F2842" s="2">
        <v>205.39</v>
      </c>
      <c r="G2842" t="s">
        <v>32</v>
      </c>
      <c r="H2842" s="1">
        <v>45362</v>
      </c>
      <c r="I2842" s="1">
        <v>45391</v>
      </c>
      <c r="J2842" t="s">
        <v>36</v>
      </c>
      <c r="K2842" s="8">
        <f>Table2[[#This Row],[CurrentStock]]*Table2[[#This Row],[UnitPrice]]</f>
        <v>95300.959999999992</v>
      </c>
      <c r="L2842" t="str">
        <f>IF(Table2[[#This Row],[CurrentStock]]&lt;=Table2[[#This Row],[ReorderLevel]], "Reorder Needed", "Okay")</f>
        <v>Okay</v>
      </c>
      <c r="M2842" t="str">
        <f>IF(Table2[[#This Row],[CurrentStock]]-Table2[[#This Row],[ReorderLevel]]&lt;0,Table2[[#This Row],[CurrentStock]]-Table2[[#This Row],[ReorderLevel]],"")</f>
        <v/>
      </c>
      <c r="N2842" t="str">
        <f>IF(Table2[[#This Row],[Stock Gap]]&lt;0, "Understock","Okay")</f>
        <v>Okay</v>
      </c>
      <c r="O2842" s="13" t="str">
        <f>IF(Table2[[#This Row],[Stock Gap]]&lt;0, "Yes", "No")</f>
        <v>No</v>
      </c>
      <c r="P2842" s="13" t="str">
        <f>IF(Table2[[#This Row],[CurrentStock]]&lt;Table2[[#This Row],[ReorderLevel]],"Reorder", "Okay")</f>
        <v>Okay</v>
      </c>
      <c r="Q2842" s="13" t="str">
        <f>IF(Table2[[#This Row],[CurrentStock]]&gt;Table2[[#This Row],[ReorderLevel]]*3, "Overstock", "Okay")</f>
        <v>Overstock</v>
      </c>
    </row>
    <row r="2843" spans="1:17" x14ac:dyDescent="0.35">
      <c r="A2843">
        <v>10576</v>
      </c>
      <c r="B2843" t="s">
        <v>10</v>
      </c>
      <c r="C2843" t="s">
        <v>26</v>
      </c>
      <c r="D2843">
        <v>313</v>
      </c>
      <c r="E2843">
        <v>150</v>
      </c>
      <c r="F2843" s="2">
        <v>141.12</v>
      </c>
      <c r="G2843" t="s">
        <v>32</v>
      </c>
      <c r="H2843" s="1">
        <v>45655</v>
      </c>
      <c r="I2843" s="1">
        <v>45681</v>
      </c>
      <c r="J2843" t="s">
        <v>36</v>
      </c>
      <c r="K2843" s="8">
        <f>Table2[[#This Row],[CurrentStock]]*Table2[[#This Row],[UnitPrice]]</f>
        <v>44170.560000000005</v>
      </c>
      <c r="L2843" t="str">
        <f>IF(Table2[[#This Row],[CurrentStock]]&lt;=Table2[[#This Row],[ReorderLevel]], "Reorder Needed", "Okay")</f>
        <v>Okay</v>
      </c>
      <c r="M2843" t="str">
        <f>IF(Table2[[#This Row],[CurrentStock]]-Table2[[#This Row],[ReorderLevel]]&lt;0,Table2[[#This Row],[CurrentStock]]-Table2[[#This Row],[ReorderLevel]],"")</f>
        <v/>
      </c>
      <c r="N2843" t="str">
        <f>IF(Table2[[#This Row],[Stock Gap]]&lt;0, "Understock","Okay")</f>
        <v>Okay</v>
      </c>
      <c r="O2843" s="13" t="str">
        <f>IF(Table2[[#This Row],[Stock Gap]]&lt;0, "Yes", "No")</f>
        <v>No</v>
      </c>
      <c r="P2843" s="13" t="str">
        <f>IF(Table2[[#This Row],[CurrentStock]]&lt;Table2[[#This Row],[ReorderLevel]],"Reorder", "Okay")</f>
        <v>Okay</v>
      </c>
      <c r="Q2843" s="13" t="str">
        <f>IF(Table2[[#This Row],[CurrentStock]]&gt;Table2[[#This Row],[ReorderLevel]]*3, "Overstock", "Okay")</f>
        <v>Okay</v>
      </c>
    </row>
    <row r="2844" spans="1:17" x14ac:dyDescent="0.35">
      <c r="A2844">
        <v>88501</v>
      </c>
      <c r="B2844" t="s">
        <v>10</v>
      </c>
      <c r="C2844" t="s">
        <v>26</v>
      </c>
      <c r="D2844">
        <v>357</v>
      </c>
      <c r="E2844">
        <v>50</v>
      </c>
      <c r="F2844" s="2">
        <v>491.38</v>
      </c>
      <c r="G2844" t="s">
        <v>35</v>
      </c>
      <c r="H2844" s="1">
        <v>45590</v>
      </c>
      <c r="I2844" s="1">
        <v>45598</v>
      </c>
      <c r="J2844" t="s">
        <v>36</v>
      </c>
      <c r="K2844" s="8">
        <f>Table2[[#This Row],[CurrentStock]]*Table2[[#This Row],[UnitPrice]]</f>
        <v>175422.66</v>
      </c>
      <c r="L2844" t="str">
        <f>IF(Table2[[#This Row],[CurrentStock]]&lt;=Table2[[#This Row],[ReorderLevel]], "Reorder Needed", "Okay")</f>
        <v>Okay</v>
      </c>
      <c r="M2844" t="str">
        <f>IF(Table2[[#This Row],[CurrentStock]]-Table2[[#This Row],[ReorderLevel]]&lt;0,Table2[[#This Row],[CurrentStock]]-Table2[[#This Row],[ReorderLevel]],"")</f>
        <v/>
      </c>
      <c r="N2844" t="str">
        <f>IF(Table2[[#This Row],[Stock Gap]]&lt;0, "Understock","Okay")</f>
        <v>Okay</v>
      </c>
      <c r="O2844" s="13" t="str">
        <f>IF(Table2[[#This Row],[Stock Gap]]&lt;0, "Yes", "No")</f>
        <v>No</v>
      </c>
      <c r="P2844" s="13" t="str">
        <f>IF(Table2[[#This Row],[CurrentStock]]&lt;Table2[[#This Row],[ReorderLevel]],"Reorder", "Okay")</f>
        <v>Okay</v>
      </c>
      <c r="Q2844" s="13" t="str">
        <f>IF(Table2[[#This Row],[CurrentStock]]&gt;Table2[[#This Row],[ReorderLevel]]*3, "Overstock", "Okay")</f>
        <v>Overstock</v>
      </c>
    </row>
    <row r="2845" spans="1:17" x14ac:dyDescent="0.35">
      <c r="A2845">
        <v>72063</v>
      </c>
      <c r="B2845" t="s">
        <v>12</v>
      </c>
      <c r="C2845" t="s">
        <v>28</v>
      </c>
      <c r="D2845">
        <v>95</v>
      </c>
      <c r="E2845">
        <v>150</v>
      </c>
      <c r="F2845" s="2">
        <v>167.91</v>
      </c>
      <c r="G2845" t="s">
        <v>31</v>
      </c>
      <c r="H2845" s="1">
        <v>45633</v>
      </c>
      <c r="I2845" s="1">
        <v>45650</v>
      </c>
      <c r="J2845" t="s">
        <v>38</v>
      </c>
      <c r="K2845" s="8">
        <f>Table2[[#This Row],[CurrentStock]]*Table2[[#This Row],[UnitPrice]]</f>
        <v>15951.449999999999</v>
      </c>
      <c r="L2845" t="str">
        <f>IF(Table2[[#This Row],[CurrentStock]]&lt;=Table2[[#This Row],[ReorderLevel]], "Reorder Needed", "Okay")</f>
        <v>Reorder Needed</v>
      </c>
      <c r="M2845" s="7">
        <f>IF(Table2[[#This Row],[CurrentStock]]-Table2[[#This Row],[ReorderLevel]]&lt;0,Table2[[#This Row],[CurrentStock]]-Table2[[#This Row],[ReorderLevel]],"")</f>
        <v>-55</v>
      </c>
      <c r="N2845" t="str">
        <f>IF(Table2[[#This Row],[Stock Gap]]&lt;0, "Understock","Okay")</f>
        <v>Understock</v>
      </c>
      <c r="O2845" s="13" t="str">
        <f>IF(Table2[[#This Row],[Stock Gap]]&lt;0, "Yes", "No")</f>
        <v>Yes</v>
      </c>
      <c r="P2845" s="13" t="str">
        <f>IF(Table2[[#This Row],[CurrentStock]]&lt;Table2[[#This Row],[ReorderLevel]],"Reorder", "Okay")</f>
        <v>Reorder</v>
      </c>
      <c r="Q2845" s="13" t="str">
        <f>IF(Table2[[#This Row],[CurrentStock]]&gt;Table2[[#This Row],[ReorderLevel]]*3, "Overstock", "Okay")</f>
        <v>Okay</v>
      </c>
    </row>
    <row r="2846" spans="1:17" x14ac:dyDescent="0.35">
      <c r="A2846">
        <v>19849</v>
      </c>
      <c r="B2846" t="s">
        <v>18</v>
      </c>
      <c r="C2846" t="s">
        <v>27</v>
      </c>
      <c r="D2846">
        <v>125</v>
      </c>
      <c r="E2846">
        <v>80</v>
      </c>
      <c r="F2846" s="2">
        <v>131.41999999999999</v>
      </c>
      <c r="G2846" t="s">
        <v>35</v>
      </c>
      <c r="H2846" s="1">
        <v>45490</v>
      </c>
      <c r="I2846" s="1">
        <v>45499</v>
      </c>
      <c r="J2846" t="s">
        <v>38</v>
      </c>
      <c r="K2846" s="8">
        <f>Table2[[#This Row],[CurrentStock]]*Table2[[#This Row],[UnitPrice]]</f>
        <v>16427.5</v>
      </c>
      <c r="L2846" t="str">
        <f>IF(Table2[[#This Row],[CurrentStock]]&lt;=Table2[[#This Row],[ReorderLevel]], "Reorder Needed", "Okay")</f>
        <v>Okay</v>
      </c>
      <c r="M2846" t="str">
        <f>IF(Table2[[#This Row],[CurrentStock]]-Table2[[#This Row],[ReorderLevel]]&lt;0,Table2[[#This Row],[CurrentStock]]-Table2[[#This Row],[ReorderLevel]],"")</f>
        <v/>
      </c>
      <c r="N2846" t="str">
        <f>IF(Table2[[#This Row],[Stock Gap]]&lt;0, "Understock","Okay")</f>
        <v>Okay</v>
      </c>
      <c r="O2846" s="13" t="str">
        <f>IF(Table2[[#This Row],[Stock Gap]]&lt;0, "Yes", "No")</f>
        <v>No</v>
      </c>
      <c r="P2846" s="13" t="str">
        <f>IF(Table2[[#This Row],[CurrentStock]]&lt;Table2[[#This Row],[ReorderLevel]],"Reorder", "Okay")</f>
        <v>Okay</v>
      </c>
      <c r="Q2846" s="13" t="str">
        <f>IF(Table2[[#This Row],[CurrentStock]]&gt;Table2[[#This Row],[ReorderLevel]]*3, "Overstock", "Okay")</f>
        <v>Okay</v>
      </c>
    </row>
    <row r="2847" spans="1:17" x14ac:dyDescent="0.35">
      <c r="A2847">
        <v>78125</v>
      </c>
      <c r="B2847" t="s">
        <v>19</v>
      </c>
      <c r="C2847" t="s">
        <v>28</v>
      </c>
      <c r="D2847">
        <v>358</v>
      </c>
      <c r="E2847">
        <v>150</v>
      </c>
      <c r="F2847" s="2">
        <v>5.68</v>
      </c>
      <c r="G2847" t="s">
        <v>31</v>
      </c>
      <c r="H2847" s="1">
        <v>45323</v>
      </c>
      <c r="I2847" s="1">
        <v>45331</v>
      </c>
      <c r="J2847" t="s">
        <v>38</v>
      </c>
      <c r="K2847" s="8">
        <f>Table2[[#This Row],[CurrentStock]]*Table2[[#This Row],[UnitPrice]]</f>
        <v>2033.4399999999998</v>
      </c>
      <c r="L2847" t="str">
        <f>IF(Table2[[#This Row],[CurrentStock]]&lt;=Table2[[#This Row],[ReorderLevel]], "Reorder Needed", "Okay")</f>
        <v>Okay</v>
      </c>
      <c r="M2847" t="str">
        <f>IF(Table2[[#This Row],[CurrentStock]]-Table2[[#This Row],[ReorderLevel]]&lt;0,Table2[[#This Row],[CurrentStock]]-Table2[[#This Row],[ReorderLevel]],"")</f>
        <v/>
      </c>
      <c r="N2847" t="str">
        <f>IF(Table2[[#This Row],[Stock Gap]]&lt;0, "Understock","Okay")</f>
        <v>Okay</v>
      </c>
      <c r="O2847" s="13" t="str">
        <f>IF(Table2[[#This Row],[Stock Gap]]&lt;0, "Yes", "No")</f>
        <v>No</v>
      </c>
      <c r="P2847" s="13" t="str">
        <f>IF(Table2[[#This Row],[CurrentStock]]&lt;Table2[[#This Row],[ReorderLevel]],"Reorder", "Okay")</f>
        <v>Okay</v>
      </c>
      <c r="Q2847" s="13" t="str">
        <f>IF(Table2[[#This Row],[CurrentStock]]&gt;Table2[[#This Row],[ReorderLevel]]*3, "Overstock", "Okay")</f>
        <v>Okay</v>
      </c>
    </row>
    <row r="2848" spans="1:17" x14ac:dyDescent="0.35">
      <c r="A2848">
        <v>98860</v>
      </c>
      <c r="B2848" t="s">
        <v>15</v>
      </c>
      <c r="C2848" t="s">
        <v>29</v>
      </c>
      <c r="D2848">
        <v>21</v>
      </c>
      <c r="E2848">
        <v>50</v>
      </c>
      <c r="F2848" s="2">
        <v>226.3</v>
      </c>
      <c r="G2848" t="s">
        <v>31</v>
      </c>
      <c r="H2848" s="1">
        <v>45505</v>
      </c>
      <c r="I2848" s="1">
        <v>45543</v>
      </c>
      <c r="J2848" t="s">
        <v>38</v>
      </c>
      <c r="K2848" s="8">
        <f>Table2[[#This Row],[CurrentStock]]*Table2[[#This Row],[UnitPrice]]</f>
        <v>4752.3</v>
      </c>
      <c r="L2848" t="str">
        <f>IF(Table2[[#This Row],[CurrentStock]]&lt;=Table2[[#This Row],[ReorderLevel]], "Reorder Needed", "Okay")</f>
        <v>Reorder Needed</v>
      </c>
      <c r="M2848" s="7">
        <f>IF(Table2[[#This Row],[CurrentStock]]-Table2[[#This Row],[ReorderLevel]]&lt;0,Table2[[#This Row],[CurrentStock]]-Table2[[#This Row],[ReorderLevel]],"")</f>
        <v>-29</v>
      </c>
      <c r="N2848" t="str">
        <f>IF(Table2[[#This Row],[Stock Gap]]&lt;0, "Understock","Okay")</f>
        <v>Understock</v>
      </c>
      <c r="O2848" s="13" t="str">
        <f>IF(Table2[[#This Row],[Stock Gap]]&lt;0, "Yes", "No")</f>
        <v>Yes</v>
      </c>
      <c r="P2848" s="13" t="str">
        <f>IF(Table2[[#This Row],[CurrentStock]]&lt;Table2[[#This Row],[ReorderLevel]],"Reorder", "Okay")</f>
        <v>Reorder</v>
      </c>
      <c r="Q2848" s="13" t="str">
        <f>IF(Table2[[#This Row],[CurrentStock]]&gt;Table2[[#This Row],[ReorderLevel]]*3, "Overstock", "Okay")</f>
        <v>Okay</v>
      </c>
    </row>
    <row r="2849" spans="1:17" x14ac:dyDescent="0.35">
      <c r="A2849">
        <v>84581</v>
      </c>
      <c r="B2849" t="s">
        <v>21</v>
      </c>
      <c r="C2849" t="s">
        <v>26</v>
      </c>
      <c r="D2849">
        <v>76</v>
      </c>
      <c r="E2849">
        <v>150</v>
      </c>
      <c r="F2849" s="2">
        <v>254.99</v>
      </c>
      <c r="G2849" t="s">
        <v>33</v>
      </c>
      <c r="H2849" s="1">
        <v>45478</v>
      </c>
      <c r="I2849" s="1">
        <v>45514</v>
      </c>
      <c r="J2849" t="s">
        <v>38</v>
      </c>
      <c r="K2849" s="8">
        <f>Table2[[#This Row],[CurrentStock]]*Table2[[#This Row],[UnitPrice]]</f>
        <v>19379.240000000002</v>
      </c>
      <c r="L2849" t="str">
        <f>IF(Table2[[#This Row],[CurrentStock]]&lt;=Table2[[#This Row],[ReorderLevel]], "Reorder Needed", "Okay")</f>
        <v>Reorder Needed</v>
      </c>
      <c r="M2849" s="7">
        <f>IF(Table2[[#This Row],[CurrentStock]]-Table2[[#This Row],[ReorderLevel]]&lt;0,Table2[[#This Row],[CurrentStock]]-Table2[[#This Row],[ReorderLevel]],"")</f>
        <v>-74</v>
      </c>
      <c r="N2849" t="str">
        <f>IF(Table2[[#This Row],[Stock Gap]]&lt;0, "Understock","Okay")</f>
        <v>Understock</v>
      </c>
      <c r="O2849" s="13" t="str">
        <f>IF(Table2[[#This Row],[Stock Gap]]&lt;0, "Yes", "No")</f>
        <v>Yes</v>
      </c>
      <c r="P2849" s="13" t="str">
        <f>IF(Table2[[#This Row],[CurrentStock]]&lt;Table2[[#This Row],[ReorderLevel]],"Reorder", "Okay")</f>
        <v>Reorder</v>
      </c>
      <c r="Q2849" s="13" t="str">
        <f>IF(Table2[[#This Row],[CurrentStock]]&gt;Table2[[#This Row],[ReorderLevel]]*3, "Overstock", "Okay")</f>
        <v>Okay</v>
      </c>
    </row>
    <row r="2850" spans="1:17" x14ac:dyDescent="0.35">
      <c r="A2850">
        <v>11223</v>
      </c>
      <c r="B2850" t="s">
        <v>17</v>
      </c>
      <c r="C2850" t="s">
        <v>27</v>
      </c>
      <c r="D2850">
        <v>30</v>
      </c>
      <c r="E2850">
        <v>150</v>
      </c>
      <c r="F2850" s="2">
        <v>164.02</v>
      </c>
      <c r="G2850" t="s">
        <v>31</v>
      </c>
      <c r="H2850" s="1">
        <v>45505</v>
      </c>
      <c r="I2850" s="1">
        <v>45533</v>
      </c>
      <c r="J2850" t="s">
        <v>36</v>
      </c>
      <c r="K2850" s="8">
        <f>Table2[[#This Row],[CurrentStock]]*Table2[[#This Row],[UnitPrice]]</f>
        <v>4920.6000000000004</v>
      </c>
      <c r="L2850" t="str">
        <f>IF(Table2[[#This Row],[CurrentStock]]&lt;=Table2[[#This Row],[ReorderLevel]], "Reorder Needed", "Okay")</f>
        <v>Reorder Needed</v>
      </c>
      <c r="M2850" s="7">
        <f>IF(Table2[[#This Row],[CurrentStock]]-Table2[[#This Row],[ReorderLevel]]&lt;0,Table2[[#This Row],[CurrentStock]]-Table2[[#This Row],[ReorderLevel]],"")</f>
        <v>-120</v>
      </c>
      <c r="N2850" t="str">
        <f>IF(Table2[[#This Row],[Stock Gap]]&lt;0, "Understock","Okay")</f>
        <v>Understock</v>
      </c>
      <c r="O2850" s="13" t="str">
        <f>IF(Table2[[#This Row],[Stock Gap]]&lt;0, "Yes", "No")</f>
        <v>Yes</v>
      </c>
      <c r="P2850" s="13" t="str">
        <f>IF(Table2[[#This Row],[CurrentStock]]&lt;Table2[[#This Row],[ReorderLevel]],"Reorder", "Okay")</f>
        <v>Reorder</v>
      </c>
      <c r="Q2850" s="13" t="str">
        <f>IF(Table2[[#This Row],[CurrentStock]]&gt;Table2[[#This Row],[ReorderLevel]]*3, "Overstock", "Okay")</f>
        <v>Okay</v>
      </c>
    </row>
    <row r="2851" spans="1:17" x14ac:dyDescent="0.35">
      <c r="A2851">
        <v>37167</v>
      </c>
      <c r="B2851" t="s">
        <v>18</v>
      </c>
      <c r="C2851" t="s">
        <v>27</v>
      </c>
      <c r="D2851">
        <v>429</v>
      </c>
      <c r="E2851">
        <v>80</v>
      </c>
      <c r="F2851" s="2">
        <v>10.44</v>
      </c>
      <c r="G2851" t="s">
        <v>34</v>
      </c>
      <c r="H2851" s="1">
        <v>45364</v>
      </c>
      <c r="I2851" s="1">
        <v>45381</v>
      </c>
      <c r="J2851" t="s">
        <v>37</v>
      </c>
      <c r="K2851" s="8">
        <f>Table2[[#This Row],[CurrentStock]]*Table2[[#This Row],[UnitPrice]]</f>
        <v>4478.76</v>
      </c>
      <c r="L2851" t="str">
        <f>IF(Table2[[#This Row],[CurrentStock]]&lt;=Table2[[#This Row],[ReorderLevel]], "Reorder Needed", "Okay")</f>
        <v>Okay</v>
      </c>
      <c r="M2851" t="str">
        <f>IF(Table2[[#This Row],[CurrentStock]]-Table2[[#This Row],[ReorderLevel]]&lt;0,Table2[[#This Row],[CurrentStock]]-Table2[[#This Row],[ReorderLevel]],"")</f>
        <v/>
      </c>
      <c r="N2851" t="str">
        <f>IF(Table2[[#This Row],[Stock Gap]]&lt;0, "Understock","Okay")</f>
        <v>Okay</v>
      </c>
      <c r="O2851" s="13" t="str">
        <f>IF(Table2[[#This Row],[Stock Gap]]&lt;0, "Yes", "No")</f>
        <v>No</v>
      </c>
      <c r="P2851" s="13" t="str">
        <f>IF(Table2[[#This Row],[CurrentStock]]&lt;Table2[[#This Row],[ReorderLevel]],"Reorder", "Okay")</f>
        <v>Okay</v>
      </c>
      <c r="Q2851" s="13" t="str">
        <f>IF(Table2[[#This Row],[CurrentStock]]&gt;Table2[[#This Row],[ReorderLevel]]*3, "Overstock", "Okay")</f>
        <v>Overstock</v>
      </c>
    </row>
    <row r="2852" spans="1:17" x14ac:dyDescent="0.35">
      <c r="A2852">
        <v>40261</v>
      </c>
      <c r="B2852" t="s">
        <v>25</v>
      </c>
      <c r="C2852" t="s">
        <v>29</v>
      </c>
      <c r="D2852">
        <v>64</v>
      </c>
      <c r="E2852">
        <v>20</v>
      </c>
      <c r="F2852" s="2">
        <v>94.79</v>
      </c>
      <c r="G2852" t="s">
        <v>34</v>
      </c>
      <c r="H2852" s="1">
        <v>45309</v>
      </c>
      <c r="I2852" s="1">
        <v>45344</v>
      </c>
      <c r="J2852" t="s">
        <v>37</v>
      </c>
      <c r="K2852" s="8">
        <f>Table2[[#This Row],[CurrentStock]]*Table2[[#This Row],[UnitPrice]]</f>
        <v>6066.56</v>
      </c>
      <c r="L2852" t="str">
        <f>IF(Table2[[#This Row],[CurrentStock]]&lt;=Table2[[#This Row],[ReorderLevel]], "Reorder Needed", "Okay")</f>
        <v>Okay</v>
      </c>
      <c r="M2852" t="str">
        <f>IF(Table2[[#This Row],[CurrentStock]]-Table2[[#This Row],[ReorderLevel]]&lt;0,Table2[[#This Row],[CurrentStock]]-Table2[[#This Row],[ReorderLevel]],"")</f>
        <v/>
      </c>
      <c r="N2852" t="str">
        <f>IF(Table2[[#This Row],[Stock Gap]]&lt;0, "Understock","Okay")</f>
        <v>Okay</v>
      </c>
      <c r="O2852" s="13" t="str">
        <f>IF(Table2[[#This Row],[Stock Gap]]&lt;0, "Yes", "No")</f>
        <v>No</v>
      </c>
      <c r="P2852" s="13" t="str">
        <f>IF(Table2[[#This Row],[CurrentStock]]&lt;Table2[[#This Row],[ReorderLevel]],"Reorder", "Okay")</f>
        <v>Okay</v>
      </c>
      <c r="Q2852" s="13" t="str">
        <f>IF(Table2[[#This Row],[CurrentStock]]&gt;Table2[[#This Row],[ReorderLevel]]*3, "Overstock", "Okay")</f>
        <v>Overstock</v>
      </c>
    </row>
    <row r="2853" spans="1:17" x14ac:dyDescent="0.35">
      <c r="A2853">
        <v>69763</v>
      </c>
      <c r="B2853" t="s">
        <v>10</v>
      </c>
      <c r="C2853" t="s">
        <v>26</v>
      </c>
      <c r="D2853">
        <v>440</v>
      </c>
      <c r="E2853">
        <v>20</v>
      </c>
      <c r="F2853" s="2">
        <v>191.66</v>
      </c>
      <c r="G2853" t="s">
        <v>32</v>
      </c>
      <c r="H2853" s="1">
        <v>45639</v>
      </c>
      <c r="I2853" s="1">
        <v>45669</v>
      </c>
      <c r="J2853" t="s">
        <v>37</v>
      </c>
      <c r="K2853" s="8">
        <f>Table2[[#This Row],[CurrentStock]]*Table2[[#This Row],[UnitPrice]]</f>
        <v>84330.4</v>
      </c>
      <c r="L2853" t="str">
        <f>IF(Table2[[#This Row],[CurrentStock]]&lt;=Table2[[#This Row],[ReorderLevel]], "Reorder Needed", "Okay")</f>
        <v>Okay</v>
      </c>
      <c r="M2853" t="str">
        <f>IF(Table2[[#This Row],[CurrentStock]]-Table2[[#This Row],[ReorderLevel]]&lt;0,Table2[[#This Row],[CurrentStock]]-Table2[[#This Row],[ReorderLevel]],"")</f>
        <v/>
      </c>
      <c r="N2853" t="str">
        <f>IF(Table2[[#This Row],[Stock Gap]]&lt;0, "Understock","Okay")</f>
        <v>Okay</v>
      </c>
      <c r="O2853" s="13" t="str">
        <f>IF(Table2[[#This Row],[Stock Gap]]&lt;0, "Yes", "No")</f>
        <v>No</v>
      </c>
      <c r="P2853" s="13" t="str">
        <f>IF(Table2[[#This Row],[CurrentStock]]&lt;Table2[[#This Row],[ReorderLevel]],"Reorder", "Okay")</f>
        <v>Okay</v>
      </c>
      <c r="Q2853" s="13" t="str">
        <f>IF(Table2[[#This Row],[CurrentStock]]&gt;Table2[[#This Row],[ReorderLevel]]*3, "Overstock", "Okay")</f>
        <v>Overstock</v>
      </c>
    </row>
    <row r="2854" spans="1:17" x14ac:dyDescent="0.35">
      <c r="A2854">
        <v>12026</v>
      </c>
      <c r="B2854" t="s">
        <v>14</v>
      </c>
      <c r="C2854" t="s">
        <v>28</v>
      </c>
      <c r="D2854">
        <v>53</v>
      </c>
      <c r="E2854">
        <v>80</v>
      </c>
      <c r="F2854" s="2">
        <v>466.03</v>
      </c>
      <c r="G2854" t="s">
        <v>33</v>
      </c>
      <c r="H2854" s="1">
        <v>45644</v>
      </c>
      <c r="I2854" s="1">
        <v>45680</v>
      </c>
      <c r="J2854" t="s">
        <v>38</v>
      </c>
      <c r="K2854" s="8">
        <f>Table2[[#This Row],[CurrentStock]]*Table2[[#This Row],[UnitPrice]]</f>
        <v>24699.59</v>
      </c>
      <c r="L2854" t="str">
        <f>IF(Table2[[#This Row],[CurrentStock]]&lt;=Table2[[#This Row],[ReorderLevel]], "Reorder Needed", "Okay")</f>
        <v>Reorder Needed</v>
      </c>
      <c r="M2854" s="7">
        <f>IF(Table2[[#This Row],[CurrentStock]]-Table2[[#This Row],[ReorderLevel]]&lt;0,Table2[[#This Row],[CurrentStock]]-Table2[[#This Row],[ReorderLevel]],"")</f>
        <v>-27</v>
      </c>
      <c r="N2854" t="str">
        <f>IF(Table2[[#This Row],[Stock Gap]]&lt;0, "Understock","Okay")</f>
        <v>Understock</v>
      </c>
      <c r="O2854" s="13" t="str">
        <f>IF(Table2[[#This Row],[Stock Gap]]&lt;0, "Yes", "No")</f>
        <v>Yes</v>
      </c>
      <c r="P2854" s="13" t="str">
        <f>IF(Table2[[#This Row],[CurrentStock]]&lt;Table2[[#This Row],[ReorderLevel]],"Reorder", "Okay")</f>
        <v>Reorder</v>
      </c>
      <c r="Q2854" s="13" t="str">
        <f>IF(Table2[[#This Row],[CurrentStock]]&gt;Table2[[#This Row],[ReorderLevel]]*3, "Overstock", "Okay")</f>
        <v>Okay</v>
      </c>
    </row>
    <row r="2855" spans="1:17" x14ac:dyDescent="0.35">
      <c r="A2855">
        <v>28356</v>
      </c>
      <c r="B2855" t="s">
        <v>12</v>
      </c>
      <c r="C2855" t="s">
        <v>28</v>
      </c>
      <c r="D2855">
        <v>367</v>
      </c>
      <c r="E2855">
        <v>30</v>
      </c>
      <c r="F2855" s="2">
        <v>310.07</v>
      </c>
      <c r="G2855" t="s">
        <v>34</v>
      </c>
      <c r="H2855" s="1">
        <v>45381</v>
      </c>
      <c r="I2855" s="1">
        <v>45401</v>
      </c>
      <c r="J2855" t="s">
        <v>36</v>
      </c>
      <c r="K2855" s="8">
        <f>Table2[[#This Row],[CurrentStock]]*Table2[[#This Row],[UnitPrice]]</f>
        <v>113795.69</v>
      </c>
      <c r="L2855" t="str">
        <f>IF(Table2[[#This Row],[CurrentStock]]&lt;=Table2[[#This Row],[ReorderLevel]], "Reorder Needed", "Okay")</f>
        <v>Okay</v>
      </c>
      <c r="M2855" t="str">
        <f>IF(Table2[[#This Row],[CurrentStock]]-Table2[[#This Row],[ReorderLevel]]&lt;0,Table2[[#This Row],[CurrentStock]]-Table2[[#This Row],[ReorderLevel]],"")</f>
        <v/>
      </c>
      <c r="N2855" t="str">
        <f>IF(Table2[[#This Row],[Stock Gap]]&lt;0, "Understock","Okay")</f>
        <v>Okay</v>
      </c>
      <c r="O2855" s="13" t="str">
        <f>IF(Table2[[#This Row],[Stock Gap]]&lt;0, "Yes", "No")</f>
        <v>No</v>
      </c>
      <c r="P2855" s="13" t="str">
        <f>IF(Table2[[#This Row],[CurrentStock]]&lt;Table2[[#This Row],[ReorderLevel]],"Reorder", "Okay")</f>
        <v>Okay</v>
      </c>
      <c r="Q2855" s="13" t="str">
        <f>IF(Table2[[#This Row],[CurrentStock]]&gt;Table2[[#This Row],[ReorderLevel]]*3, "Overstock", "Okay")</f>
        <v>Overstock</v>
      </c>
    </row>
    <row r="2856" spans="1:17" x14ac:dyDescent="0.35">
      <c r="A2856">
        <v>32158</v>
      </c>
      <c r="B2856" t="s">
        <v>21</v>
      </c>
      <c r="C2856" t="s">
        <v>26</v>
      </c>
      <c r="D2856">
        <v>270</v>
      </c>
      <c r="E2856">
        <v>80</v>
      </c>
      <c r="F2856" s="2">
        <v>295.66000000000003</v>
      </c>
      <c r="G2856" t="s">
        <v>32</v>
      </c>
      <c r="H2856" s="1">
        <v>45363</v>
      </c>
      <c r="I2856" s="1">
        <v>45377</v>
      </c>
      <c r="J2856" t="s">
        <v>38</v>
      </c>
      <c r="K2856" s="8">
        <f>Table2[[#This Row],[CurrentStock]]*Table2[[#This Row],[UnitPrice]]</f>
        <v>79828.200000000012</v>
      </c>
      <c r="L2856" t="str">
        <f>IF(Table2[[#This Row],[CurrentStock]]&lt;=Table2[[#This Row],[ReorderLevel]], "Reorder Needed", "Okay")</f>
        <v>Okay</v>
      </c>
      <c r="M2856" t="str">
        <f>IF(Table2[[#This Row],[CurrentStock]]-Table2[[#This Row],[ReorderLevel]]&lt;0,Table2[[#This Row],[CurrentStock]]-Table2[[#This Row],[ReorderLevel]],"")</f>
        <v/>
      </c>
      <c r="N2856" t="str">
        <f>IF(Table2[[#This Row],[Stock Gap]]&lt;0, "Understock","Okay")</f>
        <v>Okay</v>
      </c>
      <c r="O2856" s="13" t="str">
        <f>IF(Table2[[#This Row],[Stock Gap]]&lt;0, "Yes", "No")</f>
        <v>No</v>
      </c>
      <c r="P2856" s="13" t="str">
        <f>IF(Table2[[#This Row],[CurrentStock]]&lt;Table2[[#This Row],[ReorderLevel]],"Reorder", "Okay")</f>
        <v>Okay</v>
      </c>
      <c r="Q2856" s="13" t="str">
        <f>IF(Table2[[#This Row],[CurrentStock]]&gt;Table2[[#This Row],[ReorderLevel]]*3, "Overstock", "Okay")</f>
        <v>Overstock</v>
      </c>
    </row>
    <row r="2857" spans="1:17" x14ac:dyDescent="0.35">
      <c r="A2857">
        <v>10705</v>
      </c>
      <c r="B2857" t="s">
        <v>25</v>
      </c>
      <c r="C2857" t="s">
        <v>29</v>
      </c>
      <c r="D2857">
        <v>108</v>
      </c>
      <c r="E2857">
        <v>80</v>
      </c>
      <c r="F2857" s="2">
        <v>14.61</v>
      </c>
      <c r="G2857" t="s">
        <v>35</v>
      </c>
      <c r="H2857" s="1">
        <v>45334</v>
      </c>
      <c r="I2857" s="1">
        <v>45373</v>
      </c>
      <c r="J2857" t="s">
        <v>37</v>
      </c>
      <c r="K2857" s="8">
        <f>Table2[[#This Row],[CurrentStock]]*Table2[[#This Row],[UnitPrice]]</f>
        <v>1577.8799999999999</v>
      </c>
      <c r="L2857" t="str">
        <f>IF(Table2[[#This Row],[CurrentStock]]&lt;=Table2[[#This Row],[ReorderLevel]], "Reorder Needed", "Okay")</f>
        <v>Okay</v>
      </c>
      <c r="M2857" t="str">
        <f>IF(Table2[[#This Row],[CurrentStock]]-Table2[[#This Row],[ReorderLevel]]&lt;0,Table2[[#This Row],[CurrentStock]]-Table2[[#This Row],[ReorderLevel]],"")</f>
        <v/>
      </c>
      <c r="N2857" t="str">
        <f>IF(Table2[[#This Row],[Stock Gap]]&lt;0, "Understock","Okay")</f>
        <v>Okay</v>
      </c>
      <c r="O2857" s="13" t="str">
        <f>IF(Table2[[#This Row],[Stock Gap]]&lt;0, "Yes", "No")</f>
        <v>No</v>
      </c>
      <c r="P2857" s="13" t="str">
        <f>IF(Table2[[#This Row],[CurrentStock]]&lt;Table2[[#This Row],[ReorderLevel]],"Reorder", "Okay")</f>
        <v>Okay</v>
      </c>
      <c r="Q2857" s="13" t="str">
        <f>IF(Table2[[#This Row],[CurrentStock]]&gt;Table2[[#This Row],[ReorderLevel]]*3, "Overstock", "Okay")</f>
        <v>Okay</v>
      </c>
    </row>
    <row r="2858" spans="1:17" x14ac:dyDescent="0.35">
      <c r="A2858">
        <v>14834</v>
      </c>
      <c r="B2858" t="s">
        <v>9</v>
      </c>
      <c r="C2858" t="s">
        <v>26</v>
      </c>
      <c r="D2858">
        <v>184</v>
      </c>
      <c r="E2858">
        <v>150</v>
      </c>
      <c r="F2858" s="2">
        <v>91.64</v>
      </c>
      <c r="G2858" t="s">
        <v>34</v>
      </c>
      <c r="H2858" s="1">
        <v>45604</v>
      </c>
      <c r="I2858" s="1">
        <v>45626</v>
      </c>
      <c r="J2858" t="s">
        <v>38</v>
      </c>
      <c r="K2858" s="8">
        <f>Table2[[#This Row],[CurrentStock]]*Table2[[#This Row],[UnitPrice]]</f>
        <v>16861.759999999998</v>
      </c>
      <c r="L2858" t="str">
        <f>IF(Table2[[#This Row],[CurrentStock]]&lt;=Table2[[#This Row],[ReorderLevel]], "Reorder Needed", "Okay")</f>
        <v>Okay</v>
      </c>
      <c r="M2858" t="str">
        <f>IF(Table2[[#This Row],[CurrentStock]]-Table2[[#This Row],[ReorderLevel]]&lt;0,Table2[[#This Row],[CurrentStock]]-Table2[[#This Row],[ReorderLevel]],"")</f>
        <v/>
      </c>
      <c r="N2858" t="str">
        <f>IF(Table2[[#This Row],[Stock Gap]]&lt;0, "Understock","Okay")</f>
        <v>Okay</v>
      </c>
      <c r="O2858" s="13" t="str">
        <f>IF(Table2[[#This Row],[Stock Gap]]&lt;0, "Yes", "No")</f>
        <v>No</v>
      </c>
      <c r="P2858" s="13" t="str">
        <f>IF(Table2[[#This Row],[CurrentStock]]&lt;Table2[[#This Row],[ReorderLevel]],"Reorder", "Okay")</f>
        <v>Okay</v>
      </c>
      <c r="Q2858" s="13" t="str">
        <f>IF(Table2[[#This Row],[CurrentStock]]&gt;Table2[[#This Row],[ReorderLevel]]*3, "Overstock", "Okay")</f>
        <v>Okay</v>
      </c>
    </row>
    <row r="2859" spans="1:17" x14ac:dyDescent="0.35">
      <c r="A2859">
        <v>40545</v>
      </c>
      <c r="B2859" t="s">
        <v>19</v>
      </c>
      <c r="C2859" t="s">
        <v>28</v>
      </c>
      <c r="D2859">
        <v>417</v>
      </c>
      <c r="E2859">
        <v>150</v>
      </c>
      <c r="F2859" s="2">
        <v>445.76</v>
      </c>
      <c r="G2859" t="s">
        <v>35</v>
      </c>
      <c r="H2859" s="1">
        <v>45478</v>
      </c>
      <c r="I2859" s="1">
        <v>45497</v>
      </c>
      <c r="J2859" t="s">
        <v>36</v>
      </c>
      <c r="K2859" s="8">
        <f>Table2[[#This Row],[CurrentStock]]*Table2[[#This Row],[UnitPrice]]</f>
        <v>185881.91999999998</v>
      </c>
      <c r="L2859" t="str">
        <f>IF(Table2[[#This Row],[CurrentStock]]&lt;=Table2[[#This Row],[ReorderLevel]], "Reorder Needed", "Okay")</f>
        <v>Okay</v>
      </c>
      <c r="M2859" t="str">
        <f>IF(Table2[[#This Row],[CurrentStock]]-Table2[[#This Row],[ReorderLevel]]&lt;0,Table2[[#This Row],[CurrentStock]]-Table2[[#This Row],[ReorderLevel]],"")</f>
        <v/>
      </c>
      <c r="N2859" t="str">
        <f>IF(Table2[[#This Row],[Stock Gap]]&lt;0, "Understock","Okay")</f>
        <v>Okay</v>
      </c>
      <c r="O2859" s="13" t="str">
        <f>IF(Table2[[#This Row],[Stock Gap]]&lt;0, "Yes", "No")</f>
        <v>No</v>
      </c>
      <c r="P2859" s="13" t="str">
        <f>IF(Table2[[#This Row],[CurrentStock]]&lt;Table2[[#This Row],[ReorderLevel]],"Reorder", "Okay")</f>
        <v>Okay</v>
      </c>
      <c r="Q2859" s="13" t="str">
        <f>IF(Table2[[#This Row],[CurrentStock]]&gt;Table2[[#This Row],[ReorderLevel]]*3, "Overstock", "Okay")</f>
        <v>Okay</v>
      </c>
    </row>
    <row r="2860" spans="1:17" x14ac:dyDescent="0.35">
      <c r="A2860">
        <v>78109</v>
      </c>
      <c r="B2860" t="s">
        <v>17</v>
      </c>
      <c r="C2860" t="s">
        <v>27</v>
      </c>
      <c r="D2860">
        <v>81</v>
      </c>
      <c r="E2860">
        <v>20</v>
      </c>
      <c r="F2860" s="2">
        <v>408.28</v>
      </c>
      <c r="G2860" t="s">
        <v>33</v>
      </c>
      <c r="H2860" s="1">
        <v>45553</v>
      </c>
      <c r="I2860" s="1">
        <v>45574</v>
      </c>
      <c r="J2860" t="s">
        <v>38</v>
      </c>
      <c r="K2860" s="8">
        <f>Table2[[#This Row],[CurrentStock]]*Table2[[#This Row],[UnitPrice]]</f>
        <v>33070.68</v>
      </c>
      <c r="L2860" t="str">
        <f>IF(Table2[[#This Row],[CurrentStock]]&lt;=Table2[[#This Row],[ReorderLevel]], "Reorder Needed", "Okay")</f>
        <v>Okay</v>
      </c>
      <c r="M2860" t="str">
        <f>IF(Table2[[#This Row],[CurrentStock]]-Table2[[#This Row],[ReorderLevel]]&lt;0,Table2[[#This Row],[CurrentStock]]-Table2[[#This Row],[ReorderLevel]],"")</f>
        <v/>
      </c>
      <c r="N2860" t="str">
        <f>IF(Table2[[#This Row],[Stock Gap]]&lt;0, "Understock","Okay")</f>
        <v>Okay</v>
      </c>
      <c r="O2860" s="13" t="str">
        <f>IF(Table2[[#This Row],[Stock Gap]]&lt;0, "Yes", "No")</f>
        <v>No</v>
      </c>
      <c r="P2860" s="13" t="str">
        <f>IF(Table2[[#This Row],[CurrentStock]]&lt;Table2[[#This Row],[ReorderLevel]],"Reorder", "Okay")</f>
        <v>Okay</v>
      </c>
      <c r="Q2860" s="13" t="str">
        <f>IF(Table2[[#This Row],[CurrentStock]]&gt;Table2[[#This Row],[ReorderLevel]]*3, "Overstock", "Okay")</f>
        <v>Overstock</v>
      </c>
    </row>
    <row r="2861" spans="1:17" x14ac:dyDescent="0.35">
      <c r="A2861">
        <v>29951</v>
      </c>
      <c r="B2861" t="s">
        <v>23</v>
      </c>
      <c r="C2861" t="s">
        <v>30</v>
      </c>
      <c r="D2861">
        <v>387</v>
      </c>
      <c r="E2861">
        <v>30</v>
      </c>
      <c r="F2861" s="2">
        <v>46.81</v>
      </c>
      <c r="G2861" t="s">
        <v>32</v>
      </c>
      <c r="H2861" s="1">
        <v>45344</v>
      </c>
      <c r="I2861" s="1">
        <v>45383</v>
      </c>
      <c r="J2861" t="s">
        <v>37</v>
      </c>
      <c r="K2861" s="8">
        <f>Table2[[#This Row],[CurrentStock]]*Table2[[#This Row],[UnitPrice]]</f>
        <v>18115.47</v>
      </c>
      <c r="L2861" t="str">
        <f>IF(Table2[[#This Row],[CurrentStock]]&lt;=Table2[[#This Row],[ReorderLevel]], "Reorder Needed", "Okay")</f>
        <v>Okay</v>
      </c>
      <c r="M2861" t="str">
        <f>IF(Table2[[#This Row],[CurrentStock]]-Table2[[#This Row],[ReorderLevel]]&lt;0,Table2[[#This Row],[CurrentStock]]-Table2[[#This Row],[ReorderLevel]],"")</f>
        <v/>
      </c>
      <c r="N2861" t="str">
        <f>IF(Table2[[#This Row],[Stock Gap]]&lt;0, "Understock","Okay")</f>
        <v>Okay</v>
      </c>
      <c r="O2861" s="13" t="str">
        <f>IF(Table2[[#This Row],[Stock Gap]]&lt;0, "Yes", "No")</f>
        <v>No</v>
      </c>
      <c r="P2861" s="13" t="str">
        <f>IF(Table2[[#This Row],[CurrentStock]]&lt;Table2[[#This Row],[ReorderLevel]],"Reorder", "Okay")</f>
        <v>Okay</v>
      </c>
      <c r="Q2861" s="13" t="str">
        <f>IF(Table2[[#This Row],[CurrentStock]]&gt;Table2[[#This Row],[ReorderLevel]]*3, "Overstock", "Okay")</f>
        <v>Overstock</v>
      </c>
    </row>
    <row r="2862" spans="1:17" x14ac:dyDescent="0.35">
      <c r="A2862">
        <v>46530</v>
      </c>
      <c r="B2862" t="s">
        <v>9</v>
      </c>
      <c r="C2862" t="s">
        <v>26</v>
      </c>
      <c r="D2862">
        <v>405</v>
      </c>
      <c r="E2862">
        <v>40</v>
      </c>
      <c r="F2862" s="2">
        <v>409.23</v>
      </c>
      <c r="G2862" t="s">
        <v>34</v>
      </c>
      <c r="H2862" s="1">
        <v>45313</v>
      </c>
      <c r="I2862" s="1">
        <v>45326</v>
      </c>
      <c r="J2862" t="s">
        <v>38</v>
      </c>
      <c r="K2862" s="8">
        <f>Table2[[#This Row],[CurrentStock]]*Table2[[#This Row],[UnitPrice]]</f>
        <v>165738.15</v>
      </c>
      <c r="L2862" t="str">
        <f>IF(Table2[[#This Row],[CurrentStock]]&lt;=Table2[[#This Row],[ReorderLevel]], "Reorder Needed", "Okay")</f>
        <v>Okay</v>
      </c>
      <c r="M2862" t="str">
        <f>IF(Table2[[#This Row],[CurrentStock]]-Table2[[#This Row],[ReorderLevel]]&lt;0,Table2[[#This Row],[CurrentStock]]-Table2[[#This Row],[ReorderLevel]],"")</f>
        <v/>
      </c>
      <c r="N2862" t="str">
        <f>IF(Table2[[#This Row],[Stock Gap]]&lt;0, "Understock","Okay")</f>
        <v>Okay</v>
      </c>
      <c r="O2862" s="13" t="str">
        <f>IF(Table2[[#This Row],[Stock Gap]]&lt;0, "Yes", "No")</f>
        <v>No</v>
      </c>
      <c r="P2862" s="13" t="str">
        <f>IF(Table2[[#This Row],[CurrentStock]]&lt;Table2[[#This Row],[ReorderLevel]],"Reorder", "Okay")</f>
        <v>Okay</v>
      </c>
      <c r="Q2862" s="13" t="str">
        <f>IF(Table2[[#This Row],[CurrentStock]]&gt;Table2[[#This Row],[ReorderLevel]]*3, "Overstock", "Okay")</f>
        <v>Overstock</v>
      </c>
    </row>
    <row r="2863" spans="1:17" x14ac:dyDescent="0.35">
      <c r="A2863">
        <v>98830</v>
      </c>
      <c r="B2863" t="s">
        <v>12</v>
      </c>
      <c r="C2863" t="s">
        <v>28</v>
      </c>
      <c r="D2863">
        <v>178</v>
      </c>
      <c r="E2863">
        <v>80</v>
      </c>
      <c r="F2863" s="2">
        <v>168.07</v>
      </c>
      <c r="G2863" t="s">
        <v>35</v>
      </c>
      <c r="H2863" s="1">
        <v>45340</v>
      </c>
      <c r="I2863" s="1">
        <v>45354</v>
      </c>
      <c r="J2863" t="s">
        <v>36</v>
      </c>
      <c r="K2863" s="8">
        <f>Table2[[#This Row],[CurrentStock]]*Table2[[#This Row],[UnitPrice]]</f>
        <v>29916.46</v>
      </c>
      <c r="L2863" t="str">
        <f>IF(Table2[[#This Row],[CurrentStock]]&lt;=Table2[[#This Row],[ReorderLevel]], "Reorder Needed", "Okay")</f>
        <v>Okay</v>
      </c>
      <c r="M2863" t="str">
        <f>IF(Table2[[#This Row],[CurrentStock]]-Table2[[#This Row],[ReorderLevel]]&lt;0,Table2[[#This Row],[CurrentStock]]-Table2[[#This Row],[ReorderLevel]],"")</f>
        <v/>
      </c>
      <c r="N2863" t="str">
        <f>IF(Table2[[#This Row],[Stock Gap]]&lt;0, "Understock","Okay")</f>
        <v>Okay</v>
      </c>
      <c r="O2863" s="13" t="str">
        <f>IF(Table2[[#This Row],[Stock Gap]]&lt;0, "Yes", "No")</f>
        <v>No</v>
      </c>
      <c r="P2863" s="13" t="str">
        <f>IF(Table2[[#This Row],[CurrentStock]]&lt;Table2[[#This Row],[ReorderLevel]],"Reorder", "Okay")</f>
        <v>Okay</v>
      </c>
      <c r="Q2863" s="13" t="str">
        <f>IF(Table2[[#This Row],[CurrentStock]]&gt;Table2[[#This Row],[ReorderLevel]]*3, "Overstock", "Okay")</f>
        <v>Okay</v>
      </c>
    </row>
    <row r="2864" spans="1:17" x14ac:dyDescent="0.35">
      <c r="A2864">
        <v>29589</v>
      </c>
      <c r="B2864" t="s">
        <v>23</v>
      </c>
      <c r="C2864" t="s">
        <v>30</v>
      </c>
      <c r="D2864">
        <v>97</v>
      </c>
      <c r="E2864">
        <v>30</v>
      </c>
      <c r="F2864" s="2">
        <v>105.44</v>
      </c>
      <c r="G2864" t="s">
        <v>32</v>
      </c>
      <c r="H2864" s="1">
        <v>45632</v>
      </c>
      <c r="I2864" s="1">
        <v>45656</v>
      </c>
      <c r="J2864" t="s">
        <v>38</v>
      </c>
      <c r="K2864" s="8">
        <f>Table2[[#This Row],[CurrentStock]]*Table2[[#This Row],[UnitPrice]]</f>
        <v>10227.68</v>
      </c>
      <c r="L2864" t="str">
        <f>IF(Table2[[#This Row],[CurrentStock]]&lt;=Table2[[#This Row],[ReorderLevel]], "Reorder Needed", "Okay")</f>
        <v>Okay</v>
      </c>
      <c r="M2864" t="str">
        <f>IF(Table2[[#This Row],[CurrentStock]]-Table2[[#This Row],[ReorderLevel]]&lt;0,Table2[[#This Row],[CurrentStock]]-Table2[[#This Row],[ReorderLevel]],"")</f>
        <v/>
      </c>
      <c r="N2864" t="str">
        <f>IF(Table2[[#This Row],[Stock Gap]]&lt;0, "Understock","Okay")</f>
        <v>Okay</v>
      </c>
      <c r="O2864" s="13" t="str">
        <f>IF(Table2[[#This Row],[Stock Gap]]&lt;0, "Yes", "No")</f>
        <v>No</v>
      </c>
      <c r="P2864" s="13" t="str">
        <f>IF(Table2[[#This Row],[CurrentStock]]&lt;Table2[[#This Row],[ReorderLevel]],"Reorder", "Okay")</f>
        <v>Okay</v>
      </c>
      <c r="Q2864" s="13" t="str">
        <f>IF(Table2[[#This Row],[CurrentStock]]&gt;Table2[[#This Row],[ReorderLevel]]*3, "Overstock", "Okay")</f>
        <v>Overstock</v>
      </c>
    </row>
    <row r="2865" spans="1:17" x14ac:dyDescent="0.35">
      <c r="A2865">
        <v>80143</v>
      </c>
      <c r="B2865" t="s">
        <v>16</v>
      </c>
      <c r="C2865" t="s">
        <v>29</v>
      </c>
      <c r="D2865">
        <v>62</v>
      </c>
      <c r="E2865">
        <v>50</v>
      </c>
      <c r="F2865" s="2">
        <v>72.099999999999994</v>
      </c>
      <c r="G2865" t="s">
        <v>34</v>
      </c>
      <c r="H2865" s="1">
        <v>45549</v>
      </c>
      <c r="I2865" s="1">
        <v>45569</v>
      </c>
      <c r="J2865" t="s">
        <v>37</v>
      </c>
      <c r="K2865" s="8">
        <f>Table2[[#This Row],[CurrentStock]]*Table2[[#This Row],[UnitPrice]]</f>
        <v>4470.2</v>
      </c>
      <c r="L2865" t="str">
        <f>IF(Table2[[#This Row],[CurrentStock]]&lt;=Table2[[#This Row],[ReorderLevel]], "Reorder Needed", "Okay")</f>
        <v>Okay</v>
      </c>
      <c r="M2865" t="str">
        <f>IF(Table2[[#This Row],[CurrentStock]]-Table2[[#This Row],[ReorderLevel]]&lt;0,Table2[[#This Row],[CurrentStock]]-Table2[[#This Row],[ReorderLevel]],"")</f>
        <v/>
      </c>
      <c r="N2865" t="str">
        <f>IF(Table2[[#This Row],[Stock Gap]]&lt;0, "Understock","Okay")</f>
        <v>Okay</v>
      </c>
      <c r="O2865" s="13" t="str">
        <f>IF(Table2[[#This Row],[Stock Gap]]&lt;0, "Yes", "No")</f>
        <v>No</v>
      </c>
      <c r="P2865" s="13" t="str">
        <f>IF(Table2[[#This Row],[CurrentStock]]&lt;Table2[[#This Row],[ReorderLevel]],"Reorder", "Okay")</f>
        <v>Okay</v>
      </c>
      <c r="Q2865" s="13" t="str">
        <f>IF(Table2[[#This Row],[CurrentStock]]&gt;Table2[[#This Row],[ReorderLevel]]*3, "Overstock", "Okay")</f>
        <v>Okay</v>
      </c>
    </row>
    <row r="2866" spans="1:17" x14ac:dyDescent="0.35">
      <c r="A2866">
        <v>57543</v>
      </c>
      <c r="B2866" t="s">
        <v>9</v>
      </c>
      <c r="C2866" t="s">
        <v>26</v>
      </c>
      <c r="D2866">
        <v>51</v>
      </c>
      <c r="E2866">
        <v>150</v>
      </c>
      <c r="F2866" s="2">
        <v>343.32</v>
      </c>
      <c r="G2866" t="s">
        <v>34</v>
      </c>
      <c r="H2866" s="1">
        <v>45597</v>
      </c>
      <c r="I2866" s="1">
        <v>45632</v>
      </c>
      <c r="J2866" t="s">
        <v>36</v>
      </c>
      <c r="K2866" s="8">
        <f>Table2[[#This Row],[CurrentStock]]*Table2[[#This Row],[UnitPrice]]</f>
        <v>17509.32</v>
      </c>
      <c r="L2866" t="str">
        <f>IF(Table2[[#This Row],[CurrentStock]]&lt;=Table2[[#This Row],[ReorderLevel]], "Reorder Needed", "Okay")</f>
        <v>Reorder Needed</v>
      </c>
      <c r="M2866" s="7">
        <f>IF(Table2[[#This Row],[CurrentStock]]-Table2[[#This Row],[ReorderLevel]]&lt;0,Table2[[#This Row],[CurrentStock]]-Table2[[#This Row],[ReorderLevel]],"")</f>
        <v>-99</v>
      </c>
      <c r="N2866" t="str">
        <f>IF(Table2[[#This Row],[Stock Gap]]&lt;0, "Understock","Okay")</f>
        <v>Understock</v>
      </c>
      <c r="O2866" s="13" t="str">
        <f>IF(Table2[[#This Row],[Stock Gap]]&lt;0, "Yes", "No")</f>
        <v>Yes</v>
      </c>
      <c r="P2866" s="13" t="str">
        <f>IF(Table2[[#This Row],[CurrentStock]]&lt;Table2[[#This Row],[ReorderLevel]],"Reorder", "Okay")</f>
        <v>Reorder</v>
      </c>
      <c r="Q2866" s="13" t="str">
        <f>IF(Table2[[#This Row],[CurrentStock]]&gt;Table2[[#This Row],[ReorderLevel]]*3, "Overstock", "Okay")</f>
        <v>Okay</v>
      </c>
    </row>
    <row r="2867" spans="1:17" x14ac:dyDescent="0.35">
      <c r="A2867">
        <v>74863</v>
      </c>
      <c r="B2867" t="s">
        <v>13</v>
      </c>
      <c r="C2867" t="s">
        <v>26</v>
      </c>
      <c r="D2867">
        <v>299</v>
      </c>
      <c r="E2867">
        <v>30</v>
      </c>
      <c r="F2867" s="2">
        <v>381.47</v>
      </c>
      <c r="G2867" t="s">
        <v>34</v>
      </c>
      <c r="H2867" s="1">
        <v>45335</v>
      </c>
      <c r="I2867" s="1">
        <v>45359</v>
      </c>
      <c r="J2867" t="s">
        <v>38</v>
      </c>
      <c r="K2867" s="8">
        <f>Table2[[#This Row],[CurrentStock]]*Table2[[#This Row],[UnitPrice]]</f>
        <v>114059.53000000001</v>
      </c>
      <c r="L2867" t="str">
        <f>IF(Table2[[#This Row],[CurrentStock]]&lt;=Table2[[#This Row],[ReorderLevel]], "Reorder Needed", "Okay")</f>
        <v>Okay</v>
      </c>
      <c r="M2867" t="str">
        <f>IF(Table2[[#This Row],[CurrentStock]]-Table2[[#This Row],[ReorderLevel]]&lt;0,Table2[[#This Row],[CurrentStock]]-Table2[[#This Row],[ReorderLevel]],"")</f>
        <v/>
      </c>
      <c r="N2867" t="str">
        <f>IF(Table2[[#This Row],[Stock Gap]]&lt;0, "Understock","Okay")</f>
        <v>Okay</v>
      </c>
      <c r="O2867" s="13" t="str">
        <f>IF(Table2[[#This Row],[Stock Gap]]&lt;0, "Yes", "No")</f>
        <v>No</v>
      </c>
      <c r="P2867" s="13" t="str">
        <f>IF(Table2[[#This Row],[CurrentStock]]&lt;Table2[[#This Row],[ReorderLevel]],"Reorder", "Okay")</f>
        <v>Okay</v>
      </c>
      <c r="Q2867" s="13" t="str">
        <f>IF(Table2[[#This Row],[CurrentStock]]&gt;Table2[[#This Row],[ReorderLevel]]*3, "Overstock", "Okay")</f>
        <v>Overstock</v>
      </c>
    </row>
    <row r="2868" spans="1:17" x14ac:dyDescent="0.35">
      <c r="A2868">
        <v>96704</v>
      </c>
      <c r="B2868" t="s">
        <v>9</v>
      </c>
      <c r="C2868" t="s">
        <v>26</v>
      </c>
      <c r="D2868">
        <v>124</v>
      </c>
      <c r="E2868">
        <v>150</v>
      </c>
      <c r="F2868" s="2">
        <v>443.94</v>
      </c>
      <c r="G2868" t="s">
        <v>35</v>
      </c>
      <c r="H2868" s="1">
        <v>45374</v>
      </c>
      <c r="I2868" s="1">
        <v>45387</v>
      </c>
      <c r="J2868" t="s">
        <v>38</v>
      </c>
      <c r="K2868" s="8">
        <f>Table2[[#This Row],[CurrentStock]]*Table2[[#This Row],[UnitPrice]]</f>
        <v>55048.56</v>
      </c>
      <c r="L2868" t="str">
        <f>IF(Table2[[#This Row],[CurrentStock]]&lt;=Table2[[#This Row],[ReorderLevel]], "Reorder Needed", "Okay")</f>
        <v>Reorder Needed</v>
      </c>
      <c r="M2868" s="7">
        <f>IF(Table2[[#This Row],[CurrentStock]]-Table2[[#This Row],[ReorderLevel]]&lt;0,Table2[[#This Row],[CurrentStock]]-Table2[[#This Row],[ReorderLevel]],"")</f>
        <v>-26</v>
      </c>
      <c r="N2868" t="str">
        <f>IF(Table2[[#This Row],[Stock Gap]]&lt;0, "Understock","Okay")</f>
        <v>Understock</v>
      </c>
      <c r="O2868" s="13" t="str">
        <f>IF(Table2[[#This Row],[Stock Gap]]&lt;0, "Yes", "No")</f>
        <v>Yes</v>
      </c>
      <c r="P2868" s="13" t="str">
        <f>IF(Table2[[#This Row],[CurrentStock]]&lt;Table2[[#This Row],[ReorderLevel]],"Reorder", "Okay")</f>
        <v>Reorder</v>
      </c>
      <c r="Q2868" s="13" t="str">
        <f>IF(Table2[[#This Row],[CurrentStock]]&gt;Table2[[#This Row],[ReorderLevel]]*3, "Overstock", "Okay")</f>
        <v>Okay</v>
      </c>
    </row>
    <row r="2869" spans="1:17" x14ac:dyDescent="0.35">
      <c r="A2869">
        <v>25788</v>
      </c>
      <c r="B2869" t="s">
        <v>9</v>
      </c>
      <c r="C2869" t="s">
        <v>26</v>
      </c>
      <c r="D2869">
        <v>353</v>
      </c>
      <c r="E2869">
        <v>40</v>
      </c>
      <c r="F2869" s="2">
        <v>165.87</v>
      </c>
      <c r="G2869" t="s">
        <v>33</v>
      </c>
      <c r="H2869" s="1">
        <v>45584</v>
      </c>
      <c r="I2869" s="1">
        <v>45620</v>
      </c>
      <c r="J2869" t="s">
        <v>36</v>
      </c>
      <c r="K2869" s="8">
        <f>Table2[[#This Row],[CurrentStock]]*Table2[[#This Row],[UnitPrice]]</f>
        <v>58552.11</v>
      </c>
      <c r="L2869" t="str">
        <f>IF(Table2[[#This Row],[CurrentStock]]&lt;=Table2[[#This Row],[ReorderLevel]], "Reorder Needed", "Okay")</f>
        <v>Okay</v>
      </c>
      <c r="M2869" t="str">
        <f>IF(Table2[[#This Row],[CurrentStock]]-Table2[[#This Row],[ReorderLevel]]&lt;0,Table2[[#This Row],[CurrentStock]]-Table2[[#This Row],[ReorderLevel]],"")</f>
        <v/>
      </c>
      <c r="N2869" t="str">
        <f>IF(Table2[[#This Row],[Stock Gap]]&lt;0, "Understock","Okay")</f>
        <v>Okay</v>
      </c>
      <c r="O2869" s="13" t="str">
        <f>IF(Table2[[#This Row],[Stock Gap]]&lt;0, "Yes", "No")</f>
        <v>No</v>
      </c>
      <c r="P2869" s="13" t="str">
        <f>IF(Table2[[#This Row],[CurrentStock]]&lt;Table2[[#This Row],[ReorderLevel]],"Reorder", "Okay")</f>
        <v>Okay</v>
      </c>
      <c r="Q2869" s="13" t="str">
        <f>IF(Table2[[#This Row],[CurrentStock]]&gt;Table2[[#This Row],[ReorderLevel]]*3, "Overstock", "Okay")</f>
        <v>Overstock</v>
      </c>
    </row>
    <row r="2870" spans="1:17" x14ac:dyDescent="0.35">
      <c r="A2870">
        <v>27949</v>
      </c>
      <c r="B2870" t="s">
        <v>18</v>
      </c>
      <c r="C2870" t="s">
        <v>27</v>
      </c>
      <c r="D2870">
        <v>57</v>
      </c>
      <c r="E2870">
        <v>80</v>
      </c>
      <c r="F2870" s="2">
        <v>12.34</v>
      </c>
      <c r="G2870" t="s">
        <v>33</v>
      </c>
      <c r="H2870" s="1">
        <v>45539</v>
      </c>
      <c r="I2870" s="1">
        <v>45565</v>
      </c>
      <c r="J2870" t="s">
        <v>37</v>
      </c>
      <c r="K2870" s="8">
        <f>Table2[[#This Row],[CurrentStock]]*Table2[[#This Row],[UnitPrice]]</f>
        <v>703.38</v>
      </c>
      <c r="L2870" t="str">
        <f>IF(Table2[[#This Row],[CurrentStock]]&lt;=Table2[[#This Row],[ReorderLevel]], "Reorder Needed", "Okay")</f>
        <v>Reorder Needed</v>
      </c>
      <c r="M2870" s="7">
        <f>IF(Table2[[#This Row],[CurrentStock]]-Table2[[#This Row],[ReorderLevel]]&lt;0,Table2[[#This Row],[CurrentStock]]-Table2[[#This Row],[ReorderLevel]],"")</f>
        <v>-23</v>
      </c>
      <c r="N2870" t="str">
        <f>IF(Table2[[#This Row],[Stock Gap]]&lt;0, "Understock","Okay")</f>
        <v>Understock</v>
      </c>
      <c r="O2870" s="13" t="str">
        <f>IF(Table2[[#This Row],[Stock Gap]]&lt;0, "Yes", "No")</f>
        <v>Yes</v>
      </c>
      <c r="P2870" s="13" t="str">
        <f>IF(Table2[[#This Row],[CurrentStock]]&lt;Table2[[#This Row],[ReorderLevel]],"Reorder", "Okay")</f>
        <v>Reorder</v>
      </c>
      <c r="Q2870" s="13" t="str">
        <f>IF(Table2[[#This Row],[CurrentStock]]&gt;Table2[[#This Row],[ReorderLevel]]*3, "Overstock", "Okay")</f>
        <v>Okay</v>
      </c>
    </row>
    <row r="2871" spans="1:17" x14ac:dyDescent="0.35">
      <c r="A2871">
        <v>98154</v>
      </c>
      <c r="B2871" t="s">
        <v>17</v>
      </c>
      <c r="C2871" t="s">
        <v>27</v>
      </c>
      <c r="D2871">
        <v>397</v>
      </c>
      <c r="E2871">
        <v>150</v>
      </c>
      <c r="F2871" s="2">
        <v>408.02</v>
      </c>
      <c r="G2871" t="s">
        <v>35</v>
      </c>
      <c r="H2871" s="1">
        <v>45393</v>
      </c>
      <c r="I2871" s="1">
        <v>45423</v>
      </c>
      <c r="J2871" t="s">
        <v>36</v>
      </c>
      <c r="K2871" s="8">
        <f>Table2[[#This Row],[CurrentStock]]*Table2[[#This Row],[UnitPrice]]</f>
        <v>161983.94</v>
      </c>
      <c r="L2871" t="str">
        <f>IF(Table2[[#This Row],[CurrentStock]]&lt;=Table2[[#This Row],[ReorderLevel]], "Reorder Needed", "Okay")</f>
        <v>Okay</v>
      </c>
      <c r="M2871" t="str">
        <f>IF(Table2[[#This Row],[CurrentStock]]-Table2[[#This Row],[ReorderLevel]]&lt;0,Table2[[#This Row],[CurrentStock]]-Table2[[#This Row],[ReorderLevel]],"")</f>
        <v/>
      </c>
      <c r="N2871" t="str">
        <f>IF(Table2[[#This Row],[Stock Gap]]&lt;0, "Understock","Okay")</f>
        <v>Okay</v>
      </c>
      <c r="O2871" s="13" t="str">
        <f>IF(Table2[[#This Row],[Stock Gap]]&lt;0, "Yes", "No")</f>
        <v>No</v>
      </c>
      <c r="P2871" s="13" t="str">
        <f>IF(Table2[[#This Row],[CurrentStock]]&lt;Table2[[#This Row],[ReorderLevel]],"Reorder", "Okay")</f>
        <v>Okay</v>
      </c>
      <c r="Q2871" s="13" t="str">
        <f>IF(Table2[[#This Row],[CurrentStock]]&gt;Table2[[#This Row],[ReorderLevel]]*3, "Overstock", "Okay")</f>
        <v>Okay</v>
      </c>
    </row>
    <row r="2872" spans="1:17" x14ac:dyDescent="0.35">
      <c r="A2872">
        <v>13901</v>
      </c>
      <c r="B2872" t="s">
        <v>25</v>
      </c>
      <c r="C2872" t="s">
        <v>29</v>
      </c>
      <c r="D2872">
        <v>94</v>
      </c>
      <c r="E2872">
        <v>150</v>
      </c>
      <c r="F2872" s="2">
        <v>430.99</v>
      </c>
      <c r="G2872" t="s">
        <v>33</v>
      </c>
      <c r="H2872" s="1">
        <v>45497</v>
      </c>
      <c r="I2872" s="1">
        <v>45526</v>
      </c>
      <c r="J2872" t="s">
        <v>37</v>
      </c>
      <c r="K2872" s="8">
        <f>Table2[[#This Row],[CurrentStock]]*Table2[[#This Row],[UnitPrice]]</f>
        <v>40513.06</v>
      </c>
      <c r="L2872" t="str">
        <f>IF(Table2[[#This Row],[CurrentStock]]&lt;=Table2[[#This Row],[ReorderLevel]], "Reorder Needed", "Okay")</f>
        <v>Reorder Needed</v>
      </c>
      <c r="M2872" s="7">
        <f>IF(Table2[[#This Row],[CurrentStock]]-Table2[[#This Row],[ReorderLevel]]&lt;0,Table2[[#This Row],[CurrentStock]]-Table2[[#This Row],[ReorderLevel]],"")</f>
        <v>-56</v>
      </c>
      <c r="N2872" t="str">
        <f>IF(Table2[[#This Row],[Stock Gap]]&lt;0, "Understock","Okay")</f>
        <v>Understock</v>
      </c>
      <c r="O2872" s="13" t="str">
        <f>IF(Table2[[#This Row],[Stock Gap]]&lt;0, "Yes", "No")</f>
        <v>Yes</v>
      </c>
      <c r="P2872" s="13" t="str">
        <f>IF(Table2[[#This Row],[CurrentStock]]&lt;Table2[[#This Row],[ReorderLevel]],"Reorder", "Okay")</f>
        <v>Reorder</v>
      </c>
      <c r="Q2872" s="13" t="str">
        <f>IF(Table2[[#This Row],[CurrentStock]]&gt;Table2[[#This Row],[ReorderLevel]]*3, "Overstock", "Okay")</f>
        <v>Okay</v>
      </c>
    </row>
    <row r="2873" spans="1:17" x14ac:dyDescent="0.35">
      <c r="A2873">
        <v>69888</v>
      </c>
      <c r="B2873" t="s">
        <v>14</v>
      </c>
      <c r="C2873" t="s">
        <v>28</v>
      </c>
      <c r="D2873">
        <v>466</v>
      </c>
      <c r="E2873">
        <v>40</v>
      </c>
      <c r="F2873" s="2">
        <v>256.23</v>
      </c>
      <c r="G2873" t="s">
        <v>34</v>
      </c>
      <c r="H2873" s="1">
        <v>45592</v>
      </c>
      <c r="I2873" s="1">
        <v>45603</v>
      </c>
      <c r="J2873" t="s">
        <v>36</v>
      </c>
      <c r="K2873" s="8">
        <f>Table2[[#This Row],[CurrentStock]]*Table2[[#This Row],[UnitPrice]]</f>
        <v>119403.18000000001</v>
      </c>
      <c r="L2873" t="str">
        <f>IF(Table2[[#This Row],[CurrentStock]]&lt;=Table2[[#This Row],[ReorderLevel]], "Reorder Needed", "Okay")</f>
        <v>Okay</v>
      </c>
      <c r="M2873" t="str">
        <f>IF(Table2[[#This Row],[CurrentStock]]-Table2[[#This Row],[ReorderLevel]]&lt;0,Table2[[#This Row],[CurrentStock]]-Table2[[#This Row],[ReorderLevel]],"")</f>
        <v/>
      </c>
      <c r="N2873" t="str">
        <f>IF(Table2[[#This Row],[Stock Gap]]&lt;0, "Understock","Okay")</f>
        <v>Okay</v>
      </c>
      <c r="O2873" s="13" t="str">
        <f>IF(Table2[[#This Row],[Stock Gap]]&lt;0, "Yes", "No")</f>
        <v>No</v>
      </c>
      <c r="P2873" s="13" t="str">
        <f>IF(Table2[[#This Row],[CurrentStock]]&lt;Table2[[#This Row],[ReorderLevel]],"Reorder", "Okay")</f>
        <v>Okay</v>
      </c>
      <c r="Q2873" s="13" t="str">
        <f>IF(Table2[[#This Row],[CurrentStock]]&gt;Table2[[#This Row],[ReorderLevel]]*3, "Overstock", "Okay")</f>
        <v>Overstock</v>
      </c>
    </row>
    <row r="2874" spans="1:17" x14ac:dyDescent="0.35">
      <c r="A2874">
        <v>27747</v>
      </c>
      <c r="B2874" t="s">
        <v>14</v>
      </c>
      <c r="C2874" t="s">
        <v>28</v>
      </c>
      <c r="D2874">
        <v>356</v>
      </c>
      <c r="E2874">
        <v>100</v>
      </c>
      <c r="F2874" s="2">
        <v>56.22</v>
      </c>
      <c r="G2874" t="s">
        <v>32</v>
      </c>
      <c r="H2874" s="1">
        <v>45399</v>
      </c>
      <c r="I2874" s="1">
        <v>45432</v>
      </c>
      <c r="J2874" t="s">
        <v>37</v>
      </c>
      <c r="K2874" s="8">
        <f>Table2[[#This Row],[CurrentStock]]*Table2[[#This Row],[UnitPrice]]</f>
        <v>20014.32</v>
      </c>
      <c r="L2874" t="str">
        <f>IF(Table2[[#This Row],[CurrentStock]]&lt;=Table2[[#This Row],[ReorderLevel]], "Reorder Needed", "Okay")</f>
        <v>Okay</v>
      </c>
      <c r="M2874" t="str">
        <f>IF(Table2[[#This Row],[CurrentStock]]-Table2[[#This Row],[ReorderLevel]]&lt;0,Table2[[#This Row],[CurrentStock]]-Table2[[#This Row],[ReorderLevel]],"")</f>
        <v/>
      </c>
      <c r="N2874" t="str">
        <f>IF(Table2[[#This Row],[Stock Gap]]&lt;0, "Understock","Okay")</f>
        <v>Okay</v>
      </c>
      <c r="O2874" s="13" t="str">
        <f>IF(Table2[[#This Row],[Stock Gap]]&lt;0, "Yes", "No")</f>
        <v>No</v>
      </c>
      <c r="P2874" s="13" t="str">
        <f>IF(Table2[[#This Row],[CurrentStock]]&lt;Table2[[#This Row],[ReorderLevel]],"Reorder", "Okay")</f>
        <v>Okay</v>
      </c>
      <c r="Q2874" s="13" t="str">
        <f>IF(Table2[[#This Row],[CurrentStock]]&gt;Table2[[#This Row],[ReorderLevel]]*3, "Overstock", "Okay")</f>
        <v>Overstock</v>
      </c>
    </row>
    <row r="2875" spans="1:17" x14ac:dyDescent="0.35">
      <c r="A2875">
        <v>45249</v>
      </c>
      <c r="B2875" t="s">
        <v>18</v>
      </c>
      <c r="C2875" t="s">
        <v>27</v>
      </c>
      <c r="D2875">
        <v>243</v>
      </c>
      <c r="E2875">
        <v>100</v>
      </c>
      <c r="F2875" s="2">
        <v>145.54</v>
      </c>
      <c r="G2875" t="s">
        <v>31</v>
      </c>
      <c r="H2875" s="1">
        <v>45640</v>
      </c>
      <c r="I2875" s="1">
        <v>45669</v>
      </c>
      <c r="J2875" t="s">
        <v>38</v>
      </c>
      <c r="K2875" s="8">
        <f>Table2[[#This Row],[CurrentStock]]*Table2[[#This Row],[UnitPrice]]</f>
        <v>35366.22</v>
      </c>
      <c r="L2875" t="str">
        <f>IF(Table2[[#This Row],[CurrentStock]]&lt;=Table2[[#This Row],[ReorderLevel]], "Reorder Needed", "Okay")</f>
        <v>Okay</v>
      </c>
      <c r="M2875" t="str">
        <f>IF(Table2[[#This Row],[CurrentStock]]-Table2[[#This Row],[ReorderLevel]]&lt;0,Table2[[#This Row],[CurrentStock]]-Table2[[#This Row],[ReorderLevel]],"")</f>
        <v/>
      </c>
      <c r="N2875" t="str">
        <f>IF(Table2[[#This Row],[Stock Gap]]&lt;0, "Understock","Okay")</f>
        <v>Okay</v>
      </c>
      <c r="O2875" s="13" t="str">
        <f>IF(Table2[[#This Row],[Stock Gap]]&lt;0, "Yes", "No")</f>
        <v>No</v>
      </c>
      <c r="P2875" s="13" t="str">
        <f>IF(Table2[[#This Row],[CurrentStock]]&lt;Table2[[#This Row],[ReorderLevel]],"Reorder", "Okay")</f>
        <v>Okay</v>
      </c>
      <c r="Q2875" s="13" t="str">
        <f>IF(Table2[[#This Row],[CurrentStock]]&gt;Table2[[#This Row],[ReorderLevel]]*3, "Overstock", "Okay")</f>
        <v>Okay</v>
      </c>
    </row>
    <row r="2876" spans="1:17" x14ac:dyDescent="0.35">
      <c r="A2876">
        <v>82540</v>
      </c>
      <c r="B2876" t="s">
        <v>11</v>
      </c>
      <c r="C2876" t="s">
        <v>27</v>
      </c>
      <c r="D2876">
        <v>207</v>
      </c>
      <c r="E2876">
        <v>100</v>
      </c>
      <c r="F2876" s="2">
        <v>415.64</v>
      </c>
      <c r="G2876" t="s">
        <v>35</v>
      </c>
      <c r="H2876" s="1">
        <v>45442</v>
      </c>
      <c r="I2876" s="1">
        <v>45451</v>
      </c>
      <c r="J2876" t="s">
        <v>38</v>
      </c>
      <c r="K2876" s="8">
        <f>Table2[[#This Row],[CurrentStock]]*Table2[[#This Row],[UnitPrice]]</f>
        <v>86037.48</v>
      </c>
      <c r="L2876" t="str">
        <f>IF(Table2[[#This Row],[CurrentStock]]&lt;=Table2[[#This Row],[ReorderLevel]], "Reorder Needed", "Okay")</f>
        <v>Okay</v>
      </c>
      <c r="M2876" t="str">
        <f>IF(Table2[[#This Row],[CurrentStock]]-Table2[[#This Row],[ReorderLevel]]&lt;0,Table2[[#This Row],[CurrentStock]]-Table2[[#This Row],[ReorderLevel]],"")</f>
        <v/>
      </c>
      <c r="N2876" t="str">
        <f>IF(Table2[[#This Row],[Stock Gap]]&lt;0, "Understock","Okay")</f>
        <v>Okay</v>
      </c>
      <c r="O2876" s="13" t="str">
        <f>IF(Table2[[#This Row],[Stock Gap]]&lt;0, "Yes", "No")</f>
        <v>No</v>
      </c>
      <c r="P2876" s="13" t="str">
        <f>IF(Table2[[#This Row],[CurrentStock]]&lt;Table2[[#This Row],[ReorderLevel]],"Reorder", "Okay")</f>
        <v>Okay</v>
      </c>
      <c r="Q2876" s="13" t="str">
        <f>IF(Table2[[#This Row],[CurrentStock]]&gt;Table2[[#This Row],[ReorderLevel]]*3, "Overstock", "Okay")</f>
        <v>Okay</v>
      </c>
    </row>
    <row r="2877" spans="1:17" x14ac:dyDescent="0.35">
      <c r="A2877">
        <v>80148</v>
      </c>
      <c r="B2877" t="s">
        <v>14</v>
      </c>
      <c r="C2877" t="s">
        <v>28</v>
      </c>
      <c r="D2877">
        <v>342</v>
      </c>
      <c r="E2877">
        <v>100</v>
      </c>
      <c r="F2877" s="2">
        <v>139.53</v>
      </c>
      <c r="G2877" t="s">
        <v>34</v>
      </c>
      <c r="H2877" s="1">
        <v>45373</v>
      </c>
      <c r="I2877" s="1">
        <v>45407</v>
      </c>
      <c r="J2877" t="s">
        <v>37</v>
      </c>
      <c r="K2877" s="8">
        <f>Table2[[#This Row],[CurrentStock]]*Table2[[#This Row],[UnitPrice]]</f>
        <v>47719.26</v>
      </c>
      <c r="L2877" t="str">
        <f>IF(Table2[[#This Row],[CurrentStock]]&lt;=Table2[[#This Row],[ReorderLevel]], "Reorder Needed", "Okay")</f>
        <v>Okay</v>
      </c>
      <c r="M2877" t="str">
        <f>IF(Table2[[#This Row],[CurrentStock]]-Table2[[#This Row],[ReorderLevel]]&lt;0,Table2[[#This Row],[CurrentStock]]-Table2[[#This Row],[ReorderLevel]],"")</f>
        <v/>
      </c>
      <c r="N2877" t="str">
        <f>IF(Table2[[#This Row],[Stock Gap]]&lt;0, "Understock","Okay")</f>
        <v>Okay</v>
      </c>
      <c r="O2877" s="13" t="str">
        <f>IF(Table2[[#This Row],[Stock Gap]]&lt;0, "Yes", "No")</f>
        <v>No</v>
      </c>
      <c r="P2877" s="13" t="str">
        <f>IF(Table2[[#This Row],[CurrentStock]]&lt;Table2[[#This Row],[ReorderLevel]],"Reorder", "Okay")</f>
        <v>Okay</v>
      </c>
      <c r="Q2877" s="13" t="str">
        <f>IF(Table2[[#This Row],[CurrentStock]]&gt;Table2[[#This Row],[ReorderLevel]]*3, "Overstock", "Okay")</f>
        <v>Overstock</v>
      </c>
    </row>
    <row r="2878" spans="1:17" x14ac:dyDescent="0.35">
      <c r="A2878">
        <v>63815</v>
      </c>
      <c r="B2878" t="s">
        <v>11</v>
      </c>
      <c r="C2878" t="s">
        <v>27</v>
      </c>
      <c r="D2878">
        <v>296</v>
      </c>
      <c r="E2878">
        <v>50</v>
      </c>
      <c r="F2878" s="2">
        <v>398.47</v>
      </c>
      <c r="G2878" t="s">
        <v>32</v>
      </c>
      <c r="H2878" s="1">
        <v>45580</v>
      </c>
      <c r="I2878" s="1">
        <v>45611</v>
      </c>
      <c r="J2878" t="s">
        <v>38</v>
      </c>
      <c r="K2878" s="8">
        <f>Table2[[#This Row],[CurrentStock]]*Table2[[#This Row],[UnitPrice]]</f>
        <v>117947.12000000001</v>
      </c>
      <c r="L2878" t="str">
        <f>IF(Table2[[#This Row],[CurrentStock]]&lt;=Table2[[#This Row],[ReorderLevel]], "Reorder Needed", "Okay")</f>
        <v>Okay</v>
      </c>
      <c r="M2878" t="str">
        <f>IF(Table2[[#This Row],[CurrentStock]]-Table2[[#This Row],[ReorderLevel]]&lt;0,Table2[[#This Row],[CurrentStock]]-Table2[[#This Row],[ReorderLevel]],"")</f>
        <v/>
      </c>
      <c r="N2878" t="str">
        <f>IF(Table2[[#This Row],[Stock Gap]]&lt;0, "Understock","Okay")</f>
        <v>Okay</v>
      </c>
      <c r="O2878" s="13" t="str">
        <f>IF(Table2[[#This Row],[Stock Gap]]&lt;0, "Yes", "No")</f>
        <v>No</v>
      </c>
      <c r="P2878" s="13" t="str">
        <f>IF(Table2[[#This Row],[CurrentStock]]&lt;Table2[[#This Row],[ReorderLevel]],"Reorder", "Okay")</f>
        <v>Okay</v>
      </c>
      <c r="Q2878" s="13" t="str">
        <f>IF(Table2[[#This Row],[CurrentStock]]&gt;Table2[[#This Row],[ReorderLevel]]*3, "Overstock", "Okay")</f>
        <v>Overstock</v>
      </c>
    </row>
    <row r="2879" spans="1:17" x14ac:dyDescent="0.35">
      <c r="A2879">
        <v>68451</v>
      </c>
      <c r="B2879" t="s">
        <v>17</v>
      </c>
      <c r="C2879" t="s">
        <v>27</v>
      </c>
      <c r="D2879">
        <v>376</v>
      </c>
      <c r="E2879">
        <v>80</v>
      </c>
      <c r="F2879" s="2">
        <v>161.69</v>
      </c>
      <c r="G2879" t="s">
        <v>33</v>
      </c>
      <c r="H2879" s="1">
        <v>45394</v>
      </c>
      <c r="I2879" s="1">
        <v>45419</v>
      </c>
      <c r="J2879" t="s">
        <v>38</v>
      </c>
      <c r="K2879" s="8">
        <f>Table2[[#This Row],[CurrentStock]]*Table2[[#This Row],[UnitPrice]]</f>
        <v>60795.44</v>
      </c>
      <c r="L2879" t="str">
        <f>IF(Table2[[#This Row],[CurrentStock]]&lt;=Table2[[#This Row],[ReorderLevel]], "Reorder Needed", "Okay")</f>
        <v>Okay</v>
      </c>
      <c r="M2879" t="str">
        <f>IF(Table2[[#This Row],[CurrentStock]]-Table2[[#This Row],[ReorderLevel]]&lt;0,Table2[[#This Row],[CurrentStock]]-Table2[[#This Row],[ReorderLevel]],"")</f>
        <v/>
      </c>
      <c r="N2879" t="str">
        <f>IF(Table2[[#This Row],[Stock Gap]]&lt;0, "Understock","Okay")</f>
        <v>Okay</v>
      </c>
      <c r="O2879" s="13" t="str">
        <f>IF(Table2[[#This Row],[Stock Gap]]&lt;0, "Yes", "No")</f>
        <v>No</v>
      </c>
      <c r="P2879" s="13" t="str">
        <f>IF(Table2[[#This Row],[CurrentStock]]&lt;Table2[[#This Row],[ReorderLevel]],"Reorder", "Okay")</f>
        <v>Okay</v>
      </c>
      <c r="Q2879" s="13" t="str">
        <f>IF(Table2[[#This Row],[CurrentStock]]&gt;Table2[[#This Row],[ReorderLevel]]*3, "Overstock", "Okay")</f>
        <v>Overstock</v>
      </c>
    </row>
    <row r="2880" spans="1:17" x14ac:dyDescent="0.35">
      <c r="A2880">
        <v>72270</v>
      </c>
      <c r="B2880" t="s">
        <v>11</v>
      </c>
      <c r="C2880" t="s">
        <v>27</v>
      </c>
      <c r="D2880">
        <v>141</v>
      </c>
      <c r="E2880">
        <v>30</v>
      </c>
      <c r="F2880" s="2">
        <v>455.23</v>
      </c>
      <c r="G2880" t="s">
        <v>31</v>
      </c>
      <c r="H2880" s="1">
        <v>45426</v>
      </c>
      <c r="I2880" s="1">
        <v>45442</v>
      </c>
      <c r="J2880" t="s">
        <v>36</v>
      </c>
      <c r="K2880" s="8">
        <f>Table2[[#This Row],[CurrentStock]]*Table2[[#This Row],[UnitPrice]]</f>
        <v>64187.43</v>
      </c>
      <c r="L2880" t="str">
        <f>IF(Table2[[#This Row],[CurrentStock]]&lt;=Table2[[#This Row],[ReorderLevel]], "Reorder Needed", "Okay")</f>
        <v>Okay</v>
      </c>
      <c r="M2880" t="str">
        <f>IF(Table2[[#This Row],[CurrentStock]]-Table2[[#This Row],[ReorderLevel]]&lt;0,Table2[[#This Row],[CurrentStock]]-Table2[[#This Row],[ReorderLevel]],"")</f>
        <v/>
      </c>
      <c r="N2880" t="str">
        <f>IF(Table2[[#This Row],[Stock Gap]]&lt;0, "Understock","Okay")</f>
        <v>Okay</v>
      </c>
      <c r="O2880" s="13" t="str">
        <f>IF(Table2[[#This Row],[Stock Gap]]&lt;0, "Yes", "No")</f>
        <v>No</v>
      </c>
      <c r="P2880" s="13" t="str">
        <f>IF(Table2[[#This Row],[CurrentStock]]&lt;Table2[[#This Row],[ReorderLevel]],"Reorder", "Okay")</f>
        <v>Okay</v>
      </c>
      <c r="Q2880" s="13" t="str">
        <f>IF(Table2[[#This Row],[CurrentStock]]&gt;Table2[[#This Row],[ReorderLevel]]*3, "Overstock", "Okay")</f>
        <v>Overstock</v>
      </c>
    </row>
    <row r="2881" spans="1:17" x14ac:dyDescent="0.35">
      <c r="A2881">
        <v>23490</v>
      </c>
      <c r="B2881" t="s">
        <v>19</v>
      </c>
      <c r="C2881" t="s">
        <v>28</v>
      </c>
      <c r="D2881">
        <v>41</v>
      </c>
      <c r="E2881">
        <v>100</v>
      </c>
      <c r="F2881" s="2">
        <v>212.71</v>
      </c>
      <c r="G2881" t="s">
        <v>35</v>
      </c>
      <c r="H2881" s="1">
        <v>45417</v>
      </c>
      <c r="I2881" s="1">
        <v>45449</v>
      </c>
      <c r="J2881" t="s">
        <v>38</v>
      </c>
      <c r="K2881" s="8">
        <f>Table2[[#This Row],[CurrentStock]]*Table2[[#This Row],[UnitPrice]]</f>
        <v>8721.11</v>
      </c>
      <c r="L2881" t="str">
        <f>IF(Table2[[#This Row],[CurrentStock]]&lt;=Table2[[#This Row],[ReorderLevel]], "Reorder Needed", "Okay")</f>
        <v>Reorder Needed</v>
      </c>
      <c r="M2881" s="7">
        <f>IF(Table2[[#This Row],[CurrentStock]]-Table2[[#This Row],[ReorderLevel]]&lt;0,Table2[[#This Row],[CurrentStock]]-Table2[[#This Row],[ReorderLevel]],"")</f>
        <v>-59</v>
      </c>
      <c r="N2881" t="str">
        <f>IF(Table2[[#This Row],[Stock Gap]]&lt;0, "Understock","Okay")</f>
        <v>Understock</v>
      </c>
      <c r="O2881" s="13" t="str">
        <f>IF(Table2[[#This Row],[Stock Gap]]&lt;0, "Yes", "No")</f>
        <v>Yes</v>
      </c>
      <c r="P2881" s="13" t="str">
        <f>IF(Table2[[#This Row],[CurrentStock]]&lt;Table2[[#This Row],[ReorderLevel]],"Reorder", "Okay")</f>
        <v>Reorder</v>
      </c>
      <c r="Q2881" s="13" t="str">
        <f>IF(Table2[[#This Row],[CurrentStock]]&gt;Table2[[#This Row],[ReorderLevel]]*3, "Overstock", "Okay")</f>
        <v>Okay</v>
      </c>
    </row>
    <row r="2882" spans="1:17" x14ac:dyDescent="0.35">
      <c r="A2882">
        <v>45228</v>
      </c>
      <c r="B2882" t="s">
        <v>25</v>
      </c>
      <c r="C2882" t="s">
        <v>29</v>
      </c>
      <c r="D2882">
        <v>100</v>
      </c>
      <c r="E2882">
        <v>20</v>
      </c>
      <c r="F2882" s="2">
        <v>403.74</v>
      </c>
      <c r="G2882" t="s">
        <v>33</v>
      </c>
      <c r="H2882" s="1">
        <v>45588</v>
      </c>
      <c r="I2882" s="1">
        <v>45601</v>
      </c>
      <c r="J2882" t="s">
        <v>38</v>
      </c>
      <c r="K2882" s="8">
        <f>Table2[[#This Row],[CurrentStock]]*Table2[[#This Row],[UnitPrice]]</f>
        <v>40374</v>
      </c>
      <c r="L2882" t="str">
        <f>IF(Table2[[#This Row],[CurrentStock]]&lt;=Table2[[#This Row],[ReorderLevel]], "Reorder Needed", "Okay")</f>
        <v>Okay</v>
      </c>
      <c r="M2882" t="str">
        <f>IF(Table2[[#This Row],[CurrentStock]]-Table2[[#This Row],[ReorderLevel]]&lt;0,Table2[[#This Row],[CurrentStock]]-Table2[[#This Row],[ReorderLevel]],"")</f>
        <v/>
      </c>
      <c r="N2882" t="str">
        <f>IF(Table2[[#This Row],[Stock Gap]]&lt;0, "Understock","Okay")</f>
        <v>Okay</v>
      </c>
      <c r="O2882" s="13" t="str">
        <f>IF(Table2[[#This Row],[Stock Gap]]&lt;0, "Yes", "No")</f>
        <v>No</v>
      </c>
      <c r="P2882" s="13" t="str">
        <f>IF(Table2[[#This Row],[CurrentStock]]&lt;Table2[[#This Row],[ReorderLevel]],"Reorder", "Okay")</f>
        <v>Okay</v>
      </c>
      <c r="Q2882" s="13" t="str">
        <f>IF(Table2[[#This Row],[CurrentStock]]&gt;Table2[[#This Row],[ReorderLevel]]*3, "Overstock", "Okay")</f>
        <v>Overstock</v>
      </c>
    </row>
    <row r="2883" spans="1:17" x14ac:dyDescent="0.35">
      <c r="A2883">
        <v>89459</v>
      </c>
      <c r="B2883" t="s">
        <v>23</v>
      </c>
      <c r="C2883" t="s">
        <v>30</v>
      </c>
      <c r="D2883">
        <v>432</v>
      </c>
      <c r="E2883">
        <v>30</v>
      </c>
      <c r="F2883" s="2">
        <v>350.41</v>
      </c>
      <c r="G2883" t="s">
        <v>35</v>
      </c>
      <c r="H2883" s="1">
        <v>45580</v>
      </c>
      <c r="I2883" s="1">
        <v>45618</v>
      </c>
      <c r="J2883" t="s">
        <v>36</v>
      </c>
      <c r="K2883" s="8">
        <f>Table2[[#This Row],[CurrentStock]]*Table2[[#This Row],[UnitPrice]]</f>
        <v>151377.12000000002</v>
      </c>
      <c r="L2883" t="str">
        <f>IF(Table2[[#This Row],[CurrentStock]]&lt;=Table2[[#This Row],[ReorderLevel]], "Reorder Needed", "Okay")</f>
        <v>Okay</v>
      </c>
      <c r="M2883" t="str">
        <f>IF(Table2[[#This Row],[CurrentStock]]-Table2[[#This Row],[ReorderLevel]]&lt;0,Table2[[#This Row],[CurrentStock]]-Table2[[#This Row],[ReorderLevel]],"")</f>
        <v/>
      </c>
      <c r="N2883" t="str">
        <f>IF(Table2[[#This Row],[Stock Gap]]&lt;0, "Understock","Okay")</f>
        <v>Okay</v>
      </c>
      <c r="O2883" s="13" t="str">
        <f>IF(Table2[[#This Row],[Stock Gap]]&lt;0, "Yes", "No")</f>
        <v>No</v>
      </c>
      <c r="P2883" s="13" t="str">
        <f>IF(Table2[[#This Row],[CurrentStock]]&lt;Table2[[#This Row],[ReorderLevel]],"Reorder", "Okay")</f>
        <v>Okay</v>
      </c>
      <c r="Q2883" s="13" t="str">
        <f>IF(Table2[[#This Row],[CurrentStock]]&gt;Table2[[#This Row],[ReorderLevel]]*3, "Overstock", "Okay")</f>
        <v>Overstock</v>
      </c>
    </row>
    <row r="2884" spans="1:17" x14ac:dyDescent="0.35">
      <c r="A2884">
        <v>89369</v>
      </c>
      <c r="B2884" t="s">
        <v>23</v>
      </c>
      <c r="C2884" t="s">
        <v>30</v>
      </c>
      <c r="D2884">
        <v>123</v>
      </c>
      <c r="E2884">
        <v>40</v>
      </c>
      <c r="F2884" s="2">
        <v>298.02999999999997</v>
      </c>
      <c r="G2884" t="s">
        <v>33</v>
      </c>
      <c r="H2884" s="1">
        <v>45330</v>
      </c>
      <c r="I2884" s="1">
        <v>45364</v>
      </c>
      <c r="J2884" t="s">
        <v>38</v>
      </c>
      <c r="K2884" s="8">
        <f>Table2[[#This Row],[CurrentStock]]*Table2[[#This Row],[UnitPrice]]</f>
        <v>36657.689999999995</v>
      </c>
      <c r="L2884" t="str">
        <f>IF(Table2[[#This Row],[CurrentStock]]&lt;=Table2[[#This Row],[ReorderLevel]], "Reorder Needed", "Okay")</f>
        <v>Okay</v>
      </c>
      <c r="M2884" t="str">
        <f>IF(Table2[[#This Row],[CurrentStock]]-Table2[[#This Row],[ReorderLevel]]&lt;0,Table2[[#This Row],[CurrentStock]]-Table2[[#This Row],[ReorderLevel]],"")</f>
        <v/>
      </c>
      <c r="N2884" t="str">
        <f>IF(Table2[[#This Row],[Stock Gap]]&lt;0, "Understock","Okay")</f>
        <v>Okay</v>
      </c>
      <c r="O2884" s="13" t="str">
        <f>IF(Table2[[#This Row],[Stock Gap]]&lt;0, "Yes", "No")</f>
        <v>No</v>
      </c>
      <c r="P2884" s="13" t="str">
        <f>IF(Table2[[#This Row],[CurrentStock]]&lt;Table2[[#This Row],[ReorderLevel]],"Reorder", "Okay")</f>
        <v>Okay</v>
      </c>
      <c r="Q2884" s="13" t="str">
        <f>IF(Table2[[#This Row],[CurrentStock]]&gt;Table2[[#This Row],[ReorderLevel]]*3, "Overstock", "Okay")</f>
        <v>Overstock</v>
      </c>
    </row>
    <row r="2885" spans="1:17" x14ac:dyDescent="0.35">
      <c r="A2885">
        <v>55580</v>
      </c>
      <c r="B2885" t="s">
        <v>25</v>
      </c>
      <c r="C2885" t="s">
        <v>29</v>
      </c>
      <c r="D2885">
        <v>490</v>
      </c>
      <c r="E2885">
        <v>40</v>
      </c>
      <c r="F2885" s="2">
        <v>473.81</v>
      </c>
      <c r="G2885" t="s">
        <v>35</v>
      </c>
      <c r="H2885" s="1">
        <v>45427</v>
      </c>
      <c r="I2885" s="1">
        <v>45438</v>
      </c>
      <c r="J2885" t="s">
        <v>37</v>
      </c>
      <c r="K2885" s="8">
        <f>Table2[[#This Row],[CurrentStock]]*Table2[[#This Row],[UnitPrice]]</f>
        <v>232166.9</v>
      </c>
      <c r="L2885" t="str">
        <f>IF(Table2[[#This Row],[CurrentStock]]&lt;=Table2[[#This Row],[ReorderLevel]], "Reorder Needed", "Okay")</f>
        <v>Okay</v>
      </c>
      <c r="M2885" t="str">
        <f>IF(Table2[[#This Row],[CurrentStock]]-Table2[[#This Row],[ReorderLevel]]&lt;0,Table2[[#This Row],[CurrentStock]]-Table2[[#This Row],[ReorderLevel]],"")</f>
        <v/>
      </c>
      <c r="N2885" t="str">
        <f>IF(Table2[[#This Row],[Stock Gap]]&lt;0, "Understock","Okay")</f>
        <v>Okay</v>
      </c>
      <c r="O2885" s="13" t="str">
        <f>IF(Table2[[#This Row],[Stock Gap]]&lt;0, "Yes", "No")</f>
        <v>No</v>
      </c>
      <c r="P2885" s="13" t="str">
        <f>IF(Table2[[#This Row],[CurrentStock]]&lt;Table2[[#This Row],[ReorderLevel]],"Reorder", "Okay")</f>
        <v>Okay</v>
      </c>
      <c r="Q2885" s="13" t="str">
        <f>IF(Table2[[#This Row],[CurrentStock]]&gt;Table2[[#This Row],[ReorderLevel]]*3, "Overstock", "Okay")</f>
        <v>Overstock</v>
      </c>
    </row>
    <row r="2886" spans="1:17" x14ac:dyDescent="0.35">
      <c r="A2886">
        <v>78140</v>
      </c>
      <c r="B2886" t="s">
        <v>23</v>
      </c>
      <c r="C2886" t="s">
        <v>30</v>
      </c>
      <c r="D2886">
        <v>129</v>
      </c>
      <c r="E2886">
        <v>100</v>
      </c>
      <c r="F2886" s="2">
        <v>84.06</v>
      </c>
      <c r="G2886" t="s">
        <v>33</v>
      </c>
      <c r="H2886" s="1">
        <v>45351</v>
      </c>
      <c r="I2886" s="1">
        <v>45361</v>
      </c>
      <c r="J2886" t="s">
        <v>36</v>
      </c>
      <c r="K2886" s="8">
        <f>Table2[[#This Row],[CurrentStock]]*Table2[[#This Row],[UnitPrice]]</f>
        <v>10843.74</v>
      </c>
      <c r="L2886" t="str">
        <f>IF(Table2[[#This Row],[CurrentStock]]&lt;=Table2[[#This Row],[ReorderLevel]], "Reorder Needed", "Okay")</f>
        <v>Okay</v>
      </c>
      <c r="M2886" t="str">
        <f>IF(Table2[[#This Row],[CurrentStock]]-Table2[[#This Row],[ReorderLevel]]&lt;0,Table2[[#This Row],[CurrentStock]]-Table2[[#This Row],[ReorderLevel]],"")</f>
        <v/>
      </c>
      <c r="N2886" t="str">
        <f>IF(Table2[[#This Row],[Stock Gap]]&lt;0, "Understock","Okay")</f>
        <v>Okay</v>
      </c>
      <c r="O2886" s="13" t="str">
        <f>IF(Table2[[#This Row],[Stock Gap]]&lt;0, "Yes", "No")</f>
        <v>No</v>
      </c>
      <c r="P2886" s="13" t="str">
        <f>IF(Table2[[#This Row],[CurrentStock]]&lt;Table2[[#This Row],[ReorderLevel]],"Reorder", "Okay")</f>
        <v>Okay</v>
      </c>
      <c r="Q2886" s="13" t="str">
        <f>IF(Table2[[#This Row],[CurrentStock]]&gt;Table2[[#This Row],[ReorderLevel]]*3, "Overstock", "Okay")</f>
        <v>Okay</v>
      </c>
    </row>
    <row r="2887" spans="1:17" x14ac:dyDescent="0.35">
      <c r="A2887">
        <v>37467</v>
      </c>
      <c r="B2887" t="s">
        <v>22</v>
      </c>
      <c r="C2887" t="s">
        <v>29</v>
      </c>
      <c r="D2887">
        <v>443</v>
      </c>
      <c r="E2887">
        <v>100</v>
      </c>
      <c r="F2887" s="2">
        <v>264.48</v>
      </c>
      <c r="G2887" t="s">
        <v>34</v>
      </c>
      <c r="H2887" s="1">
        <v>45518</v>
      </c>
      <c r="I2887" s="1">
        <v>45545</v>
      </c>
      <c r="J2887" t="s">
        <v>36</v>
      </c>
      <c r="K2887" s="8">
        <f>Table2[[#This Row],[CurrentStock]]*Table2[[#This Row],[UnitPrice]]</f>
        <v>117164.64000000001</v>
      </c>
      <c r="L2887" t="str">
        <f>IF(Table2[[#This Row],[CurrentStock]]&lt;=Table2[[#This Row],[ReorderLevel]], "Reorder Needed", "Okay")</f>
        <v>Okay</v>
      </c>
      <c r="M2887" t="str">
        <f>IF(Table2[[#This Row],[CurrentStock]]-Table2[[#This Row],[ReorderLevel]]&lt;0,Table2[[#This Row],[CurrentStock]]-Table2[[#This Row],[ReorderLevel]],"")</f>
        <v/>
      </c>
      <c r="N2887" t="str">
        <f>IF(Table2[[#This Row],[Stock Gap]]&lt;0, "Understock","Okay")</f>
        <v>Okay</v>
      </c>
      <c r="O2887" s="13" t="str">
        <f>IF(Table2[[#This Row],[Stock Gap]]&lt;0, "Yes", "No")</f>
        <v>No</v>
      </c>
      <c r="P2887" s="13" t="str">
        <f>IF(Table2[[#This Row],[CurrentStock]]&lt;Table2[[#This Row],[ReorderLevel]],"Reorder", "Okay")</f>
        <v>Okay</v>
      </c>
      <c r="Q2887" s="13" t="str">
        <f>IF(Table2[[#This Row],[CurrentStock]]&gt;Table2[[#This Row],[ReorderLevel]]*3, "Overstock", "Okay")</f>
        <v>Overstock</v>
      </c>
    </row>
    <row r="2888" spans="1:17" x14ac:dyDescent="0.35">
      <c r="A2888">
        <v>46036</v>
      </c>
      <c r="B2888" t="s">
        <v>14</v>
      </c>
      <c r="C2888" t="s">
        <v>28</v>
      </c>
      <c r="D2888">
        <v>148</v>
      </c>
      <c r="E2888">
        <v>150</v>
      </c>
      <c r="F2888" s="2">
        <v>132.62</v>
      </c>
      <c r="G2888" t="s">
        <v>31</v>
      </c>
      <c r="H2888" s="1">
        <v>45424</v>
      </c>
      <c r="I2888" s="1">
        <v>45443</v>
      </c>
      <c r="J2888" t="s">
        <v>36</v>
      </c>
      <c r="K2888" s="8">
        <f>Table2[[#This Row],[CurrentStock]]*Table2[[#This Row],[UnitPrice]]</f>
        <v>19627.760000000002</v>
      </c>
      <c r="L2888" t="str">
        <f>IF(Table2[[#This Row],[CurrentStock]]&lt;=Table2[[#This Row],[ReorderLevel]], "Reorder Needed", "Okay")</f>
        <v>Reorder Needed</v>
      </c>
      <c r="M2888" s="7">
        <f>IF(Table2[[#This Row],[CurrentStock]]-Table2[[#This Row],[ReorderLevel]]&lt;0,Table2[[#This Row],[CurrentStock]]-Table2[[#This Row],[ReorderLevel]],"")</f>
        <v>-2</v>
      </c>
      <c r="N2888" t="str">
        <f>IF(Table2[[#This Row],[Stock Gap]]&lt;0, "Understock","Okay")</f>
        <v>Understock</v>
      </c>
      <c r="O2888" s="13" t="str">
        <f>IF(Table2[[#This Row],[Stock Gap]]&lt;0, "Yes", "No")</f>
        <v>Yes</v>
      </c>
      <c r="P2888" s="13" t="str">
        <f>IF(Table2[[#This Row],[CurrentStock]]&lt;Table2[[#This Row],[ReorderLevel]],"Reorder", "Okay")</f>
        <v>Reorder</v>
      </c>
      <c r="Q2888" s="13" t="str">
        <f>IF(Table2[[#This Row],[CurrentStock]]&gt;Table2[[#This Row],[ReorderLevel]]*3, "Overstock", "Okay")</f>
        <v>Okay</v>
      </c>
    </row>
    <row r="2889" spans="1:17" x14ac:dyDescent="0.35">
      <c r="A2889">
        <v>69807</v>
      </c>
      <c r="B2889" t="s">
        <v>13</v>
      </c>
      <c r="C2889" t="s">
        <v>26</v>
      </c>
      <c r="D2889">
        <v>375</v>
      </c>
      <c r="E2889">
        <v>20</v>
      </c>
      <c r="F2889" s="2">
        <v>105.83</v>
      </c>
      <c r="G2889" t="s">
        <v>34</v>
      </c>
      <c r="H2889" s="1">
        <v>45633</v>
      </c>
      <c r="I2889" s="1">
        <v>45668</v>
      </c>
      <c r="J2889" t="s">
        <v>38</v>
      </c>
      <c r="K2889" s="8">
        <f>Table2[[#This Row],[CurrentStock]]*Table2[[#This Row],[UnitPrice]]</f>
        <v>39686.25</v>
      </c>
      <c r="L2889" t="str">
        <f>IF(Table2[[#This Row],[CurrentStock]]&lt;=Table2[[#This Row],[ReorderLevel]], "Reorder Needed", "Okay")</f>
        <v>Okay</v>
      </c>
      <c r="M2889" t="str">
        <f>IF(Table2[[#This Row],[CurrentStock]]-Table2[[#This Row],[ReorderLevel]]&lt;0,Table2[[#This Row],[CurrentStock]]-Table2[[#This Row],[ReorderLevel]],"")</f>
        <v/>
      </c>
      <c r="N2889" t="str">
        <f>IF(Table2[[#This Row],[Stock Gap]]&lt;0, "Understock","Okay")</f>
        <v>Okay</v>
      </c>
      <c r="O2889" s="13" t="str">
        <f>IF(Table2[[#This Row],[Stock Gap]]&lt;0, "Yes", "No")</f>
        <v>No</v>
      </c>
      <c r="P2889" s="13" t="str">
        <f>IF(Table2[[#This Row],[CurrentStock]]&lt;Table2[[#This Row],[ReorderLevel]],"Reorder", "Okay")</f>
        <v>Okay</v>
      </c>
      <c r="Q2889" s="13" t="str">
        <f>IF(Table2[[#This Row],[CurrentStock]]&gt;Table2[[#This Row],[ReorderLevel]]*3, "Overstock", "Okay")</f>
        <v>Overstock</v>
      </c>
    </row>
    <row r="2890" spans="1:17" x14ac:dyDescent="0.35">
      <c r="A2890">
        <v>97782</v>
      </c>
      <c r="B2890" t="s">
        <v>19</v>
      </c>
      <c r="C2890" t="s">
        <v>28</v>
      </c>
      <c r="D2890">
        <v>494</v>
      </c>
      <c r="E2890">
        <v>40</v>
      </c>
      <c r="F2890" s="2">
        <v>435.42</v>
      </c>
      <c r="G2890" t="s">
        <v>34</v>
      </c>
      <c r="H2890" s="1">
        <v>45589</v>
      </c>
      <c r="I2890" s="1">
        <v>45600</v>
      </c>
      <c r="J2890" t="s">
        <v>38</v>
      </c>
      <c r="K2890" s="8">
        <f>Table2[[#This Row],[CurrentStock]]*Table2[[#This Row],[UnitPrice]]</f>
        <v>215097.48</v>
      </c>
      <c r="L2890" t="str">
        <f>IF(Table2[[#This Row],[CurrentStock]]&lt;=Table2[[#This Row],[ReorderLevel]], "Reorder Needed", "Okay")</f>
        <v>Okay</v>
      </c>
      <c r="M2890" t="str">
        <f>IF(Table2[[#This Row],[CurrentStock]]-Table2[[#This Row],[ReorderLevel]]&lt;0,Table2[[#This Row],[CurrentStock]]-Table2[[#This Row],[ReorderLevel]],"")</f>
        <v/>
      </c>
      <c r="N2890" t="str">
        <f>IF(Table2[[#This Row],[Stock Gap]]&lt;0, "Understock","Okay")</f>
        <v>Okay</v>
      </c>
      <c r="O2890" s="13" t="str">
        <f>IF(Table2[[#This Row],[Stock Gap]]&lt;0, "Yes", "No")</f>
        <v>No</v>
      </c>
      <c r="P2890" s="13" t="str">
        <f>IF(Table2[[#This Row],[CurrentStock]]&lt;Table2[[#This Row],[ReorderLevel]],"Reorder", "Okay")</f>
        <v>Okay</v>
      </c>
      <c r="Q2890" s="13" t="str">
        <f>IF(Table2[[#This Row],[CurrentStock]]&gt;Table2[[#This Row],[ReorderLevel]]*3, "Overstock", "Okay")</f>
        <v>Overstock</v>
      </c>
    </row>
    <row r="2891" spans="1:17" x14ac:dyDescent="0.35">
      <c r="A2891">
        <v>99898</v>
      </c>
      <c r="B2891" t="s">
        <v>19</v>
      </c>
      <c r="C2891" t="s">
        <v>28</v>
      </c>
      <c r="D2891">
        <v>174</v>
      </c>
      <c r="E2891">
        <v>100</v>
      </c>
      <c r="F2891" s="2">
        <v>281.14999999999998</v>
      </c>
      <c r="G2891" t="s">
        <v>33</v>
      </c>
      <c r="H2891" s="1">
        <v>45351</v>
      </c>
      <c r="I2891" s="1">
        <v>45363</v>
      </c>
      <c r="J2891" t="s">
        <v>37</v>
      </c>
      <c r="K2891" s="8">
        <f>Table2[[#This Row],[CurrentStock]]*Table2[[#This Row],[UnitPrice]]</f>
        <v>48920.1</v>
      </c>
      <c r="L2891" t="str">
        <f>IF(Table2[[#This Row],[CurrentStock]]&lt;=Table2[[#This Row],[ReorderLevel]], "Reorder Needed", "Okay")</f>
        <v>Okay</v>
      </c>
      <c r="M2891" t="str">
        <f>IF(Table2[[#This Row],[CurrentStock]]-Table2[[#This Row],[ReorderLevel]]&lt;0,Table2[[#This Row],[CurrentStock]]-Table2[[#This Row],[ReorderLevel]],"")</f>
        <v/>
      </c>
      <c r="N2891" t="str">
        <f>IF(Table2[[#This Row],[Stock Gap]]&lt;0, "Understock","Okay")</f>
        <v>Okay</v>
      </c>
      <c r="O2891" s="13" t="str">
        <f>IF(Table2[[#This Row],[Stock Gap]]&lt;0, "Yes", "No")</f>
        <v>No</v>
      </c>
      <c r="P2891" s="13" t="str">
        <f>IF(Table2[[#This Row],[CurrentStock]]&lt;Table2[[#This Row],[ReorderLevel]],"Reorder", "Okay")</f>
        <v>Okay</v>
      </c>
      <c r="Q2891" s="13" t="str">
        <f>IF(Table2[[#This Row],[CurrentStock]]&gt;Table2[[#This Row],[ReorderLevel]]*3, "Overstock", "Okay")</f>
        <v>Okay</v>
      </c>
    </row>
    <row r="2892" spans="1:17" x14ac:dyDescent="0.35">
      <c r="A2892">
        <v>62073</v>
      </c>
      <c r="B2892" t="s">
        <v>15</v>
      </c>
      <c r="C2892" t="s">
        <v>29</v>
      </c>
      <c r="D2892">
        <v>239</v>
      </c>
      <c r="E2892">
        <v>20</v>
      </c>
      <c r="F2892" s="2">
        <v>237.85</v>
      </c>
      <c r="G2892" t="s">
        <v>34</v>
      </c>
      <c r="H2892" s="1">
        <v>45432</v>
      </c>
      <c r="I2892" s="1">
        <v>45440</v>
      </c>
      <c r="J2892" t="s">
        <v>36</v>
      </c>
      <c r="K2892" s="8">
        <f>Table2[[#This Row],[CurrentStock]]*Table2[[#This Row],[UnitPrice]]</f>
        <v>56846.15</v>
      </c>
      <c r="L2892" t="str">
        <f>IF(Table2[[#This Row],[CurrentStock]]&lt;=Table2[[#This Row],[ReorderLevel]], "Reorder Needed", "Okay")</f>
        <v>Okay</v>
      </c>
      <c r="M2892" t="str">
        <f>IF(Table2[[#This Row],[CurrentStock]]-Table2[[#This Row],[ReorderLevel]]&lt;0,Table2[[#This Row],[CurrentStock]]-Table2[[#This Row],[ReorderLevel]],"")</f>
        <v/>
      </c>
      <c r="N2892" t="str">
        <f>IF(Table2[[#This Row],[Stock Gap]]&lt;0, "Understock","Okay")</f>
        <v>Okay</v>
      </c>
      <c r="O2892" s="13" t="str">
        <f>IF(Table2[[#This Row],[Stock Gap]]&lt;0, "Yes", "No")</f>
        <v>No</v>
      </c>
      <c r="P2892" s="13" t="str">
        <f>IF(Table2[[#This Row],[CurrentStock]]&lt;Table2[[#This Row],[ReorderLevel]],"Reorder", "Okay")</f>
        <v>Okay</v>
      </c>
      <c r="Q2892" s="13" t="str">
        <f>IF(Table2[[#This Row],[CurrentStock]]&gt;Table2[[#This Row],[ReorderLevel]]*3, "Overstock", "Okay")</f>
        <v>Overstock</v>
      </c>
    </row>
    <row r="2893" spans="1:17" x14ac:dyDescent="0.35">
      <c r="A2893">
        <v>90468</v>
      </c>
      <c r="B2893" t="s">
        <v>10</v>
      </c>
      <c r="C2893" t="s">
        <v>26</v>
      </c>
      <c r="D2893">
        <v>316</v>
      </c>
      <c r="E2893">
        <v>20</v>
      </c>
      <c r="F2893" s="2">
        <v>161.34</v>
      </c>
      <c r="G2893" t="s">
        <v>32</v>
      </c>
      <c r="H2893" s="1">
        <v>45636</v>
      </c>
      <c r="I2893" s="1">
        <v>45645</v>
      </c>
      <c r="J2893" t="s">
        <v>36</v>
      </c>
      <c r="K2893" s="8">
        <f>Table2[[#This Row],[CurrentStock]]*Table2[[#This Row],[UnitPrice]]</f>
        <v>50983.44</v>
      </c>
      <c r="L2893" t="str">
        <f>IF(Table2[[#This Row],[CurrentStock]]&lt;=Table2[[#This Row],[ReorderLevel]], "Reorder Needed", "Okay")</f>
        <v>Okay</v>
      </c>
      <c r="M2893" t="str">
        <f>IF(Table2[[#This Row],[CurrentStock]]-Table2[[#This Row],[ReorderLevel]]&lt;0,Table2[[#This Row],[CurrentStock]]-Table2[[#This Row],[ReorderLevel]],"")</f>
        <v/>
      </c>
      <c r="N2893" t="str">
        <f>IF(Table2[[#This Row],[Stock Gap]]&lt;0, "Understock","Okay")</f>
        <v>Okay</v>
      </c>
      <c r="O2893" s="13" t="str">
        <f>IF(Table2[[#This Row],[Stock Gap]]&lt;0, "Yes", "No")</f>
        <v>No</v>
      </c>
      <c r="P2893" s="13" t="str">
        <f>IF(Table2[[#This Row],[CurrentStock]]&lt;Table2[[#This Row],[ReorderLevel]],"Reorder", "Okay")</f>
        <v>Okay</v>
      </c>
      <c r="Q2893" s="13" t="str">
        <f>IF(Table2[[#This Row],[CurrentStock]]&gt;Table2[[#This Row],[ReorderLevel]]*3, "Overstock", "Okay")</f>
        <v>Overstock</v>
      </c>
    </row>
    <row r="2894" spans="1:17" x14ac:dyDescent="0.35">
      <c r="A2894">
        <v>56760</v>
      </c>
      <c r="B2894" t="s">
        <v>13</v>
      </c>
      <c r="C2894" t="s">
        <v>26</v>
      </c>
      <c r="D2894">
        <v>249</v>
      </c>
      <c r="E2894">
        <v>80</v>
      </c>
      <c r="F2894" s="2">
        <v>126.48</v>
      </c>
      <c r="G2894" t="s">
        <v>35</v>
      </c>
      <c r="H2894" s="1">
        <v>45592</v>
      </c>
      <c r="I2894" s="1">
        <v>45613</v>
      </c>
      <c r="J2894" t="s">
        <v>36</v>
      </c>
      <c r="K2894" s="8">
        <f>Table2[[#This Row],[CurrentStock]]*Table2[[#This Row],[UnitPrice]]</f>
        <v>31493.52</v>
      </c>
      <c r="L2894" t="str">
        <f>IF(Table2[[#This Row],[CurrentStock]]&lt;=Table2[[#This Row],[ReorderLevel]], "Reorder Needed", "Okay")</f>
        <v>Okay</v>
      </c>
      <c r="M2894" t="str">
        <f>IF(Table2[[#This Row],[CurrentStock]]-Table2[[#This Row],[ReorderLevel]]&lt;0,Table2[[#This Row],[CurrentStock]]-Table2[[#This Row],[ReorderLevel]],"")</f>
        <v/>
      </c>
      <c r="N2894" t="str">
        <f>IF(Table2[[#This Row],[Stock Gap]]&lt;0, "Understock","Okay")</f>
        <v>Okay</v>
      </c>
      <c r="O2894" s="13" t="str">
        <f>IF(Table2[[#This Row],[Stock Gap]]&lt;0, "Yes", "No")</f>
        <v>No</v>
      </c>
      <c r="P2894" s="13" t="str">
        <f>IF(Table2[[#This Row],[CurrentStock]]&lt;Table2[[#This Row],[ReorderLevel]],"Reorder", "Okay")</f>
        <v>Okay</v>
      </c>
      <c r="Q2894" s="13" t="str">
        <f>IF(Table2[[#This Row],[CurrentStock]]&gt;Table2[[#This Row],[ReorderLevel]]*3, "Overstock", "Okay")</f>
        <v>Overstock</v>
      </c>
    </row>
    <row r="2895" spans="1:17" x14ac:dyDescent="0.35">
      <c r="A2895">
        <v>34610</v>
      </c>
      <c r="B2895" t="s">
        <v>14</v>
      </c>
      <c r="C2895" t="s">
        <v>28</v>
      </c>
      <c r="D2895">
        <v>100</v>
      </c>
      <c r="E2895">
        <v>150</v>
      </c>
      <c r="F2895" s="2">
        <v>156.19</v>
      </c>
      <c r="G2895" t="s">
        <v>35</v>
      </c>
      <c r="H2895" s="1">
        <v>45620</v>
      </c>
      <c r="I2895" s="1">
        <v>45635</v>
      </c>
      <c r="J2895" t="s">
        <v>36</v>
      </c>
      <c r="K2895" s="8">
        <f>Table2[[#This Row],[CurrentStock]]*Table2[[#This Row],[UnitPrice]]</f>
        <v>15619</v>
      </c>
      <c r="L2895" t="str">
        <f>IF(Table2[[#This Row],[CurrentStock]]&lt;=Table2[[#This Row],[ReorderLevel]], "Reorder Needed", "Okay")</f>
        <v>Reorder Needed</v>
      </c>
      <c r="M2895" s="7">
        <f>IF(Table2[[#This Row],[CurrentStock]]-Table2[[#This Row],[ReorderLevel]]&lt;0,Table2[[#This Row],[CurrentStock]]-Table2[[#This Row],[ReorderLevel]],"")</f>
        <v>-50</v>
      </c>
      <c r="N2895" t="str">
        <f>IF(Table2[[#This Row],[Stock Gap]]&lt;0, "Understock","Okay")</f>
        <v>Understock</v>
      </c>
      <c r="O2895" s="13" t="str">
        <f>IF(Table2[[#This Row],[Stock Gap]]&lt;0, "Yes", "No")</f>
        <v>Yes</v>
      </c>
      <c r="P2895" s="13" t="str">
        <f>IF(Table2[[#This Row],[CurrentStock]]&lt;Table2[[#This Row],[ReorderLevel]],"Reorder", "Okay")</f>
        <v>Reorder</v>
      </c>
      <c r="Q2895" s="13" t="str">
        <f>IF(Table2[[#This Row],[CurrentStock]]&gt;Table2[[#This Row],[ReorderLevel]]*3, "Overstock", "Okay")</f>
        <v>Okay</v>
      </c>
    </row>
    <row r="2896" spans="1:17" x14ac:dyDescent="0.35">
      <c r="A2896">
        <v>35380</v>
      </c>
      <c r="B2896" t="s">
        <v>10</v>
      </c>
      <c r="C2896" t="s">
        <v>26</v>
      </c>
      <c r="D2896">
        <v>206</v>
      </c>
      <c r="E2896">
        <v>80</v>
      </c>
      <c r="F2896" s="2">
        <v>39.47</v>
      </c>
      <c r="G2896" t="s">
        <v>33</v>
      </c>
      <c r="H2896" s="1">
        <v>45597</v>
      </c>
      <c r="I2896" s="1">
        <v>45625</v>
      </c>
      <c r="J2896" t="s">
        <v>37</v>
      </c>
      <c r="K2896" s="8">
        <f>Table2[[#This Row],[CurrentStock]]*Table2[[#This Row],[UnitPrice]]</f>
        <v>8130.82</v>
      </c>
      <c r="L2896" t="str">
        <f>IF(Table2[[#This Row],[CurrentStock]]&lt;=Table2[[#This Row],[ReorderLevel]], "Reorder Needed", "Okay")</f>
        <v>Okay</v>
      </c>
      <c r="M2896" t="str">
        <f>IF(Table2[[#This Row],[CurrentStock]]-Table2[[#This Row],[ReorderLevel]]&lt;0,Table2[[#This Row],[CurrentStock]]-Table2[[#This Row],[ReorderLevel]],"")</f>
        <v/>
      </c>
      <c r="N2896" t="str">
        <f>IF(Table2[[#This Row],[Stock Gap]]&lt;0, "Understock","Okay")</f>
        <v>Okay</v>
      </c>
      <c r="O2896" s="13" t="str">
        <f>IF(Table2[[#This Row],[Stock Gap]]&lt;0, "Yes", "No")</f>
        <v>No</v>
      </c>
      <c r="P2896" s="13" t="str">
        <f>IF(Table2[[#This Row],[CurrentStock]]&lt;Table2[[#This Row],[ReorderLevel]],"Reorder", "Okay")</f>
        <v>Okay</v>
      </c>
      <c r="Q2896" s="13" t="str">
        <f>IF(Table2[[#This Row],[CurrentStock]]&gt;Table2[[#This Row],[ReorderLevel]]*3, "Overstock", "Okay")</f>
        <v>Okay</v>
      </c>
    </row>
    <row r="2897" spans="1:17" x14ac:dyDescent="0.35">
      <c r="A2897">
        <v>59108</v>
      </c>
      <c r="B2897" t="s">
        <v>19</v>
      </c>
      <c r="C2897" t="s">
        <v>28</v>
      </c>
      <c r="D2897">
        <v>442</v>
      </c>
      <c r="E2897">
        <v>150</v>
      </c>
      <c r="F2897" s="2">
        <v>392.34</v>
      </c>
      <c r="G2897" t="s">
        <v>32</v>
      </c>
      <c r="H2897" s="1">
        <v>45614</v>
      </c>
      <c r="I2897" s="1">
        <v>45620</v>
      </c>
      <c r="J2897" t="s">
        <v>38</v>
      </c>
      <c r="K2897" s="8">
        <f>Table2[[#This Row],[CurrentStock]]*Table2[[#This Row],[UnitPrice]]</f>
        <v>173414.28</v>
      </c>
      <c r="L2897" t="str">
        <f>IF(Table2[[#This Row],[CurrentStock]]&lt;=Table2[[#This Row],[ReorderLevel]], "Reorder Needed", "Okay")</f>
        <v>Okay</v>
      </c>
      <c r="M2897" t="str">
        <f>IF(Table2[[#This Row],[CurrentStock]]-Table2[[#This Row],[ReorderLevel]]&lt;0,Table2[[#This Row],[CurrentStock]]-Table2[[#This Row],[ReorderLevel]],"")</f>
        <v/>
      </c>
      <c r="N2897" t="str">
        <f>IF(Table2[[#This Row],[Stock Gap]]&lt;0, "Understock","Okay")</f>
        <v>Okay</v>
      </c>
      <c r="O2897" s="13" t="str">
        <f>IF(Table2[[#This Row],[Stock Gap]]&lt;0, "Yes", "No")</f>
        <v>No</v>
      </c>
      <c r="P2897" s="13" t="str">
        <f>IF(Table2[[#This Row],[CurrentStock]]&lt;Table2[[#This Row],[ReorderLevel]],"Reorder", "Okay")</f>
        <v>Okay</v>
      </c>
      <c r="Q2897" s="13" t="str">
        <f>IF(Table2[[#This Row],[CurrentStock]]&gt;Table2[[#This Row],[ReorderLevel]]*3, "Overstock", "Okay")</f>
        <v>Okay</v>
      </c>
    </row>
    <row r="2898" spans="1:17" x14ac:dyDescent="0.35">
      <c r="A2898">
        <v>70548</v>
      </c>
      <c r="B2898" t="s">
        <v>14</v>
      </c>
      <c r="C2898" t="s">
        <v>28</v>
      </c>
      <c r="D2898">
        <v>155</v>
      </c>
      <c r="E2898">
        <v>80</v>
      </c>
      <c r="F2898" s="2">
        <v>228.44</v>
      </c>
      <c r="G2898" t="s">
        <v>34</v>
      </c>
      <c r="H2898" s="1">
        <v>45575</v>
      </c>
      <c r="I2898" s="1">
        <v>45605</v>
      </c>
      <c r="J2898" t="s">
        <v>38</v>
      </c>
      <c r="K2898" s="8">
        <f>Table2[[#This Row],[CurrentStock]]*Table2[[#This Row],[UnitPrice]]</f>
        <v>35408.199999999997</v>
      </c>
      <c r="L2898" t="str">
        <f>IF(Table2[[#This Row],[CurrentStock]]&lt;=Table2[[#This Row],[ReorderLevel]], "Reorder Needed", "Okay")</f>
        <v>Okay</v>
      </c>
      <c r="M2898" t="str">
        <f>IF(Table2[[#This Row],[CurrentStock]]-Table2[[#This Row],[ReorderLevel]]&lt;0,Table2[[#This Row],[CurrentStock]]-Table2[[#This Row],[ReorderLevel]],"")</f>
        <v/>
      </c>
      <c r="N2898" t="str">
        <f>IF(Table2[[#This Row],[Stock Gap]]&lt;0, "Understock","Okay")</f>
        <v>Okay</v>
      </c>
      <c r="O2898" s="13" t="str">
        <f>IF(Table2[[#This Row],[Stock Gap]]&lt;0, "Yes", "No")</f>
        <v>No</v>
      </c>
      <c r="P2898" s="13" t="str">
        <f>IF(Table2[[#This Row],[CurrentStock]]&lt;Table2[[#This Row],[ReorderLevel]],"Reorder", "Okay")</f>
        <v>Okay</v>
      </c>
      <c r="Q2898" s="13" t="str">
        <f>IF(Table2[[#This Row],[CurrentStock]]&gt;Table2[[#This Row],[ReorderLevel]]*3, "Overstock", "Okay")</f>
        <v>Okay</v>
      </c>
    </row>
    <row r="2899" spans="1:17" x14ac:dyDescent="0.35">
      <c r="A2899">
        <v>81739</v>
      </c>
      <c r="B2899" t="s">
        <v>15</v>
      </c>
      <c r="C2899" t="s">
        <v>29</v>
      </c>
      <c r="D2899">
        <v>424</v>
      </c>
      <c r="E2899">
        <v>50</v>
      </c>
      <c r="F2899" s="2">
        <v>79.569999999999993</v>
      </c>
      <c r="G2899" t="s">
        <v>34</v>
      </c>
      <c r="H2899" s="1">
        <v>45631</v>
      </c>
      <c r="I2899" s="1">
        <v>45662</v>
      </c>
      <c r="J2899" t="s">
        <v>37</v>
      </c>
      <c r="K2899" s="8">
        <f>Table2[[#This Row],[CurrentStock]]*Table2[[#This Row],[UnitPrice]]</f>
        <v>33737.68</v>
      </c>
      <c r="L2899" t="str">
        <f>IF(Table2[[#This Row],[CurrentStock]]&lt;=Table2[[#This Row],[ReorderLevel]], "Reorder Needed", "Okay")</f>
        <v>Okay</v>
      </c>
      <c r="M2899" t="str">
        <f>IF(Table2[[#This Row],[CurrentStock]]-Table2[[#This Row],[ReorderLevel]]&lt;0,Table2[[#This Row],[CurrentStock]]-Table2[[#This Row],[ReorderLevel]],"")</f>
        <v/>
      </c>
      <c r="N2899" t="str">
        <f>IF(Table2[[#This Row],[Stock Gap]]&lt;0, "Understock","Okay")</f>
        <v>Okay</v>
      </c>
      <c r="O2899" s="13" t="str">
        <f>IF(Table2[[#This Row],[Stock Gap]]&lt;0, "Yes", "No")</f>
        <v>No</v>
      </c>
      <c r="P2899" s="13" t="str">
        <f>IF(Table2[[#This Row],[CurrentStock]]&lt;Table2[[#This Row],[ReorderLevel]],"Reorder", "Okay")</f>
        <v>Okay</v>
      </c>
      <c r="Q2899" s="13" t="str">
        <f>IF(Table2[[#This Row],[CurrentStock]]&gt;Table2[[#This Row],[ReorderLevel]]*3, "Overstock", "Okay")</f>
        <v>Overstock</v>
      </c>
    </row>
    <row r="2900" spans="1:17" x14ac:dyDescent="0.35">
      <c r="A2900">
        <v>66257</v>
      </c>
      <c r="B2900" t="s">
        <v>24</v>
      </c>
      <c r="C2900" t="s">
        <v>30</v>
      </c>
      <c r="D2900">
        <v>125</v>
      </c>
      <c r="E2900">
        <v>40</v>
      </c>
      <c r="F2900" s="2">
        <v>245.7</v>
      </c>
      <c r="G2900" t="s">
        <v>31</v>
      </c>
      <c r="H2900" s="1">
        <v>45574</v>
      </c>
      <c r="I2900" s="1">
        <v>45591</v>
      </c>
      <c r="J2900" t="s">
        <v>37</v>
      </c>
      <c r="K2900" s="8">
        <f>Table2[[#This Row],[CurrentStock]]*Table2[[#This Row],[UnitPrice]]</f>
        <v>30712.5</v>
      </c>
      <c r="L2900" t="str">
        <f>IF(Table2[[#This Row],[CurrentStock]]&lt;=Table2[[#This Row],[ReorderLevel]], "Reorder Needed", "Okay")</f>
        <v>Okay</v>
      </c>
      <c r="M2900" t="str">
        <f>IF(Table2[[#This Row],[CurrentStock]]-Table2[[#This Row],[ReorderLevel]]&lt;0,Table2[[#This Row],[CurrentStock]]-Table2[[#This Row],[ReorderLevel]],"")</f>
        <v/>
      </c>
      <c r="N2900" t="str">
        <f>IF(Table2[[#This Row],[Stock Gap]]&lt;0, "Understock","Okay")</f>
        <v>Okay</v>
      </c>
      <c r="O2900" s="13" t="str">
        <f>IF(Table2[[#This Row],[Stock Gap]]&lt;0, "Yes", "No")</f>
        <v>No</v>
      </c>
      <c r="P2900" s="13" t="str">
        <f>IF(Table2[[#This Row],[CurrentStock]]&lt;Table2[[#This Row],[ReorderLevel]],"Reorder", "Okay")</f>
        <v>Okay</v>
      </c>
      <c r="Q2900" s="13" t="str">
        <f>IF(Table2[[#This Row],[CurrentStock]]&gt;Table2[[#This Row],[ReorderLevel]]*3, "Overstock", "Okay")</f>
        <v>Overstock</v>
      </c>
    </row>
    <row r="2901" spans="1:17" x14ac:dyDescent="0.35">
      <c r="A2901">
        <v>89029</v>
      </c>
      <c r="B2901" t="s">
        <v>19</v>
      </c>
      <c r="C2901" t="s">
        <v>28</v>
      </c>
      <c r="D2901">
        <v>318</v>
      </c>
      <c r="E2901">
        <v>100</v>
      </c>
      <c r="F2901" s="2">
        <v>136.78</v>
      </c>
      <c r="G2901" t="s">
        <v>33</v>
      </c>
      <c r="H2901" s="1">
        <v>45518</v>
      </c>
      <c r="I2901" s="1">
        <v>45525</v>
      </c>
      <c r="J2901" t="s">
        <v>37</v>
      </c>
      <c r="K2901" s="8">
        <f>Table2[[#This Row],[CurrentStock]]*Table2[[#This Row],[UnitPrice]]</f>
        <v>43496.04</v>
      </c>
      <c r="L2901" t="str">
        <f>IF(Table2[[#This Row],[CurrentStock]]&lt;=Table2[[#This Row],[ReorderLevel]], "Reorder Needed", "Okay")</f>
        <v>Okay</v>
      </c>
      <c r="M2901" t="str">
        <f>IF(Table2[[#This Row],[CurrentStock]]-Table2[[#This Row],[ReorderLevel]]&lt;0,Table2[[#This Row],[CurrentStock]]-Table2[[#This Row],[ReorderLevel]],"")</f>
        <v/>
      </c>
      <c r="N2901" t="str">
        <f>IF(Table2[[#This Row],[Stock Gap]]&lt;0, "Understock","Okay")</f>
        <v>Okay</v>
      </c>
      <c r="O2901" s="13" t="str">
        <f>IF(Table2[[#This Row],[Stock Gap]]&lt;0, "Yes", "No")</f>
        <v>No</v>
      </c>
      <c r="P2901" s="13" t="str">
        <f>IF(Table2[[#This Row],[CurrentStock]]&lt;Table2[[#This Row],[ReorderLevel]],"Reorder", "Okay")</f>
        <v>Okay</v>
      </c>
      <c r="Q2901" s="13" t="str">
        <f>IF(Table2[[#This Row],[CurrentStock]]&gt;Table2[[#This Row],[ReorderLevel]]*3, "Overstock", "Okay")</f>
        <v>Overstock</v>
      </c>
    </row>
    <row r="2902" spans="1:17" x14ac:dyDescent="0.35">
      <c r="A2902">
        <v>51849</v>
      </c>
      <c r="B2902" t="s">
        <v>15</v>
      </c>
      <c r="C2902" t="s">
        <v>29</v>
      </c>
      <c r="D2902">
        <v>202</v>
      </c>
      <c r="E2902">
        <v>30</v>
      </c>
      <c r="F2902" s="2">
        <v>309.56</v>
      </c>
      <c r="G2902" t="s">
        <v>31</v>
      </c>
      <c r="H2902" s="1">
        <v>45558</v>
      </c>
      <c r="I2902" s="1">
        <v>45568</v>
      </c>
      <c r="J2902" t="s">
        <v>38</v>
      </c>
      <c r="K2902" s="8">
        <f>Table2[[#This Row],[CurrentStock]]*Table2[[#This Row],[UnitPrice]]</f>
        <v>62531.12</v>
      </c>
      <c r="L2902" t="str">
        <f>IF(Table2[[#This Row],[CurrentStock]]&lt;=Table2[[#This Row],[ReorderLevel]], "Reorder Needed", "Okay")</f>
        <v>Okay</v>
      </c>
      <c r="M2902" t="str">
        <f>IF(Table2[[#This Row],[CurrentStock]]-Table2[[#This Row],[ReorderLevel]]&lt;0,Table2[[#This Row],[CurrentStock]]-Table2[[#This Row],[ReorderLevel]],"")</f>
        <v/>
      </c>
      <c r="N2902" t="str">
        <f>IF(Table2[[#This Row],[Stock Gap]]&lt;0, "Understock","Okay")</f>
        <v>Okay</v>
      </c>
      <c r="O2902" s="13" t="str">
        <f>IF(Table2[[#This Row],[Stock Gap]]&lt;0, "Yes", "No")</f>
        <v>No</v>
      </c>
      <c r="P2902" s="13" t="str">
        <f>IF(Table2[[#This Row],[CurrentStock]]&lt;Table2[[#This Row],[ReorderLevel]],"Reorder", "Okay")</f>
        <v>Okay</v>
      </c>
      <c r="Q2902" s="13" t="str">
        <f>IF(Table2[[#This Row],[CurrentStock]]&gt;Table2[[#This Row],[ReorderLevel]]*3, "Overstock", "Okay")</f>
        <v>Overstock</v>
      </c>
    </row>
    <row r="2903" spans="1:17" x14ac:dyDescent="0.35">
      <c r="A2903">
        <v>85772</v>
      </c>
      <c r="B2903" t="s">
        <v>13</v>
      </c>
      <c r="C2903" t="s">
        <v>26</v>
      </c>
      <c r="D2903">
        <v>462</v>
      </c>
      <c r="E2903">
        <v>40</v>
      </c>
      <c r="F2903" s="2">
        <v>289.54000000000002</v>
      </c>
      <c r="G2903" t="s">
        <v>34</v>
      </c>
      <c r="H2903" s="1">
        <v>45325</v>
      </c>
      <c r="I2903" s="1">
        <v>45359</v>
      </c>
      <c r="J2903" t="s">
        <v>37</v>
      </c>
      <c r="K2903" s="8">
        <f>Table2[[#This Row],[CurrentStock]]*Table2[[#This Row],[UnitPrice]]</f>
        <v>133767.48000000001</v>
      </c>
      <c r="L2903" t="str">
        <f>IF(Table2[[#This Row],[CurrentStock]]&lt;=Table2[[#This Row],[ReorderLevel]], "Reorder Needed", "Okay")</f>
        <v>Okay</v>
      </c>
      <c r="M2903" t="str">
        <f>IF(Table2[[#This Row],[CurrentStock]]-Table2[[#This Row],[ReorderLevel]]&lt;0,Table2[[#This Row],[CurrentStock]]-Table2[[#This Row],[ReorderLevel]],"")</f>
        <v/>
      </c>
      <c r="N2903" t="str">
        <f>IF(Table2[[#This Row],[Stock Gap]]&lt;0, "Understock","Okay")</f>
        <v>Okay</v>
      </c>
      <c r="O2903" s="13" t="str">
        <f>IF(Table2[[#This Row],[Stock Gap]]&lt;0, "Yes", "No")</f>
        <v>No</v>
      </c>
      <c r="P2903" s="13" t="str">
        <f>IF(Table2[[#This Row],[CurrentStock]]&lt;Table2[[#This Row],[ReorderLevel]],"Reorder", "Okay")</f>
        <v>Okay</v>
      </c>
      <c r="Q2903" s="13" t="str">
        <f>IF(Table2[[#This Row],[CurrentStock]]&gt;Table2[[#This Row],[ReorderLevel]]*3, "Overstock", "Okay")</f>
        <v>Overstock</v>
      </c>
    </row>
    <row r="2904" spans="1:17" x14ac:dyDescent="0.35">
      <c r="A2904">
        <v>88132</v>
      </c>
      <c r="B2904" t="s">
        <v>12</v>
      </c>
      <c r="C2904" t="s">
        <v>28</v>
      </c>
      <c r="D2904">
        <v>110</v>
      </c>
      <c r="E2904">
        <v>20</v>
      </c>
      <c r="F2904" s="2">
        <v>353</v>
      </c>
      <c r="G2904" t="s">
        <v>33</v>
      </c>
      <c r="H2904" s="1">
        <v>45600</v>
      </c>
      <c r="I2904" s="1">
        <v>45611</v>
      </c>
      <c r="J2904" t="s">
        <v>36</v>
      </c>
      <c r="K2904" s="8">
        <f>Table2[[#This Row],[CurrentStock]]*Table2[[#This Row],[UnitPrice]]</f>
        <v>38830</v>
      </c>
      <c r="L2904" t="str">
        <f>IF(Table2[[#This Row],[CurrentStock]]&lt;=Table2[[#This Row],[ReorderLevel]], "Reorder Needed", "Okay")</f>
        <v>Okay</v>
      </c>
      <c r="M2904" t="str">
        <f>IF(Table2[[#This Row],[CurrentStock]]-Table2[[#This Row],[ReorderLevel]]&lt;0,Table2[[#This Row],[CurrentStock]]-Table2[[#This Row],[ReorderLevel]],"")</f>
        <v/>
      </c>
      <c r="N2904" t="str">
        <f>IF(Table2[[#This Row],[Stock Gap]]&lt;0, "Understock","Okay")</f>
        <v>Okay</v>
      </c>
      <c r="O2904" s="13" t="str">
        <f>IF(Table2[[#This Row],[Stock Gap]]&lt;0, "Yes", "No")</f>
        <v>No</v>
      </c>
      <c r="P2904" s="13" t="str">
        <f>IF(Table2[[#This Row],[CurrentStock]]&lt;Table2[[#This Row],[ReorderLevel]],"Reorder", "Okay")</f>
        <v>Okay</v>
      </c>
      <c r="Q2904" s="13" t="str">
        <f>IF(Table2[[#This Row],[CurrentStock]]&gt;Table2[[#This Row],[ReorderLevel]]*3, "Overstock", "Okay")</f>
        <v>Overstock</v>
      </c>
    </row>
    <row r="2905" spans="1:17" x14ac:dyDescent="0.35">
      <c r="A2905">
        <v>67781</v>
      </c>
      <c r="B2905" t="s">
        <v>12</v>
      </c>
      <c r="C2905" t="s">
        <v>28</v>
      </c>
      <c r="D2905">
        <v>321</v>
      </c>
      <c r="E2905">
        <v>30</v>
      </c>
      <c r="F2905" s="2">
        <v>351.56</v>
      </c>
      <c r="G2905" t="s">
        <v>34</v>
      </c>
      <c r="H2905" s="1">
        <v>45507</v>
      </c>
      <c r="I2905" s="1">
        <v>45520</v>
      </c>
      <c r="J2905" t="s">
        <v>38</v>
      </c>
      <c r="K2905" s="8">
        <f>Table2[[#This Row],[CurrentStock]]*Table2[[#This Row],[UnitPrice]]</f>
        <v>112850.76</v>
      </c>
      <c r="L2905" t="str">
        <f>IF(Table2[[#This Row],[CurrentStock]]&lt;=Table2[[#This Row],[ReorderLevel]], "Reorder Needed", "Okay")</f>
        <v>Okay</v>
      </c>
      <c r="M2905" t="str">
        <f>IF(Table2[[#This Row],[CurrentStock]]-Table2[[#This Row],[ReorderLevel]]&lt;0,Table2[[#This Row],[CurrentStock]]-Table2[[#This Row],[ReorderLevel]],"")</f>
        <v/>
      </c>
      <c r="N2905" t="str">
        <f>IF(Table2[[#This Row],[Stock Gap]]&lt;0, "Understock","Okay")</f>
        <v>Okay</v>
      </c>
      <c r="O2905" s="13" t="str">
        <f>IF(Table2[[#This Row],[Stock Gap]]&lt;0, "Yes", "No")</f>
        <v>No</v>
      </c>
      <c r="P2905" s="13" t="str">
        <f>IF(Table2[[#This Row],[CurrentStock]]&lt;Table2[[#This Row],[ReorderLevel]],"Reorder", "Okay")</f>
        <v>Okay</v>
      </c>
      <c r="Q2905" s="13" t="str">
        <f>IF(Table2[[#This Row],[CurrentStock]]&gt;Table2[[#This Row],[ReorderLevel]]*3, "Overstock", "Okay")</f>
        <v>Overstock</v>
      </c>
    </row>
    <row r="2906" spans="1:17" x14ac:dyDescent="0.35">
      <c r="A2906">
        <v>63492</v>
      </c>
      <c r="B2906" t="s">
        <v>21</v>
      </c>
      <c r="C2906" t="s">
        <v>26</v>
      </c>
      <c r="D2906">
        <v>270</v>
      </c>
      <c r="E2906">
        <v>150</v>
      </c>
      <c r="F2906" s="2">
        <v>194.34</v>
      </c>
      <c r="G2906" t="s">
        <v>35</v>
      </c>
      <c r="H2906" s="1">
        <v>45412</v>
      </c>
      <c r="I2906" s="1">
        <v>45439</v>
      </c>
      <c r="J2906" t="s">
        <v>38</v>
      </c>
      <c r="K2906" s="8">
        <f>Table2[[#This Row],[CurrentStock]]*Table2[[#This Row],[UnitPrice]]</f>
        <v>52471.8</v>
      </c>
      <c r="L2906" t="str">
        <f>IF(Table2[[#This Row],[CurrentStock]]&lt;=Table2[[#This Row],[ReorderLevel]], "Reorder Needed", "Okay")</f>
        <v>Okay</v>
      </c>
      <c r="M2906" t="str">
        <f>IF(Table2[[#This Row],[CurrentStock]]-Table2[[#This Row],[ReorderLevel]]&lt;0,Table2[[#This Row],[CurrentStock]]-Table2[[#This Row],[ReorderLevel]],"")</f>
        <v/>
      </c>
      <c r="N2906" t="str">
        <f>IF(Table2[[#This Row],[Stock Gap]]&lt;0, "Understock","Okay")</f>
        <v>Okay</v>
      </c>
      <c r="O2906" s="13" t="str">
        <f>IF(Table2[[#This Row],[Stock Gap]]&lt;0, "Yes", "No")</f>
        <v>No</v>
      </c>
      <c r="P2906" s="13" t="str">
        <f>IF(Table2[[#This Row],[CurrentStock]]&lt;Table2[[#This Row],[ReorderLevel]],"Reorder", "Okay")</f>
        <v>Okay</v>
      </c>
      <c r="Q2906" s="13" t="str">
        <f>IF(Table2[[#This Row],[CurrentStock]]&gt;Table2[[#This Row],[ReorderLevel]]*3, "Overstock", "Okay")</f>
        <v>Okay</v>
      </c>
    </row>
    <row r="2907" spans="1:17" x14ac:dyDescent="0.35">
      <c r="A2907">
        <v>58481</v>
      </c>
      <c r="B2907" t="s">
        <v>13</v>
      </c>
      <c r="C2907" t="s">
        <v>26</v>
      </c>
      <c r="D2907">
        <v>136</v>
      </c>
      <c r="E2907">
        <v>30</v>
      </c>
      <c r="F2907" s="2">
        <v>432.77</v>
      </c>
      <c r="G2907" t="s">
        <v>32</v>
      </c>
      <c r="H2907" s="1">
        <v>45436</v>
      </c>
      <c r="I2907" s="1">
        <v>45448</v>
      </c>
      <c r="J2907" t="s">
        <v>36</v>
      </c>
      <c r="K2907" s="8">
        <f>Table2[[#This Row],[CurrentStock]]*Table2[[#This Row],[UnitPrice]]</f>
        <v>58856.72</v>
      </c>
      <c r="L2907" t="str">
        <f>IF(Table2[[#This Row],[CurrentStock]]&lt;=Table2[[#This Row],[ReorderLevel]], "Reorder Needed", "Okay")</f>
        <v>Okay</v>
      </c>
      <c r="M2907" t="str">
        <f>IF(Table2[[#This Row],[CurrentStock]]-Table2[[#This Row],[ReorderLevel]]&lt;0,Table2[[#This Row],[CurrentStock]]-Table2[[#This Row],[ReorderLevel]],"")</f>
        <v/>
      </c>
      <c r="N2907" t="str">
        <f>IF(Table2[[#This Row],[Stock Gap]]&lt;0, "Understock","Okay")</f>
        <v>Okay</v>
      </c>
      <c r="O2907" s="13" t="str">
        <f>IF(Table2[[#This Row],[Stock Gap]]&lt;0, "Yes", "No")</f>
        <v>No</v>
      </c>
      <c r="P2907" s="13" t="str">
        <f>IF(Table2[[#This Row],[CurrentStock]]&lt;Table2[[#This Row],[ReorderLevel]],"Reorder", "Okay")</f>
        <v>Okay</v>
      </c>
      <c r="Q2907" s="13" t="str">
        <f>IF(Table2[[#This Row],[CurrentStock]]&gt;Table2[[#This Row],[ReorderLevel]]*3, "Overstock", "Okay")</f>
        <v>Overstock</v>
      </c>
    </row>
    <row r="2908" spans="1:17" x14ac:dyDescent="0.35">
      <c r="A2908">
        <v>75015</v>
      </c>
      <c r="B2908" t="s">
        <v>9</v>
      </c>
      <c r="C2908" t="s">
        <v>26</v>
      </c>
      <c r="D2908">
        <v>445</v>
      </c>
      <c r="E2908">
        <v>50</v>
      </c>
      <c r="F2908" s="2">
        <v>364.15</v>
      </c>
      <c r="G2908" t="s">
        <v>35</v>
      </c>
      <c r="H2908" s="1">
        <v>45343</v>
      </c>
      <c r="I2908" s="1">
        <v>45349</v>
      </c>
      <c r="J2908" t="s">
        <v>38</v>
      </c>
      <c r="K2908" s="8">
        <f>Table2[[#This Row],[CurrentStock]]*Table2[[#This Row],[UnitPrice]]</f>
        <v>162046.75</v>
      </c>
      <c r="L2908" t="str">
        <f>IF(Table2[[#This Row],[CurrentStock]]&lt;=Table2[[#This Row],[ReorderLevel]], "Reorder Needed", "Okay")</f>
        <v>Okay</v>
      </c>
      <c r="M2908" t="str">
        <f>IF(Table2[[#This Row],[CurrentStock]]-Table2[[#This Row],[ReorderLevel]]&lt;0,Table2[[#This Row],[CurrentStock]]-Table2[[#This Row],[ReorderLevel]],"")</f>
        <v/>
      </c>
      <c r="N2908" t="str">
        <f>IF(Table2[[#This Row],[Stock Gap]]&lt;0, "Understock","Okay")</f>
        <v>Okay</v>
      </c>
      <c r="O2908" s="13" t="str">
        <f>IF(Table2[[#This Row],[Stock Gap]]&lt;0, "Yes", "No")</f>
        <v>No</v>
      </c>
      <c r="P2908" s="13" t="str">
        <f>IF(Table2[[#This Row],[CurrentStock]]&lt;Table2[[#This Row],[ReorderLevel]],"Reorder", "Okay")</f>
        <v>Okay</v>
      </c>
      <c r="Q2908" s="13" t="str">
        <f>IF(Table2[[#This Row],[CurrentStock]]&gt;Table2[[#This Row],[ReorderLevel]]*3, "Overstock", "Okay")</f>
        <v>Overstock</v>
      </c>
    </row>
    <row r="2909" spans="1:17" x14ac:dyDescent="0.35">
      <c r="A2909">
        <v>21358</v>
      </c>
      <c r="B2909" t="s">
        <v>9</v>
      </c>
      <c r="C2909" t="s">
        <v>26</v>
      </c>
      <c r="D2909">
        <v>179</v>
      </c>
      <c r="E2909">
        <v>150</v>
      </c>
      <c r="F2909" s="2">
        <v>261.8</v>
      </c>
      <c r="G2909" t="s">
        <v>31</v>
      </c>
      <c r="H2909" s="1">
        <v>45412</v>
      </c>
      <c r="I2909" s="1">
        <v>45450</v>
      </c>
      <c r="J2909" t="s">
        <v>37</v>
      </c>
      <c r="K2909" s="8">
        <f>Table2[[#This Row],[CurrentStock]]*Table2[[#This Row],[UnitPrice]]</f>
        <v>46862.200000000004</v>
      </c>
      <c r="L2909" t="str">
        <f>IF(Table2[[#This Row],[CurrentStock]]&lt;=Table2[[#This Row],[ReorderLevel]], "Reorder Needed", "Okay")</f>
        <v>Okay</v>
      </c>
      <c r="M2909" t="str">
        <f>IF(Table2[[#This Row],[CurrentStock]]-Table2[[#This Row],[ReorderLevel]]&lt;0,Table2[[#This Row],[CurrentStock]]-Table2[[#This Row],[ReorderLevel]],"")</f>
        <v/>
      </c>
      <c r="N2909" t="str">
        <f>IF(Table2[[#This Row],[Stock Gap]]&lt;0, "Understock","Okay")</f>
        <v>Okay</v>
      </c>
      <c r="O2909" s="13" t="str">
        <f>IF(Table2[[#This Row],[Stock Gap]]&lt;0, "Yes", "No")</f>
        <v>No</v>
      </c>
      <c r="P2909" s="13" t="str">
        <f>IF(Table2[[#This Row],[CurrentStock]]&lt;Table2[[#This Row],[ReorderLevel]],"Reorder", "Okay")</f>
        <v>Okay</v>
      </c>
      <c r="Q2909" s="13" t="str">
        <f>IF(Table2[[#This Row],[CurrentStock]]&gt;Table2[[#This Row],[ReorderLevel]]*3, "Overstock", "Okay")</f>
        <v>Okay</v>
      </c>
    </row>
    <row r="2910" spans="1:17" x14ac:dyDescent="0.35">
      <c r="A2910">
        <v>98104</v>
      </c>
      <c r="B2910" t="s">
        <v>22</v>
      </c>
      <c r="C2910" t="s">
        <v>29</v>
      </c>
      <c r="D2910">
        <v>204</v>
      </c>
      <c r="E2910">
        <v>40</v>
      </c>
      <c r="F2910" s="2">
        <v>387.15</v>
      </c>
      <c r="G2910" t="s">
        <v>31</v>
      </c>
      <c r="H2910" s="1">
        <v>45547</v>
      </c>
      <c r="I2910" s="1">
        <v>45572</v>
      </c>
      <c r="J2910" t="s">
        <v>38</v>
      </c>
      <c r="K2910" s="8">
        <f>Table2[[#This Row],[CurrentStock]]*Table2[[#This Row],[UnitPrice]]</f>
        <v>78978.599999999991</v>
      </c>
      <c r="L2910" t="str">
        <f>IF(Table2[[#This Row],[CurrentStock]]&lt;=Table2[[#This Row],[ReorderLevel]], "Reorder Needed", "Okay")</f>
        <v>Okay</v>
      </c>
      <c r="M2910" t="str">
        <f>IF(Table2[[#This Row],[CurrentStock]]-Table2[[#This Row],[ReorderLevel]]&lt;0,Table2[[#This Row],[CurrentStock]]-Table2[[#This Row],[ReorderLevel]],"")</f>
        <v/>
      </c>
      <c r="N2910" t="str">
        <f>IF(Table2[[#This Row],[Stock Gap]]&lt;0, "Understock","Okay")</f>
        <v>Okay</v>
      </c>
      <c r="O2910" s="13" t="str">
        <f>IF(Table2[[#This Row],[Stock Gap]]&lt;0, "Yes", "No")</f>
        <v>No</v>
      </c>
      <c r="P2910" s="13" t="str">
        <f>IF(Table2[[#This Row],[CurrentStock]]&lt;Table2[[#This Row],[ReorderLevel]],"Reorder", "Okay")</f>
        <v>Okay</v>
      </c>
      <c r="Q2910" s="13" t="str">
        <f>IF(Table2[[#This Row],[CurrentStock]]&gt;Table2[[#This Row],[ReorderLevel]]*3, "Overstock", "Okay")</f>
        <v>Overstock</v>
      </c>
    </row>
    <row r="2911" spans="1:17" x14ac:dyDescent="0.35">
      <c r="A2911">
        <v>61275</v>
      </c>
      <c r="B2911" t="s">
        <v>16</v>
      </c>
      <c r="C2911" t="s">
        <v>29</v>
      </c>
      <c r="D2911">
        <v>194</v>
      </c>
      <c r="E2911">
        <v>150</v>
      </c>
      <c r="F2911" s="2">
        <v>85.28</v>
      </c>
      <c r="G2911" t="s">
        <v>31</v>
      </c>
      <c r="H2911" s="1">
        <v>45364</v>
      </c>
      <c r="I2911" s="1">
        <v>45375</v>
      </c>
      <c r="J2911" t="s">
        <v>37</v>
      </c>
      <c r="K2911" s="8">
        <f>Table2[[#This Row],[CurrentStock]]*Table2[[#This Row],[UnitPrice]]</f>
        <v>16544.32</v>
      </c>
      <c r="L2911" t="str">
        <f>IF(Table2[[#This Row],[CurrentStock]]&lt;=Table2[[#This Row],[ReorderLevel]], "Reorder Needed", "Okay")</f>
        <v>Okay</v>
      </c>
      <c r="M2911" t="str">
        <f>IF(Table2[[#This Row],[CurrentStock]]-Table2[[#This Row],[ReorderLevel]]&lt;0,Table2[[#This Row],[CurrentStock]]-Table2[[#This Row],[ReorderLevel]],"")</f>
        <v/>
      </c>
      <c r="N2911" t="str">
        <f>IF(Table2[[#This Row],[Stock Gap]]&lt;0, "Understock","Okay")</f>
        <v>Okay</v>
      </c>
      <c r="O2911" s="13" t="str">
        <f>IF(Table2[[#This Row],[Stock Gap]]&lt;0, "Yes", "No")</f>
        <v>No</v>
      </c>
      <c r="P2911" s="13" t="str">
        <f>IF(Table2[[#This Row],[CurrentStock]]&lt;Table2[[#This Row],[ReorderLevel]],"Reorder", "Okay")</f>
        <v>Okay</v>
      </c>
      <c r="Q2911" s="13" t="str">
        <f>IF(Table2[[#This Row],[CurrentStock]]&gt;Table2[[#This Row],[ReorderLevel]]*3, "Overstock", "Okay")</f>
        <v>Okay</v>
      </c>
    </row>
    <row r="2912" spans="1:17" x14ac:dyDescent="0.35">
      <c r="A2912">
        <v>46716</v>
      </c>
      <c r="B2912" t="s">
        <v>23</v>
      </c>
      <c r="C2912" t="s">
        <v>30</v>
      </c>
      <c r="D2912">
        <v>362</v>
      </c>
      <c r="E2912">
        <v>20</v>
      </c>
      <c r="F2912" s="2">
        <v>432.25</v>
      </c>
      <c r="G2912" t="s">
        <v>31</v>
      </c>
      <c r="H2912" s="1">
        <v>45453</v>
      </c>
      <c r="I2912" s="1">
        <v>45470</v>
      </c>
      <c r="J2912" t="s">
        <v>36</v>
      </c>
      <c r="K2912" s="8">
        <f>Table2[[#This Row],[CurrentStock]]*Table2[[#This Row],[UnitPrice]]</f>
        <v>156474.5</v>
      </c>
      <c r="L2912" t="str">
        <f>IF(Table2[[#This Row],[CurrentStock]]&lt;=Table2[[#This Row],[ReorderLevel]], "Reorder Needed", "Okay")</f>
        <v>Okay</v>
      </c>
      <c r="M2912" t="str">
        <f>IF(Table2[[#This Row],[CurrentStock]]-Table2[[#This Row],[ReorderLevel]]&lt;0,Table2[[#This Row],[CurrentStock]]-Table2[[#This Row],[ReorderLevel]],"")</f>
        <v/>
      </c>
      <c r="N2912" t="str">
        <f>IF(Table2[[#This Row],[Stock Gap]]&lt;0, "Understock","Okay")</f>
        <v>Okay</v>
      </c>
      <c r="O2912" s="13" t="str">
        <f>IF(Table2[[#This Row],[Stock Gap]]&lt;0, "Yes", "No")</f>
        <v>No</v>
      </c>
      <c r="P2912" s="13" t="str">
        <f>IF(Table2[[#This Row],[CurrentStock]]&lt;Table2[[#This Row],[ReorderLevel]],"Reorder", "Okay")</f>
        <v>Okay</v>
      </c>
      <c r="Q2912" s="13" t="str">
        <f>IF(Table2[[#This Row],[CurrentStock]]&gt;Table2[[#This Row],[ReorderLevel]]*3, "Overstock", "Okay")</f>
        <v>Overstock</v>
      </c>
    </row>
    <row r="2913" spans="1:17" x14ac:dyDescent="0.35">
      <c r="A2913">
        <v>70615</v>
      </c>
      <c r="B2913" t="s">
        <v>12</v>
      </c>
      <c r="C2913" t="s">
        <v>28</v>
      </c>
      <c r="D2913">
        <v>0</v>
      </c>
      <c r="E2913">
        <v>150</v>
      </c>
      <c r="F2913" s="2">
        <v>380.97</v>
      </c>
      <c r="G2913" t="s">
        <v>32</v>
      </c>
      <c r="H2913" s="1">
        <v>45414</v>
      </c>
      <c r="I2913" s="1">
        <v>45450</v>
      </c>
      <c r="J2913" t="s">
        <v>38</v>
      </c>
      <c r="K2913" s="8">
        <f>Table2[[#This Row],[CurrentStock]]*Table2[[#This Row],[UnitPrice]]</f>
        <v>0</v>
      </c>
      <c r="L2913" t="str">
        <f>IF(Table2[[#This Row],[CurrentStock]]&lt;=Table2[[#This Row],[ReorderLevel]], "Reorder Needed", "Okay")</f>
        <v>Reorder Needed</v>
      </c>
      <c r="M2913" s="7">
        <f>IF(Table2[[#This Row],[CurrentStock]]-Table2[[#This Row],[ReorderLevel]]&lt;0,Table2[[#This Row],[CurrentStock]]-Table2[[#This Row],[ReorderLevel]],"")</f>
        <v>-150</v>
      </c>
      <c r="N2913" t="str">
        <f>IF(Table2[[#This Row],[Stock Gap]]&lt;0, "Understock","Okay")</f>
        <v>Understock</v>
      </c>
      <c r="O2913" s="13" t="str">
        <f>IF(Table2[[#This Row],[Stock Gap]]&lt;0, "Yes", "No")</f>
        <v>Yes</v>
      </c>
      <c r="P2913" s="13" t="str">
        <f>IF(Table2[[#This Row],[CurrentStock]]&lt;Table2[[#This Row],[ReorderLevel]],"Reorder", "Okay")</f>
        <v>Reorder</v>
      </c>
      <c r="Q2913" s="13" t="str">
        <f>IF(Table2[[#This Row],[CurrentStock]]&gt;Table2[[#This Row],[ReorderLevel]]*3, "Overstock", "Okay")</f>
        <v>Okay</v>
      </c>
    </row>
    <row r="2914" spans="1:17" x14ac:dyDescent="0.35">
      <c r="A2914">
        <v>35658</v>
      </c>
      <c r="B2914" t="s">
        <v>16</v>
      </c>
      <c r="C2914" t="s">
        <v>29</v>
      </c>
      <c r="D2914">
        <v>318</v>
      </c>
      <c r="E2914">
        <v>30</v>
      </c>
      <c r="F2914" s="2">
        <v>179.28</v>
      </c>
      <c r="G2914" t="s">
        <v>33</v>
      </c>
      <c r="H2914" s="1">
        <v>45332</v>
      </c>
      <c r="I2914" s="1">
        <v>45339</v>
      </c>
      <c r="J2914" t="s">
        <v>37</v>
      </c>
      <c r="K2914" s="8">
        <f>Table2[[#This Row],[CurrentStock]]*Table2[[#This Row],[UnitPrice]]</f>
        <v>57011.040000000001</v>
      </c>
      <c r="L2914" t="str">
        <f>IF(Table2[[#This Row],[CurrentStock]]&lt;=Table2[[#This Row],[ReorderLevel]], "Reorder Needed", "Okay")</f>
        <v>Okay</v>
      </c>
      <c r="M2914" t="str">
        <f>IF(Table2[[#This Row],[CurrentStock]]-Table2[[#This Row],[ReorderLevel]]&lt;0,Table2[[#This Row],[CurrentStock]]-Table2[[#This Row],[ReorderLevel]],"")</f>
        <v/>
      </c>
      <c r="N2914" t="str">
        <f>IF(Table2[[#This Row],[Stock Gap]]&lt;0, "Understock","Okay")</f>
        <v>Okay</v>
      </c>
      <c r="O2914" s="13" t="str">
        <f>IF(Table2[[#This Row],[Stock Gap]]&lt;0, "Yes", "No")</f>
        <v>No</v>
      </c>
      <c r="P2914" s="13" t="str">
        <f>IF(Table2[[#This Row],[CurrentStock]]&lt;Table2[[#This Row],[ReorderLevel]],"Reorder", "Okay")</f>
        <v>Okay</v>
      </c>
      <c r="Q2914" s="13" t="str">
        <f>IF(Table2[[#This Row],[CurrentStock]]&gt;Table2[[#This Row],[ReorderLevel]]*3, "Overstock", "Okay")</f>
        <v>Overstock</v>
      </c>
    </row>
    <row r="2915" spans="1:17" x14ac:dyDescent="0.35">
      <c r="A2915">
        <v>40367</v>
      </c>
      <c r="B2915" t="s">
        <v>20</v>
      </c>
      <c r="C2915" t="s">
        <v>30</v>
      </c>
      <c r="D2915">
        <v>238</v>
      </c>
      <c r="E2915">
        <v>50</v>
      </c>
      <c r="F2915" s="2">
        <v>426.3</v>
      </c>
      <c r="G2915" t="s">
        <v>34</v>
      </c>
      <c r="H2915" s="1">
        <v>45623</v>
      </c>
      <c r="I2915" s="1">
        <v>45635</v>
      </c>
      <c r="J2915" t="s">
        <v>36</v>
      </c>
      <c r="K2915" s="8">
        <f>Table2[[#This Row],[CurrentStock]]*Table2[[#This Row],[UnitPrice]]</f>
        <v>101459.40000000001</v>
      </c>
      <c r="L2915" t="str">
        <f>IF(Table2[[#This Row],[CurrentStock]]&lt;=Table2[[#This Row],[ReorderLevel]], "Reorder Needed", "Okay")</f>
        <v>Okay</v>
      </c>
      <c r="M2915" t="str">
        <f>IF(Table2[[#This Row],[CurrentStock]]-Table2[[#This Row],[ReorderLevel]]&lt;0,Table2[[#This Row],[CurrentStock]]-Table2[[#This Row],[ReorderLevel]],"")</f>
        <v/>
      </c>
      <c r="N2915" t="str">
        <f>IF(Table2[[#This Row],[Stock Gap]]&lt;0, "Understock","Okay")</f>
        <v>Okay</v>
      </c>
      <c r="O2915" s="13" t="str">
        <f>IF(Table2[[#This Row],[Stock Gap]]&lt;0, "Yes", "No")</f>
        <v>No</v>
      </c>
      <c r="P2915" s="13" t="str">
        <f>IF(Table2[[#This Row],[CurrentStock]]&lt;Table2[[#This Row],[ReorderLevel]],"Reorder", "Okay")</f>
        <v>Okay</v>
      </c>
      <c r="Q2915" s="13" t="str">
        <f>IF(Table2[[#This Row],[CurrentStock]]&gt;Table2[[#This Row],[ReorderLevel]]*3, "Overstock", "Okay")</f>
        <v>Overstock</v>
      </c>
    </row>
    <row r="2916" spans="1:17" x14ac:dyDescent="0.35">
      <c r="A2916">
        <v>44902</v>
      </c>
      <c r="B2916" t="s">
        <v>22</v>
      </c>
      <c r="C2916" t="s">
        <v>29</v>
      </c>
      <c r="D2916">
        <v>205</v>
      </c>
      <c r="E2916">
        <v>80</v>
      </c>
      <c r="F2916" s="2">
        <v>331.32</v>
      </c>
      <c r="G2916" t="s">
        <v>33</v>
      </c>
      <c r="H2916" s="1">
        <v>45637</v>
      </c>
      <c r="I2916" s="1">
        <v>45665</v>
      </c>
      <c r="J2916" t="s">
        <v>38</v>
      </c>
      <c r="K2916" s="8">
        <f>Table2[[#This Row],[CurrentStock]]*Table2[[#This Row],[UnitPrice]]</f>
        <v>67920.600000000006</v>
      </c>
      <c r="L2916" t="str">
        <f>IF(Table2[[#This Row],[CurrentStock]]&lt;=Table2[[#This Row],[ReorderLevel]], "Reorder Needed", "Okay")</f>
        <v>Okay</v>
      </c>
      <c r="M2916" t="str">
        <f>IF(Table2[[#This Row],[CurrentStock]]-Table2[[#This Row],[ReorderLevel]]&lt;0,Table2[[#This Row],[CurrentStock]]-Table2[[#This Row],[ReorderLevel]],"")</f>
        <v/>
      </c>
      <c r="N2916" t="str">
        <f>IF(Table2[[#This Row],[Stock Gap]]&lt;0, "Understock","Okay")</f>
        <v>Okay</v>
      </c>
      <c r="O2916" s="13" t="str">
        <f>IF(Table2[[#This Row],[Stock Gap]]&lt;0, "Yes", "No")</f>
        <v>No</v>
      </c>
      <c r="P2916" s="13" t="str">
        <f>IF(Table2[[#This Row],[CurrentStock]]&lt;Table2[[#This Row],[ReorderLevel]],"Reorder", "Okay")</f>
        <v>Okay</v>
      </c>
      <c r="Q2916" s="13" t="str">
        <f>IF(Table2[[#This Row],[CurrentStock]]&gt;Table2[[#This Row],[ReorderLevel]]*3, "Overstock", "Okay")</f>
        <v>Okay</v>
      </c>
    </row>
    <row r="2917" spans="1:17" x14ac:dyDescent="0.35">
      <c r="A2917">
        <v>86518</v>
      </c>
      <c r="B2917" t="s">
        <v>20</v>
      </c>
      <c r="C2917" t="s">
        <v>30</v>
      </c>
      <c r="D2917">
        <v>273</v>
      </c>
      <c r="E2917">
        <v>80</v>
      </c>
      <c r="F2917" s="2">
        <v>10.31</v>
      </c>
      <c r="G2917" t="s">
        <v>32</v>
      </c>
      <c r="H2917" s="1">
        <v>45369</v>
      </c>
      <c r="I2917" s="1">
        <v>45377</v>
      </c>
      <c r="J2917" t="s">
        <v>36</v>
      </c>
      <c r="K2917" s="8">
        <f>Table2[[#This Row],[CurrentStock]]*Table2[[#This Row],[UnitPrice]]</f>
        <v>2814.63</v>
      </c>
      <c r="L2917" t="str">
        <f>IF(Table2[[#This Row],[CurrentStock]]&lt;=Table2[[#This Row],[ReorderLevel]], "Reorder Needed", "Okay")</f>
        <v>Okay</v>
      </c>
      <c r="M2917" t="str">
        <f>IF(Table2[[#This Row],[CurrentStock]]-Table2[[#This Row],[ReorderLevel]]&lt;0,Table2[[#This Row],[CurrentStock]]-Table2[[#This Row],[ReorderLevel]],"")</f>
        <v/>
      </c>
      <c r="N2917" t="str">
        <f>IF(Table2[[#This Row],[Stock Gap]]&lt;0, "Understock","Okay")</f>
        <v>Okay</v>
      </c>
      <c r="O2917" s="13" t="str">
        <f>IF(Table2[[#This Row],[Stock Gap]]&lt;0, "Yes", "No")</f>
        <v>No</v>
      </c>
      <c r="P2917" s="13" t="str">
        <f>IF(Table2[[#This Row],[CurrentStock]]&lt;Table2[[#This Row],[ReorderLevel]],"Reorder", "Okay")</f>
        <v>Okay</v>
      </c>
      <c r="Q2917" s="13" t="str">
        <f>IF(Table2[[#This Row],[CurrentStock]]&gt;Table2[[#This Row],[ReorderLevel]]*3, "Overstock", "Okay")</f>
        <v>Overstock</v>
      </c>
    </row>
    <row r="2918" spans="1:17" x14ac:dyDescent="0.35">
      <c r="A2918">
        <v>31775</v>
      </c>
      <c r="B2918" t="s">
        <v>17</v>
      </c>
      <c r="C2918" t="s">
        <v>27</v>
      </c>
      <c r="D2918">
        <v>454</v>
      </c>
      <c r="E2918">
        <v>40</v>
      </c>
      <c r="F2918" s="2">
        <v>251.97</v>
      </c>
      <c r="G2918" t="s">
        <v>32</v>
      </c>
      <c r="H2918" s="1">
        <v>45378</v>
      </c>
      <c r="I2918" s="1">
        <v>45393</v>
      </c>
      <c r="J2918" t="s">
        <v>38</v>
      </c>
      <c r="K2918" s="8">
        <f>Table2[[#This Row],[CurrentStock]]*Table2[[#This Row],[UnitPrice]]</f>
        <v>114394.38</v>
      </c>
      <c r="L2918" t="str">
        <f>IF(Table2[[#This Row],[CurrentStock]]&lt;=Table2[[#This Row],[ReorderLevel]], "Reorder Needed", "Okay")</f>
        <v>Okay</v>
      </c>
      <c r="M2918" t="str">
        <f>IF(Table2[[#This Row],[CurrentStock]]-Table2[[#This Row],[ReorderLevel]]&lt;0,Table2[[#This Row],[CurrentStock]]-Table2[[#This Row],[ReorderLevel]],"")</f>
        <v/>
      </c>
      <c r="N2918" t="str">
        <f>IF(Table2[[#This Row],[Stock Gap]]&lt;0, "Understock","Okay")</f>
        <v>Okay</v>
      </c>
      <c r="O2918" s="13" t="str">
        <f>IF(Table2[[#This Row],[Stock Gap]]&lt;0, "Yes", "No")</f>
        <v>No</v>
      </c>
      <c r="P2918" s="13" t="str">
        <f>IF(Table2[[#This Row],[CurrentStock]]&lt;Table2[[#This Row],[ReorderLevel]],"Reorder", "Okay")</f>
        <v>Okay</v>
      </c>
      <c r="Q2918" s="13" t="str">
        <f>IF(Table2[[#This Row],[CurrentStock]]&gt;Table2[[#This Row],[ReorderLevel]]*3, "Overstock", "Okay")</f>
        <v>Overstock</v>
      </c>
    </row>
    <row r="2919" spans="1:17" x14ac:dyDescent="0.35">
      <c r="A2919">
        <v>14521</v>
      </c>
      <c r="B2919" t="s">
        <v>13</v>
      </c>
      <c r="C2919" t="s">
        <v>26</v>
      </c>
      <c r="D2919">
        <v>138</v>
      </c>
      <c r="E2919">
        <v>80</v>
      </c>
      <c r="F2919" s="2">
        <v>299.39</v>
      </c>
      <c r="G2919" t="s">
        <v>34</v>
      </c>
      <c r="H2919" s="1">
        <v>45524</v>
      </c>
      <c r="I2919" s="1">
        <v>45544</v>
      </c>
      <c r="J2919" t="s">
        <v>37</v>
      </c>
      <c r="K2919" s="8">
        <f>Table2[[#This Row],[CurrentStock]]*Table2[[#This Row],[UnitPrice]]</f>
        <v>41315.82</v>
      </c>
      <c r="L2919" t="str">
        <f>IF(Table2[[#This Row],[CurrentStock]]&lt;=Table2[[#This Row],[ReorderLevel]], "Reorder Needed", "Okay")</f>
        <v>Okay</v>
      </c>
      <c r="M2919" t="str">
        <f>IF(Table2[[#This Row],[CurrentStock]]-Table2[[#This Row],[ReorderLevel]]&lt;0,Table2[[#This Row],[CurrentStock]]-Table2[[#This Row],[ReorderLevel]],"")</f>
        <v/>
      </c>
      <c r="N2919" t="str">
        <f>IF(Table2[[#This Row],[Stock Gap]]&lt;0, "Understock","Okay")</f>
        <v>Okay</v>
      </c>
      <c r="O2919" s="13" t="str">
        <f>IF(Table2[[#This Row],[Stock Gap]]&lt;0, "Yes", "No")</f>
        <v>No</v>
      </c>
      <c r="P2919" s="13" t="str">
        <f>IF(Table2[[#This Row],[CurrentStock]]&lt;Table2[[#This Row],[ReorderLevel]],"Reorder", "Okay")</f>
        <v>Okay</v>
      </c>
      <c r="Q2919" s="13" t="str">
        <f>IF(Table2[[#This Row],[CurrentStock]]&gt;Table2[[#This Row],[ReorderLevel]]*3, "Overstock", "Okay")</f>
        <v>Okay</v>
      </c>
    </row>
    <row r="2920" spans="1:17" x14ac:dyDescent="0.35">
      <c r="A2920">
        <v>76684</v>
      </c>
      <c r="B2920" t="s">
        <v>11</v>
      </c>
      <c r="C2920" t="s">
        <v>27</v>
      </c>
      <c r="D2920">
        <v>328</v>
      </c>
      <c r="E2920">
        <v>80</v>
      </c>
      <c r="F2920" s="2">
        <v>396.72</v>
      </c>
      <c r="G2920" t="s">
        <v>31</v>
      </c>
      <c r="H2920" s="1">
        <v>45543</v>
      </c>
      <c r="I2920" s="1">
        <v>45575</v>
      </c>
      <c r="J2920" t="s">
        <v>38</v>
      </c>
      <c r="K2920" s="8">
        <f>Table2[[#This Row],[CurrentStock]]*Table2[[#This Row],[UnitPrice]]</f>
        <v>130124.16</v>
      </c>
      <c r="L2920" t="str">
        <f>IF(Table2[[#This Row],[CurrentStock]]&lt;=Table2[[#This Row],[ReorderLevel]], "Reorder Needed", "Okay")</f>
        <v>Okay</v>
      </c>
      <c r="M2920" t="str">
        <f>IF(Table2[[#This Row],[CurrentStock]]-Table2[[#This Row],[ReorderLevel]]&lt;0,Table2[[#This Row],[CurrentStock]]-Table2[[#This Row],[ReorderLevel]],"")</f>
        <v/>
      </c>
      <c r="N2920" t="str">
        <f>IF(Table2[[#This Row],[Stock Gap]]&lt;0, "Understock","Okay")</f>
        <v>Okay</v>
      </c>
      <c r="O2920" s="13" t="str">
        <f>IF(Table2[[#This Row],[Stock Gap]]&lt;0, "Yes", "No")</f>
        <v>No</v>
      </c>
      <c r="P2920" s="13" t="str">
        <f>IF(Table2[[#This Row],[CurrentStock]]&lt;Table2[[#This Row],[ReorderLevel]],"Reorder", "Okay")</f>
        <v>Okay</v>
      </c>
      <c r="Q2920" s="13" t="str">
        <f>IF(Table2[[#This Row],[CurrentStock]]&gt;Table2[[#This Row],[ReorderLevel]]*3, "Overstock", "Okay")</f>
        <v>Overstock</v>
      </c>
    </row>
    <row r="2921" spans="1:17" x14ac:dyDescent="0.35">
      <c r="A2921">
        <v>69516</v>
      </c>
      <c r="B2921" t="s">
        <v>22</v>
      </c>
      <c r="C2921" t="s">
        <v>29</v>
      </c>
      <c r="D2921">
        <v>34</v>
      </c>
      <c r="E2921">
        <v>80</v>
      </c>
      <c r="F2921" s="2">
        <v>254.95</v>
      </c>
      <c r="G2921" t="s">
        <v>31</v>
      </c>
      <c r="H2921" s="1">
        <v>45430</v>
      </c>
      <c r="I2921" s="1">
        <v>45446</v>
      </c>
      <c r="J2921" t="s">
        <v>37</v>
      </c>
      <c r="K2921" s="8">
        <f>Table2[[#This Row],[CurrentStock]]*Table2[[#This Row],[UnitPrice]]</f>
        <v>8668.2999999999993</v>
      </c>
      <c r="L2921" t="str">
        <f>IF(Table2[[#This Row],[CurrentStock]]&lt;=Table2[[#This Row],[ReorderLevel]], "Reorder Needed", "Okay")</f>
        <v>Reorder Needed</v>
      </c>
      <c r="M2921" s="7">
        <f>IF(Table2[[#This Row],[CurrentStock]]-Table2[[#This Row],[ReorderLevel]]&lt;0,Table2[[#This Row],[CurrentStock]]-Table2[[#This Row],[ReorderLevel]],"")</f>
        <v>-46</v>
      </c>
      <c r="N2921" t="str">
        <f>IF(Table2[[#This Row],[Stock Gap]]&lt;0, "Understock","Okay")</f>
        <v>Understock</v>
      </c>
      <c r="O2921" s="13" t="str">
        <f>IF(Table2[[#This Row],[Stock Gap]]&lt;0, "Yes", "No")</f>
        <v>Yes</v>
      </c>
      <c r="P2921" s="13" t="str">
        <f>IF(Table2[[#This Row],[CurrentStock]]&lt;Table2[[#This Row],[ReorderLevel]],"Reorder", "Okay")</f>
        <v>Reorder</v>
      </c>
      <c r="Q2921" s="13" t="str">
        <f>IF(Table2[[#This Row],[CurrentStock]]&gt;Table2[[#This Row],[ReorderLevel]]*3, "Overstock", "Okay")</f>
        <v>Okay</v>
      </c>
    </row>
    <row r="2922" spans="1:17" x14ac:dyDescent="0.35">
      <c r="A2922">
        <v>23554</v>
      </c>
      <c r="B2922" t="s">
        <v>16</v>
      </c>
      <c r="C2922" t="s">
        <v>29</v>
      </c>
      <c r="D2922">
        <v>205</v>
      </c>
      <c r="E2922">
        <v>50</v>
      </c>
      <c r="F2922" s="2">
        <v>251.75</v>
      </c>
      <c r="G2922" t="s">
        <v>35</v>
      </c>
      <c r="H2922" s="1">
        <v>45545</v>
      </c>
      <c r="I2922" s="1">
        <v>45557</v>
      </c>
      <c r="J2922" t="s">
        <v>36</v>
      </c>
      <c r="K2922" s="8">
        <f>Table2[[#This Row],[CurrentStock]]*Table2[[#This Row],[UnitPrice]]</f>
        <v>51608.75</v>
      </c>
      <c r="L2922" t="str">
        <f>IF(Table2[[#This Row],[CurrentStock]]&lt;=Table2[[#This Row],[ReorderLevel]], "Reorder Needed", "Okay")</f>
        <v>Okay</v>
      </c>
      <c r="M2922" t="str">
        <f>IF(Table2[[#This Row],[CurrentStock]]-Table2[[#This Row],[ReorderLevel]]&lt;0,Table2[[#This Row],[CurrentStock]]-Table2[[#This Row],[ReorderLevel]],"")</f>
        <v/>
      </c>
      <c r="N2922" t="str">
        <f>IF(Table2[[#This Row],[Stock Gap]]&lt;0, "Understock","Okay")</f>
        <v>Okay</v>
      </c>
      <c r="O2922" s="13" t="str">
        <f>IF(Table2[[#This Row],[Stock Gap]]&lt;0, "Yes", "No")</f>
        <v>No</v>
      </c>
      <c r="P2922" s="13" t="str">
        <f>IF(Table2[[#This Row],[CurrentStock]]&lt;Table2[[#This Row],[ReorderLevel]],"Reorder", "Okay")</f>
        <v>Okay</v>
      </c>
      <c r="Q2922" s="13" t="str">
        <f>IF(Table2[[#This Row],[CurrentStock]]&gt;Table2[[#This Row],[ReorderLevel]]*3, "Overstock", "Okay")</f>
        <v>Overstock</v>
      </c>
    </row>
    <row r="2923" spans="1:17" x14ac:dyDescent="0.35">
      <c r="A2923">
        <v>55562</v>
      </c>
      <c r="B2923" t="s">
        <v>16</v>
      </c>
      <c r="C2923" t="s">
        <v>29</v>
      </c>
      <c r="D2923">
        <v>224</v>
      </c>
      <c r="E2923">
        <v>80</v>
      </c>
      <c r="F2923" s="2">
        <v>276.62</v>
      </c>
      <c r="G2923" t="s">
        <v>31</v>
      </c>
      <c r="H2923" s="1">
        <v>45413</v>
      </c>
      <c r="I2923" s="1">
        <v>45443</v>
      </c>
      <c r="J2923" t="s">
        <v>37</v>
      </c>
      <c r="K2923" s="8">
        <f>Table2[[#This Row],[CurrentStock]]*Table2[[#This Row],[UnitPrice]]</f>
        <v>61962.880000000005</v>
      </c>
      <c r="L2923" t="str">
        <f>IF(Table2[[#This Row],[CurrentStock]]&lt;=Table2[[#This Row],[ReorderLevel]], "Reorder Needed", "Okay")</f>
        <v>Okay</v>
      </c>
      <c r="M2923" t="str">
        <f>IF(Table2[[#This Row],[CurrentStock]]-Table2[[#This Row],[ReorderLevel]]&lt;0,Table2[[#This Row],[CurrentStock]]-Table2[[#This Row],[ReorderLevel]],"")</f>
        <v/>
      </c>
      <c r="N2923" t="str">
        <f>IF(Table2[[#This Row],[Stock Gap]]&lt;0, "Understock","Okay")</f>
        <v>Okay</v>
      </c>
      <c r="O2923" s="13" t="str">
        <f>IF(Table2[[#This Row],[Stock Gap]]&lt;0, "Yes", "No")</f>
        <v>No</v>
      </c>
      <c r="P2923" s="13" t="str">
        <f>IF(Table2[[#This Row],[CurrentStock]]&lt;Table2[[#This Row],[ReorderLevel]],"Reorder", "Okay")</f>
        <v>Okay</v>
      </c>
      <c r="Q2923" s="13" t="str">
        <f>IF(Table2[[#This Row],[CurrentStock]]&gt;Table2[[#This Row],[ReorderLevel]]*3, "Overstock", "Okay")</f>
        <v>Okay</v>
      </c>
    </row>
    <row r="2924" spans="1:17" x14ac:dyDescent="0.35">
      <c r="A2924">
        <v>28340</v>
      </c>
      <c r="B2924" t="s">
        <v>22</v>
      </c>
      <c r="C2924" t="s">
        <v>29</v>
      </c>
      <c r="D2924">
        <v>338</v>
      </c>
      <c r="E2924">
        <v>30</v>
      </c>
      <c r="F2924" s="2">
        <v>305.10000000000002</v>
      </c>
      <c r="G2924" t="s">
        <v>35</v>
      </c>
      <c r="H2924" s="1">
        <v>45448</v>
      </c>
      <c r="I2924" s="1">
        <v>45471</v>
      </c>
      <c r="J2924" t="s">
        <v>38</v>
      </c>
      <c r="K2924" s="8">
        <f>Table2[[#This Row],[CurrentStock]]*Table2[[#This Row],[UnitPrice]]</f>
        <v>103123.8</v>
      </c>
      <c r="L2924" t="str">
        <f>IF(Table2[[#This Row],[CurrentStock]]&lt;=Table2[[#This Row],[ReorderLevel]], "Reorder Needed", "Okay")</f>
        <v>Okay</v>
      </c>
      <c r="M2924" t="str">
        <f>IF(Table2[[#This Row],[CurrentStock]]-Table2[[#This Row],[ReorderLevel]]&lt;0,Table2[[#This Row],[CurrentStock]]-Table2[[#This Row],[ReorderLevel]],"")</f>
        <v/>
      </c>
      <c r="N2924" t="str">
        <f>IF(Table2[[#This Row],[Stock Gap]]&lt;0, "Understock","Okay")</f>
        <v>Okay</v>
      </c>
      <c r="O2924" s="13" t="str">
        <f>IF(Table2[[#This Row],[Stock Gap]]&lt;0, "Yes", "No")</f>
        <v>No</v>
      </c>
      <c r="P2924" s="13" t="str">
        <f>IF(Table2[[#This Row],[CurrentStock]]&lt;Table2[[#This Row],[ReorderLevel]],"Reorder", "Okay")</f>
        <v>Okay</v>
      </c>
      <c r="Q2924" s="13" t="str">
        <f>IF(Table2[[#This Row],[CurrentStock]]&gt;Table2[[#This Row],[ReorderLevel]]*3, "Overstock", "Okay")</f>
        <v>Overstock</v>
      </c>
    </row>
    <row r="2925" spans="1:17" x14ac:dyDescent="0.35">
      <c r="A2925">
        <v>35530</v>
      </c>
      <c r="B2925" t="s">
        <v>18</v>
      </c>
      <c r="C2925" t="s">
        <v>27</v>
      </c>
      <c r="D2925">
        <v>430</v>
      </c>
      <c r="E2925">
        <v>20</v>
      </c>
      <c r="F2925" s="2">
        <v>159.53</v>
      </c>
      <c r="G2925" t="s">
        <v>34</v>
      </c>
      <c r="H2925" s="1">
        <v>45486</v>
      </c>
      <c r="I2925" s="1">
        <v>45503</v>
      </c>
      <c r="J2925" t="s">
        <v>36</v>
      </c>
      <c r="K2925" s="8">
        <f>Table2[[#This Row],[CurrentStock]]*Table2[[#This Row],[UnitPrice]]</f>
        <v>68597.899999999994</v>
      </c>
      <c r="L2925" t="str">
        <f>IF(Table2[[#This Row],[CurrentStock]]&lt;=Table2[[#This Row],[ReorderLevel]], "Reorder Needed", "Okay")</f>
        <v>Okay</v>
      </c>
      <c r="M2925" t="str">
        <f>IF(Table2[[#This Row],[CurrentStock]]-Table2[[#This Row],[ReorderLevel]]&lt;0,Table2[[#This Row],[CurrentStock]]-Table2[[#This Row],[ReorderLevel]],"")</f>
        <v/>
      </c>
      <c r="N2925" t="str">
        <f>IF(Table2[[#This Row],[Stock Gap]]&lt;0, "Understock","Okay")</f>
        <v>Okay</v>
      </c>
      <c r="O2925" s="13" t="str">
        <f>IF(Table2[[#This Row],[Stock Gap]]&lt;0, "Yes", "No")</f>
        <v>No</v>
      </c>
      <c r="P2925" s="13" t="str">
        <f>IF(Table2[[#This Row],[CurrentStock]]&lt;Table2[[#This Row],[ReorderLevel]],"Reorder", "Okay")</f>
        <v>Okay</v>
      </c>
      <c r="Q2925" s="13" t="str">
        <f>IF(Table2[[#This Row],[CurrentStock]]&gt;Table2[[#This Row],[ReorderLevel]]*3, "Overstock", "Okay")</f>
        <v>Overstock</v>
      </c>
    </row>
    <row r="2926" spans="1:17" x14ac:dyDescent="0.35">
      <c r="A2926">
        <v>81828</v>
      </c>
      <c r="B2926" t="s">
        <v>14</v>
      </c>
      <c r="C2926" t="s">
        <v>28</v>
      </c>
      <c r="D2926">
        <v>455</v>
      </c>
      <c r="E2926">
        <v>100</v>
      </c>
      <c r="F2926" s="2">
        <v>375.92</v>
      </c>
      <c r="G2926" t="s">
        <v>32</v>
      </c>
      <c r="H2926" s="1">
        <v>45579</v>
      </c>
      <c r="I2926" s="1">
        <v>45618</v>
      </c>
      <c r="J2926" t="s">
        <v>38</v>
      </c>
      <c r="K2926" s="8">
        <f>Table2[[#This Row],[CurrentStock]]*Table2[[#This Row],[UnitPrice]]</f>
        <v>171043.6</v>
      </c>
      <c r="L2926" t="str">
        <f>IF(Table2[[#This Row],[CurrentStock]]&lt;=Table2[[#This Row],[ReorderLevel]], "Reorder Needed", "Okay")</f>
        <v>Okay</v>
      </c>
      <c r="M2926" t="str">
        <f>IF(Table2[[#This Row],[CurrentStock]]-Table2[[#This Row],[ReorderLevel]]&lt;0,Table2[[#This Row],[CurrentStock]]-Table2[[#This Row],[ReorderLevel]],"")</f>
        <v/>
      </c>
      <c r="N2926" t="str">
        <f>IF(Table2[[#This Row],[Stock Gap]]&lt;0, "Understock","Okay")</f>
        <v>Okay</v>
      </c>
      <c r="O2926" s="13" t="str">
        <f>IF(Table2[[#This Row],[Stock Gap]]&lt;0, "Yes", "No")</f>
        <v>No</v>
      </c>
      <c r="P2926" s="13" t="str">
        <f>IF(Table2[[#This Row],[CurrentStock]]&lt;Table2[[#This Row],[ReorderLevel]],"Reorder", "Okay")</f>
        <v>Okay</v>
      </c>
      <c r="Q2926" s="13" t="str">
        <f>IF(Table2[[#This Row],[CurrentStock]]&gt;Table2[[#This Row],[ReorderLevel]]*3, "Overstock", "Okay")</f>
        <v>Overstock</v>
      </c>
    </row>
    <row r="2927" spans="1:17" x14ac:dyDescent="0.35">
      <c r="A2927">
        <v>84349</v>
      </c>
      <c r="B2927" t="s">
        <v>18</v>
      </c>
      <c r="C2927" t="s">
        <v>27</v>
      </c>
      <c r="D2927">
        <v>364</v>
      </c>
      <c r="E2927">
        <v>40</v>
      </c>
      <c r="F2927" s="2">
        <v>57.13</v>
      </c>
      <c r="G2927" t="s">
        <v>35</v>
      </c>
      <c r="H2927" s="1">
        <v>45359</v>
      </c>
      <c r="I2927" s="1">
        <v>45389</v>
      </c>
      <c r="J2927" t="s">
        <v>36</v>
      </c>
      <c r="K2927" s="8">
        <f>Table2[[#This Row],[CurrentStock]]*Table2[[#This Row],[UnitPrice]]</f>
        <v>20795.32</v>
      </c>
      <c r="L2927" t="str">
        <f>IF(Table2[[#This Row],[CurrentStock]]&lt;=Table2[[#This Row],[ReorderLevel]], "Reorder Needed", "Okay")</f>
        <v>Okay</v>
      </c>
      <c r="M2927" t="str">
        <f>IF(Table2[[#This Row],[CurrentStock]]-Table2[[#This Row],[ReorderLevel]]&lt;0,Table2[[#This Row],[CurrentStock]]-Table2[[#This Row],[ReorderLevel]],"")</f>
        <v/>
      </c>
      <c r="N2927" t="str">
        <f>IF(Table2[[#This Row],[Stock Gap]]&lt;0, "Understock","Okay")</f>
        <v>Okay</v>
      </c>
      <c r="O2927" s="13" t="str">
        <f>IF(Table2[[#This Row],[Stock Gap]]&lt;0, "Yes", "No")</f>
        <v>No</v>
      </c>
      <c r="P2927" s="13" t="str">
        <f>IF(Table2[[#This Row],[CurrentStock]]&lt;Table2[[#This Row],[ReorderLevel]],"Reorder", "Okay")</f>
        <v>Okay</v>
      </c>
      <c r="Q2927" s="13" t="str">
        <f>IF(Table2[[#This Row],[CurrentStock]]&gt;Table2[[#This Row],[ReorderLevel]]*3, "Overstock", "Okay")</f>
        <v>Overstock</v>
      </c>
    </row>
    <row r="2928" spans="1:17" x14ac:dyDescent="0.35">
      <c r="A2928">
        <v>55567</v>
      </c>
      <c r="B2928" t="s">
        <v>24</v>
      </c>
      <c r="C2928" t="s">
        <v>30</v>
      </c>
      <c r="D2928">
        <v>449</v>
      </c>
      <c r="E2928">
        <v>30</v>
      </c>
      <c r="F2928" s="2">
        <v>308.38</v>
      </c>
      <c r="G2928" t="s">
        <v>32</v>
      </c>
      <c r="H2928" s="1">
        <v>45587</v>
      </c>
      <c r="I2928" s="1">
        <v>45599</v>
      </c>
      <c r="J2928" t="s">
        <v>36</v>
      </c>
      <c r="K2928" s="8">
        <f>Table2[[#This Row],[CurrentStock]]*Table2[[#This Row],[UnitPrice]]</f>
        <v>138462.62</v>
      </c>
      <c r="L2928" t="str">
        <f>IF(Table2[[#This Row],[CurrentStock]]&lt;=Table2[[#This Row],[ReorderLevel]], "Reorder Needed", "Okay")</f>
        <v>Okay</v>
      </c>
      <c r="M2928" t="str">
        <f>IF(Table2[[#This Row],[CurrentStock]]-Table2[[#This Row],[ReorderLevel]]&lt;0,Table2[[#This Row],[CurrentStock]]-Table2[[#This Row],[ReorderLevel]],"")</f>
        <v/>
      </c>
      <c r="N2928" t="str">
        <f>IF(Table2[[#This Row],[Stock Gap]]&lt;0, "Understock","Okay")</f>
        <v>Okay</v>
      </c>
      <c r="O2928" s="13" t="str">
        <f>IF(Table2[[#This Row],[Stock Gap]]&lt;0, "Yes", "No")</f>
        <v>No</v>
      </c>
      <c r="P2928" s="13" t="str">
        <f>IF(Table2[[#This Row],[CurrentStock]]&lt;Table2[[#This Row],[ReorderLevel]],"Reorder", "Okay")</f>
        <v>Okay</v>
      </c>
      <c r="Q2928" s="13" t="str">
        <f>IF(Table2[[#This Row],[CurrentStock]]&gt;Table2[[#This Row],[ReorderLevel]]*3, "Overstock", "Okay")</f>
        <v>Overstock</v>
      </c>
    </row>
    <row r="2929" spans="1:17" x14ac:dyDescent="0.35">
      <c r="A2929">
        <v>61996</v>
      </c>
      <c r="B2929" t="s">
        <v>11</v>
      </c>
      <c r="C2929" t="s">
        <v>27</v>
      </c>
      <c r="D2929">
        <v>131</v>
      </c>
      <c r="E2929">
        <v>40</v>
      </c>
      <c r="F2929" s="2">
        <v>160.86000000000001</v>
      </c>
      <c r="G2929" t="s">
        <v>35</v>
      </c>
      <c r="H2929" s="1">
        <v>45344</v>
      </c>
      <c r="I2929" s="1">
        <v>45368</v>
      </c>
      <c r="J2929" t="s">
        <v>37</v>
      </c>
      <c r="K2929" s="8">
        <f>Table2[[#This Row],[CurrentStock]]*Table2[[#This Row],[UnitPrice]]</f>
        <v>21072.660000000003</v>
      </c>
      <c r="L2929" t="str">
        <f>IF(Table2[[#This Row],[CurrentStock]]&lt;=Table2[[#This Row],[ReorderLevel]], "Reorder Needed", "Okay")</f>
        <v>Okay</v>
      </c>
      <c r="M2929" t="str">
        <f>IF(Table2[[#This Row],[CurrentStock]]-Table2[[#This Row],[ReorderLevel]]&lt;0,Table2[[#This Row],[CurrentStock]]-Table2[[#This Row],[ReorderLevel]],"")</f>
        <v/>
      </c>
      <c r="N2929" t="str">
        <f>IF(Table2[[#This Row],[Stock Gap]]&lt;0, "Understock","Okay")</f>
        <v>Okay</v>
      </c>
      <c r="O2929" s="13" t="str">
        <f>IF(Table2[[#This Row],[Stock Gap]]&lt;0, "Yes", "No")</f>
        <v>No</v>
      </c>
      <c r="P2929" s="13" t="str">
        <f>IF(Table2[[#This Row],[CurrentStock]]&lt;Table2[[#This Row],[ReorderLevel]],"Reorder", "Okay")</f>
        <v>Okay</v>
      </c>
      <c r="Q2929" s="13" t="str">
        <f>IF(Table2[[#This Row],[CurrentStock]]&gt;Table2[[#This Row],[ReorderLevel]]*3, "Overstock", "Okay")</f>
        <v>Overstock</v>
      </c>
    </row>
    <row r="2930" spans="1:17" x14ac:dyDescent="0.35">
      <c r="A2930">
        <v>63913</v>
      </c>
      <c r="B2930" t="s">
        <v>18</v>
      </c>
      <c r="C2930" t="s">
        <v>27</v>
      </c>
      <c r="D2930">
        <v>204</v>
      </c>
      <c r="E2930">
        <v>80</v>
      </c>
      <c r="F2930" s="2">
        <v>205.13</v>
      </c>
      <c r="G2930" t="s">
        <v>35</v>
      </c>
      <c r="H2930" s="1">
        <v>45623</v>
      </c>
      <c r="I2930" s="1">
        <v>45643</v>
      </c>
      <c r="J2930" t="s">
        <v>36</v>
      </c>
      <c r="K2930" s="8">
        <f>Table2[[#This Row],[CurrentStock]]*Table2[[#This Row],[UnitPrice]]</f>
        <v>41846.519999999997</v>
      </c>
      <c r="L2930" t="str">
        <f>IF(Table2[[#This Row],[CurrentStock]]&lt;=Table2[[#This Row],[ReorderLevel]], "Reorder Needed", "Okay")</f>
        <v>Okay</v>
      </c>
      <c r="M2930" t="str">
        <f>IF(Table2[[#This Row],[CurrentStock]]-Table2[[#This Row],[ReorderLevel]]&lt;0,Table2[[#This Row],[CurrentStock]]-Table2[[#This Row],[ReorderLevel]],"")</f>
        <v/>
      </c>
      <c r="N2930" t="str">
        <f>IF(Table2[[#This Row],[Stock Gap]]&lt;0, "Understock","Okay")</f>
        <v>Okay</v>
      </c>
      <c r="O2930" s="13" t="str">
        <f>IF(Table2[[#This Row],[Stock Gap]]&lt;0, "Yes", "No")</f>
        <v>No</v>
      </c>
      <c r="P2930" s="13" t="str">
        <f>IF(Table2[[#This Row],[CurrentStock]]&lt;Table2[[#This Row],[ReorderLevel]],"Reorder", "Okay")</f>
        <v>Okay</v>
      </c>
      <c r="Q2930" s="13" t="str">
        <f>IF(Table2[[#This Row],[CurrentStock]]&gt;Table2[[#This Row],[ReorderLevel]]*3, "Overstock", "Okay")</f>
        <v>Okay</v>
      </c>
    </row>
    <row r="2931" spans="1:17" x14ac:dyDescent="0.35">
      <c r="A2931">
        <v>69919</v>
      </c>
      <c r="B2931" t="s">
        <v>25</v>
      </c>
      <c r="C2931" t="s">
        <v>29</v>
      </c>
      <c r="D2931">
        <v>350</v>
      </c>
      <c r="E2931">
        <v>100</v>
      </c>
      <c r="F2931" s="2">
        <v>83.55</v>
      </c>
      <c r="G2931" t="s">
        <v>31</v>
      </c>
      <c r="H2931" s="1">
        <v>45309</v>
      </c>
      <c r="I2931" s="1">
        <v>45344</v>
      </c>
      <c r="J2931" t="s">
        <v>36</v>
      </c>
      <c r="K2931" s="8">
        <f>Table2[[#This Row],[CurrentStock]]*Table2[[#This Row],[UnitPrice]]</f>
        <v>29242.5</v>
      </c>
      <c r="L2931" t="str">
        <f>IF(Table2[[#This Row],[CurrentStock]]&lt;=Table2[[#This Row],[ReorderLevel]], "Reorder Needed", "Okay")</f>
        <v>Okay</v>
      </c>
      <c r="M2931" t="str">
        <f>IF(Table2[[#This Row],[CurrentStock]]-Table2[[#This Row],[ReorderLevel]]&lt;0,Table2[[#This Row],[CurrentStock]]-Table2[[#This Row],[ReorderLevel]],"")</f>
        <v/>
      </c>
      <c r="N2931" t="str">
        <f>IF(Table2[[#This Row],[Stock Gap]]&lt;0, "Understock","Okay")</f>
        <v>Okay</v>
      </c>
      <c r="O2931" s="13" t="str">
        <f>IF(Table2[[#This Row],[Stock Gap]]&lt;0, "Yes", "No")</f>
        <v>No</v>
      </c>
      <c r="P2931" s="13" t="str">
        <f>IF(Table2[[#This Row],[CurrentStock]]&lt;Table2[[#This Row],[ReorderLevel]],"Reorder", "Okay")</f>
        <v>Okay</v>
      </c>
      <c r="Q2931" s="13" t="str">
        <f>IF(Table2[[#This Row],[CurrentStock]]&gt;Table2[[#This Row],[ReorderLevel]]*3, "Overstock", "Okay")</f>
        <v>Overstock</v>
      </c>
    </row>
    <row r="2932" spans="1:17" x14ac:dyDescent="0.35">
      <c r="A2932">
        <v>80063</v>
      </c>
      <c r="B2932" t="s">
        <v>13</v>
      </c>
      <c r="C2932" t="s">
        <v>26</v>
      </c>
      <c r="D2932">
        <v>315</v>
      </c>
      <c r="E2932">
        <v>80</v>
      </c>
      <c r="F2932" s="2">
        <v>451.64</v>
      </c>
      <c r="G2932" t="s">
        <v>33</v>
      </c>
      <c r="H2932" s="1">
        <v>45611</v>
      </c>
      <c r="I2932" s="1">
        <v>45629</v>
      </c>
      <c r="J2932" t="s">
        <v>38</v>
      </c>
      <c r="K2932" s="8">
        <f>Table2[[#This Row],[CurrentStock]]*Table2[[#This Row],[UnitPrice]]</f>
        <v>142266.6</v>
      </c>
      <c r="L2932" t="str">
        <f>IF(Table2[[#This Row],[CurrentStock]]&lt;=Table2[[#This Row],[ReorderLevel]], "Reorder Needed", "Okay")</f>
        <v>Okay</v>
      </c>
      <c r="M2932" t="str">
        <f>IF(Table2[[#This Row],[CurrentStock]]-Table2[[#This Row],[ReorderLevel]]&lt;0,Table2[[#This Row],[CurrentStock]]-Table2[[#This Row],[ReorderLevel]],"")</f>
        <v/>
      </c>
      <c r="N2932" t="str">
        <f>IF(Table2[[#This Row],[Stock Gap]]&lt;0, "Understock","Okay")</f>
        <v>Okay</v>
      </c>
      <c r="O2932" s="13" t="str">
        <f>IF(Table2[[#This Row],[Stock Gap]]&lt;0, "Yes", "No")</f>
        <v>No</v>
      </c>
      <c r="P2932" s="13" t="str">
        <f>IF(Table2[[#This Row],[CurrentStock]]&lt;Table2[[#This Row],[ReorderLevel]],"Reorder", "Okay")</f>
        <v>Okay</v>
      </c>
      <c r="Q2932" s="13" t="str">
        <f>IF(Table2[[#This Row],[CurrentStock]]&gt;Table2[[#This Row],[ReorderLevel]]*3, "Overstock", "Okay")</f>
        <v>Overstock</v>
      </c>
    </row>
    <row r="2933" spans="1:17" x14ac:dyDescent="0.35">
      <c r="A2933">
        <v>53239</v>
      </c>
      <c r="B2933" t="s">
        <v>20</v>
      </c>
      <c r="C2933" t="s">
        <v>30</v>
      </c>
      <c r="D2933">
        <v>451</v>
      </c>
      <c r="E2933">
        <v>50</v>
      </c>
      <c r="F2933" s="2">
        <v>127.65</v>
      </c>
      <c r="G2933" t="s">
        <v>33</v>
      </c>
      <c r="H2933" s="1">
        <v>45504</v>
      </c>
      <c r="I2933" s="1">
        <v>45541</v>
      </c>
      <c r="J2933" t="s">
        <v>37</v>
      </c>
      <c r="K2933" s="8">
        <f>Table2[[#This Row],[CurrentStock]]*Table2[[#This Row],[UnitPrice]]</f>
        <v>57570.15</v>
      </c>
      <c r="L2933" t="str">
        <f>IF(Table2[[#This Row],[CurrentStock]]&lt;=Table2[[#This Row],[ReorderLevel]], "Reorder Needed", "Okay")</f>
        <v>Okay</v>
      </c>
      <c r="M2933" t="str">
        <f>IF(Table2[[#This Row],[CurrentStock]]-Table2[[#This Row],[ReorderLevel]]&lt;0,Table2[[#This Row],[CurrentStock]]-Table2[[#This Row],[ReorderLevel]],"")</f>
        <v/>
      </c>
      <c r="N2933" t="str">
        <f>IF(Table2[[#This Row],[Stock Gap]]&lt;0, "Understock","Okay")</f>
        <v>Okay</v>
      </c>
      <c r="O2933" s="13" t="str">
        <f>IF(Table2[[#This Row],[Stock Gap]]&lt;0, "Yes", "No")</f>
        <v>No</v>
      </c>
      <c r="P2933" s="13" t="str">
        <f>IF(Table2[[#This Row],[CurrentStock]]&lt;Table2[[#This Row],[ReorderLevel]],"Reorder", "Okay")</f>
        <v>Okay</v>
      </c>
      <c r="Q2933" s="13" t="str">
        <f>IF(Table2[[#This Row],[CurrentStock]]&gt;Table2[[#This Row],[ReorderLevel]]*3, "Overstock", "Okay")</f>
        <v>Overstock</v>
      </c>
    </row>
    <row r="2934" spans="1:17" x14ac:dyDescent="0.35">
      <c r="A2934">
        <v>49028</v>
      </c>
      <c r="B2934" t="s">
        <v>25</v>
      </c>
      <c r="C2934" t="s">
        <v>29</v>
      </c>
      <c r="D2934">
        <v>121</v>
      </c>
      <c r="E2934">
        <v>30</v>
      </c>
      <c r="F2934" s="2">
        <v>107.39</v>
      </c>
      <c r="G2934" t="s">
        <v>32</v>
      </c>
      <c r="H2934" s="1">
        <v>45381</v>
      </c>
      <c r="I2934" s="1">
        <v>45388</v>
      </c>
      <c r="J2934" t="s">
        <v>38</v>
      </c>
      <c r="K2934" s="8">
        <f>Table2[[#This Row],[CurrentStock]]*Table2[[#This Row],[UnitPrice]]</f>
        <v>12994.19</v>
      </c>
      <c r="L2934" t="str">
        <f>IF(Table2[[#This Row],[CurrentStock]]&lt;=Table2[[#This Row],[ReorderLevel]], "Reorder Needed", "Okay")</f>
        <v>Okay</v>
      </c>
      <c r="M2934" t="str">
        <f>IF(Table2[[#This Row],[CurrentStock]]-Table2[[#This Row],[ReorderLevel]]&lt;0,Table2[[#This Row],[CurrentStock]]-Table2[[#This Row],[ReorderLevel]],"")</f>
        <v/>
      </c>
      <c r="N2934" t="str">
        <f>IF(Table2[[#This Row],[Stock Gap]]&lt;0, "Understock","Okay")</f>
        <v>Okay</v>
      </c>
      <c r="O2934" s="13" t="str">
        <f>IF(Table2[[#This Row],[Stock Gap]]&lt;0, "Yes", "No")</f>
        <v>No</v>
      </c>
      <c r="P2934" s="13" t="str">
        <f>IF(Table2[[#This Row],[CurrentStock]]&lt;Table2[[#This Row],[ReorderLevel]],"Reorder", "Okay")</f>
        <v>Okay</v>
      </c>
      <c r="Q2934" s="13" t="str">
        <f>IF(Table2[[#This Row],[CurrentStock]]&gt;Table2[[#This Row],[ReorderLevel]]*3, "Overstock", "Okay")</f>
        <v>Overstock</v>
      </c>
    </row>
    <row r="2935" spans="1:17" x14ac:dyDescent="0.35">
      <c r="A2935">
        <v>90389</v>
      </c>
      <c r="B2935" t="s">
        <v>21</v>
      </c>
      <c r="C2935" t="s">
        <v>26</v>
      </c>
      <c r="D2935">
        <v>477</v>
      </c>
      <c r="E2935">
        <v>30</v>
      </c>
      <c r="F2935" s="2">
        <v>444.36</v>
      </c>
      <c r="G2935" t="s">
        <v>32</v>
      </c>
      <c r="H2935" s="1">
        <v>45373</v>
      </c>
      <c r="I2935" s="1">
        <v>45397</v>
      </c>
      <c r="J2935" t="s">
        <v>36</v>
      </c>
      <c r="K2935" s="8">
        <f>Table2[[#This Row],[CurrentStock]]*Table2[[#This Row],[UnitPrice]]</f>
        <v>211959.72</v>
      </c>
      <c r="L2935" t="str">
        <f>IF(Table2[[#This Row],[CurrentStock]]&lt;=Table2[[#This Row],[ReorderLevel]], "Reorder Needed", "Okay")</f>
        <v>Okay</v>
      </c>
      <c r="M2935" t="str">
        <f>IF(Table2[[#This Row],[CurrentStock]]-Table2[[#This Row],[ReorderLevel]]&lt;0,Table2[[#This Row],[CurrentStock]]-Table2[[#This Row],[ReorderLevel]],"")</f>
        <v/>
      </c>
      <c r="N2935" t="str">
        <f>IF(Table2[[#This Row],[Stock Gap]]&lt;0, "Understock","Okay")</f>
        <v>Okay</v>
      </c>
      <c r="O2935" s="13" t="str">
        <f>IF(Table2[[#This Row],[Stock Gap]]&lt;0, "Yes", "No")</f>
        <v>No</v>
      </c>
      <c r="P2935" s="13" t="str">
        <f>IF(Table2[[#This Row],[CurrentStock]]&lt;Table2[[#This Row],[ReorderLevel]],"Reorder", "Okay")</f>
        <v>Okay</v>
      </c>
      <c r="Q2935" s="13" t="str">
        <f>IF(Table2[[#This Row],[CurrentStock]]&gt;Table2[[#This Row],[ReorderLevel]]*3, "Overstock", "Okay")</f>
        <v>Overstock</v>
      </c>
    </row>
    <row r="2936" spans="1:17" x14ac:dyDescent="0.35">
      <c r="A2936">
        <v>86105</v>
      </c>
      <c r="B2936" t="s">
        <v>23</v>
      </c>
      <c r="C2936" t="s">
        <v>30</v>
      </c>
      <c r="D2936">
        <v>40</v>
      </c>
      <c r="E2936">
        <v>20</v>
      </c>
      <c r="F2936" s="2">
        <v>420.86</v>
      </c>
      <c r="G2936" t="s">
        <v>31</v>
      </c>
      <c r="H2936" s="1">
        <v>45462</v>
      </c>
      <c r="I2936" s="1">
        <v>45485</v>
      </c>
      <c r="J2936" t="s">
        <v>36</v>
      </c>
      <c r="K2936" s="8">
        <f>Table2[[#This Row],[CurrentStock]]*Table2[[#This Row],[UnitPrice]]</f>
        <v>16834.400000000001</v>
      </c>
      <c r="L2936" t="str">
        <f>IF(Table2[[#This Row],[CurrentStock]]&lt;=Table2[[#This Row],[ReorderLevel]], "Reorder Needed", "Okay")</f>
        <v>Okay</v>
      </c>
      <c r="M2936" t="str">
        <f>IF(Table2[[#This Row],[CurrentStock]]-Table2[[#This Row],[ReorderLevel]]&lt;0,Table2[[#This Row],[CurrentStock]]-Table2[[#This Row],[ReorderLevel]],"")</f>
        <v/>
      </c>
      <c r="N2936" t="str">
        <f>IF(Table2[[#This Row],[Stock Gap]]&lt;0, "Understock","Okay")</f>
        <v>Okay</v>
      </c>
      <c r="O2936" s="13" t="str">
        <f>IF(Table2[[#This Row],[Stock Gap]]&lt;0, "Yes", "No")</f>
        <v>No</v>
      </c>
      <c r="P2936" s="13" t="str">
        <f>IF(Table2[[#This Row],[CurrentStock]]&lt;Table2[[#This Row],[ReorderLevel]],"Reorder", "Okay")</f>
        <v>Okay</v>
      </c>
      <c r="Q2936" s="13" t="str">
        <f>IF(Table2[[#This Row],[CurrentStock]]&gt;Table2[[#This Row],[ReorderLevel]]*3, "Overstock", "Okay")</f>
        <v>Okay</v>
      </c>
    </row>
    <row r="2937" spans="1:17" x14ac:dyDescent="0.35">
      <c r="A2937">
        <v>14174</v>
      </c>
      <c r="B2937" t="s">
        <v>17</v>
      </c>
      <c r="C2937" t="s">
        <v>27</v>
      </c>
      <c r="D2937">
        <v>270</v>
      </c>
      <c r="E2937">
        <v>100</v>
      </c>
      <c r="F2937" s="2">
        <v>82.23</v>
      </c>
      <c r="G2937" t="s">
        <v>33</v>
      </c>
      <c r="H2937" s="1">
        <v>45541</v>
      </c>
      <c r="I2937" s="1">
        <v>45551</v>
      </c>
      <c r="J2937" t="s">
        <v>38</v>
      </c>
      <c r="K2937" s="8">
        <f>Table2[[#This Row],[CurrentStock]]*Table2[[#This Row],[UnitPrice]]</f>
        <v>22202.100000000002</v>
      </c>
      <c r="L2937" t="str">
        <f>IF(Table2[[#This Row],[CurrentStock]]&lt;=Table2[[#This Row],[ReorderLevel]], "Reorder Needed", "Okay")</f>
        <v>Okay</v>
      </c>
      <c r="M2937" t="str">
        <f>IF(Table2[[#This Row],[CurrentStock]]-Table2[[#This Row],[ReorderLevel]]&lt;0,Table2[[#This Row],[CurrentStock]]-Table2[[#This Row],[ReorderLevel]],"")</f>
        <v/>
      </c>
      <c r="N2937" t="str">
        <f>IF(Table2[[#This Row],[Stock Gap]]&lt;0, "Understock","Okay")</f>
        <v>Okay</v>
      </c>
      <c r="O2937" s="13" t="str">
        <f>IF(Table2[[#This Row],[Stock Gap]]&lt;0, "Yes", "No")</f>
        <v>No</v>
      </c>
      <c r="P2937" s="13" t="str">
        <f>IF(Table2[[#This Row],[CurrentStock]]&lt;Table2[[#This Row],[ReorderLevel]],"Reorder", "Okay")</f>
        <v>Okay</v>
      </c>
      <c r="Q2937" s="13" t="str">
        <f>IF(Table2[[#This Row],[CurrentStock]]&gt;Table2[[#This Row],[ReorderLevel]]*3, "Overstock", "Okay")</f>
        <v>Okay</v>
      </c>
    </row>
    <row r="2938" spans="1:17" x14ac:dyDescent="0.35">
      <c r="A2938">
        <v>41276</v>
      </c>
      <c r="B2938" t="s">
        <v>19</v>
      </c>
      <c r="C2938" t="s">
        <v>28</v>
      </c>
      <c r="D2938">
        <v>156</v>
      </c>
      <c r="E2938">
        <v>80</v>
      </c>
      <c r="F2938" s="2">
        <v>144.41999999999999</v>
      </c>
      <c r="G2938" t="s">
        <v>34</v>
      </c>
      <c r="H2938" s="1">
        <v>45613</v>
      </c>
      <c r="I2938" s="1">
        <v>45652</v>
      </c>
      <c r="J2938" t="s">
        <v>38</v>
      </c>
      <c r="K2938" s="8">
        <f>Table2[[#This Row],[CurrentStock]]*Table2[[#This Row],[UnitPrice]]</f>
        <v>22529.519999999997</v>
      </c>
      <c r="L2938" t="str">
        <f>IF(Table2[[#This Row],[CurrentStock]]&lt;=Table2[[#This Row],[ReorderLevel]], "Reorder Needed", "Okay")</f>
        <v>Okay</v>
      </c>
      <c r="M2938" t="str">
        <f>IF(Table2[[#This Row],[CurrentStock]]-Table2[[#This Row],[ReorderLevel]]&lt;0,Table2[[#This Row],[CurrentStock]]-Table2[[#This Row],[ReorderLevel]],"")</f>
        <v/>
      </c>
      <c r="N2938" t="str">
        <f>IF(Table2[[#This Row],[Stock Gap]]&lt;0, "Understock","Okay")</f>
        <v>Okay</v>
      </c>
      <c r="O2938" s="13" t="str">
        <f>IF(Table2[[#This Row],[Stock Gap]]&lt;0, "Yes", "No")</f>
        <v>No</v>
      </c>
      <c r="P2938" s="13" t="str">
        <f>IF(Table2[[#This Row],[CurrentStock]]&lt;Table2[[#This Row],[ReorderLevel]],"Reorder", "Okay")</f>
        <v>Okay</v>
      </c>
      <c r="Q2938" s="13" t="str">
        <f>IF(Table2[[#This Row],[CurrentStock]]&gt;Table2[[#This Row],[ReorderLevel]]*3, "Overstock", "Okay")</f>
        <v>Okay</v>
      </c>
    </row>
    <row r="2939" spans="1:17" x14ac:dyDescent="0.35">
      <c r="A2939">
        <v>56312</v>
      </c>
      <c r="B2939" t="s">
        <v>14</v>
      </c>
      <c r="C2939" t="s">
        <v>28</v>
      </c>
      <c r="D2939">
        <v>228</v>
      </c>
      <c r="E2939">
        <v>30</v>
      </c>
      <c r="F2939" s="2">
        <v>59.26</v>
      </c>
      <c r="G2939" t="s">
        <v>35</v>
      </c>
      <c r="H2939" s="1">
        <v>45564</v>
      </c>
      <c r="I2939" s="1">
        <v>45571</v>
      </c>
      <c r="J2939" t="s">
        <v>37</v>
      </c>
      <c r="K2939" s="8">
        <f>Table2[[#This Row],[CurrentStock]]*Table2[[#This Row],[UnitPrice]]</f>
        <v>13511.279999999999</v>
      </c>
      <c r="L2939" t="str">
        <f>IF(Table2[[#This Row],[CurrentStock]]&lt;=Table2[[#This Row],[ReorderLevel]], "Reorder Needed", "Okay")</f>
        <v>Okay</v>
      </c>
      <c r="M2939" t="str">
        <f>IF(Table2[[#This Row],[CurrentStock]]-Table2[[#This Row],[ReorderLevel]]&lt;0,Table2[[#This Row],[CurrentStock]]-Table2[[#This Row],[ReorderLevel]],"")</f>
        <v/>
      </c>
      <c r="N2939" t="str">
        <f>IF(Table2[[#This Row],[Stock Gap]]&lt;0, "Understock","Okay")</f>
        <v>Okay</v>
      </c>
      <c r="O2939" s="13" t="str">
        <f>IF(Table2[[#This Row],[Stock Gap]]&lt;0, "Yes", "No")</f>
        <v>No</v>
      </c>
      <c r="P2939" s="13" t="str">
        <f>IF(Table2[[#This Row],[CurrentStock]]&lt;Table2[[#This Row],[ReorderLevel]],"Reorder", "Okay")</f>
        <v>Okay</v>
      </c>
      <c r="Q2939" s="13" t="str">
        <f>IF(Table2[[#This Row],[CurrentStock]]&gt;Table2[[#This Row],[ReorderLevel]]*3, "Overstock", "Okay")</f>
        <v>Overstock</v>
      </c>
    </row>
    <row r="2940" spans="1:17" x14ac:dyDescent="0.35">
      <c r="A2940">
        <v>12631</v>
      </c>
      <c r="B2940" t="s">
        <v>23</v>
      </c>
      <c r="C2940" t="s">
        <v>30</v>
      </c>
      <c r="D2940">
        <v>488</v>
      </c>
      <c r="E2940">
        <v>100</v>
      </c>
      <c r="F2940" s="2">
        <v>218.76</v>
      </c>
      <c r="G2940" t="s">
        <v>32</v>
      </c>
      <c r="H2940" s="1">
        <v>45513</v>
      </c>
      <c r="I2940" s="1">
        <v>45546</v>
      </c>
      <c r="J2940" t="s">
        <v>36</v>
      </c>
      <c r="K2940" s="8">
        <f>Table2[[#This Row],[CurrentStock]]*Table2[[#This Row],[UnitPrice]]</f>
        <v>106754.87999999999</v>
      </c>
      <c r="L2940" t="str">
        <f>IF(Table2[[#This Row],[CurrentStock]]&lt;=Table2[[#This Row],[ReorderLevel]], "Reorder Needed", "Okay")</f>
        <v>Okay</v>
      </c>
      <c r="M2940" t="str">
        <f>IF(Table2[[#This Row],[CurrentStock]]-Table2[[#This Row],[ReorderLevel]]&lt;0,Table2[[#This Row],[CurrentStock]]-Table2[[#This Row],[ReorderLevel]],"")</f>
        <v/>
      </c>
      <c r="N2940" t="str">
        <f>IF(Table2[[#This Row],[Stock Gap]]&lt;0, "Understock","Okay")</f>
        <v>Okay</v>
      </c>
      <c r="O2940" s="13" t="str">
        <f>IF(Table2[[#This Row],[Stock Gap]]&lt;0, "Yes", "No")</f>
        <v>No</v>
      </c>
      <c r="P2940" s="13" t="str">
        <f>IF(Table2[[#This Row],[CurrentStock]]&lt;Table2[[#This Row],[ReorderLevel]],"Reorder", "Okay")</f>
        <v>Okay</v>
      </c>
      <c r="Q2940" s="13" t="str">
        <f>IF(Table2[[#This Row],[CurrentStock]]&gt;Table2[[#This Row],[ReorderLevel]]*3, "Overstock", "Okay")</f>
        <v>Overstock</v>
      </c>
    </row>
    <row r="2941" spans="1:17" x14ac:dyDescent="0.35">
      <c r="A2941">
        <v>15599</v>
      </c>
      <c r="B2941" t="s">
        <v>19</v>
      </c>
      <c r="C2941" t="s">
        <v>28</v>
      </c>
      <c r="D2941">
        <v>156</v>
      </c>
      <c r="E2941">
        <v>80</v>
      </c>
      <c r="F2941" s="2">
        <v>486.45</v>
      </c>
      <c r="G2941" t="s">
        <v>35</v>
      </c>
      <c r="H2941" s="1">
        <v>45534</v>
      </c>
      <c r="I2941" s="1">
        <v>45572</v>
      </c>
      <c r="J2941" t="s">
        <v>38</v>
      </c>
      <c r="K2941" s="8">
        <f>Table2[[#This Row],[CurrentStock]]*Table2[[#This Row],[UnitPrice]]</f>
        <v>75886.2</v>
      </c>
      <c r="L2941" t="str">
        <f>IF(Table2[[#This Row],[CurrentStock]]&lt;=Table2[[#This Row],[ReorderLevel]], "Reorder Needed", "Okay")</f>
        <v>Okay</v>
      </c>
      <c r="M2941" t="str">
        <f>IF(Table2[[#This Row],[CurrentStock]]-Table2[[#This Row],[ReorderLevel]]&lt;0,Table2[[#This Row],[CurrentStock]]-Table2[[#This Row],[ReorderLevel]],"")</f>
        <v/>
      </c>
      <c r="N2941" t="str">
        <f>IF(Table2[[#This Row],[Stock Gap]]&lt;0, "Understock","Okay")</f>
        <v>Okay</v>
      </c>
      <c r="O2941" s="13" t="str">
        <f>IF(Table2[[#This Row],[Stock Gap]]&lt;0, "Yes", "No")</f>
        <v>No</v>
      </c>
      <c r="P2941" s="13" t="str">
        <f>IF(Table2[[#This Row],[CurrentStock]]&lt;Table2[[#This Row],[ReorderLevel]],"Reorder", "Okay")</f>
        <v>Okay</v>
      </c>
      <c r="Q2941" s="13" t="str">
        <f>IF(Table2[[#This Row],[CurrentStock]]&gt;Table2[[#This Row],[ReorderLevel]]*3, "Overstock", "Okay")</f>
        <v>Okay</v>
      </c>
    </row>
    <row r="2942" spans="1:17" x14ac:dyDescent="0.35">
      <c r="A2942">
        <v>99084</v>
      </c>
      <c r="B2942" t="s">
        <v>15</v>
      </c>
      <c r="C2942" t="s">
        <v>29</v>
      </c>
      <c r="D2942">
        <v>442</v>
      </c>
      <c r="E2942">
        <v>20</v>
      </c>
      <c r="F2942" s="2">
        <v>367.73</v>
      </c>
      <c r="G2942" t="s">
        <v>34</v>
      </c>
      <c r="H2942" s="1">
        <v>45585</v>
      </c>
      <c r="I2942" s="1">
        <v>45590</v>
      </c>
      <c r="J2942" t="s">
        <v>37</v>
      </c>
      <c r="K2942" s="8">
        <f>Table2[[#This Row],[CurrentStock]]*Table2[[#This Row],[UnitPrice]]</f>
        <v>162536.66</v>
      </c>
      <c r="L2942" t="str">
        <f>IF(Table2[[#This Row],[CurrentStock]]&lt;=Table2[[#This Row],[ReorderLevel]], "Reorder Needed", "Okay")</f>
        <v>Okay</v>
      </c>
      <c r="M2942" t="str">
        <f>IF(Table2[[#This Row],[CurrentStock]]-Table2[[#This Row],[ReorderLevel]]&lt;0,Table2[[#This Row],[CurrentStock]]-Table2[[#This Row],[ReorderLevel]],"")</f>
        <v/>
      </c>
      <c r="N2942" t="str">
        <f>IF(Table2[[#This Row],[Stock Gap]]&lt;0, "Understock","Okay")</f>
        <v>Okay</v>
      </c>
      <c r="O2942" s="13" t="str">
        <f>IF(Table2[[#This Row],[Stock Gap]]&lt;0, "Yes", "No")</f>
        <v>No</v>
      </c>
      <c r="P2942" s="13" t="str">
        <f>IF(Table2[[#This Row],[CurrentStock]]&lt;Table2[[#This Row],[ReorderLevel]],"Reorder", "Okay")</f>
        <v>Okay</v>
      </c>
      <c r="Q2942" s="13" t="str">
        <f>IF(Table2[[#This Row],[CurrentStock]]&gt;Table2[[#This Row],[ReorderLevel]]*3, "Overstock", "Okay")</f>
        <v>Overstock</v>
      </c>
    </row>
    <row r="2943" spans="1:17" x14ac:dyDescent="0.35">
      <c r="A2943">
        <v>10767</v>
      </c>
      <c r="B2943" t="s">
        <v>9</v>
      </c>
      <c r="C2943" t="s">
        <v>26</v>
      </c>
      <c r="D2943">
        <v>360</v>
      </c>
      <c r="E2943">
        <v>80</v>
      </c>
      <c r="F2943" s="2">
        <v>273.69</v>
      </c>
      <c r="G2943" t="s">
        <v>35</v>
      </c>
      <c r="H2943" s="1">
        <v>45506</v>
      </c>
      <c r="I2943" s="1">
        <v>45541</v>
      </c>
      <c r="J2943" t="s">
        <v>36</v>
      </c>
      <c r="K2943" s="8">
        <f>Table2[[#This Row],[CurrentStock]]*Table2[[#This Row],[UnitPrice]]</f>
        <v>98528.4</v>
      </c>
      <c r="L2943" t="str">
        <f>IF(Table2[[#This Row],[CurrentStock]]&lt;=Table2[[#This Row],[ReorderLevel]], "Reorder Needed", "Okay")</f>
        <v>Okay</v>
      </c>
      <c r="M2943" t="str">
        <f>IF(Table2[[#This Row],[CurrentStock]]-Table2[[#This Row],[ReorderLevel]]&lt;0,Table2[[#This Row],[CurrentStock]]-Table2[[#This Row],[ReorderLevel]],"")</f>
        <v/>
      </c>
      <c r="N2943" t="str">
        <f>IF(Table2[[#This Row],[Stock Gap]]&lt;0, "Understock","Okay")</f>
        <v>Okay</v>
      </c>
      <c r="O2943" s="13" t="str">
        <f>IF(Table2[[#This Row],[Stock Gap]]&lt;0, "Yes", "No")</f>
        <v>No</v>
      </c>
      <c r="P2943" s="13" t="str">
        <f>IF(Table2[[#This Row],[CurrentStock]]&lt;Table2[[#This Row],[ReorderLevel]],"Reorder", "Okay")</f>
        <v>Okay</v>
      </c>
      <c r="Q2943" s="13" t="str">
        <f>IF(Table2[[#This Row],[CurrentStock]]&gt;Table2[[#This Row],[ReorderLevel]]*3, "Overstock", "Okay")</f>
        <v>Overstock</v>
      </c>
    </row>
    <row r="2944" spans="1:17" x14ac:dyDescent="0.35">
      <c r="A2944">
        <v>10744</v>
      </c>
      <c r="B2944" t="s">
        <v>15</v>
      </c>
      <c r="C2944" t="s">
        <v>29</v>
      </c>
      <c r="D2944">
        <v>185</v>
      </c>
      <c r="E2944">
        <v>30</v>
      </c>
      <c r="F2944" s="2">
        <v>79.14</v>
      </c>
      <c r="G2944" t="s">
        <v>33</v>
      </c>
      <c r="H2944" s="1">
        <v>45567</v>
      </c>
      <c r="I2944" s="1">
        <v>45584</v>
      </c>
      <c r="J2944" t="s">
        <v>36</v>
      </c>
      <c r="K2944" s="8">
        <f>Table2[[#This Row],[CurrentStock]]*Table2[[#This Row],[UnitPrice]]</f>
        <v>14640.9</v>
      </c>
      <c r="L2944" t="str">
        <f>IF(Table2[[#This Row],[CurrentStock]]&lt;=Table2[[#This Row],[ReorderLevel]], "Reorder Needed", "Okay")</f>
        <v>Okay</v>
      </c>
      <c r="M2944" t="str">
        <f>IF(Table2[[#This Row],[CurrentStock]]-Table2[[#This Row],[ReorderLevel]]&lt;0,Table2[[#This Row],[CurrentStock]]-Table2[[#This Row],[ReorderLevel]],"")</f>
        <v/>
      </c>
      <c r="N2944" t="str">
        <f>IF(Table2[[#This Row],[Stock Gap]]&lt;0, "Understock","Okay")</f>
        <v>Okay</v>
      </c>
      <c r="O2944" s="13" t="str">
        <f>IF(Table2[[#This Row],[Stock Gap]]&lt;0, "Yes", "No")</f>
        <v>No</v>
      </c>
      <c r="P2944" s="13" t="str">
        <f>IF(Table2[[#This Row],[CurrentStock]]&lt;Table2[[#This Row],[ReorderLevel]],"Reorder", "Okay")</f>
        <v>Okay</v>
      </c>
      <c r="Q2944" s="13" t="str">
        <f>IF(Table2[[#This Row],[CurrentStock]]&gt;Table2[[#This Row],[ReorderLevel]]*3, "Overstock", "Okay")</f>
        <v>Overstock</v>
      </c>
    </row>
    <row r="2945" spans="1:17" x14ac:dyDescent="0.35">
      <c r="A2945">
        <v>32319</v>
      </c>
      <c r="B2945" t="s">
        <v>14</v>
      </c>
      <c r="C2945" t="s">
        <v>28</v>
      </c>
      <c r="D2945">
        <v>65</v>
      </c>
      <c r="E2945">
        <v>100</v>
      </c>
      <c r="F2945" s="2">
        <v>300.2</v>
      </c>
      <c r="G2945" t="s">
        <v>33</v>
      </c>
      <c r="H2945" s="1">
        <v>45578</v>
      </c>
      <c r="I2945" s="1">
        <v>45586</v>
      </c>
      <c r="J2945" t="s">
        <v>38</v>
      </c>
      <c r="K2945" s="8">
        <f>Table2[[#This Row],[CurrentStock]]*Table2[[#This Row],[UnitPrice]]</f>
        <v>19513</v>
      </c>
      <c r="L2945" t="str">
        <f>IF(Table2[[#This Row],[CurrentStock]]&lt;=Table2[[#This Row],[ReorderLevel]], "Reorder Needed", "Okay")</f>
        <v>Reorder Needed</v>
      </c>
      <c r="M2945" s="7">
        <f>IF(Table2[[#This Row],[CurrentStock]]-Table2[[#This Row],[ReorderLevel]]&lt;0,Table2[[#This Row],[CurrentStock]]-Table2[[#This Row],[ReorderLevel]],"")</f>
        <v>-35</v>
      </c>
      <c r="N2945" t="str">
        <f>IF(Table2[[#This Row],[Stock Gap]]&lt;0, "Understock","Okay")</f>
        <v>Understock</v>
      </c>
      <c r="O2945" s="13" t="str">
        <f>IF(Table2[[#This Row],[Stock Gap]]&lt;0, "Yes", "No")</f>
        <v>Yes</v>
      </c>
      <c r="P2945" s="13" t="str">
        <f>IF(Table2[[#This Row],[CurrentStock]]&lt;Table2[[#This Row],[ReorderLevel]],"Reorder", "Okay")</f>
        <v>Reorder</v>
      </c>
      <c r="Q2945" s="13" t="str">
        <f>IF(Table2[[#This Row],[CurrentStock]]&gt;Table2[[#This Row],[ReorderLevel]]*3, "Overstock", "Okay")</f>
        <v>Okay</v>
      </c>
    </row>
    <row r="2946" spans="1:17" x14ac:dyDescent="0.35">
      <c r="A2946">
        <v>48474</v>
      </c>
      <c r="B2946" t="s">
        <v>11</v>
      </c>
      <c r="C2946" t="s">
        <v>27</v>
      </c>
      <c r="D2946">
        <v>332</v>
      </c>
      <c r="E2946">
        <v>80</v>
      </c>
      <c r="F2946" s="2">
        <v>261.58999999999997</v>
      </c>
      <c r="G2946" t="s">
        <v>32</v>
      </c>
      <c r="H2946" s="1">
        <v>45616</v>
      </c>
      <c r="I2946" s="1">
        <v>45634</v>
      </c>
      <c r="J2946" t="s">
        <v>36</v>
      </c>
      <c r="K2946" s="8">
        <f>Table2[[#This Row],[CurrentStock]]*Table2[[#This Row],[UnitPrice]]</f>
        <v>86847.87999999999</v>
      </c>
      <c r="L2946" t="str">
        <f>IF(Table2[[#This Row],[CurrentStock]]&lt;=Table2[[#This Row],[ReorderLevel]], "Reorder Needed", "Okay")</f>
        <v>Okay</v>
      </c>
      <c r="M2946" t="str">
        <f>IF(Table2[[#This Row],[CurrentStock]]-Table2[[#This Row],[ReorderLevel]]&lt;0,Table2[[#This Row],[CurrentStock]]-Table2[[#This Row],[ReorderLevel]],"")</f>
        <v/>
      </c>
      <c r="N2946" t="str">
        <f>IF(Table2[[#This Row],[Stock Gap]]&lt;0, "Understock","Okay")</f>
        <v>Okay</v>
      </c>
      <c r="O2946" s="13" t="str">
        <f>IF(Table2[[#This Row],[Stock Gap]]&lt;0, "Yes", "No")</f>
        <v>No</v>
      </c>
      <c r="P2946" s="13" t="str">
        <f>IF(Table2[[#This Row],[CurrentStock]]&lt;Table2[[#This Row],[ReorderLevel]],"Reorder", "Okay")</f>
        <v>Okay</v>
      </c>
      <c r="Q2946" s="13" t="str">
        <f>IF(Table2[[#This Row],[CurrentStock]]&gt;Table2[[#This Row],[ReorderLevel]]*3, "Overstock", "Okay")</f>
        <v>Overstock</v>
      </c>
    </row>
    <row r="2947" spans="1:17" x14ac:dyDescent="0.35">
      <c r="A2947">
        <v>29189</v>
      </c>
      <c r="B2947" t="s">
        <v>24</v>
      </c>
      <c r="C2947" t="s">
        <v>30</v>
      </c>
      <c r="D2947">
        <v>237</v>
      </c>
      <c r="E2947">
        <v>20</v>
      </c>
      <c r="F2947" s="2">
        <v>200.05</v>
      </c>
      <c r="G2947" t="s">
        <v>34</v>
      </c>
      <c r="H2947" s="1">
        <v>45613</v>
      </c>
      <c r="I2947" s="1">
        <v>45644</v>
      </c>
      <c r="J2947" t="s">
        <v>37</v>
      </c>
      <c r="K2947" s="8">
        <f>Table2[[#This Row],[CurrentStock]]*Table2[[#This Row],[UnitPrice]]</f>
        <v>47411.850000000006</v>
      </c>
      <c r="L2947" t="str">
        <f>IF(Table2[[#This Row],[CurrentStock]]&lt;=Table2[[#This Row],[ReorderLevel]], "Reorder Needed", "Okay")</f>
        <v>Okay</v>
      </c>
      <c r="M2947" t="str">
        <f>IF(Table2[[#This Row],[CurrentStock]]-Table2[[#This Row],[ReorderLevel]]&lt;0,Table2[[#This Row],[CurrentStock]]-Table2[[#This Row],[ReorderLevel]],"")</f>
        <v/>
      </c>
      <c r="N2947" t="str">
        <f>IF(Table2[[#This Row],[Stock Gap]]&lt;0, "Understock","Okay")</f>
        <v>Okay</v>
      </c>
      <c r="O2947" s="13" t="str">
        <f>IF(Table2[[#This Row],[Stock Gap]]&lt;0, "Yes", "No")</f>
        <v>No</v>
      </c>
      <c r="P2947" s="13" t="str">
        <f>IF(Table2[[#This Row],[CurrentStock]]&lt;Table2[[#This Row],[ReorderLevel]],"Reorder", "Okay")</f>
        <v>Okay</v>
      </c>
      <c r="Q2947" s="13" t="str">
        <f>IF(Table2[[#This Row],[CurrentStock]]&gt;Table2[[#This Row],[ReorderLevel]]*3, "Overstock", "Okay")</f>
        <v>Overstock</v>
      </c>
    </row>
    <row r="2948" spans="1:17" x14ac:dyDescent="0.35">
      <c r="A2948">
        <v>61544</v>
      </c>
      <c r="B2948" t="s">
        <v>9</v>
      </c>
      <c r="C2948" t="s">
        <v>26</v>
      </c>
      <c r="D2948">
        <v>205</v>
      </c>
      <c r="E2948">
        <v>40</v>
      </c>
      <c r="F2948" s="2">
        <v>114.03</v>
      </c>
      <c r="G2948" t="s">
        <v>32</v>
      </c>
      <c r="H2948" s="1">
        <v>45486</v>
      </c>
      <c r="I2948" s="1">
        <v>45503</v>
      </c>
      <c r="J2948" t="s">
        <v>36</v>
      </c>
      <c r="K2948" s="8">
        <f>Table2[[#This Row],[CurrentStock]]*Table2[[#This Row],[UnitPrice]]</f>
        <v>23376.15</v>
      </c>
      <c r="L2948" t="str">
        <f>IF(Table2[[#This Row],[CurrentStock]]&lt;=Table2[[#This Row],[ReorderLevel]], "Reorder Needed", "Okay")</f>
        <v>Okay</v>
      </c>
      <c r="M2948" t="str">
        <f>IF(Table2[[#This Row],[CurrentStock]]-Table2[[#This Row],[ReorderLevel]]&lt;0,Table2[[#This Row],[CurrentStock]]-Table2[[#This Row],[ReorderLevel]],"")</f>
        <v/>
      </c>
      <c r="N2948" t="str">
        <f>IF(Table2[[#This Row],[Stock Gap]]&lt;0, "Understock","Okay")</f>
        <v>Okay</v>
      </c>
      <c r="O2948" s="13" t="str">
        <f>IF(Table2[[#This Row],[Stock Gap]]&lt;0, "Yes", "No")</f>
        <v>No</v>
      </c>
      <c r="P2948" s="13" t="str">
        <f>IF(Table2[[#This Row],[CurrentStock]]&lt;Table2[[#This Row],[ReorderLevel]],"Reorder", "Okay")</f>
        <v>Okay</v>
      </c>
      <c r="Q2948" s="13" t="str">
        <f>IF(Table2[[#This Row],[CurrentStock]]&gt;Table2[[#This Row],[ReorderLevel]]*3, "Overstock", "Okay")</f>
        <v>Overstock</v>
      </c>
    </row>
    <row r="2949" spans="1:17" x14ac:dyDescent="0.35">
      <c r="A2949">
        <v>45016</v>
      </c>
      <c r="B2949" t="s">
        <v>15</v>
      </c>
      <c r="C2949" t="s">
        <v>29</v>
      </c>
      <c r="D2949">
        <v>452</v>
      </c>
      <c r="E2949">
        <v>30</v>
      </c>
      <c r="F2949" s="2">
        <v>251.32</v>
      </c>
      <c r="G2949" t="s">
        <v>35</v>
      </c>
      <c r="H2949" s="1">
        <v>45448</v>
      </c>
      <c r="I2949" s="1">
        <v>45456</v>
      </c>
      <c r="J2949" t="s">
        <v>37</v>
      </c>
      <c r="K2949" s="8">
        <f>Table2[[#This Row],[CurrentStock]]*Table2[[#This Row],[UnitPrice]]</f>
        <v>113596.64</v>
      </c>
      <c r="L2949" t="str">
        <f>IF(Table2[[#This Row],[CurrentStock]]&lt;=Table2[[#This Row],[ReorderLevel]], "Reorder Needed", "Okay")</f>
        <v>Okay</v>
      </c>
      <c r="M2949" t="str">
        <f>IF(Table2[[#This Row],[CurrentStock]]-Table2[[#This Row],[ReorderLevel]]&lt;0,Table2[[#This Row],[CurrentStock]]-Table2[[#This Row],[ReorderLevel]],"")</f>
        <v/>
      </c>
      <c r="N2949" t="str">
        <f>IF(Table2[[#This Row],[Stock Gap]]&lt;0, "Understock","Okay")</f>
        <v>Okay</v>
      </c>
      <c r="O2949" s="13" t="str">
        <f>IF(Table2[[#This Row],[Stock Gap]]&lt;0, "Yes", "No")</f>
        <v>No</v>
      </c>
      <c r="P2949" s="13" t="str">
        <f>IF(Table2[[#This Row],[CurrentStock]]&lt;Table2[[#This Row],[ReorderLevel]],"Reorder", "Okay")</f>
        <v>Okay</v>
      </c>
      <c r="Q2949" s="13" t="str">
        <f>IF(Table2[[#This Row],[CurrentStock]]&gt;Table2[[#This Row],[ReorderLevel]]*3, "Overstock", "Okay")</f>
        <v>Overstock</v>
      </c>
    </row>
    <row r="2950" spans="1:17" x14ac:dyDescent="0.35">
      <c r="A2950">
        <v>41052</v>
      </c>
      <c r="B2950" t="s">
        <v>20</v>
      </c>
      <c r="C2950" t="s">
        <v>30</v>
      </c>
      <c r="D2950">
        <v>195</v>
      </c>
      <c r="E2950">
        <v>80</v>
      </c>
      <c r="F2950" s="2">
        <v>375.36</v>
      </c>
      <c r="G2950" t="s">
        <v>32</v>
      </c>
      <c r="H2950" s="1">
        <v>45651</v>
      </c>
      <c r="I2950" s="1">
        <v>45687</v>
      </c>
      <c r="J2950" t="s">
        <v>37</v>
      </c>
      <c r="K2950" s="8">
        <f>Table2[[#This Row],[CurrentStock]]*Table2[[#This Row],[UnitPrice]]</f>
        <v>73195.199999999997</v>
      </c>
      <c r="L2950" t="str">
        <f>IF(Table2[[#This Row],[CurrentStock]]&lt;=Table2[[#This Row],[ReorderLevel]], "Reorder Needed", "Okay")</f>
        <v>Okay</v>
      </c>
      <c r="M2950" t="str">
        <f>IF(Table2[[#This Row],[CurrentStock]]-Table2[[#This Row],[ReorderLevel]]&lt;0,Table2[[#This Row],[CurrentStock]]-Table2[[#This Row],[ReorderLevel]],"")</f>
        <v/>
      </c>
      <c r="N2950" t="str">
        <f>IF(Table2[[#This Row],[Stock Gap]]&lt;0, "Understock","Okay")</f>
        <v>Okay</v>
      </c>
      <c r="O2950" s="13" t="str">
        <f>IF(Table2[[#This Row],[Stock Gap]]&lt;0, "Yes", "No")</f>
        <v>No</v>
      </c>
      <c r="P2950" s="13" t="str">
        <f>IF(Table2[[#This Row],[CurrentStock]]&lt;Table2[[#This Row],[ReorderLevel]],"Reorder", "Okay")</f>
        <v>Okay</v>
      </c>
      <c r="Q2950" s="13" t="str">
        <f>IF(Table2[[#This Row],[CurrentStock]]&gt;Table2[[#This Row],[ReorderLevel]]*3, "Overstock", "Okay")</f>
        <v>Okay</v>
      </c>
    </row>
    <row r="2951" spans="1:17" x14ac:dyDescent="0.35">
      <c r="A2951">
        <v>13763</v>
      </c>
      <c r="B2951" t="s">
        <v>15</v>
      </c>
      <c r="C2951" t="s">
        <v>29</v>
      </c>
      <c r="D2951">
        <v>411</v>
      </c>
      <c r="E2951">
        <v>100</v>
      </c>
      <c r="F2951" s="2">
        <v>27.32</v>
      </c>
      <c r="G2951" t="s">
        <v>34</v>
      </c>
      <c r="H2951" s="1">
        <v>45379</v>
      </c>
      <c r="I2951" s="1">
        <v>45400</v>
      </c>
      <c r="J2951" t="s">
        <v>36</v>
      </c>
      <c r="K2951" s="8">
        <f>Table2[[#This Row],[CurrentStock]]*Table2[[#This Row],[UnitPrice]]</f>
        <v>11228.52</v>
      </c>
      <c r="L2951" t="str">
        <f>IF(Table2[[#This Row],[CurrentStock]]&lt;=Table2[[#This Row],[ReorderLevel]], "Reorder Needed", "Okay")</f>
        <v>Okay</v>
      </c>
      <c r="M2951" t="str">
        <f>IF(Table2[[#This Row],[CurrentStock]]-Table2[[#This Row],[ReorderLevel]]&lt;0,Table2[[#This Row],[CurrentStock]]-Table2[[#This Row],[ReorderLevel]],"")</f>
        <v/>
      </c>
      <c r="N2951" t="str">
        <f>IF(Table2[[#This Row],[Stock Gap]]&lt;0, "Understock","Okay")</f>
        <v>Okay</v>
      </c>
      <c r="O2951" s="13" t="str">
        <f>IF(Table2[[#This Row],[Stock Gap]]&lt;0, "Yes", "No")</f>
        <v>No</v>
      </c>
      <c r="P2951" s="13" t="str">
        <f>IF(Table2[[#This Row],[CurrentStock]]&lt;Table2[[#This Row],[ReorderLevel]],"Reorder", "Okay")</f>
        <v>Okay</v>
      </c>
      <c r="Q2951" s="13" t="str">
        <f>IF(Table2[[#This Row],[CurrentStock]]&gt;Table2[[#This Row],[ReorderLevel]]*3, "Overstock", "Okay")</f>
        <v>Overstock</v>
      </c>
    </row>
    <row r="2952" spans="1:17" x14ac:dyDescent="0.35">
      <c r="A2952">
        <v>86323</v>
      </c>
      <c r="B2952" t="s">
        <v>9</v>
      </c>
      <c r="C2952" t="s">
        <v>26</v>
      </c>
      <c r="D2952">
        <v>437</v>
      </c>
      <c r="E2952">
        <v>150</v>
      </c>
      <c r="F2952" s="2">
        <v>334.27</v>
      </c>
      <c r="G2952" t="s">
        <v>32</v>
      </c>
      <c r="H2952" s="1">
        <v>45313</v>
      </c>
      <c r="I2952" s="1">
        <v>45322</v>
      </c>
      <c r="J2952" t="s">
        <v>36</v>
      </c>
      <c r="K2952" s="8">
        <f>Table2[[#This Row],[CurrentStock]]*Table2[[#This Row],[UnitPrice]]</f>
        <v>146075.99</v>
      </c>
      <c r="L2952" t="str">
        <f>IF(Table2[[#This Row],[CurrentStock]]&lt;=Table2[[#This Row],[ReorderLevel]], "Reorder Needed", "Okay")</f>
        <v>Okay</v>
      </c>
      <c r="M2952" t="str">
        <f>IF(Table2[[#This Row],[CurrentStock]]-Table2[[#This Row],[ReorderLevel]]&lt;0,Table2[[#This Row],[CurrentStock]]-Table2[[#This Row],[ReorderLevel]],"")</f>
        <v/>
      </c>
      <c r="N2952" t="str">
        <f>IF(Table2[[#This Row],[Stock Gap]]&lt;0, "Understock","Okay")</f>
        <v>Okay</v>
      </c>
      <c r="O2952" s="13" t="str">
        <f>IF(Table2[[#This Row],[Stock Gap]]&lt;0, "Yes", "No")</f>
        <v>No</v>
      </c>
      <c r="P2952" s="13" t="str">
        <f>IF(Table2[[#This Row],[CurrentStock]]&lt;Table2[[#This Row],[ReorderLevel]],"Reorder", "Okay")</f>
        <v>Okay</v>
      </c>
      <c r="Q2952" s="13" t="str">
        <f>IF(Table2[[#This Row],[CurrentStock]]&gt;Table2[[#This Row],[ReorderLevel]]*3, "Overstock", "Okay")</f>
        <v>Okay</v>
      </c>
    </row>
    <row r="2953" spans="1:17" x14ac:dyDescent="0.35">
      <c r="A2953">
        <v>27678</v>
      </c>
      <c r="B2953" t="s">
        <v>18</v>
      </c>
      <c r="C2953" t="s">
        <v>27</v>
      </c>
      <c r="D2953">
        <v>175</v>
      </c>
      <c r="E2953">
        <v>100</v>
      </c>
      <c r="F2953" s="2">
        <v>336.53</v>
      </c>
      <c r="G2953" t="s">
        <v>32</v>
      </c>
      <c r="H2953" s="1">
        <v>45537</v>
      </c>
      <c r="I2953" s="1">
        <v>45576</v>
      </c>
      <c r="J2953" t="s">
        <v>38</v>
      </c>
      <c r="K2953" s="8">
        <f>Table2[[#This Row],[CurrentStock]]*Table2[[#This Row],[UnitPrice]]</f>
        <v>58892.749999999993</v>
      </c>
      <c r="L2953" t="str">
        <f>IF(Table2[[#This Row],[CurrentStock]]&lt;=Table2[[#This Row],[ReorderLevel]], "Reorder Needed", "Okay")</f>
        <v>Okay</v>
      </c>
      <c r="M2953" t="str">
        <f>IF(Table2[[#This Row],[CurrentStock]]-Table2[[#This Row],[ReorderLevel]]&lt;0,Table2[[#This Row],[CurrentStock]]-Table2[[#This Row],[ReorderLevel]],"")</f>
        <v/>
      </c>
      <c r="N2953" t="str">
        <f>IF(Table2[[#This Row],[Stock Gap]]&lt;0, "Understock","Okay")</f>
        <v>Okay</v>
      </c>
      <c r="O2953" s="13" t="str">
        <f>IF(Table2[[#This Row],[Stock Gap]]&lt;0, "Yes", "No")</f>
        <v>No</v>
      </c>
      <c r="P2953" s="13" t="str">
        <f>IF(Table2[[#This Row],[CurrentStock]]&lt;Table2[[#This Row],[ReorderLevel]],"Reorder", "Okay")</f>
        <v>Okay</v>
      </c>
      <c r="Q2953" s="13" t="str">
        <f>IF(Table2[[#This Row],[CurrentStock]]&gt;Table2[[#This Row],[ReorderLevel]]*3, "Overstock", "Okay")</f>
        <v>Okay</v>
      </c>
    </row>
    <row r="2954" spans="1:17" x14ac:dyDescent="0.35">
      <c r="A2954">
        <v>61556</v>
      </c>
      <c r="B2954" t="s">
        <v>25</v>
      </c>
      <c r="C2954" t="s">
        <v>29</v>
      </c>
      <c r="D2954">
        <v>35</v>
      </c>
      <c r="E2954">
        <v>40</v>
      </c>
      <c r="F2954" s="2">
        <v>445.51</v>
      </c>
      <c r="G2954" t="s">
        <v>31</v>
      </c>
      <c r="H2954" s="1">
        <v>45573</v>
      </c>
      <c r="I2954" s="1">
        <v>45598</v>
      </c>
      <c r="J2954" t="s">
        <v>36</v>
      </c>
      <c r="K2954" s="8">
        <f>Table2[[#This Row],[CurrentStock]]*Table2[[#This Row],[UnitPrice]]</f>
        <v>15592.85</v>
      </c>
      <c r="L2954" t="str">
        <f>IF(Table2[[#This Row],[CurrentStock]]&lt;=Table2[[#This Row],[ReorderLevel]], "Reorder Needed", "Okay")</f>
        <v>Reorder Needed</v>
      </c>
      <c r="M2954" s="7">
        <f>IF(Table2[[#This Row],[CurrentStock]]-Table2[[#This Row],[ReorderLevel]]&lt;0,Table2[[#This Row],[CurrentStock]]-Table2[[#This Row],[ReorderLevel]],"")</f>
        <v>-5</v>
      </c>
      <c r="N2954" t="str">
        <f>IF(Table2[[#This Row],[Stock Gap]]&lt;0, "Understock","Okay")</f>
        <v>Understock</v>
      </c>
      <c r="O2954" s="13" t="str">
        <f>IF(Table2[[#This Row],[Stock Gap]]&lt;0, "Yes", "No")</f>
        <v>Yes</v>
      </c>
      <c r="P2954" s="13" t="str">
        <f>IF(Table2[[#This Row],[CurrentStock]]&lt;Table2[[#This Row],[ReorderLevel]],"Reorder", "Okay")</f>
        <v>Reorder</v>
      </c>
      <c r="Q2954" s="13" t="str">
        <f>IF(Table2[[#This Row],[CurrentStock]]&gt;Table2[[#This Row],[ReorderLevel]]*3, "Overstock", "Okay")</f>
        <v>Okay</v>
      </c>
    </row>
    <row r="2955" spans="1:17" x14ac:dyDescent="0.35">
      <c r="A2955">
        <v>81678</v>
      </c>
      <c r="B2955" t="s">
        <v>25</v>
      </c>
      <c r="C2955" t="s">
        <v>29</v>
      </c>
      <c r="D2955">
        <v>272</v>
      </c>
      <c r="E2955">
        <v>20</v>
      </c>
      <c r="F2955" s="2">
        <v>60.75</v>
      </c>
      <c r="G2955" t="s">
        <v>33</v>
      </c>
      <c r="H2955" s="1">
        <v>45315</v>
      </c>
      <c r="I2955" s="1">
        <v>45352</v>
      </c>
      <c r="J2955" t="s">
        <v>36</v>
      </c>
      <c r="K2955" s="8">
        <f>Table2[[#This Row],[CurrentStock]]*Table2[[#This Row],[UnitPrice]]</f>
        <v>16524</v>
      </c>
      <c r="L2955" t="str">
        <f>IF(Table2[[#This Row],[CurrentStock]]&lt;=Table2[[#This Row],[ReorderLevel]], "Reorder Needed", "Okay")</f>
        <v>Okay</v>
      </c>
      <c r="M2955" t="str">
        <f>IF(Table2[[#This Row],[CurrentStock]]-Table2[[#This Row],[ReorderLevel]]&lt;0,Table2[[#This Row],[CurrentStock]]-Table2[[#This Row],[ReorderLevel]],"")</f>
        <v/>
      </c>
      <c r="N2955" t="str">
        <f>IF(Table2[[#This Row],[Stock Gap]]&lt;0, "Understock","Okay")</f>
        <v>Okay</v>
      </c>
      <c r="O2955" s="13" t="str">
        <f>IF(Table2[[#This Row],[Stock Gap]]&lt;0, "Yes", "No")</f>
        <v>No</v>
      </c>
      <c r="P2955" s="13" t="str">
        <f>IF(Table2[[#This Row],[CurrentStock]]&lt;Table2[[#This Row],[ReorderLevel]],"Reorder", "Okay")</f>
        <v>Okay</v>
      </c>
      <c r="Q2955" s="13" t="str">
        <f>IF(Table2[[#This Row],[CurrentStock]]&gt;Table2[[#This Row],[ReorderLevel]]*3, "Overstock", "Okay")</f>
        <v>Overstock</v>
      </c>
    </row>
    <row r="2956" spans="1:17" x14ac:dyDescent="0.35">
      <c r="A2956">
        <v>79963</v>
      </c>
      <c r="B2956" t="s">
        <v>24</v>
      </c>
      <c r="C2956" t="s">
        <v>30</v>
      </c>
      <c r="D2956">
        <v>122</v>
      </c>
      <c r="E2956">
        <v>100</v>
      </c>
      <c r="F2956" s="2">
        <v>382.16</v>
      </c>
      <c r="G2956" t="s">
        <v>35</v>
      </c>
      <c r="H2956" s="1">
        <v>45460</v>
      </c>
      <c r="I2956" s="1">
        <v>45487</v>
      </c>
      <c r="J2956" t="s">
        <v>36</v>
      </c>
      <c r="K2956" s="8">
        <f>Table2[[#This Row],[CurrentStock]]*Table2[[#This Row],[UnitPrice]]</f>
        <v>46623.520000000004</v>
      </c>
      <c r="L2956" t="str">
        <f>IF(Table2[[#This Row],[CurrentStock]]&lt;=Table2[[#This Row],[ReorderLevel]], "Reorder Needed", "Okay")</f>
        <v>Okay</v>
      </c>
      <c r="M2956" t="str">
        <f>IF(Table2[[#This Row],[CurrentStock]]-Table2[[#This Row],[ReorderLevel]]&lt;0,Table2[[#This Row],[CurrentStock]]-Table2[[#This Row],[ReorderLevel]],"")</f>
        <v/>
      </c>
      <c r="N2956" t="str">
        <f>IF(Table2[[#This Row],[Stock Gap]]&lt;0, "Understock","Okay")</f>
        <v>Okay</v>
      </c>
      <c r="O2956" s="13" t="str">
        <f>IF(Table2[[#This Row],[Stock Gap]]&lt;0, "Yes", "No")</f>
        <v>No</v>
      </c>
      <c r="P2956" s="13" t="str">
        <f>IF(Table2[[#This Row],[CurrentStock]]&lt;Table2[[#This Row],[ReorderLevel]],"Reorder", "Okay")</f>
        <v>Okay</v>
      </c>
      <c r="Q2956" s="13" t="str">
        <f>IF(Table2[[#This Row],[CurrentStock]]&gt;Table2[[#This Row],[ReorderLevel]]*3, "Overstock", "Okay")</f>
        <v>Okay</v>
      </c>
    </row>
    <row r="2957" spans="1:17" x14ac:dyDescent="0.35">
      <c r="A2957">
        <v>37146</v>
      </c>
      <c r="B2957" t="s">
        <v>16</v>
      </c>
      <c r="C2957" t="s">
        <v>29</v>
      </c>
      <c r="D2957">
        <v>336</v>
      </c>
      <c r="E2957">
        <v>100</v>
      </c>
      <c r="F2957" s="2">
        <v>103.27</v>
      </c>
      <c r="G2957" t="s">
        <v>33</v>
      </c>
      <c r="H2957" s="1">
        <v>45555</v>
      </c>
      <c r="I2957" s="1">
        <v>45577</v>
      </c>
      <c r="J2957" t="s">
        <v>37</v>
      </c>
      <c r="K2957" s="8">
        <f>Table2[[#This Row],[CurrentStock]]*Table2[[#This Row],[UnitPrice]]</f>
        <v>34698.720000000001</v>
      </c>
      <c r="L2957" t="str">
        <f>IF(Table2[[#This Row],[CurrentStock]]&lt;=Table2[[#This Row],[ReorderLevel]], "Reorder Needed", "Okay")</f>
        <v>Okay</v>
      </c>
      <c r="M2957" t="str">
        <f>IF(Table2[[#This Row],[CurrentStock]]-Table2[[#This Row],[ReorderLevel]]&lt;0,Table2[[#This Row],[CurrentStock]]-Table2[[#This Row],[ReorderLevel]],"")</f>
        <v/>
      </c>
      <c r="N2957" t="str">
        <f>IF(Table2[[#This Row],[Stock Gap]]&lt;0, "Understock","Okay")</f>
        <v>Okay</v>
      </c>
      <c r="O2957" s="13" t="str">
        <f>IF(Table2[[#This Row],[Stock Gap]]&lt;0, "Yes", "No")</f>
        <v>No</v>
      </c>
      <c r="P2957" s="13" t="str">
        <f>IF(Table2[[#This Row],[CurrentStock]]&lt;Table2[[#This Row],[ReorderLevel]],"Reorder", "Okay")</f>
        <v>Okay</v>
      </c>
      <c r="Q2957" s="13" t="str">
        <f>IF(Table2[[#This Row],[CurrentStock]]&gt;Table2[[#This Row],[ReorderLevel]]*3, "Overstock", "Okay")</f>
        <v>Overstock</v>
      </c>
    </row>
    <row r="2958" spans="1:17" x14ac:dyDescent="0.35">
      <c r="A2958">
        <v>34783</v>
      </c>
      <c r="B2958" t="s">
        <v>20</v>
      </c>
      <c r="C2958" t="s">
        <v>30</v>
      </c>
      <c r="D2958">
        <v>238</v>
      </c>
      <c r="E2958">
        <v>100</v>
      </c>
      <c r="F2958" s="2">
        <v>28.71</v>
      </c>
      <c r="G2958" t="s">
        <v>33</v>
      </c>
      <c r="H2958" s="1">
        <v>45378</v>
      </c>
      <c r="I2958" s="1">
        <v>45410</v>
      </c>
      <c r="J2958" t="s">
        <v>38</v>
      </c>
      <c r="K2958" s="8">
        <f>Table2[[#This Row],[CurrentStock]]*Table2[[#This Row],[UnitPrice]]</f>
        <v>6832.9800000000005</v>
      </c>
      <c r="L2958" t="str">
        <f>IF(Table2[[#This Row],[CurrentStock]]&lt;=Table2[[#This Row],[ReorderLevel]], "Reorder Needed", "Okay")</f>
        <v>Okay</v>
      </c>
      <c r="M2958" t="str">
        <f>IF(Table2[[#This Row],[CurrentStock]]-Table2[[#This Row],[ReorderLevel]]&lt;0,Table2[[#This Row],[CurrentStock]]-Table2[[#This Row],[ReorderLevel]],"")</f>
        <v/>
      </c>
      <c r="N2958" t="str">
        <f>IF(Table2[[#This Row],[Stock Gap]]&lt;0, "Understock","Okay")</f>
        <v>Okay</v>
      </c>
      <c r="O2958" s="13" t="str">
        <f>IF(Table2[[#This Row],[Stock Gap]]&lt;0, "Yes", "No")</f>
        <v>No</v>
      </c>
      <c r="P2958" s="13" t="str">
        <f>IF(Table2[[#This Row],[CurrentStock]]&lt;Table2[[#This Row],[ReorderLevel]],"Reorder", "Okay")</f>
        <v>Okay</v>
      </c>
      <c r="Q2958" s="13" t="str">
        <f>IF(Table2[[#This Row],[CurrentStock]]&gt;Table2[[#This Row],[ReorderLevel]]*3, "Overstock", "Okay")</f>
        <v>Okay</v>
      </c>
    </row>
    <row r="2959" spans="1:17" x14ac:dyDescent="0.35">
      <c r="A2959">
        <v>23796</v>
      </c>
      <c r="B2959" t="s">
        <v>15</v>
      </c>
      <c r="C2959" t="s">
        <v>29</v>
      </c>
      <c r="D2959">
        <v>151</v>
      </c>
      <c r="E2959">
        <v>50</v>
      </c>
      <c r="F2959" s="2">
        <v>365.96</v>
      </c>
      <c r="G2959" t="s">
        <v>31</v>
      </c>
      <c r="H2959" s="1">
        <v>45452</v>
      </c>
      <c r="I2959" s="1">
        <v>45458</v>
      </c>
      <c r="J2959" t="s">
        <v>37</v>
      </c>
      <c r="K2959" s="8">
        <f>Table2[[#This Row],[CurrentStock]]*Table2[[#This Row],[UnitPrice]]</f>
        <v>55259.96</v>
      </c>
      <c r="L2959" t="str">
        <f>IF(Table2[[#This Row],[CurrentStock]]&lt;=Table2[[#This Row],[ReorderLevel]], "Reorder Needed", "Okay")</f>
        <v>Okay</v>
      </c>
      <c r="M2959" t="str">
        <f>IF(Table2[[#This Row],[CurrentStock]]-Table2[[#This Row],[ReorderLevel]]&lt;0,Table2[[#This Row],[CurrentStock]]-Table2[[#This Row],[ReorderLevel]],"")</f>
        <v/>
      </c>
      <c r="N2959" t="str">
        <f>IF(Table2[[#This Row],[Stock Gap]]&lt;0, "Understock","Okay")</f>
        <v>Okay</v>
      </c>
      <c r="O2959" s="13" t="str">
        <f>IF(Table2[[#This Row],[Stock Gap]]&lt;0, "Yes", "No")</f>
        <v>No</v>
      </c>
      <c r="P2959" s="13" t="str">
        <f>IF(Table2[[#This Row],[CurrentStock]]&lt;Table2[[#This Row],[ReorderLevel]],"Reorder", "Okay")</f>
        <v>Okay</v>
      </c>
      <c r="Q2959" s="13" t="str">
        <f>IF(Table2[[#This Row],[CurrentStock]]&gt;Table2[[#This Row],[ReorderLevel]]*3, "Overstock", "Okay")</f>
        <v>Overstock</v>
      </c>
    </row>
    <row r="2960" spans="1:17" x14ac:dyDescent="0.35">
      <c r="A2960">
        <v>24743</v>
      </c>
      <c r="B2960" t="s">
        <v>18</v>
      </c>
      <c r="C2960" t="s">
        <v>27</v>
      </c>
      <c r="D2960">
        <v>283</v>
      </c>
      <c r="E2960">
        <v>30</v>
      </c>
      <c r="F2960" s="2">
        <v>246.95</v>
      </c>
      <c r="G2960" t="s">
        <v>33</v>
      </c>
      <c r="H2960" s="1">
        <v>45447</v>
      </c>
      <c r="I2960" s="1">
        <v>45460</v>
      </c>
      <c r="J2960" t="s">
        <v>36</v>
      </c>
      <c r="K2960" s="8">
        <f>Table2[[#This Row],[CurrentStock]]*Table2[[#This Row],[UnitPrice]]</f>
        <v>69886.849999999991</v>
      </c>
      <c r="L2960" t="str">
        <f>IF(Table2[[#This Row],[CurrentStock]]&lt;=Table2[[#This Row],[ReorderLevel]], "Reorder Needed", "Okay")</f>
        <v>Okay</v>
      </c>
      <c r="M2960" t="str">
        <f>IF(Table2[[#This Row],[CurrentStock]]-Table2[[#This Row],[ReorderLevel]]&lt;0,Table2[[#This Row],[CurrentStock]]-Table2[[#This Row],[ReorderLevel]],"")</f>
        <v/>
      </c>
      <c r="N2960" t="str">
        <f>IF(Table2[[#This Row],[Stock Gap]]&lt;0, "Understock","Okay")</f>
        <v>Okay</v>
      </c>
      <c r="O2960" s="13" t="str">
        <f>IF(Table2[[#This Row],[Stock Gap]]&lt;0, "Yes", "No")</f>
        <v>No</v>
      </c>
      <c r="P2960" s="13" t="str">
        <f>IF(Table2[[#This Row],[CurrentStock]]&lt;Table2[[#This Row],[ReorderLevel]],"Reorder", "Okay")</f>
        <v>Okay</v>
      </c>
      <c r="Q2960" s="13" t="str">
        <f>IF(Table2[[#This Row],[CurrentStock]]&gt;Table2[[#This Row],[ReorderLevel]]*3, "Overstock", "Okay")</f>
        <v>Overstock</v>
      </c>
    </row>
    <row r="2961" spans="1:17" x14ac:dyDescent="0.35">
      <c r="A2961">
        <v>99403</v>
      </c>
      <c r="B2961" t="s">
        <v>18</v>
      </c>
      <c r="C2961" t="s">
        <v>27</v>
      </c>
      <c r="D2961">
        <v>303</v>
      </c>
      <c r="E2961">
        <v>100</v>
      </c>
      <c r="F2961" s="2">
        <v>256.25</v>
      </c>
      <c r="G2961" t="s">
        <v>35</v>
      </c>
      <c r="H2961" s="1">
        <v>45330</v>
      </c>
      <c r="I2961" s="1">
        <v>45359</v>
      </c>
      <c r="J2961" t="s">
        <v>38</v>
      </c>
      <c r="K2961" s="8">
        <f>Table2[[#This Row],[CurrentStock]]*Table2[[#This Row],[UnitPrice]]</f>
        <v>77643.75</v>
      </c>
      <c r="L2961" t="str">
        <f>IF(Table2[[#This Row],[CurrentStock]]&lt;=Table2[[#This Row],[ReorderLevel]], "Reorder Needed", "Okay")</f>
        <v>Okay</v>
      </c>
      <c r="M2961" t="str">
        <f>IF(Table2[[#This Row],[CurrentStock]]-Table2[[#This Row],[ReorderLevel]]&lt;0,Table2[[#This Row],[CurrentStock]]-Table2[[#This Row],[ReorderLevel]],"")</f>
        <v/>
      </c>
      <c r="N2961" t="str">
        <f>IF(Table2[[#This Row],[Stock Gap]]&lt;0, "Understock","Okay")</f>
        <v>Okay</v>
      </c>
      <c r="O2961" s="13" t="str">
        <f>IF(Table2[[#This Row],[Stock Gap]]&lt;0, "Yes", "No")</f>
        <v>No</v>
      </c>
      <c r="P2961" s="13" t="str">
        <f>IF(Table2[[#This Row],[CurrentStock]]&lt;Table2[[#This Row],[ReorderLevel]],"Reorder", "Okay")</f>
        <v>Okay</v>
      </c>
      <c r="Q2961" s="13" t="str">
        <f>IF(Table2[[#This Row],[CurrentStock]]&gt;Table2[[#This Row],[ReorderLevel]]*3, "Overstock", "Okay")</f>
        <v>Overstock</v>
      </c>
    </row>
    <row r="2962" spans="1:17" x14ac:dyDescent="0.35">
      <c r="A2962">
        <v>43390</v>
      </c>
      <c r="B2962" t="s">
        <v>24</v>
      </c>
      <c r="C2962" t="s">
        <v>30</v>
      </c>
      <c r="D2962">
        <v>481</v>
      </c>
      <c r="E2962">
        <v>80</v>
      </c>
      <c r="F2962" s="2">
        <v>124.17</v>
      </c>
      <c r="G2962" t="s">
        <v>34</v>
      </c>
      <c r="H2962" s="1">
        <v>45544</v>
      </c>
      <c r="I2962" s="1">
        <v>45575</v>
      </c>
      <c r="J2962" t="s">
        <v>38</v>
      </c>
      <c r="K2962" s="8">
        <f>Table2[[#This Row],[CurrentStock]]*Table2[[#This Row],[UnitPrice]]</f>
        <v>59725.770000000004</v>
      </c>
      <c r="L2962" t="str">
        <f>IF(Table2[[#This Row],[CurrentStock]]&lt;=Table2[[#This Row],[ReorderLevel]], "Reorder Needed", "Okay")</f>
        <v>Okay</v>
      </c>
      <c r="M2962" t="str">
        <f>IF(Table2[[#This Row],[CurrentStock]]-Table2[[#This Row],[ReorderLevel]]&lt;0,Table2[[#This Row],[CurrentStock]]-Table2[[#This Row],[ReorderLevel]],"")</f>
        <v/>
      </c>
      <c r="N2962" t="str">
        <f>IF(Table2[[#This Row],[Stock Gap]]&lt;0, "Understock","Okay")</f>
        <v>Okay</v>
      </c>
      <c r="O2962" s="13" t="str">
        <f>IF(Table2[[#This Row],[Stock Gap]]&lt;0, "Yes", "No")</f>
        <v>No</v>
      </c>
      <c r="P2962" s="13" t="str">
        <f>IF(Table2[[#This Row],[CurrentStock]]&lt;Table2[[#This Row],[ReorderLevel]],"Reorder", "Okay")</f>
        <v>Okay</v>
      </c>
      <c r="Q2962" s="13" t="str">
        <f>IF(Table2[[#This Row],[CurrentStock]]&gt;Table2[[#This Row],[ReorderLevel]]*3, "Overstock", "Okay")</f>
        <v>Overstock</v>
      </c>
    </row>
    <row r="2963" spans="1:17" x14ac:dyDescent="0.35">
      <c r="A2963">
        <v>96224</v>
      </c>
      <c r="B2963" t="s">
        <v>9</v>
      </c>
      <c r="C2963" t="s">
        <v>26</v>
      </c>
      <c r="D2963">
        <v>488</v>
      </c>
      <c r="E2963">
        <v>40</v>
      </c>
      <c r="F2963" s="2">
        <v>93.17</v>
      </c>
      <c r="G2963" t="s">
        <v>35</v>
      </c>
      <c r="H2963" s="1">
        <v>45570</v>
      </c>
      <c r="I2963" s="1">
        <v>45581</v>
      </c>
      <c r="J2963" t="s">
        <v>37</v>
      </c>
      <c r="K2963" s="8">
        <f>Table2[[#This Row],[CurrentStock]]*Table2[[#This Row],[UnitPrice]]</f>
        <v>45466.96</v>
      </c>
      <c r="L2963" t="str">
        <f>IF(Table2[[#This Row],[CurrentStock]]&lt;=Table2[[#This Row],[ReorderLevel]], "Reorder Needed", "Okay")</f>
        <v>Okay</v>
      </c>
      <c r="M2963" t="str">
        <f>IF(Table2[[#This Row],[CurrentStock]]-Table2[[#This Row],[ReorderLevel]]&lt;0,Table2[[#This Row],[CurrentStock]]-Table2[[#This Row],[ReorderLevel]],"")</f>
        <v/>
      </c>
      <c r="N2963" t="str">
        <f>IF(Table2[[#This Row],[Stock Gap]]&lt;0, "Understock","Okay")</f>
        <v>Okay</v>
      </c>
      <c r="O2963" s="13" t="str">
        <f>IF(Table2[[#This Row],[Stock Gap]]&lt;0, "Yes", "No")</f>
        <v>No</v>
      </c>
      <c r="P2963" s="13" t="str">
        <f>IF(Table2[[#This Row],[CurrentStock]]&lt;Table2[[#This Row],[ReorderLevel]],"Reorder", "Okay")</f>
        <v>Okay</v>
      </c>
      <c r="Q2963" s="13" t="str">
        <f>IF(Table2[[#This Row],[CurrentStock]]&gt;Table2[[#This Row],[ReorderLevel]]*3, "Overstock", "Okay")</f>
        <v>Overstock</v>
      </c>
    </row>
    <row r="2964" spans="1:17" x14ac:dyDescent="0.35">
      <c r="A2964">
        <v>99362</v>
      </c>
      <c r="B2964" t="s">
        <v>22</v>
      </c>
      <c r="C2964" t="s">
        <v>29</v>
      </c>
      <c r="D2964">
        <v>350</v>
      </c>
      <c r="E2964">
        <v>100</v>
      </c>
      <c r="F2964" s="2">
        <v>327.74</v>
      </c>
      <c r="G2964" t="s">
        <v>35</v>
      </c>
      <c r="H2964" s="1">
        <v>45518</v>
      </c>
      <c r="I2964" s="1">
        <v>45539</v>
      </c>
      <c r="J2964" t="s">
        <v>37</v>
      </c>
      <c r="K2964" s="8">
        <f>Table2[[#This Row],[CurrentStock]]*Table2[[#This Row],[UnitPrice]]</f>
        <v>114709</v>
      </c>
      <c r="L2964" t="str">
        <f>IF(Table2[[#This Row],[CurrentStock]]&lt;=Table2[[#This Row],[ReorderLevel]], "Reorder Needed", "Okay")</f>
        <v>Okay</v>
      </c>
      <c r="M2964" t="str">
        <f>IF(Table2[[#This Row],[CurrentStock]]-Table2[[#This Row],[ReorderLevel]]&lt;0,Table2[[#This Row],[CurrentStock]]-Table2[[#This Row],[ReorderLevel]],"")</f>
        <v/>
      </c>
      <c r="N2964" t="str">
        <f>IF(Table2[[#This Row],[Stock Gap]]&lt;0, "Understock","Okay")</f>
        <v>Okay</v>
      </c>
      <c r="O2964" s="13" t="str">
        <f>IF(Table2[[#This Row],[Stock Gap]]&lt;0, "Yes", "No")</f>
        <v>No</v>
      </c>
      <c r="P2964" s="13" t="str">
        <f>IF(Table2[[#This Row],[CurrentStock]]&lt;Table2[[#This Row],[ReorderLevel]],"Reorder", "Okay")</f>
        <v>Okay</v>
      </c>
      <c r="Q2964" s="13" t="str">
        <f>IF(Table2[[#This Row],[CurrentStock]]&gt;Table2[[#This Row],[ReorderLevel]]*3, "Overstock", "Okay")</f>
        <v>Overstock</v>
      </c>
    </row>
    <row r="2965" spans="1:17" x14ac:dyDescent="0.35">
      <c r="A2965">
        <v>95953</v>
      </c>
      <c r="B2965" t="s">
        <v>16</v>
      </c>
      <c r="C2965" t="s">
        <v>29</v>
      </c>
      <c r="D2965">
        <v>183</v>
      </c>
      <c r="E2965">
        <v>20</v>
      </c>
      <c r="F2965" s="2">
        <v>40.369999999999997</v>
      </c>
      <c r="G2965" t="s">
        <v>33</v>
      </c>
      <c r="H2965" s="1">
        <v>45540</v>
      </c>
      <c r="I2965" s="1">
        <v>45578</v>
      </c>
      <c r="J2965" t="s">
        <v>37</v>
      </c>
      <c r="K2965" s="8">
        <f>Table2[[#This Row],[CurrentStock]]*Table2[[#This Row],[UnitPrice]]</f>
        <v>7387.7099999999991</v>
      </c>
      <c r="L2965" t="str">
        <f>IF(Table2[[#This Row],[CurrentStock]]&lt;=Table2[[#This Row],[ReorderLevel]], "Reorder Needed", "Okay")</f>
        <v>Okay</v>
      </c>
      <c r="M2965" t="str">
        <f>IF(Table2[[#This Row],[CurrentStock]]-Table2[[#This Row],[ReorderLevel]]&lt;0,Table2[[#This Row],[CurrentStock]]-Table2[[#This Row],[ReorderLevel]],"")</f>
        <v/>
      </c>
      <c r="N2965" t="str">
        <f>IF(Table2[[#This Row],[Stock Gap]]&lt;0, "Understock","Okay")</f>
        <v>Okay</v>
      </c>
      <c r="O2965" s="13" t="str">
        <f>IF(Table2[[#This Row],[Stock Gap]]&lt;0, "Yes", "No")</f>
        <v>No</v>
      </c>
      <c r="P2965" s="13" t="str">
        <f>IF(Table2[[#This Row],[CurrentStock]]&lt;Table2[[#This Row],[ReorderLevel]],"Reorder", "Okay")</f>
        <v>Okay</v>
      </c>
      <c r="Q2965" s="13" t="str">
        <f>IF(Table2[[#This Row],[CurrentStock]]&gt;Table2[[#This Row],[ReorderLevel]]*3, "Overstock", "Okay")</f>
        <v>Overstock</v>
      </c>
    </row>
    <row r="2966" spans="1:17" x14ac:dyDescent="0.35">
      <c r="A2966">
        <v>47879</v>
      </c>
      <c r="B2966" t="s">
        <v>14</v>
      </c>
      <c r="C2966" t="s">
        <v>28</v>
      </c>
      <c r="D2966">
        <v>260</v>
      </c>
      <c r="E2966">
        <v>150</v>
      </c>
      <c r="F2966" s="2">
        <v>293.93</v>
      </c>
      <c r="G2966" t="s">
        <v>32</v>
      </c>
      <c r="H2966" s="1">
        <v>45623</v>
      </c>
      <c r="I2966" s="1">
        <v>45639</v>
      </c>
      <c r="J2966" t="s">
        <v>38</v>
      </c>
      <c r="K2966" s="8">
        <f>Table2[[#This Row],[CurrentStock]]*Table2[[#This Row],[UnitPrice]]</f>
        <v>76421.8</v>
      </c>
      <c r="L2966" t="str">
        <f>IF(Table2[[#This Row],[CurrentStock]]&lt;=Table2[[#This Row],[ReorderLevel]], "Reorder Needed", "Okay")</f>
        <v>Okay</v>
      </c>
      <c r="M2966" t="str">
        <f>IF(Table2[[#This Row],[CurrentStock]]-Table2[[#This Row],[ReorderLevel]]&lt;0,Table2[[#This Row],[CurrentStock]]-Table2[[#This Row],[ReorderLevel]],"")</f>
        <v/>
      </c>
      <c r="N2966" t="str">
        <f>IF(Table2[[#This Row],[Stock Gap]]&lt;0, "Understock","Okay")</f>
        <v>Okay</v>
      </c>
      <c r="O2966" s="13" t="str">
        <f>IF(Table2[[#This Row],[Stock Gap]]&lt;0, "Yes", "No")</f>
        <v>No</v>
      </c>
      <c r="P2966" s="13" t="str">
        <f>IF(Table2[[#This Row],[CurrentStock]]&lt;Table2[[#This Row],[ReorderLevel]],"Reorder", "Okay")</f>
        <v>Okay</v>
      </c>
      <c r="Q2966" s="13" t="str">
        <f>IF(Table2[[#This Row],[CurrentStock]]&gt;Table2[[#This Row],[ReorderLevel]]*3, "Overstock", "Okay")</f>
        <v>Okay</v>
      </c>
    </row>
    <row r="2967" spans="1:17" x14ac:dyDescent="0.35">
      <c r="A2967">
        <v>55114</v>
      </c>
      <c r="B2967" t="s">
        <v>11</v>
      </c>
      <c r="C2967" t="s">
        <v>27</v>
      </c>
      <c r="D2967">
        <v>463</v>
      </c>
      <c r="E2967">
        <v>50</v>
      </c>
      <c r="F2967" s="2">
        <v>448.26</v>
      </c>
      <c r="G2967" t="s">
        <v>32</v>
      </c>
      <c r="H2967" s="1">
        <v>45561</v>
      </c>
      <c r="I2967" s="1">
        <v>45569</v>
      </c>
      <c r="J2967" t="s">
        <v>37</v>
      </c>
      <c r="K2967" s="8">
        <f>Table2[[#This Row],[CurrentStock]]*Table2[[#This Row],[UnitPrice]]</f>
        <v>207544.38</v>
      </c>
      <c r="L2967" t="str">
        <f>IF(Table2[[#This Row],[CurrentStock]]&lt;=Table2[[#This Row],[ReorderLevel]], "Reorder Needed", "Okay")</f>
        <v>Okay</v>
      </c>
      <c r="M2967" t="str">
        <f>IF(Table2[[#This Row],[CurrentStock]]-Table2[[#This Row],[ReorderLevel]]&lt;0,Table2[[#This Row],[CurrentStock]]-Table2[[#This Row],[ReorderLevel]],"")</f>
        <v/>
      </c>
      <c r="N2967" t="str">
        <f>IF(Table2[[#This Row],[Stock Gap]]&lt;0, "Understock","Okay")</f>
        <v>Okay</v>
      </c>
      <c r="O2967" s="13" t="str">
        <f>IF(Table2[[#This Row],[Stock Gap]]&lt;0, "Yes", "No")</f>
        <v>No</v>
      </c>
      <c r="P2967" s="13" t="str">
        <f>IF(Table2[[#This Row],[CurrentStock]]&lt;Table2[[#This Row],[ReorderLevel]],"Reorder", "Okay")</f>
        <v>Okay</v>
      </c>
      <c r="Q2967" s="13" t="str">
        <f>IF(Table2[[#This Row],[CurrentStock]]&gt;Table2[[#This Row],[ReorderLevel]]*3, "Overstock", "Okay")</f>
        <v>Overstock</v>
      </c>
    </row>
    <row r="2968" spans="1:17" x14ac:dyDescent="0.35">
      <c r="A2968">
        <v>70633</v>
      </c>
      <c r="B2968" t="s">
        <v>24</v>
      </c>
      <c r="C2968" t="s">
        <v>30</v>
      </c>
      <c r="D2968">
        <v>486</v>
      </c>
      <c r="E2968">
        <v>30</v>
      </c>
      <c r="F2968" s="2">
        <v>42.32</v>
      </c>
      <c r="G2968" t="s">
        <v>33</v>
      </c>
      <c r="H2968" s="1">
        <v>45445</v>
      </c>
      <c r="I2968" s="1">
        <v>45453</v>
      </c>
      <c r="J2968" t="s">
        <v>38</v>
      </c>
      <c r="K2968" s="8">
        <f>Table2[[#This Row],[CurrentStock]]*Table2[[#This Row],[UnitPrice]]</f>
        <v>20567.52</v>
      </c>
      <c r="L2968" t="str">
        <f>IF(Table2[[#This Row],[CurrentStock]]&lt;=Table2[[#This Row],[ReorderLevel]], "Reorder Needed", "Okay")</f>
        <v>Okay</v>
      </c>
      <c r="M2968" t="str">
        <f>IF(Table2[[#This Row],[CurrentStock]]-Table2[[#This Row],[ReorderLevel]]&lt;0,Table2[[#This Row],[CurrentStock]]-Table2[[#This Row],[ReorderLevel]],"")</f>
        <v/>
      </c>
      <c r="N2968" t="str">
        <f>IF(Table2[[#This Row],[Stock Gap]]&lt;0, "Understock","Okay")</f>
        <v>Okay</v>
      </c>
      <c r="O2968" s="13" t="str">
        <f>IF(Table2[[#This Row],[Stock Gap]]&lt;0, "Yes", "No")</f>
        <v>No</v>
      </c>
      <c r="P2968" s="13" t="str">
        <f>IF(Table2[[#This Row],[CurrentStock]]&lt;Table2[[#This Row],[ReorderLevel]],"Reorder", "Okay")</f>
        <v>Okay</v>
      </c>
      <c r="Q2968" s="13" t="str">
        <f>IF(Table2[[#This Row],[CurrentStock]]&gt;Table2[[#This Row],[ReorderLevel]]*3, "Overstock", "Okay")</f>
        <v>Overstock</v>
      </c>
    </row>
    <row r="2969" spans="1:17" x14ac:dyDescent="0.35">
      <c r="A2969">
        <v>37172</v>
      </c>
      <c r="B2969" t="s">
        <v>23</v>
      </c>
      <c r="C2969" t="s">
        <v>30</v>
      </c>
      <c r="D2969">
        <v>406</v>
      </c>
      <c r="E2969">
        <v>150</v>
      </c>
      <c r="F2969" s="2">
        <v>351.59</v>
      </c>
      <c r="G2969" t="s">
        <v>34</v>
      </c>
      <c r="H2969" s="1">
        <v>45394</v>
      </c>
      <c r="I2969" s="1">
        <v>45423</v>
      </c>
      <c r="J2969" t="s">
        <v>36</v>
      </c>
      <c r="K2969" s="8">
        <f>Table2[[#This Row],[CurrentStock]]*Table2[[#This Row],[UnitPrice]]</f>
        <v>142745.53999999998</v>
      </c>
      <c r="L2969" t="str">
        <f>IF(Table2[[#This Row],[CurrentStock]]&lt;=Table2[[#This Row],[ReorderLevel]], "Reorder Needed", "Okay")</f>
        <v>Okay</v>
      </c>
      <c r="M2969" t="str">
        <f>IF(Table2[[#This Row],[CurrentStock]]-Table2[[#This Row],[ReorderLevel]]&lt;0,Table2[[#This Row],[CurrentStock]]-Table2[[#This Row],[ReorderLevel]],"")</f>
        <v/>
      </c>
      <c r="N2969" t="str">
        <f>IF(Table2[[#This Row],[Stock Gap]]&lt;0, "Understock","Okay")</f>
        <v>Okay</v>
      </c>
      <c r="O2969" s="13" t="str">
        <f>IF(Table2[[#This Row],[Stock Gap]]&lt;0, "Yes", "No")</f>
        <v>No</v>
      </c>
      <c r="P2969" s="13" t="str">
        <f>IF(Table2[[#This Row],[CurrentStock]]&lt;Table2[[#This Row],[ReorderLevel]],"Reorder", "Okay")</f>
        <v>Okay</v>
      </c>
      <c r="Q2969" s="13" t="str">
        <f>IF(Table2[[#This Row],[CurrentStock]]&gt;Table2[[#This Row],[ReorderLevel]]*3, "Overstock", "Okay")</f>
        <v>Okay</v>
      </c>
    </row>
    <row r="2970" spans="1:17" x14ac:dyDescent="0.35">
      <c r="A2970">
        <v>94295</v>
      </c>
      <c r="B2970" t="s">
        <v>15</v>
      </c>
      <c r="C2970" t="s">
        <v>29</v>
      </c>
      <c r="D2970">
        <v>155</v>
      </c>
      <c r="E2970">
        <v>40</v>
      </c>
      <c r="F2970" s="2">
        <v>180.83</v>
      </c>
      <c r="G2970" t="s">
        <v>31</v>
      </c>
      <c r="H2970" s="1">
        <v>45338</v>
      </c>
      <c r="I2970" s="1">
        <v>45345</v>
      </c>
      <c r="J2970" t="s">
        <v>36</v>
      </c>
      <c r="K2970" s="8">
        <f>Table2[[#This Row],[CurrentStock]]*Table2[[#This Row],[UnitPrice]]</f>
        <v>28028.65</v>
      </c>
      <c r="L2970" t="str">
        <f>IF(Table2[[#This Row],[CurrentStock]]&lt;=Table2[[#This Row],[ReorderLevel]], "Reorder Needed", "Okay")</f>
        <v>Okay</v>
      </c>
      <c r="M2970" t="str">
        <f>IF(Table2[[#This Row],[CurrentStock]]-Table2[[#This Row],[ReorderLevel]]&lt;0,Table2[[#This Row],[CurrentStock]]-Table2[[#This Row],[ReorderLevel]],"")</f>
        <v/>
      </c>
      <c r="N2970" t="str">
        <f>IF(Table2[[#This Row],[Stock Gap]]&lt;0, "Understock","Okay")</f>
        <v>Okay</v>
      </c>
      <c r="O2970" s="13" t="str">
        <f>IF(Table2[[#This Row],[Stock Gap]]&lt;0, "Yes", "No")</f>
        <v>No</v>
      </c>
      <c r="P2970" s="13" t="str">
        <f>IF(Table2[[#This Row],[CurrentStock]]&lt;Table2[[#This Row],[ReorderLevel]],"Reorder", "Okay")</f>
        <v>Okay</v>
      </c>
      <c r="Q2970" s="13" t="str">
        <f>IF(Table2[[#This Row],[CurrentStock]]&gt;Table2[[#This Row],[ReorderLevel]]*3, "Overstock", "Okay")</f>
        <v>Overstock</v>
      </c>
    </row>
    <row r="2971" spans="1:17" x14ac:dyDescent="0.35">
      <c r="A2971">
        <v>87336</v>
      </c>
      <c r="B2971" t="s">
        <v>23</v>
      </c>
      <c r="C2971" t="s">
        <v>30</v>
      </c>
      <c r="D2971">
        <v>179</v>
      </c>
      <c r="E2971">
        <v>50</v>
      </c>
      <c r="F2971" s="2">
        <v>318.64999999999998</v>
      </c>
      <c r="G2971" t="s">
        <v>34</v>
      </c>
      <c r="H2971" s="1">
        <v>45593</v>
      </c>
      <c r="I2971" s="1">
        <v>45622</v>
      </c>
      <c r="J2971" t="s">
        <v>37</v>
      </c>
      <c r="K2971" s="8">
        <f>Table2[[#This Row],[CurrentStock]]*Table2[[#This Row],[UnitPrice]]</f>
        <v>57038.35</v>
      </c>
      <c r="L2971" t="str">
        <f>IF(Table2[[#This Row],[CurrentStock]]&lt;=Table2[[#This Row],[ReorderLevel]], "Reorder Needed", "Okay")</f>
        <v>Okay</v>
      </c>
      <c r="M2971" t="str">
        <f>IF(Table2[[#This Row],[CurrentStock]]-Table2[[#This Row],[ReorderLevel]]&lt;0,Table2[[#This Row],[CurrentStock]]-Table2[[#This Row],[ReorderLevel]],"")</f>
        <v/>
      </c>
      <c r="N2971" t="str">
        <f>IF(Table2[[#This Row],[Stock Gap]]&lt;0, "Understock","Okay")</f>
        <v>Okay</v>
      </c>
      <c r="O2971" s="13" t="str">
        <f>IF(Table2[[#This Row],[Stock Gap]]&lt;0, "Yes", "No")</f>
        <v>No</v>
      </c>
      <c r="P2971" s="13" t="str">
        <f>IF(Table2[[#This Row],[CurrentStock]]&lt;Table2[[#This Row],[ReorderLevel]],"Reorder", "Okay")</f>
        <v>Okay</v>
      </c>
      <c r="Q2971" s="13" t="str">
        <f>IF(Table2[[#This Row],[CurrentStock]]&gt;Table2[[#This Row],[ReorderLevel]]*3, "Overstock", "Okay")</f>
        <v>Overstock</v>
      </c>
    </row>
    <row r="2972" spans="1:17" x14ac:dyDescent="0.35">
      <c r="A2972">
        <v>12332</v>
      </c>
      <c r="B2972" t="s">
        <v>15</v>
      </c>
      <c r="C2972" t="s">
        <v>29</v>
      </c>
      <c r="D2972">
        <v>105</v>
      </c>
      <c r="E2972">
        <v>30</v>
      </c>
      <c r="F2972" s="2">
        <v>406.1</v>
      </c>
      <c r="G2972" t="s">
        <v>35</v>
      </c>
      <c r="H2972" s="1">
        <v>45635</v>
      </c>
      <c r="I2972" s="1">
        <v>45674</v>
      </c>
      <c r="J2972" t="s">
        <v>37</v>
      </c>
      <c r="K2972" s="8">
        <f>Table2[[#This Row],[CurrentStock]]*Table2[[#This Row],[UnitPrice]]</f>
        <v>42640.5</v>
      </c>
      <c r="L2972" t="str">
        <f>IF(Table2[[#This Row],[CurrentStock]]&lt;=Table2[[#This Row],[ReorderLevel]], "Reorder Needed", "Okay")</f>
        <v>Okay</v>
      </c>
      <c r="M2972" t="str">
        <f>IF(Table2[[#This Row],[CurrentStock]]-Table2[[#This Row],[ReorderLevel]]&lt;0,Table2[[#This Row],[CurrentStock]]-Table2[[#This Row],[ReorderLevel]],"")</f>
        <v/>
      </c>
      <c r="N2972" t="str">
        <f>IF(Table2[[#This Row],[Stock Gap]]&lt;0, "Understock","Okay")</f>
        <v>Okay</v>
      </c>
      <c r="O2972" s="13" t="str">
        <f>IF(Table2[[#This Row],[Stock Gap]]&lt;0, "Yes", "No")</f>
        <v>No</v>
      </c>
      <c r="P2972" s="13" t="str">
        <f>IF(Table2[[#This Row],[CurrentStock]]&lt;Table2[[#This Row],[ReorderLevel]],"Reorder", "Okay")</f>
        <v>Okay</v>
      </c>
      <c r="Q2972" s="13" t="str">
        <f>IF(Table2[[#This Row],[CurrentStock]]&gt;Table2[[#This Row],[ReorderLevel]]*3, "Overstock", "Okay")</f>
        <v>Overstock</v>
      </c>
    </row>
    <row r="2973" spans="1:17" x14ac:dyDescent="0.35">
      <c r="A2973">
        <v>41775</v>
      </c>
      <c r="B2973" t="s">
        <v>17</v>
      </c>
      <c r="C2973" t="s">
        <v>27</v>
      </c>
      <c r="D2973">
        <v>153</v>
      </c>
      <c r="E2973">
        <v>20</v>
      </c>
      <c r="F2973" s="2">
        <v>83.36</v>
      </c>
      <c r="G2973" t="s">
        <v>32</v>
      </c>
      <c r="H2973" s="1">
        <v>45433</v>
      </c>
      <c r="I2973" s="1">
        <v>45443</v>
      </c>
      <c r="J2973" t="s">
        <v>37</v>
      </c>
      <c r="K2973" s="8">
        <f>Table2[[#This Row],[CurrentStock]]*Table2[[#This Row],[UnitPrice]]</f>
        <v>12754.08</v>
      </c>
      <c r="L2973" t="str">
        <f>IF(Table2[[#This Row],[CurrentStock]]&lt;=Table2[[#This Row],[ReorderLevel]], "Reorder Needed", "Okay")</f>
        <v>Okay</v>
      </c>
      <c r="M2973" t="str">
        <f>IF(Table2[[#This Row],[CurrentStock]]-Table2[[#This Row],[ReorderLevel]]&lt;0,Table2[[#This Row],[CurrentStock]]-Table2[[#This Row],[ReorderLevel]],"")</f>
        <v/>
      </c>
      <c r="N2973" t="str">
        <f>IF(Table2[[#This Row],[Stock Gap]]&lt;0, "Understock","Okay")</f>
        <v>Okay</v>
      </c>
      <c r="O2973" s="13" t="str">
        <f>IF(Table2[[#This Row],[Stock Gap]]&lt;0, "Yes", "No")</f>
        <v>No</v>
      </c>
      <c r="P2973" s="13" t="str">
        <f>IF(Table2[[#This Row],[CurrentStock]]&lt;Table2[[#This Row],[ReorderLevel]],"Reorder", "Okay")</f>
        <v>Okay</v>
      </c>
      <c r="Q2973" s="13" t="str">
        <f>IF(Table2[[#This Row],[CurrentStock]]&gt;Table2[[#This Row],[ReorderLevel]]*3, "Overstock", "Okay")</f>
        <v>Overstock</v>
      </c>
    </row>
    <row r="2974" spans="1:17" x14ac:dyDescent="0.35">
      <c r="A2974">
        <v>76404</v>
      </c>
      <c r="B2974" t="s">
        <v>18</v>
      </c>
      <c r="C2974" t="s">
        <v>27</v>
      </c>
      <c r="D2974">
        <v>55</v>
      </c>
      <c r="E2974">
        <v>80</v>
      </c>
      <c r="F2974" s="2">
        <v>163.09</v>
      </c>
      <c r="G2974" t="s">
        <v>31</v>
      </c>
      <c r="H2974" s="1">
        <v>45344</v>
      </c>
      <c r="I2974" s="1">
        <v>45367</v>
      </c>
      <c r="J2974" t="s">
        <v>37</v>
      </c>
      <c r="K2974" s="8">
        <f>Table2[[#This Row],[CurrentStock]]*Table2[[#This Row],[UnitPrice]]</f>
        <v>8969.9500000000007</v>
      </c>
      <c r="L2974" t="str">
        <f>IF(Table2[[#This Row],[CurrentStock]]&lt;=Table2[[#This Row],[ReorderLevel]], "Reorder Needed", "Okay")</f>
        <v>Reorder Needed</v>
      </c>
      <c r="M2974" s="7">
        <f>IF(Table2[[#This Row],[CurrentStock]]-Table2[[#This Row],[ReorderLevel]]&lt;0,Table2[[#This Row],[CurrentStock]]-Table2[[#This Row],[ReorderLevel]],"")</f>
        <v>-25</v>
      </c>
      <c r="N2974" t="str">
        <f>IF(Table2[[#This Row],[Stock Gap]]&lt;0, "Understock","Okay")</f>
        <v>Understock</v>
      </c>
      <c r="O2974" s="13" t="str">
        <f>IF(Table2[[#This Row],[Stock Gap]]&lt;0, "Yes", "No")</f>
        <v>Yes</v>
      </c>
      <c r="P2974" s="13" t="str">
        <f>IF(Table2[[#This Row],[CurrentStock]]&lt;Table2[[#This Row],[ReorderLevel]],"Reorder", "Okay")</f>
        <v>Reorder</v>
      </c>
      <c r="Q2974" s="13" t="str">
        <f>IF(Table2[[#This Row],[CurrentStock]]&gt;Table2[[#This Row],[ReorderLevel]]*3, "Overstock", "Okay")</f>
        <v>Okay</v>
      </c>
    </row>
    <row r="2975" spans="1:17" x14ac:dyDescent="0.35">
      <c r="A2975">
        <v>96534</v>
      </c>
      <c r="B2975" t="s">
        <v>20</v>
      </c>
      <c r="C2975" t="s">
        <v>30</v>
      </c>
      <c r="D2975">
        <v>65</v>
      </c>
      <c r="E2975">
        <v>50</v>
      </c>
      <c r="F2975" s="2">
        <v>325.23</v>
      </c>
      <c r="G2975" t="s">
        <v>32</v>
      </c>
      <c r="H2975" s="1">
        <v>45308</v>
      </c>
      <c r="I2975" s="1">
        <v>45316</v>
      </c>
      <c r="J2975" t="s">
        <v>37</v>
      </c>
      <c r="K2975" s="8">
        <f>Table2[[#This Row],[CurrentStock]]*Table2[[#This Row],[UnitPrice]]</f>
        <v>21139.95</v>
      </c>
      <c r="L2975" t="str">
        <f>IF(Table2[[#This Row],[CurrentStock]]&lt;=Table2[[#This Row],[ReorderLevel]], "Reorder Needed", "Okay")</f>
        <v>Okay</v>
      </c>
      <c r="M2975" t="str">
        <f>IF(Table2[[#This Row],[CurrentStock]]-Table2[[#This Row],[ReorderLevel]]&lt;0,Table2[[#This Row],[CurrentStock]]-Table2[[#This Row],[ReorderLevel]],"")</f>
        <v/>
      </c>
      <c r="N2975" t="str">
        <f>IF(Table2[[#This Row],[Stock Gap]]&lt;0, "Understock","Okay")</f>
        <v>Okay</v>
      </c>
      <c r="O2975" s="13" t="str">
        <f>IF(Table2[[#This Row],[Stock Gap]]&lt;0, "Yes", "No")</f>
        <v>No</v>
      </c>
      <c r="P2975" s="13" t="str">
        <f>IF(Table2[[#This Row],[CurrentStock]]&lt;Table2[[#This Row],[ReorderLevel]],"Reorder", "Okay")</f>
        <v>Okay</v>
      </c>
      <c r="Q2975" s="13" t="str">
        <f>IF(Table2[[#This Row],[CurrentStock]]&gt;Table2[[#This Row],[ReorderLevel]]*3, "Overstock", "Okay")</f>
        <v>Okay</v>
      </c>
    </row>
    <row r="2976" spans="1:17" x14ac:dyDescent="0.35">
      <c r="A2976">
        <v>78309</v>
      </c>
      <c r="B2976" t="s">
        <v>18</v>
      </c>
      <c r="C2976" t="s">
        <v>27</v>
      </c>
      <c r="D2976">
        <v>383</v>
      </c>
      <c r="E2976">
        <v>150</v>
      </c>
      <c r="F2976" s="2">
        <v>83.63</v>
      </c>
      <c r="G2976" t="s">
        <v>31</v>
      </c>
      <c r="H2976" s="1">
        <v>45605</v>
      </c>
      <c r="I2976" s="1">
        <v>45634</v>
      </c>
      <c r="J2976" t="s">
        <v>38</v>
      </c>
      <c r="K2976" s="8">
        <f>Table2[[#This Row],[CurrentStock]]*Table2[[#This Row],[UnitPrice]]</f>
        <v>32030.289999999997</v>
      </c>
      <c r="L2976" t="str">
        <f>IF(Table2[[#This Row],[CurrentStock]]&lt;=Table2[[#This Row],[ReorderLevel]], "Reorder Needed", "Okay")</f>
        <v>Okay</v>
      </c>
      <c r="M2976" t="str">
        <f>IF(Table2[[#This Row],[CurrentStock]]-Table2[[#This Row],[ReorderLevel]]&lt;0,Table2[[#This Row],[CurrentStock]]-Table2[[#This Row],[ReorderLevel]],"")</f>
        <v/>
      </c>
      <c r="N2976" t="str">
        <f>IF(Table2[[#This Row],[Stock Gap]]&lt;0, "Understock","Okay")</f>
        <v>Okay</v>
      </c>
      <c r="O2976" s="13" t="str">
        <f>IF(Table2[[#This Row],[Stock Gap]]&lt;0, "Yes", "No")</f>
        <v>No</v>
      </c>
      <c r="P2976" s="13" t="str">
        <f>IF(Table2[[#This Row],[CurrentStock]]&lt;Table2[[#This Row],[ReorderLevel]],"Reorder", "Okay")</f>
        <v>Okay</v>
      </c>
      <c r="Q2976" s="13" t="str">
        <f>IF(Table2[[#This Row],[CurrentStock]]&gt;Table2[[#This Row],[ReorderLevel]]*3, "Overstock", "Okay")</f>
        <v>Okay</v>
      </c>
    </row>
    <row r="2977" spans="1:17" x14ac:dyDescent="0.35">
      <c r="A2977">
        <v>66648</v>
      </c>
      <c r="B2977" t="s">
        <v>23</v>
      </c>
      <c r="C2977" t="s">
        <v>30</v>
      </c>
      <c r="D2977">
        <v>48</v>
      </c>
      <c r="E2977">
        <v>50</v>
      </c>
      <c r="F2977" s="2">
        <v>339.93</v>
      </c>
      <c r="G2977" t="s">
        <v>34</v>
      </c>
      <c r="H2977" s="1">
        <v>45641</v>
      </c>
      <c r="I2977" s="1">
        <v>45661</v>
      </c>
      <c r="J2977" t="s">
        <v>37</v>
      </c>
      <c r="K2977" s="8">
        <f>Table2[[#This Row],[CurrentStock]]*Table2[[#This Row],[UnitPrice]]</f>
        <v>16316.64</v>
      </c>
      <c r="L2977" t="str">
        <f>IF(Table2[[#This Row],[CurrentStock]]&lt;=Table2[[#This Row],[ReorderLevel]], "Reorder Needed", "Okay")</f>
        <v>Reorder Needed</v>
      </c>
      <c r="M2977" s="7">
        <f>IF(Table2[[#This Row],[CurrentStock]]-Table2[[#This Row],[ReorderLevel]]&lt;0,Table2[[#This Row],[CurrentStock]]-Table2[[#This Row],[ReorderLevel]],"")</f>
        <v>-2</v>
      </c>
      <c r="N2977" t="str">
        <f>IF(Table2[[#This Row],[Stock Gap]]&lt;0, "Understock","Okay")</f>
        <v>Understock</v>
      </c>
      <c r="O2977" s="13" t="str">
        <f>IF(Table2[[#This Row],[Stock Gap]]&lt;0, "Yes", "No")</f>
        <v>Yes</v>
      </c>
      <c r="P2977" s="13" t="str">
        <f>IF(Table2[[#This Row],[CurrentStock]]&lt;Table2[[#This Row],[ReorderLevel]],"Reorder", "Okay")</f>
        <v>Reorder</v>
      </c>
      <c r="Q2977" s="13" t="str">
        <f>IF(Table2[[#This Row],[CurrentStock]]&gt;Table2[[#This Row],[ReorderLevel]]*3, "Overstock", "Okay")</f>
        <v>Okay</v>
      </c>
    </row>
    <row r="2978" spans="1:17" x14ac:dyDescent="0.35">
      <c r="A2978">
        <v>85710</v>
      </c>
      <c r="B2978" t="s">
        <v>13</v>
      </c>
      <c r="C2978" t="s">
        <v>26</v>
      </c>
      <c r="D2978">
        <v>174</v>
      </c>
      <c r="E2978">
        <v>150</v>
      </c>
      <c r="F2978" s="2">
        <v>357.43</v>
      </c>
      <c r="G2978" t="s">
        <v>34</v>
      </c>
      <c r="H2978" s="1">
        <v>45575</v>
      </c>
      <c r="I2978" s="1">
        <v>45599</v>
      </c>
      <c r="J2978" t="s">
        <v>36</v>
      </c>
      <c r="K2978" s="8">
        <f>Table2[[#This Row],[CurrentStock]]*Table2[[#This Row],[UnitPrice]]</f>
        <v>62192.82</v>
      </c>
      <c r="L2978" t="str">
        <f>IF(Table2[[#This Row],[CurrentStock]]&lt;=Table2[[#This Row],[ReorderLevel]], "Reorder Needed", "Okay")</f>
        <v>Okay</v>
      </c>
      <c r="M2978" t="str">
        <f>IF(Table2[[#This Row],[CurrentStock]]-Table2[[#This Row],[ReorderLevel]]&lt;0,Table2[[#This Row],[CurrentStock]]-Table2[[#This Row],[ReorderLevel]],"")</f>
        <v/>
      </c>
      <c r="N2978" t="str">
        <f>IF(Table2[[#This Row],[Stock Gap]]&lt;0, "Understock","Okay")</f>
        <v>Okay</v>
      </c>
      <c r="O2978" s="13" t="str">
        <f>IF(Table2[[#This Row],[Stock Gap]]&lt;0, "Yes", "No")</f>
        <v>No</v>
      </c>
      <c r="P2978" s="13" t="str">
        <f>IF(Table2[[#This Row],[CurrentStock]]&lt;Table2[[#This Row],[ReorderLevel]],"Reorder", "Okay")</f>
        <v>Okay</v>
      </c>
      <c r="Q2978" s="13" t="str">
        <f>IF(Table2[[#This Row],[CurrentStock]]&gt;Table2[[#This Row],[ReorderLevel]]*3, "Overstock", "Okay")</f>
        <v>Okay</v>
      </c>
    </row>
    <row r="2979" spans="1:17" x14ac:dyDescent="0.35">
      <c r="A2979">
        <v>25739</v>
      </c>
      <c r="B2979" t="s">
        <v>22</v>
      </c>
      <c r="C2979" t="s">
        <v>29</v>
      </c>
      <c r="D2979">
        <v>195</v>
      </c>
      <c r="E2979">
        <v>150</v>
      </c>
      <c r="F2979" s="2">
        <v>35.130000000000003</v>
      </c>
      <c r="G2979" t="s">
        <v>34</v>
      </c>
      <c r="H2979" s="1">
        <v>45635</v>
      </c>
      <c r="I2979" s="1">
        <v>45669</v>
      </c>
      <c r="J2979" t="s">
        <v>36</v>
      </c>
      <c r="K2979" s="8">
        <f>Table2[[#This Row],[CurrentStock]]*Table2[[#This Row],[UnitPrice]]</f>
        <v>6850.35</v>
      </c>
      <c r="L2979" t="str">
        <f>IF(Table2[[#This Row],[CurrentStock]]&lt;=Table2[[#This Row],[ReorderLevel]], "Reorder Needed", "Okay")</f>
        <v>Okay</v>
      </c>
      <c r="M2979" t="str">
        <f>IF(Table2[[#This Row],[CurrentStock]]-Table2[[#This Row],[ReorderLevel]]&lt;0,Table2[[#This Row],[CurrentStock]]-Table2[[#This Row],[ReorderLevel]],"")</f>
        <v/>
      </c>
      <c r="N2979" t="str">
        <f>IF(Table2[[#This Row],[Stock Gap]]&lt;0, "Understock","Okay")</f>
        <v>Okay</v>
      </c>
      <c r="O2979" s="13" t="str">
        <f>IF(Table2[[#This Row],[Stock Gap]]&lt;0, "Yes", "No")</f>
        <v>No</v>
      </c>
      <c r="P2979" s="13" t="str">
        <f>IF(Table2[[#This Row],[CurrentStock]]&lt;Table2[[#This Row],[ReorderLevel]],"Reorder", "Okay")</f>
        <v>Okay</v>
      </c>
      <c r="Q2979" s="13" t="str">
        <f>IF(Table2[[#This Row],[CurrentStock]]&gt;Table2[[#This Row],[ReorderLevel]]*3, "Overstock", "Okay")</f>
        <v>Okay</v>
      </c>
    </row>
    <row r="2980" spans="1:17" x14ac:dyDescent="0.35">
      <c r="A2980">
        <v>28920</v>
      </c>
      <c r="B2980" t="s">
        <v>11</v>
      </c>
      <c r="C2980" t="s">
        <v>27</v>
      </c>
      <c r="D2980">
        <v>279</v>
      </c>
      <c r="E2980">
        <v>20</v>
      </c>
      <c r="F2980" s="2">
        <v>120.68</v>
      </c>
      <c r="G2980" t="s">
        <v>34</v>
      </c>
      <c r="H2980" s="1">
        <v>45535</v>
      </c>
      <c r="I2980" s="1">
        <v>45554</v>
      </c>
      <c r="J2980" t="s">
        <v>36</v>
      </c>
      <c r="K2980" s="8">
        <f>Table2[[#This Row],[CurrentStock]]*Table2[[#This Row],[UnitPrice]]</f>
        <v>33669.72</v>
      </c>
      <c r="L2980" t="str">
        <f>IF(Table2[[#This Row],[CurrentStock]]&lt;=Table2[[#This Row],[ReorderLevel]], "Reorder Needed", "Okay")</f>
        <v>Okay</v>
      </c>
      <c r="M2980" t="str">
        <f>IF(Table2[[#This Row],[CurrentStock]]-Table2[[#This Row],[ReorderLevel]]&lt;0,Table2[[#This Row],[CurrentStock]]-Table2[[#This Row],[ReorderLevel]],"")</f>
        <v/>
      </c>
      <c r="N2980" t="str">
        <f>IF(Table2[[#This Row],[Stock Gap]]&lt;0, "Understock","Okay")</f>
        <v>Okay</v>
      </c>
      <c r="O2980" s="13" t="str">
        <f>IF(Table2[[#This Row],[Stock Gap]]&lt;0, "Yes", "No")</f>
        <v>No</v>
      </c>
      <c r="P2980" s="13" t="str">
        <f>IF(Table2[[#This Row],[CurrentStock]]&lt;Table2[[#This Row],[ReorderLevel]],"Reorder", "Okay")</f>
        <v>Okay</v>
      </c>
      <c r="Q2980" s="13" t="str">
        <f>IF(Table2[[#This Row],[CurrentStock]]&gt;Table2[[#This Row],[ReorderLevel]]*3, "Overstock", "Okay")</f>
        <v>Overstock</v>
      </c>
    </row>
    <row r="2981" spans="1:17" x14ac:dyDescent="0.35">
      <c r="A2981">
        <v>96679</v>
      </c>
      <c r="B2981" t="s">
        <v>10</v>
      </c>
      <c r="C2981" t="s">
        <v>26</v>
      </c>
      <c r="D2981">
        <v>271</v>
      </c>
      <c r="E2981">
        <v>50</v>
      </c>
      <c r="F2981" s="2">
        <v>215.97</v>
      </c>
      <c r="G2981" t="s">
        <v>31</v>
      </c>
      <c r="H2981" s="1">
        <v>45333</v>
      </c>
      <c r="I2981" s="1">
        <v>45341</v>
      </c>
      <c r="J2981" t="s">
        <v>38</v>
      </c>
      <c r="K2981" s="8">
        <f>Table2[[#This Row],[CurrentStock]]*Table2[[#This Row],[UnitPrice]]</f>
        <v>58527.87</v>
      </c>
      <c r="L2981" t="str">
        <f>IF(Table2[[#This Row],[CurrentStock]]&lt;=Table2[[#This Row],[ReorderLevel]], "Reorder Needed", "Okay")</f>
        <v>Okay</v>
      </c>
      <c r="M2981" t="str">
        <f>IF(Table2[[#This Row],[CurrentStock]]-Table2[[#This Row],[ReorderLevel]]&lt;0,Table2[[#This Row],[CurrentStock]]-Table2[[#This Row],[ReorderLevel]],"")</f>
        <v/>
      </c>
      <c r="N2981" t="str">
        <f>IF(Table2[[#This Row],[Stock Gap]]&lt;0, "Understock","Okay")</f>
        <v>Okay</v>
      </c>
      <c r="O2981" s="13" t="str">
        <f>IF(Table2[[#This Row],[Stock Gap]]&lt;0, "Yes", "No")</f>
        <v>No</v>
      </c>
      <c r="P2981" s="13" t="str">
        <f>IF(Table2[[#This Row],[CurrentStock]]&lt;Table2[[#This Row],[ReorderLevel]],"Reorder", "Okay")</f>
        <v>Okay</v>
      </c>
      <c r="Q2981" s="13" t="str">
        <f>IF(Table2[[#This Row],[CurrentStock]]&gt;Table2[[#This Row],[ReorderLevel]]*3, "Overstock", "Okay")</f>
        <v>Overstock</v>
      </c>
    </row>
    <row r="2982" spans="1:17" x14ac:dyDescent="0.35">
      <c r="A2982">
        <v>97299</v>
      </c>
      <c r="B2982" t="s">
        <v>11</v>
      </c>
      <c r="C2982" t="s">
        <v>27</v>
      </c>
      <c r="D2982">
        <v>396</v>
      </c>
      <c r="E2982">
        <v>100</v>
      </c>
      <c r="F2982" s="2">
        <v>31.67</v>
      </c>
      <c r="G2982" t="s">
        <v>34</v>
      </c>
      <c r="H2982" s="1">
        <v>45333</v>
      </c>
      <c r="I2982" s="1">
        <v>45366</v>
      </c>
      <c r="J2982" t="s">
        <v>36</v>
      </c>
      <c r="K2982" s="8">
        <f>Table2[[#This Row],[CurrentStock]]*Table2[[#This Row],[UnitPrice]]</f>
        <v>12541.320000000002</v>
      </c>
      <c r="L2982" t="str">
        <f>IF(Table2[[#This Row],[CurrentStock]]&lt;=Table2[[#This Row],[ReorderLevel]], "Reorder Needed", "Okay")</f>
        <v>Okay</v>
      </c>
      <c r="M2982" t="str">
        <f>IF(Table2[[#This Row],[CurrentStock]]-Table2[[#This Row],[ReorderLevel]]&lt;0,Table2[[#This Row],[CurrentStock]]-Table2[[#This Row],[ReorderLevel]],"")</f>
        <v/>
      </c>
      <c r="N2982" t="str">
        <f>IF(Table2[[#This Row],[Stock Gap]]&lt;0, "Understock","Okay")</f>
        <v>Okay</v>
      </c>
      <c r="O2982" s="13" t="str">
        <f>IF(Table2[[#This Row],[Stock Gap]]&lt;0, "Yes", "No")</f>
        <v>No</v>
      </c>
      <c r="P2982" s="13" t="str">
        <f>IF(Table2[[#This Row],[CurrentStock]]&lt;Table2[[#This Row],[ReorderLevel]],"Reorder", "Okay")</f>
        <v>Okay</v>
      </c>
      <c r="Q2982" s="13" t="str">
        <f>IF(Table2[[#This Row],[CurrentStock]]&gt;Table2[[#This Row],[ReorderLevel]]*3, "Overstock", "Okay")</f>
        <v>Overstock</v>
      </c>
    </row>
    <row r="2983" spans="1:17" x14ac:dyDescent="0.35">
      <c r="A2983">
        <v>25406</v>
      </c>
      <c r="B2983" t="s">
        <v>10</v>
      </c>
      <c r="C2983" t="s">
        <v>26</v>
      </c>
      <c r="D2983">
        <v>347</v>
      </c>
      <c r="E2983">
        <v>80</v>
      </c>
      <c r="F2983" s="2">
        <v>228.65</v>
      </c>
      <c r="G2983" t="s">
        <v>34</v>
      </c>
      <c r="H2983" s="1">
        <v>45326</v>
      </c>
      <c r="I2983" s="1">
        <v>45348</v>
      </c>
      <c r="J2983" t="s">
        <v>38</v>
      </c>
      <c r="K2983" s="8">
        <f>Table2[[#This Row],[CurrentStock]]*Table2[[#This Row],[UnitPrice]]</f>
        <v>79341.55</v>
      </c>
      <c r="L2983" t="str">
        <f>IF(Table2[[#This Row],[CurrentStock]]&lt;=Table2[[#This Row],[ReorderLevel]], "Reorder Needed", "Okay")</f>
        <v>Okay</v>
      </c>
      <c r="M2983" t="str">
        <f>IF(Table2[[#This Row],[CurrentStock]]-Table2[[#This Row],[ReorderLevel]]&lt;0,Table2[[#This Row],[CurrentStock]]-Table2[[#This Row],[ReorderLevel]],"")</f>
        <v/>
      </c>
      <c r="N2983" t="str">
        <f>IF(Table2[[#This Row],[Stock Gap]]&lt;0, "Understock","Okay")</f>
        <v>Okay</v>
      </c>
      <c r="O2983" s="13" t="str">
        <f>IF(Table2[[#This Row],[Stock Gap]]&lt;0, "Yes", "No")</f>
        <v>No</v>
      </c>
      <c r="P2983" s="13" t="str">
        <f>IF(Table2[[#This Row],[CurrentStock]]&lt;Table2[[#This Row],[ReorderLevel]],"Reorder", "Okay")</f>
        <v>Okay</v>
      </c>
      <c r="Q2983" s="13" t="str">
        <f>IF(Table2[[#This Row],[CurrentStock]]&gt;Table2[[#This Row],[ReorderLevel]]*3, "Overstock", "Okay")</f>
        <v>Overstock</v>
      </c>
    </row>
    <row r="2984" spans="1:17" x14ac:dyDescent="0.35">
      <c r="A2984">
        <v>51474</v>
      </c>
      <c r="B2984" t="s">
        <v>17</v>
      </c>
      <c r="C2984" t="s">
        <v>27</v>
      </c>
      <c r="D2984">
        <v>447</v>
      </c>
      <c r="E2984">
        <v>100</v>
      </c>
      <c r="F2984" s="2">
        <v>487.37</v>
      </c>
      <c r="G2984" t="s">
        <v>33</v>
      </c>
      <c r="H2984" s="1">
        <v>45619</v>
      </c>
      <c r="I2984" s="1">
        <v>45646</v>
      </c>
      <c r="J2984" t="s">
        <v>36</v>
      </c>
      <c r="K2984" s="8">
        <f>Table2[[#This Row],[CurrentStock]]*Table2[[#This Row],[UnitPrice]]</f>
        <v>217854.39</v>
      </c>
      <c r="L2984" t="str">
        <f>IF(Table2[[#This Row],[CurrentStock]]&lt;=Table2[[#This Row],[ReorderLevel]], "Reorder Needed", "Okay")</f>
        <v>Okay</v>
      </c>
      <c r="M2984" t="str">
        <f>IF(Table2[[#This Row],[CurrentStock]]-Table2[[#This Row],[ReorderLevel]]&lt;0,Table2[[#This Row],[CurrentStock]]-Table2[[#This Row],[ReorderLevel]],"")</f>
        <v/>
      </c>
      <c r="N2984" t="str">
        <f>IF(Table2[[#This Row],[Stock Gap]]&lt;0, "Understock","Okay")</f>
        <v>Okay</v>
      </c>
      <c r="O2984" s="13" t="str">
        <f>IF(Table2[[#This Row],[Stock Gap]]&lt;0, "Yes", "No")</f>
        <v>No</v>
      </c>
      <c r="P2984" s="13" t="str">
        <f>IF(Table2[[#This Row],[CurrentStock]]&lt;Table2[[#This Row],[ReorderLevel]],"Reorder", "Okay")</f>
        <v>Okay</v>
      </c>
      <c r="Q2984" s="13" t="str">
        <f>IF(Table2[[#This Row],[CurrentStock]]&gt;Table2[[#This Row],[ReorderLevel]]*3, "Overstock", "Okay")</f>
        <v>Overstock</v>
      </c>
    </row>
    <row r="2985" spans="1:17" x14ac:dyDescent="0.35">
      <c r="A2985">
        <v>87700</v>
      </c>
      <c r="B2985" t="s">
        <v>25</v>
      </c>
      <c r="C2985" t="s">
        <v>29</v>
      </c>
      <c r="D2985">
        <v>403</v>
      </c>
      <c r="E2985">
        <v>40</v>
      </c>
      <c r="F2985" s="2">
        <v>361.87</v>
      </c>
      <c r="G2985" t="s">
        <v>34</v>
      </c>
      <c r="H2985" s="1">
        <v>45632</v>
      </c>
      <c r="I2985" s="1">
        <v>45649</v>
      </c>
      <c r="J2985" t="s">
        <v>37</v>
      </c>
      <c r="K2985" s="8">
        <f>Table2[[#This Row],[CurrentStock]]*Table2[[#This Row],[UnitPrice]]</f>
        <v>145833.61000000002</v>
      </c>
      <c r="L2985" t="str">
        <f>IF(Table2[[#This Row],[CurrentStock]]&lt;=Table2[[#This Row],[ReorderLevel]], "Reorder Needed", "Okay")</f>
        <v>Okay</v>
      </c>
      <c r="M2985" t="str">
        <f>IF(Table2[[#This Row],[CurrentStock]]-Table2[[#This Row],[ReorderLevel]]&lt;0,Table2[[#This Row],[CurrentStock]]-Table2[[#This Row],[ReorderLevel]],"")</f>
        <v/>
      </c>
      <c r="N2985" t="str">
        <f>IF(Table2[[#This Row],[Stock Gap]]&lt;0, "Understock","Okay")</f>
        <v>Okay</v>
      </c>
      <c r="O2985" s="13" t="str">
        <f>IF(Table2[[#This Row],[Stock Gap]]&lt;0, "Yes", "No")</f>
        <v>No</v>
      </c>
      <c r="P2985" s="13" t="str">
        <f>IF(Table2[[#This Row],[CurrentStock]]&lt;Table2[[#This Row],[ReorderLevel]],"Reorder", "Okay")</f>
        <v>Okay</v>
      </c>
      <c r="Q2985" s="13" t="str">
        <f>IF(Table2[[#This Row],[CurrentStock]]&gt;Table2[[#This Row],[ReorderLevel]]*3, "Overstock", "Okay")</f>
        <v>Overstock</v>
      </c>
    </row>
    <row r="2986" spans="1:17" x14ac:dyDescent="0.35">
      <c r="A2986">
        <v>34268</v>
      </c>
      <c r="B2986" t="s">
        <v>25</v>
      </c>
      <c r="C2986" t="s">
        <v>29</v>
      </c>
      <c r="D2986">
        <v>104</v>
      </c>
      <c r="E2986">
        <v>80</v>
      </c>
      <c r="F2986" s="2">
        <v>394.14</v>
      </c>
      <c r="G2986" t="s">
        <v>31</v>
      </c>
      <c r="H2986" s="1">
        <v>45295</v>
      </c>
      <c r="I2986" s="1">
        <v>45321</v>
      </c>
      <c r="J2986" t="s">
        <v>36</v>
      </c>
      <c r="K2986" s="8">
        <f>Table2[[#This Row],[CurrentStock]]*Table2[[#This Row],[UnitPrice]]</f>
        <v>40990.559999999998</v>
      </c>
      <c r="L2986" t="str">
        <f>IF(Table2[[#This Row],[CurrentStock]]&lt;=Table2[[#This Row],[ReorderLevel]], "Reorder Needed", "Okay")</f>
        <v>Okay</v>
      </c>
      <c r="M2986" t="str">
        <f>IF(Table2[[#This Row],[CurrentStock]]-Table2[[#This Row],[ReorderLevel]]&lt;0,Table2[[#This Row],[CurrentStock]]-Table2[[#This Row],[ReorderLevel]],"")</f>
        <v/>
      </c>
      <c r="N2986" t="str">
        <f>IF(Table2[[#This Row],[Stock Gap]]&lt;0, "Understock","Okay")</f>
        <v>Okay</v>
      </c>
      <c r="O2986" s="13" t="str">
        <f>IF(Table2[[#This Row],[Stock Gap]]&lt;0, "Yes", "No")</f>
        <v>No</v>
      </c>
      <c r="P2986" s="13" t="str">
        <f>IF(Table2[[#This Row],[CurrentStock]]&lt;Table2[[#This Row],[ReorderLevel]],"Reorder", "Okay")</f>
        <v>Okay</v>
      </c>
      <c r="Q2986" s="13" t="str">
        <f>IF(Table2[[#This Row],[CurrentStock]]&gt;Table2[[#This Row],[ReorderLevel]]*3, "Overstock", "Okay")</f>
        <v>Okay</v>
      </c>
    </row>
    <row r="2987" spans="1:17" x14ac:dyDescent="0.35">
      <c r="A2987">
        <v>92163</v>
      </c>
      <c r="B2987" t="s">
        <v>18</v>
      </c>
      <c r="C2987" t="s">
        <v>27</v>
      </c>
      <c r="D2987">
        <v>271</v>
      </c>
      <c r="E2987">
        <v>50</v>
      </c>
      <c r="F2987" s="2">
        <v>360.6</v>
      </c>
      <c r="G2987" t="s">
        <v>34</v>
      </c>
      <c r="H2987" s="1">
        <v>45522</v>
      </c>
      <c r="I2987" s="1">
        <v>45550</v>
      </c>
      <c r="J2987" t="s">
        <v>38</v>
      </c>
      <c r="K2987" s="8">
        <f>Table2[[#This Row],[CurrentStock]]*Table2[[#This Row],[UnitPrice]]</f>
        <v>97722.6</v>
      </c>
      <c r="L2987" t="str">
        <f>IF(Table2[[#This Row],[CurrentStock]]&lt;=Table2[[#This Row],[ReorderLevel]], "Reorder Needed", "Okay")</f>
        <v>Okay</v>
      </c>
      <c r="M2987" t="str">
        <f>IF(Table2[[#This Row],[CurrentStock]]-Table2[[#This Row],[ReorderLevel]]&lt;0,Table2[[#This Row],[CurrentStock]]-Table2[[#This Row],[ReorderLevel]],"")</f>
        <v/>
      </c>
      <c r="N2987" t="str">
        <f>IF(Table2[[#This Row],[Stock Gap]]&lt;0, "Understock","Okay")</f>
        <v>Okay</v>
      </c>
      <c r="O2987" s="13" t="str">
        <f>IF(Table2[[#This Row],[Stock Gap]]&lt;0, "Yes", "No")</f>
        <v>No</v>
      </c>
      <c r="P2987" s="13" t="str">
        <f>IF(Table2[[#This Row],[CurrentStock]]&lt;Table2[[#This Row],[ReorderLevel]],"Reorder", "Okay")</f>
        <v>Okay</v>
      </c>
      <c r="Q2987" s="13" t="str">
        <f>IF(Table2[[#This Row],[CurrentStock]]&gt;Table2[[#This Row],[ReorderLevel]]*3, "Overstock", "Okay")</f>
        <v>Overstock</v>
      </c>
    </row>
    <row r="2988" spans="1:17" x14ac:dyDescent="0.35">
      <c r="A2988">
        <v>29944</v>
      </c>
      <c r="B2988" t="s">
        <v>22</v>
      </c>
      <c r="C2988" t="s">
        <v>29</v>
      </c>
      <c r="D2988">
        <v>85</v>
      </c>
      <c r="E2988">
        <v>80</v>
      </c>
      <c r="F2988" s="2">
        <v>429.02</v>
      </c>
      <c r="G2988" t="s">
        <v>33</v>
      </c>
      <c r="H2988" s="1">
        <v>45292</v>
      </c>
      <c r="I2988" s="1">
        <v>45316</v>
      </c>
      <c r="J2988" t="s">
        <v>38</v>
      </c>
      <c r="K2988" s="8">
        <f>Table2[[#This Row],[CurrentStock]]*Table2[[#This Row],[UnitPrice]]</f>
        <v>36466.699999999997</v>
      </c>
      <c r="L2988" t="str">
        <f>IF(Table2[[#This Row],[CurrentStock]]&lt;=Table2[[#This Row],[ReorderLevel]], "Reorder Needed", "Okay")</f>
        <v>Okay</v>
      </c>
      <c r="M2988" t="str">
        <f>IF(Table2[[#This Row],[CurrentStock]]-Table2[[#This Row],[ReorderLevel]]&lt;0,Table2[[#This Row],[CurrentStock]]-Table2[[#This Row],[ReorderLevel]],"")</f>
        <v/>
      </c>
      <c r="N2988" t="str">
        <f>IF(Table2[[#This Row],[Stock Gap]]&lt;0, "Understock","Okay")</f>
        <v>Okay</v>
      </c>
      <c r="O2988" s="13" t="str">
        <f>IF(Table2[[#This Row],[Stock Gap]]&lt;0, "Yes", "No")</f>
        <v>No</v>
      </c>
      <c r="P2988" s="13" t="str">
        <f>IF(Table2[[#This Row],[CurrentStock]]&lt;Table2[[#This Row],[ReorderLevel]],"Reorder", "Okay")</f>
        <v>Okay</v>
      </c>
      <c r="Q2988" s="13" t="str">
        <f>IF(Table2[[#This Row],[CurrentStock]]&gt;Table2[[#This Row],[ReorderLevel]]*3, "Overstock", "Okay")</f>
        <v>Okay</v>
      </c>
    </row>
    <row r="2989" spans="1:17" x14ac:dyDescent="0.35">
      <c r="A2989">
        <v>12520</v>
      </c>
      <c r="B2989" t="s">
        <v>24</v>
      </c>
      <c r="C2989" t="s">
        <v>30</v>
      </c>
      <c r="D2989">
        <v>6</v>
      </c>
      <c r="E2989">
        <v>50</v>
      </c>
      <c r="F2989" s="2">
        <v>240.95</v>
      </c>
      <c r="G2989" t="s">
        <v>32</v>
      </c>
      <c r="H2989" s="1">
        <v>45601</v>
      </c>
      <c r="I2989" s="1">
        <v>45610</v>
      </c>
      <c r="J2989" t="s">
        <v>37</v>
      </c>
      <c r="K2989" s="8">
        <f>Table2[[#This Row],[CurrentStock]]*Table2[[#This Row],[UnitPrice]]</f>
        <v>1445.6999999999998</v>
      </c>
      <c r="L2989" t="str">
        <f>IF(Table2[[#This Row],[CurrentStock]]&lt;=Table2[[#This Row],[ReorderLevel]], "Reorder Needed", "Okay")</f>
        <v>Reorder Needed</v>
      </c>
      <c r="M2989" s="7">
        <f>IF(Table2[[#This Row],[CurrentStock]]-Table2[[#This Row],[ReorderLevel]]&lt;0,Table2[[#This Row],[CurrentStock]]-Table2[[#This Row],[ReorderLevel]],"")</f>
        <v>-44</v>
      </c>
      <c r="N2989" t="str">
        <f>IF(Table2[[#This Row],[Stock Gap]]&lt;0, "Understock","Okay")</f>
        <v>Understock</v>
      </c>
      <c r="O2989" s="13" t="str">
        <f>IF(Table2[[#This Row],[Stock Gap]]&lt;0, "Yes", "No")</f>
        <v>Yes</v>
      </c>
      <c r="P2989" s="13" t="str">
        <f>IF(Table2[[#This Row],[CurrentStock]]&lt;Table2[[#This Row],[ReorderLevel]],"Reorder", "Okay")</f>
        <v>Reorder</v>
      </c>
      <c r="Q2989" s="13" t="str">
        <f>IF(Table2[[#This Row],[CurrentStock]]&gt;Table2[[#This Row],[ReorderLevel]]*3, "Overstock", "Okay")</f>
        <v>Okay</v>
      </c>
    </row>
    <row r="2990" spans="1:17" x14ac:dyDescent="0.35">
      <c r="A2990">
        <v>74566</v>
      </c>
      <c r="B2990" t="s">
        <v>17</v>
      </c>
      <c r="C2990" t="s">
        <v>27</v>
      </c>
      <c r="D2990">
        <v>208</v>
      </c>
      <c r="E2990">
        <v>100</v>
      </c>
      <c r="F2990" s="2">
        <v>391.08</v>
      </c>
      <c r="G2990" t="s">
        <v>31</v>
      </c>
      <c r="H2990" s="1">
        <v>45436</v>
      </c>
      <c r="I2990" s="1">
        <v>45461</v>
      </c>
      <c r="J2990" t="s">
        <v>38</v>
      </c>
      <c r="K2990" s="8">
        <f>Table2[[#This Row],[CurrentStock]]*Table2[[#This Row],[UnitPrice]]</f>
        <v>81344.639999999999</v>
      </c>
      <c r="L2990" t="str">
        <f>IF(Table2[[#This Row],[CurrentStock]]&lt;=Table2[[#This Row],[ReorderLevel]], "Reorder Needed", "Okay")</f>
        <v>Okay</v>
      </c>
      <c r="M2990" t="str">
        <f>IF(Table2[[#This Row],[CurrentStock]]-Table2[[#This Row],[ReorderLevel]]&lt;0,Table2[[#This Row],[CurrentStock]]-Table2[[#This Row],[ReorderLevel]],"")</f>
        <v/>
      </c>
      <c r="N2990" t="str">
        <f>IF(Table2[[#This Row],[Stock Gap]]&lt;0, "Understock","Okay")</f>
        <v>Okay</v>
      </c>
      <c r="O2990" s="13" t="str">
        <f>IF(Table2[[#This Row],[Stock Gap]]&lt;0, "Yes", "No")</f>
        <v>No</v>
      </c>
      <c r="P2990" s="13" t="str">
        <f>IF(Table2[[#This Row],[CurrentStock]]&lt;Table2[[#This Row],[ReorderLevel]],"Reorder", "Okay")</f>
        <v>Okay</v>
      </c>
      <c r="Q2990" s="13" t="str">
        <f>IF(Table2[[#This Row],[CurrentStock]]&gt;Table2[[#This Row],[ReorderLevel]]*3, "Overstock", "Okay")</f>
        <v>Okay</v>
      </c>
    </row>
    <row r="2991" spans="1:17" x14ac:dyDescent="0.35">
      <c r="A2991">
        <v>27259</v>
      </c>
      <c r="B2991" t="s">
        <v>17</v>
      </c>
      <c r="C2991" t="s">
        <v>27</v>
      </c>
      <c r="D2991">
        <v>64</v>
      </c>
      <c r="E2991">
        <v>80</v>
      </c>
      <c r="F2991" s="2">
        <v>348.05</v>
      </c>
      <c r="G2991" t="s">
        <v>33</v>
      </c>
      <c r="H2991" s="1">
        <v>45367</v>
      </c>
      <c r="I2991" s="1">
        <v>45372</v>
      </c>
      <c r="J2991" t="s">
        <v>38</v>
      </c>
      <c r="K2991" s="8">
        <f>Table2[[#This Row],[CurrentStock]]*Table2[[#This Row],[UnitPrice]]</f>
        <v>22275.200000000001</v>
      </c>
      <c r="L2991" t="str">
        <f>IF(Table2[[#This Row],[CurrentStock]]&lt;=Table2[[#This Row],[ReorderLevel]], "Reorder Needed", "Okay")</f>
        <v>Reorder Needed</v>
      </c>
      <c r="M2991" s="7">
        <f>IF(Table2[[#This Row],[CurrentStock]]-Table2[[#This Row],[ReorderLevel]]&lt;0,Table2[[#This Row],[CurrentStock]]-Table2[[#This Row],[ReorderLevel]],"")</f>
        <v>-16</v>
      </c>
      <c r="N2991" t="str">
        <f>IF(Table2[[#This Row],[Stock Gap]]&lt;0, "Understock","Okay")</f>
        <v>Understock</v>
      </c>
      <c r="O2991" s="13" t="str">
        <f>IF(Table2[[#This Row],[Stock Gap]]&lt;0, "Yes", "No")</f>
        <v>Yes</v>
      </c>
      <c r="P2991" s="13" t="str">
        <f>IF(Table2[[#This Row],[CurrentStock]]&lt;Table2[[#This Row],[ReorderLevel]],"Reorder", "Okay")</f>
        <v>Reorder</v>
      </c>
      <c r="Q2991" s="13" t="str">
        <f>IF(Table2[[#This Row],[CurrentStock]]&gt;Table2[[#This Row],[ReorderLevel]]*3, "Overstock", "Okay")</f>
        <v>Okay</v>
      </c>
    </row>
    <row r="2992" spans="1:17" x14ac:dyDescent="0.35">
      <c r="A2992">
        <v>91164</v>
      </c>
      <c r="B2992" t="s">
        <v>13</v>
      </c>
      <c r="C2992" t="s">
        <v>26</v>
      </c>
      <c r="D2992">
        <v>128</v>
      </c>
      <c r="E2992">
        <v>100</v>
      </c>
      <c r="F2992" s="2">
        <v>302.10000000000002</v>
      </c>
      <c r="G2992" t="s">
        <v>35</v>
      </c>
      <c r="H2992" s="1">
        <v>45408</v>
      </c>
      <c r="I2992" s="1">
        <v>45424</v>
      </c>
      <c r="J2992" t="s">
        <v>36</v>
      </c>
      <c r="K2992" s="8">
        <f>Table2[[#This Row],[CurrentStock]]*Table2[[#This Row],[UnitPrice]]</f>
        <v>38668.800000000003</v>
      </c>
      <c r="L2992" t="str">
        <f>IF(Table2[[#This Row],[CurrentStock]]&lt;=Table2[[#This Row],[ReorderLevel]], "Reorder Needed", "Okay")</f>
        <v>Okay</v>
      </c>
      <c r="M2992" t="str">
        <f>IF(Table2[[#This Row],[CurrentStock]]-Table2[[#This Row],[ReorderLevel]]&lt;0,Table2[[#This Row],[CurrentStock]]-Table2[[#This Row],[ReorderLevel]],"")</f>
        <v/>
      </c>
      <c r="N2992" t="str">
        <f>IF(Table2[[#This Row],[Stock Gap]]&lt;0, "Understock","Okay")</f>
        <v>Okay</v>
      </c>
      <c r="O2992" s="13" t="str">
        <f>IF(Table2[[#This Row],[Stock Gap]]&lt;0, "Yes", "No")</f>
        <v>No</v>
      </c>
      <c r="P2992" s="13" t="str">
        <f>IF(Table2[[#This Row],[CurrentStock]]&lt;Table2[[#This Row],[ReorderLevel]],"Reorder", "Okay")</f>
        <v>Okay</v>
      </c>
      <c r="Q2992" s="13" t="str">
        <f>IF(Table2[[#This Row],[CurrentStock]]&gt;Table2[[#This Row],[ReorderLevel]]*3, "Overstock", "Okay")</f>
        <v>Okay</v>
      </c>
    </row>
    <row r="2993" spans="1:17" x14ac:dyDescent="0.35">
      <c r="A2993">
        <v>95847</v>
      </c>
      <c r="B2993" t="s">
        <v>25</v>
      </c>
      <c r="C2993" t="s">
        <v>29</v>
      </c>
      <c r="D2993">
        <v>465</v>
      </c>
      <c r="E2993">
        <v>50</v>
      </c>
      <c r="F2993" s="2">
        <v>95.3</v>
      </c>
      <c r="G2993" t="s">
        <v>35</v>
      </c>
      <c r="H2993" s="1">
        <v>45572</v>
      </c>
      <c r="I2993" s="1">
        <v>45599</v>
      </c>
      <c r="J2993" t="s">
        <v>38</v>
      </c>
      <c r="K2993" s="8">
        <f>Table2[[#This Row],[CurrentStock]]*Table2[[#This Row],[UnitPrice]]</f>
        <v>44314.5</v>
      </c>
      <c r="L2993" t="str">
        <f>IF(Table2[[#This Row],[CurrentStock]]&lt;=Table2[[#This Row],[ReorderLevel]], "Reorder Needed", "Okay")</f>
        <v>Okay</v>
      </c>
      <c r="M2993" t="str">
        <f>IF(Table2[[#This Row],[CurrentStock]]-Table2[[#This Row],[ReorderLevel]]&lt;0,Table2[[#This Row],[CurrentStock]]-Table2[[#This Row],[ReorderLevel]],"")</f>
        <v/>
      </c>
      <c r="N2993" t="str">
        <f>IF(Table2[[#This Row],[Stock Gap]]&lt;0, "Understock","Okay")</f>
        <v>Okay</v>
      </c>
      <c r="O2993" s="13" t="str">
        <f>IF(Table2[[#This Row],[Stock Gap]]&lt;0, "Yes", "No")</f>
        <v>No</v>
      </c>
      <c r="P2993" s="13" t="str">
        <f>IF(Table2[[#This Row],[CurrentStock]]&lt;Table2[[#This Row],[ReorderLevel]],"Reorder", "Okay")</f>
        <v>Okay</v>
      </c>
      <c r="Q2993" s="13" t="str">
        <f>IF(Table2[[#This Row],[CurrentStock]]&gt;Table2[[#This Row],[ReorderLevel]]*3, "Overstock", "Okay")</f>
        <v>Overstock</v>
      </c>
    </row>
    <row r="2994" spans="1:17" x14ac:dyDescent="0.35">
      <c r="A2994">
        <v>89104</v>
      </c>
      <c r="B2994" t="s">
        <v>13</v>
      </c>
      <c r="C2994" t="s">
        <v>26</v>
      </c>
      <c r="D2994">
        <v>162</v>
      </c>
      <c r="E2994">
        <v>20</v>
      </c>
      <c r="F2994" s="2">
        <v>366.06</v>
      </c>
      <c r="G2994" t="s">
        <v>33</v>
      </c>
      <c r="H2994" s="1">
        <v>45572</v>
      </c>
      <c r="I2994" s="1">
        <v>45596</v>
      </c>
      <c r="J2994" t="s">
        <v>37</v>
      </c>
      <c r="K2994" s="8">
        <f>Table2[[#This Row],[CurrentStock]]*Table2[[#This Row],[UnitPrice]]</f>
        <v>59301.72</v>
      </c>
      <c r="L2994" t="str">
        <f>IF(Table2[[#This Row],[CurrentStock]]&lt;=Table2[[#This Row],[ReorderLevel]], "Reorder Needed", "Okay")</f>
        <v>Okay</v>
      </c>
      <c r="M2994" t="str">
        <f>IF(Table2[[#This Row],[CurrentStock]]-Table2[[#This Row],[ReorderLevel]]&lt;0,Table2[[#This Row],[CurrentStock]]-Table2[[#This Row],[ReorderLevel]],"")</f>
        <v/>
      </c>
      <c r="N2994" t="str">
        <f>IF(Table2[[#This Row],[Stock Gap]]&lt;0, "Understock","Okay")</f>
        <v>Okay</v>
      </c>
      <c r="O2994" s="13" t="str">
        <f>IF(Table2[[#This Row],[Stock Gap]]&lt;0, "Yes", "No")</f>
        <v>No</v>
      </c>
      <c r="P2994" s="13" t="str">
        <f>IF(Table2[[#This Row],[CurrentStock]]&lt;Table2[[#This Row],[ReorderLevel]],"Reorder", "Okay")</f>
        <v>Okay</v>
      </c>
      <c r="Q2994" s="13" t="str">
        <f>IF(Table2[[#This Row],[CurrentStock]]&gt;Table2[[#This Row],[ReorderLevel]]*3, "Overstock", "Okay")</f>
        <v>Overstock</v>
      </c>
    </row>
    <row r="2995" spans="1:17" x14ac:dyDescent="0.35">
      <c r="A2995">
        <v>49826</v>
      </c>
      <c r="B2995" t="s">
        <v>14</v>
      </c>
      <c r="C2995" t="s">
        <v>28</v>
      </c>
      <c r="D2995">
        <v>149</v>
      </c>
      <c r="E2995">
        <v>150</v>
      </c>
      <c r="F2995" s="2">
        <v>336.26</v>
      </c>
      <c r="G2995" t="s">
        <v>34</v>
      </c>
      <c r="H2995" s="1">
        <v>45478</v>
      </c>
      <c r="I2995" s="1">
        <v>45486</v>
      </c>
      <c r="J2995" t="s">
        <v>37</v>
      </c>
      <c r="K2995" s="8">
        <f>Table2[[#This Row],[CurrentStock]]*Table2[[#This Row],[UnitPrice]]</f>
        <v>50102.74</v>
      </c>
      <c r="L2995" t="str">
        <f>IF(Table2[[#This Row],[CurrentStock]]&lt;=Table2[[#This Row],[ReorderLevel]], "Reorder Needed", "Okay")</f>
        <v>Reorder Needed</v>
      </c>
      <c r="M2995" s="7">
        <f>IF(Table2[[#This Row],[CurrentStock]]-Table2[[#This Row],[ReorderLevel]]&lt;0,Table2[[#This Row],[CurrentStock]]-Table2[[#This Row],[ReorderLevel]],"")</f>
        <v>-1</v>
      </c>
      <c r="N2995" t="str">
        <f>IF(Table2[[#This Row],[Stock Gap]]&lt;0, "Understock","Okay")</f>
        <v>Understock</v>
      </c>
      <c r="O2995" s="13" t="str">
        <f>IF(Table2[[#This Row],[Stock Gap]]&lt;0, "Yes", "No")</f>
        <v>Yes</v>
      </c>
      <c r="P2995" s="13" t="str">
        <f>IF(Table2[[#This Row],[CurrentStock]]&lt;Table2[[#This Row],[ReorderLevel]],"Reorder", "Okay")</f>
        <v>Reorder</v>
      </c>
      <c r="Q2995" s="13" t="str">
        <f>IF(Table2[[#This Row],[CurrentStock]]&gt;Table2[[#This Row],[ReorderLevel]]*3, "Overstock", "Okay")</f>
        <v>Okay</v>
      </c>
    </row>
    <row r="2996" spans="1:17" x14ac:dyDescent="0.35">
      <c r="A2996">
        <v>40907</v>
      </c>
      <c r="B2996" t="s">
        <v>9</v>
      </c>
      <c r="C2996" t="s">
        <v>26</v>
      </c>
      <c r="D2996">
        <v>405</v>
      </c>
      <c r="E2996">
        <v>30</v>
      </c>
      <c r="F2996" s="2">
        <v>463.85</v>
      </c>
      <c r="G2996" t="s">
        <v>33</v>
      </c>
      <c r="H2996" s="1">
        <v>45510</v>
      </c>
      <c r="I2996" s="1">
        <v>45543</v>
      </c>
      <c r="J2996" t="s">
        <v>38</v>
      </c>
      <c r="K2996" s="8">
        <f>Table2[[#This Row],[CurrentStock]]*Table2[[#This Row],[UnitPrice]]</f>
        <v>187859.25</v>
      </c>
      <c r="L2996" t="str">
        <f>IF(Table2[[#This Row],[CurrentStock]]&lt;=Table2[[#This Row],[ReorderLevel]], "Reorder Needed", "Okay")</f>
        <v>Okay</v>
      </c>
      <c r="M2996" t="str">
        <f>IF(Table2[[#This Row],[CurrentStock]]-Table2[[#This Row],[ReorderLevel]]&lt;0,Table2[[#This Row],[CurrentStock]]-Table2[[#This Row],[ReorderLevel]],"")</f>
        <v/>
      </c>
      <c r="N2996" t="str">
        <f>IF(Table2[[#This Row],[Stock Gap]]&lt;0, "Understock","Okay")</f>
        <v>Okay</v>
      </c>
      <c r="O2996" s="13" t="str">
        <f>IF(Table2[[#This Row],[Stock Gap]]&lt;0, "Yes", "No")</f>
        <v>No</v>
      </c>
      <c r="P2996" s="13" t="str">
        <f>IF(Table2[[#This Row],[CurrentStock]]&lt;Table2[[#This Row],[ReorderLevel]],"Reorder", "Okay")</f>
        <v>Okay</v>
      </c>
      <c r="Q2996" s="13" t="str">
        <f>IF(Table2[[#This Row],[CurrentStock]]&gt;Table2[[#This Row],[ReorderLevel]]*3, "Overstock", "Okay")</f>
        <v>Overstock</v>
      </c>
    </row>
    <row r="2997" spans="1:17" x14ac:dyDescent="0.35">
      <c r="A2997">
        <v>69542</v>
      </c>
      <c r="B2997" t="s">
        <v>17</v>
      </c>
      <c r="C2997" t="s">
        <v>27</v>
      </c>
      <c r="D2997">
        <v>382</v>
      </c>
      <c r="E2997">
        <v>80</v>
      </c>
      <c r="F2997" s="2">
        <v>6.35</v>
      </c>
      <c r="G2997" t="s">
        <v>34</v>
      </c>
      <c r="H2997" s="1">
        <v>45327</v>
      </c>
      <c r="I2997" s="1">
        <v>45366</v>
      </c>
      <c r="J2997" t="s">
        <v>37</v>
      </c>
      <c r="K2997" s="8">
        <f>Table2[[#This Row],[CurrentStock]]*Table2[[#This Row],[UnitPrice]]</f>
        <v>2425.6999999999998</v>
      </c>
      <c r="L2997" t="str">
        <f>IF(Table2[[#This Row],[CurrentStock]]&lt;=Table2[[#This Row],[ReorderLevel]], "Reorder Needed", "Okay")</f>
        <v>Okay</v>
      </c>
      <c r="M2997" t="str">
        <f>IF(Table2[[#This Row],[CurrentStock]]-Table2[[#This Row],[ReorderLevel]]&lt;0,Table2[[#This Row],[CurrentStock]]-Table2[[#This Row],[ReorderLevel]],"")</f>
        <v/>
      </c>
      <c r="N2997" t="str">
        <f>IF(Table2[[#This Row],[Stock Gap]]&lt;0, "Understock","Okay")</f>
        <v>Okay</v>
      </c>
      <c r="O2997" s="13" t="str">
        <f>IF(Table2[[#This Row],[Stock Gap]]&lt;0, "Yes", "No")</f>
        <v>No</v>
      </c>
      <c r="P2997" s="13" t="str">
        <f>IF(Table2[[#This Row],[CurrentStock]]&lt;Table2[[#This Row],[ReorderLevel]],"Reorder", "Okay")</f>
        <v>Okay</v>
      </c>
      <c r="Q2997" s="13" t="str">
        <f>IF(Table2[[#This Row],[CurrentStock]]&gt;Table2[[#This Row],[ReorderLevel]]*3, "Overstock", "Okay")</f>
        <v>Overstock</v>
      </c>
    </row>
    <row r="2998" spans="1:17" x14ac:dyDescent="0.35">
      <c r="A2998">
        <v>97613</v>
      </c>
      <c r="B2998" t="s">
        <v>24</v>
      </c>
      <c r="C2998" t="s">
        <v>30</v>
      </c>
      <c r="D2998">
        <v>26</v>
      </c>
      <c r="E2998">
        <v>30</v>
      </c>
      <c r="F2998" s="2">
        <v>20.63</v>
      </c>
      <c r="G2998" t="s">
        <v>32</v>
      </c>
      <c r="H2998" s="1">
        <v>45503</v>
      </c>
      <c r="I2998" s="1">
        <v>45518</v>
      </c>
      <c r="J2998" t="s">
        <v>38</v>
      </c>
      <c r="K2998" s="8">
        <f>Table2[[#This Row],[CurrentStock]]*Table2[[#This Row],[UnitPrice]]</f>
        <v>536.38</v>
      </c>
      <c r="L2998" t="str">
        <f>IF(Table2[[#This Row],[CurrentStock]]&lt;=Table2[[#This Row],[ReorderLevel]], "Reorder Needed", "Okay")</f>
        <v>Reorder Needed</v>
      </c>
      <c r="M2998" s="7">
        <f>IF(Table2[[#This Row],[CurrentStock]]-Table2[[#This Row],[ReorderLevel]]&lt;0,Table2[[#This Row],[CurrentStock]]-Table2[[#This Row],[ReorderLevel]],"")</f>
        <v>-4</v>
      </c>
      <c r="N2998" t="str">
        <f>IF(Table2[[#This Row],[Stock Gap]]&lt;0, "Understock","Okay")</f>
        <v>Understock</v>
      </c>
      <c r="O2998" s="13" t="str">
        <f>IF(Table2[[#This Row],[Stock Gap]]&lt;0, "Yes", "No")</f>
        <v>Yes</v>
      </c>
      <c r="P2998" s="13" t="str">
        <f>IF(Table2[[#This Row],[CurrentStock]]&lt;Table2[[#This Row],[ReorderLevel]],"Reorder", "Okay")</f>
        <v>Reorder</v>
      </c>
      <c r="Q2998" s="13" t="str">
        <f>IF(Table2[[#This Row],[CurrentStock]]&gt;Table2[[#This Row],[ReorderLevel]]*3, "Overstock", "Okay")</f>
        <v>Okay</v>
      </c>
    </row>
    <row r="2999" spans="1:17" x14ac:dyDescent="0.35">
      <c r="A2999">
        <v>96814</v>
      </c>
      <c r="B2999" t="s">
        <v>11</v>
      </c>
      <c r="C2999" t="s">
        <v>27</v>
      </c>
      <c r="D2999">
        <v>445</v>
      </c>
      <c r="E2999">
        <v>80</v>
      </c>
      <c r="F2999" s="2">
        <v>393.71</v>
      </c>
      <c r="G2999" t="s">
        <v>31</v>
      </c>
      <c r="H2999" s="1">
        <v>45528</v>
      </c>
      <c r="I2999" s="1">
        <v>45555</v>
      </c>
      <c r="J2999" t="s">
        <v>37</v>
      </c>
      <c r="K2999" s="8">
        <f>Table2[[#This Row],[CurrentStock]]*Table2[[#This Row],[UnitPrice]]</f>
        <v>175200.94999999998</v>
      </c>
      <c r="L2999" t="str">
        <f>IF(Table2[[#This Row],[CurrentStock]]&lt;=Table2[[#This Row],[ReorderLevel]], "Reorder Needed", "Okay")</f>
        <v>Okay</v>
      </c>
      <c r="M2999" t="str">
        <f>IF(Table2[[#This Row],[CurrentStock]]-Table2[[#This Row],[ReorderLevel]]&lt;0,Table2[[#This Row],[CurrentStock]]-Table2[[#This Row],[ReorderLevel]],"")</f>
        <v/>
      </c>
      <c r="N2999" t="str">
        <f>IF(Table2[[#This Row],[Stock Gap]]&lt;0, "Understock","Okay")</f>
        <v>Okay</v>
      </c>
      <c r="O2999" s="13" t="str">
        <f>IF(Table2[[#This Row],[Stock Gap]]&lt;0, "Yes", "No")</f>
        <v>No</v>
      </c>
      <c r="P2999" s="13" t="str">
        <f>IF(Table2[[#This Row],[CurrentStock]]&lt;Table2[[#This Row],[ReorderLevel]],"Reorder", "Okay")</f>
        <v>Okay</v>
      </c>
      <c r="Q2999" s="13" t="str">
        <f>IF(Table2[[#This Row],[CurrentStock]]&gt;Table2[[#This Row],[ReorderLevel]]*3, "Overstock", "Okay")</f>
        <v>Overstock</v>
      </c>
    </row>
    <row r="3000" spans="1:17" x14ac:dyDescent="0.35">
      <c r="A3000">
        <v>79245</v>
      </c>
      <c r="B3000" t="s">
        <v>17</v>
      </c>
      <c r="C3000" t="s">
        <v>27</v>
      </c>
      <c r="D3000">
        <v>179</v>
      </c>
      <c r="E3000">
        <v>50</v>
      </c>
      <c r="F3000" s="2">
        <v>342.16</v>
      </c>
      <c r="G3000" t="s">
        <v>31</v>
      </c>
      <c r="H3000" s="1">
        <v>45422</v>
      </c>
      <c r="I3000" s="1">
        <v>45428</v>
      </c>
      <c r="J3000" t="s">
        <v>37</v>
      </c>
      <c r="K3000" s="8">
        <f>Table2[[#This Row],[CurrentStock]]*Table2[[#This Row],[UnitPrice]]</f>
        <v>61246.640000000007</v>
      </c>
      <c r="L3000" t="str">
        <f>IF(Table2[[#This Row],[CurrentStock]]&lt;=Table2[[#This Row],[ReorderLevel]], "Reorder Needed", "Okay")</f>
        <v>Okay</v>
      </c>
      <c r="M3000" t="str">
        <f>IF(Table2[[#This Row],[CurrentStock]]-Table2[[#This Row],[ReorderLevel]]&lt;0,Table2[[#This Row],[CurrentStock]]-Table2[[#This Row],[ReorderLevel]],"")</f>
        <v/>
      </c>
      <c r="N3000" t="str">
        <f>IF(Table2[[#This Row],[Stock Gap]]&lt;0, "Understock","Okay")</f>
        <v>Okay</v>
      </c>
      <c r="O3000" s="13" t="str">
        <f>IF(Table2[[#This Row],[Stock Gap]]&lt;0, "Yes", "No")</f>
        <v>No</v>
      </c>
      <c r="P3000" s="13" t="str">
        <f>IF(Table2[[#This Row],[CurrentStock]]&lt;Table2[[#This Row],[ReorderLevel]],"Reorder", "Okay")</f>
        <v>Okay</v>
      </c>
      <c r="Q3000" s="13" t="str">
        <f>IF(Table2[[#This Row],[CurrentStock]]&gt;Table2[[#This Row],[ReorderLevel]]*3, "Overstock", "Okay")</f>
        <v>Overstock</v>
      </c>
    </row>
    <row r="3001" spans="1:17" x14ac:dyDescent="0.35">
      <c r="A3001">
        <v>94436</v>
      </c>
      <c r="B3001" t="s">
        <v>14</v>
      </c>
      <c r="C3001" t="s">
        <v>28</v>
      </c>
      <c r="D3001">
        <v>339</v>
      </c>
      <c r="E3001">
        <v>150</v>
      </c>
      <c r="F3001" s="2">
        <v>197.92</v>
      </c>
      <c r="G3001" t="s">
        <v>35</v>
      </c>
      <c r="H3001" s="1">
        <v>45652</v>
      </c>
      <c r="I3001" s="1">
        <v>45672</v>
      </c>
      <c r="J3001" t="s">
        <v>38</v>
      </c>
      <c r="K3001" s="8">
        <f>Table2[[#This Row],[CurrentStock]]*Table2[[#This Row],[UnitPrice]]</f>
        <v>67094.87999999999</v>
      </c>
      <c r="L3001" t="str">
        <f>IF(Table2[[#This Row],[CurrentStock]]&lt;=Table2[[#This Row],[ReorderLevel]], "Reorder Needed", "Okay")</f>
        <v>Okay</v>
      </c>
      <c r="M3001" t="str">
        <f>IF(Table2[[#This Row],[CurrentStock]]-Table2[[#This Row],[ReorderLevel]]&lt;0,Table2[[#This Row],[CurrentStock]]-Table2[[#This Row],[ReorderLevel]],"")</f>
        <v/>
      </c>
      <c r="N3001" t="str">
        <f>IF(Table2[[#This Row],[Stock Gap]]&lt;0, "Understock","Okay")</f>
        <v>Okay</v>
      </c>
      <c r="O3001" s="13" t="str">
        <f>IF(Table2[[#This Row],[Stock Gap]]&lt;0, "Yes", "No")</f>
        <v>No</v>
      </c>
      <c r="P3001" s="13" t="str">
        <f>IF(Table2[[#This Row],[CurrentStock]]&lt;Table2[[#This Row],[ReorderLevel]],"Reorder", "Okay")</f>
        <v>Okay</v>
      </c>
      <c r="Q3001" s="13" t="str">
        <f>IF(Table2[[#This Row],[CurrentStock]]&gt;Table2[[#This Row],[ReorderLevel]]*3, "Overstock", "Okay")</f>
        <v>Okay</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AJ45"/>
  <sheetViews>
    <sheetView topLeftCell="M1" workbookViewId="0">
      <selection activeCell="L5" sqref="L5"/>
    </sheetView>
  </sheetViews>
  <sheetFormatPr defaultRowHeight="14.5" x14ac:dyDescent="0.35"/>
  <cols>
    <col min="3" max="3" width="17" customWidth="1"/>
    <col min="4" max="4" width="20.26953125" customWidth="1"/>
    <col min="5" max="5" width="25.1796875" bestFit="1" customWidth="1"/>
    <col min="6" max="6" width="21.36328125" customWidth="1"/>
    <col min="11" max="11" width="13.36328125" customWidth="1"/>
    <col min="12" max="12" width="23.453125" customWidth="1"/>
    <col min="13" max="13" width="9.6328125" customWidth="1"/>
    <col min="14" max="14" width="10.81640625" customWidth="1"/>
    <col min="15" max="15" width="13.36328125" customWidth="1"/>
    <col min="16" max="16" width="14.6328125" customWidth="1"/>
    <col min="17" max="17" width="15.81640625" customWidth="1"/>
    <col min="18" max="18" width="25.1796875" customWidth="1"/>
    <col min="19" max="19" width="15.453125" customWidth="1"/>
    <col min="20" max="20" width="11.36328125" bestFit="1" customWidth="1"/>
    <col min="21" max="21" width="8.26953125" customWidth="1"/>
    <col min="22" max="22" width="12.36328125" bestFit="1" customWidth="1"/>
    <col min="23" max="23" width="10.1796875" bestFit="1" customWidth="1"/>
    <col min="24" max="24" width="15.36328125" customWidth="1"/>
    <col min="25" max="25" width="23.453125" customWidth="1"/>
    <col min="26" max="26" width="17" customWidth="1"/>
    <col min="27" max="27" width="18.26953125" bestFit="1" customWidth="1"/>
    <col min="28" max="28" width="11.6328125" customWidth="1"/>
    <col min="29" max="29" width="17.26953125" customWidth="1"/>
    <col min="34" max="34" width="15.81640625" customWidth="1"/>
    <col min="35" max="35" width="17" customWidth="1"/>
    <col min="36" max="36" width="16.08984375" bestFit="1" customWidth="1"/>
  </cols>
  <sheetData>
    <row r="1" spans="3:36" x14ac:dyDescent="0.35">
      <c r="Q1" s="15" t="s">
        <v>59</v>
      </c>
      <c r="R1" s="15"/>
      <c r="S1" s="15"/>
      <c r="X1" s="15" t="s">
        <v>63</v>
      </c>
      <c r="Y1" s="15"/>
      <c r="Z1" s="15"/>
      <c r="AB1" s="15" t="s">
        <v>68</v>
      </c>
      <c r="AC1" s="15"/>
      <c r="AD1" s="15"/>
      <c r="AH1" s="15" t="s">
        <v>76</v>
      </c>
      <c r="AI1" s="15"/>
      <c r="AJ1" s="15"/>
    </row>
    <row r="2" spans="3:36" x14ac:dyDescent="0.35">
      <c r="C2" s="9" t="s">
        <v>40</v>
      </c>
      <c r="D2" s="9"/>
      <c r="K2" s="15" t="s">
        <v>57</v>
      </c>
      <c r="L2" s="15"/>
      <c r="M2" s="15"/>
    </row>
    <row r="4" spans="3:36" x14ac:dyDescent="0.35">
      <c r="C4" t="s">
        <v>42</v>
      </c>
      <c r="K4" s="11" t="s">
        <v>43</v>
      </c>
      <c r="L4" t="s">
        <v>65</v>
      </c>
      <c r="AH4" s="11" t="s">
        <v>1</v>
      </c>
      <c r="AI4" t="s">
        <v>77</v>
      </c>
    </row>
    <row r="5" spans="3:36" x14ac:dyDescent="0.35">
      <c r="C5" s="10">
        <v>3000</v>
      </c>
      <c r="K5" s="12" t="s">
        <v>10</v>
      </c>
      <c r="L5" s="10">
        <v>133</v>
      </c>
      <c r="Q5" s="11" t="s">
        <v>62</v>
      </c>
      <c r="R5" t="s">
        <v>58</v>
      </c>
      <c r="X5" s="11" t="s">
        <v>8</v>
      </c>
      <c r="Y5" t="s">
        <v>54</v>
      </c>
      <c r="AH5" t="s">
        <v>27</v>
      </c>
      <c r="AI5" s="10">
        <v>37472928.670000032</v>
      </c>
    </row>
    <row r="6" spans="3:36" x14ac:dyDescent="0.35">
      <c r="K6" s="12" t="s">
        <v>22</v>
      </c>
      <c r="L6" s="10">
        <v>137</v>
      </c>
      <c r="X6" t="s">
        <v>36</v>
      </c>
      <c r="Y6" s="10">
        <v>252361</v>
      </c>
      <c r="AB6" s="11" t="s">
        <v>69</v>
      </c>
      <c r="AC6" t="s">
        <v>71</v>
      </c>
      <c r="AH6" t="s">
        <v>28</v>
      </c>
      <c r="AI6" s="10">
        <v>36951937.289999984</v>
      </c>
    </row>
    <row r="7" spans="3:36" x14ac:dyDescent="0.35">
      <c r="K7" s="12" t="s">
        <v>21</v>
      </c>
      <c r="L7" s="10">
        <v>142</v>
      </c>
      <c r="Q7" s="11" t="s">
        <v>1</v>
      </c>
      <c r="R7" t="s">
        <v>52</v>
      </c>
      <c r="X7" t="s">
        <v>37</v>
      </c>
      <c r="Y7" s="10">
        <v>250786</v>
      </c>
      <c r="AB7" t="s">
        <v>46</v>
      </c>
      <c r="AC7" s="10">
        <v>1209</v>
      </c>
      <c r="AH7" t="s">
        <v>29</v>
      </c>
      <c r="AI7" s="10">
        <v>38950744.630000055</v>
      </c>
    </row>
    <row r="8" spans="3:36" x14ac:dyDescent="0.35">
      <c r="K8" s="12" t="s">
        <v>16</v>
      </c>
      <c r="L8" s="10">
        <v>166</v>
      </c>
      <c r="Q8" t="s">
        <v>28</v>
      </c>
      <c r="R8" s="10">
        <v>95</v>
      </c>
      <c r="X8" t="s">
        <v>38</v>
      </c>
      <c r="Y8" s="10">
        <v>249274</v>
      </c>
      <c r="AB8" t="s">
        <v>70</v>
      </c>
      <c r="AC8" s="10">
        <v>1791</v>
      </c>
      <c r="AH8" t="s">
        <v>26</v>
      </c>
      <c r="AI8" s="10">
        <v>38499755.269999944</v>
      </c>
    </row>
    <row r="9" spans="3:36" x14ac:dyDescent="0.35">
      <c r="C9" s="11" t="s">
        <v>43</v>
      </c>
      <c r="D9" t="s">
        <v>42</v>
      </c>
      <c r="F9" t="s">
        <v>48</v>
      </c>
      <c r="K9" s="12" t="s">
        <v>13</v>
      </c>
      <c r="L9" s="10">
        <v>168</v>
      </c>
      <c r="Q9" t="s">
        <v>29</v>
      </c>
      <c r="R9" s="10">
        <v>95</v>
      </c>
      <c r="AH9" t="s">
        <v>30</v>
      </c>
      <c r="AI9" s="10">
        <v>35542863.31000001</v>
      </c>
    </row>
    <row r="10" spans="3:36" x14ac:dyDescent="0.35">
      <c r="C10" s="12" t="s">
        <v>46</v>
      </c>
      <c r="D10" s="10">
        <v>2567</v>
      </c>
      <c r="F10" s="10">
        <f>D11</f>
        <v>433</v>
      </c>
      <c r="K10" s="12" t="s">
        <v>12</v>
      </c>
      <c r="L10" s="10">
        <v>168</v>
      </c>
      <c r="Q10" t="s">
        <v>27</v>
      </c>
      <c r="R10" s="10">
        <v>86</v>
      </c>
    </row>
    <row r="11" spans="3:36" x14ac:dyDescent="0.35">
      <c r="C11" s="12" t="s">
        <v>47</v>
      </c>
      <c r="D11" s="10">
        <v>433</v>
      </c>
      <c r="K11" s="12" t="s">
        <v>9</v>
      </c>
      <c r="L11" s="10">
        <v>169</v>
      </c>
      <c r="Q11" t="s">
        <v>26</v>
      </c>
      <c r="R11" s="10">
        <v>78</v>
      </c>
      <c r="AB11" t="s">
        <v>72</v>
      </c>
      <c r="AC11" t="s">
        <v>73</v>
      </c>
    </row>
    <row r="12" spans="3:36" x14ac:dyDescent="0.35">
      <c r="C12" s="12" t="s">
        <v>44</v>
      </c>
      <c r="D12" s="10">
        <v>3000</v>
      </c>
      <c r="K12" s="12" t="s">
        <v>25</v>
      </c>
      <c r="L12" s="10">
        <v>170</v>
      </c>
      <c r="Q12" t="s">
        <v>30</v>
      </c>
      <c r="R12" s="10">
        <v>75</v>
      </c>
      <c r="X12" s="15" t="s">
        <v>67</v>
      </c>
      <c r="AB12" t="s">
        <v>74</v>
      </c>
      <c r="AC12" s="10">
        <f>C5</f>
        <v>3000</v>
      </c>
    </row>
    <row r="13" spans="3:36" x14ac:dyDescent="0.35">
      <c r="K13" s="12" t="s">
        <v>15</v>
      </c>
      <c r="L13" s="10">
        <v>170</v>
      </c>
      <c r="AB13" t="s">
        <v>70</v>
      </c>
      <c r="AC13" s="10">
        <f>AC8</f>
        <v>1791</v>
      </c>
    </row>
    <row r="14" spans="3:36" x14ac:dyDescent="0.35">
      <c r="K14" s="12" t="s">
        <v>23</v>
      </c>
      <c r="L14" s="10">
        <v>180</v>
      </c>
      <c r="X14" s="11" t="s">
        <v>64</v>
      </c>
      <c r="Y14" t="s">
        <v>66</v>
      </c>
      <c r="AB14" t="s">
        <v>75</v>
      </c>
      <c r="AC14" s="16">
        <f>AC13/AC12</f>
        <v>0.59699999999999998</v>
      </c>
    </row>
    <row r="15" spans="3:36" x14ac:dyDescent="0.35">
      <c r="K15" s="12" t="s">
        <v>18</v>
      </c>
      <c r="L15" s="10">
        <v>181</v>
      </c>
      <c r="Q15" s="15" t="s">
        <v>60</v>
      </c>
      <c r="R15" s="15"/>
      <c r="S15" s="15"/>
    </row>
    <row r="16" spans="3:36" x14ac:dyDescent="0.35">
      <c r="K16" s="12" t="s">
        <v>14</v>
      </c>
      <c r="L16" s="10">
        <v>197</v>
      </c>
      <c r="X16" s="11" t="s">
        <v>0</v>
      </c>
      <c r="Y16" t="s">
        <v>65</v>
      </c>
      <c r="Z16" t="s">
        <v>77</v>
      </c>
    </row>
    <row r="17" spans="3:26" x14ac:dyDescent="0.35">
      <c r="C17" t="s">
        <v>77</v>
      </c>
      <c r="K17" s="12" t="s">
        <v>17</v>
      </c>
      <c r="L17" s="10">
        <v>199</v>
      </c>
      <c r="Q17" s="11" t="s">
        <v>5</v>
      </c>
      <c r="R17" t="s">
        <v>61</v>
      </c>
      <c r="X17" t="s">
        <v>21</v>
      </c>
      <c r="Y17" s="10">
        <v>20</v>
      </c>
      <c r="Z17" s="10">
        <v>339641.05</v>
      </c>
    </row>
    <row r="18" spans="3:26" x14ac:dyDescent="0.35">
      <c r="C18" s="2">
        <v>187418229.16999966</v>
      </c>
      <c r="K18" s="12" t="s">
        <v>19</v>
      </c>
      <c r="L18" s="10">
        <v>200</v>
      </c>
      <c r="Q18" t="s">
        <v>35</v>
      </c>
      <c r="R18" s="10">
        <v>563</v>
      </c>
      <c r="X18" t="s">
        <v>20</v>
      </c>
      <c r="Y18" s="10">
        <v>22</v>
      </c>
      <c r="Z18" s="10">
        <v>321366.75999999995</v>
      </c>
    </row>
    <row r="19" spans="3:26" x14ac:dyDescent="0.35">
      <c r="K19" s="12" t="s">
        <v>20</v>
      </c>
      <c r="L19" s="10">
        <v>203</v>
      </c>
      <c r="Q19" t="s">
        <v>31</v>
      </c>
      <c r="R19" s="10">
        <v>585</v>
      </c>
      <c r="X19" t="s">
        <v>23</v>
      </c>
      <c r="Y19" s="10">
        <v>17</v>
      </c>
      <c r="Z19" s="10">
        <v>310702.63999999996</v>
      </c>
    </row>
    <row r="20" spans="3:26" x14ac:dyDescent="0.35">
      <c r="K20" s="12" t="s">
        <v>11</v>
      </c>
      <c r="L20" s="10">
        <v>204</v>
      </c>
      <c r="Q20" t="s">
        <v>33</v>
      </c>
      <c r="R20" s="10">
        <v>611</v>
      </c>
      <c r="X20" t="s">
        <v>15</v>
      </c>
      <c r="Y20" s="10">
        <v>22</v>
      </c>
      <c r="Z20" s="10">
        <v>296722.61</v>
      </c>
    </row>
    <row r="21" spans="3:26" x14ac:dyDescent="0.35">
      <c r="K21" s="12" t="s">
        <v>24</v>
      </c>
      <c r="L21" s="10">
        <v>213</v>
      </c>
      <c r="Q21" t="s">
        <v>34</v>
      </c>
      <c r="R21" s="10">
        <v>613</v>
      </c>
      <c r="X21" t="s">
        <v>9</v>
      </c>
      <c r="Y21" s="10">
        <v>18</v>
      </c>
      <c r="Z21" s="10">
        <v>290797.55</v>
      </c>
    </row>
    <row r="22" spans="3:26" x14ac:dyDescent="0.35">
      <c r="Q22" t="s">
        <v>32</v>
      </c>
      <c r="R22" s="10">
        <v>628</v>
      </c>
      <c r="X22" t="s">
        <v>10</v>
      </c>
      <c r="Y22" s="10">
        <v>16</v>
      </c>
      <c r="Z22" s="10">
        <v>174807.06</v>
      </c>
    </row>
    <row r="23" spans="3:26" x14ac:dyDescent="0.35">
      <c r="C23" s="11" t="s">
        <v>1</v>
      </c>
      <c r="E23" t="s">
        <v>49</v>
      </c>
    </row>
    <row r="24" spans="3:26" x14ac:dyDescent="0.35">
      <c r="C24" t="s">
        <v>27</v>
      </c>
      <c r="E24">
        <f>COUNTA(C24:C37)</f>
        <v>5</v>
      </c>
    </row>
    <row r="25" spans="3:26" x14ac:dyDescent="0.35">
      <c r="C25" t="s">
        <v>28</v>
      </c>
      <c r="X25" t="s">
        <v>78</v>
      </c>
      <c r="Y25">
        <v>1</v>
      </c>
    </row>
    <row r="26" spans="3:26" x14ac:dyDescent="0.35">
      <c r="C26" t="s">
        <v>29</v>
      </c>
      <c r="X26" t="str">
        <f t="shared" ref="X26:X32" si="0">X16</f>
        <v>ProductName</v>
      </c>
      <c r="Y26" t="str">
        <f t="shared" ref="Y26:Y32" si="1">IF($Y$25=1,Y16,Z16)</f>
        <v>Count of Reorder Products</v>
      </c>
    </row>
    <row r="27" spans="3:26" x14ac:dyDescent="0.35">
      <c r="C27" t="s">
        <v>26</v>
      </c>
      <c r="X27" t="str">
        <f t="shared" si="0"/>
        <v>Floor Tiles</v>
      </c>
      <c r="Y27" s="8">
        <f t="shared" si="1"/>
        <v>20</v>
      </c>
    </row>
    <row r="28" spans="3:26" x14ac:dyDescent="0.35">
      <c r="C28" t="s">
        <v>30</v>
      </c>
      <c r="X28" t="str">
        <f t="shared" si="0"/>
        <v>Water Heater</v>
      </c>
      <c r="Y28" s="8">
        <f t="shared" si="1"/>
        <v>22</v>
      </c>
    </row>
    <row r="29" spans="3:26" x14ac:dyDescent="0.35">
      <c r="X29" t="str">
        <f t="shared" si="0"/>
        <v>PVC Pipe</v>
      </c>
      <c r="Y29" s="8">
        <f t="shared" si="1"/>
        <v>17</v>
      </c>
    </row>
    <row r="30" spans="3:26" x14ac:dyDescent="0.35">
      <c r="X30" t="str">
        <f t="shared" si="0"/>
        <v>Shower Set</v>
      </c>
      <c r="Y30" s="8">
        <f t="shared" si="1"/>
        <v>22</v>
      </c>
    </row>
    <row r="31" spans="3:26" x14ac:dyDescent="0.35">
      <c r="X31" t="str">
        <f t="shared" si="0"/>
        <v>Ceiling Board</v>
      </c>
      <c r="Y31" s="8">
        <f t="shared" si="1"/>
        <v>18</v>
      </c>
    </row>
    <row r="32" spans="3:26" x14ac:dyDescent="0.35">
      <c r="X32" t="str">
        <f t="shared" si="0"/>
        <v>Wallpaper Roll</v>
      </c>
      <c r="Y32" s="8">
        <f t="shared" si="1"/>
        <v>16</v>
      </c>
    </row>
    <row r="33" spans="3:6" x14ac:dyDescent="0.35">
      <c r="F33" t="s">
        <v>50</v>
      </c>
    </row>
    <row r="34" spans="3:6" x14ac:dyDescent="0.35">
      <c r="F34" s="17">
        <v>67.94</v>
      </c>
    </row>
    <row r="38" spans="3:6" x14ac:dyDescent="0.35">
      <c r="C38" s="15" t="s">
        <v>55</v>
      </c>
      <c r="D38" s="15"/>
    </row>
    <row r="40" spans="3:6" x14ac:dyDescent="0.35">
      <c r="C40" s="11" t="s">
        <v>0</v>
      </c>
      <c r="D40" t="s">
        <v>56</v>
      </c>
    </row>
    <row r="41" spans="3:6" x14ac:dyDescent="0.35">
      <c r="C41" t="s">
        <v>14</v>
      </c>
      <c r="D41" s="10">
        <v>-1743</v>
      </c>
    </row>
    <row r="42" spans="3:6" x14ac:dyDescent="0.35">
      <c r="C42" t="s">
        <v>24</v>
      </c>
      <c r="D42" s="10">
        <v>-1676</v>
      </c>
      <c r="F42" t="s">
        <v>54</v>
      </c>
    </row>
    <row r="43" spans="3:6" x14ac:dyDescent="0.35">
      <c r="C43" t="s">
        <v>19</v>
      </c>
      <c r="D43" s="10">
        <v>-1671</v>
      </c>
      <c r="F43" s="10">
        <v>752421</v>
      </c>
    </row>
    <row r="44" spans="3:6" x14ac:dyDescent="0.35">
      <c r="C44" t="s">
        <v>11</v>
      </c>
      <c r="D44" s="10">
        <v>-1520</v>
      </c>
    </row>
    <row r="45" spans="3:6" x14ac:dyDescent="0.35">
      <c r="C45" t="s">
        <v>18</v>
      </c>
      <c r="D45" s="10">
        <v>-1487</v>
      </c>
    </row>
  </sheetData>
  <pageMargins left="0.7" right="0.7" top="0.75" bottom="0.75" header="0.3" footer="0.3"/>
  <pageSetup orientation="portrait" r:id="rId15"/>
  <drawing r:id="rId1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
  <sheetViews>
    <sheetView showGridLines="0" showRowColHeaders="0" tabSelected="1" workbookViewId="0">
      <selection activeCell="I30" sqref="I30"/>
    </sheetView>
  </sheetViews>
  <sheetFormatPr defaultRowHeight="14.5"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7</xdr:col>
                    <xdr:colOff>165100</xdr:colOff>
                    <xdr:row>9</xdr:row>
                    <xdr:rowOff>69850</xdr:rowOff>
                  </from>
                  <to>
                    <xdr:col>7</xdr:col>
                    <xdr:colOff>342900</xdr:colOff>
                    <xdr:row>10</xdr:row>
                    <xdr:rowOff>69850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9</xdr:col>
                    <xdr:colOff>222250</xdr:colOff>
                    <xdr:row>9</xdr:row>
                    <xdr:rowOff>82550</xdr:rowOff>
                  </from>
                  <to>
                    <xdr:col>9</xdr:col>
                    <xdr:colOff>400050</xdr:colOff>
                    <xdr:row>10</xdr:row>
                    <xdr:rowOff>82550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2025-11-18T14:59:05Z</dcterms:created>
  <dcterms:modified xsi:type="dcterms:W3CDTF">2026-02-11T11:29:41Z</dcterms:modified>
</cp:coreProperties>
</file>